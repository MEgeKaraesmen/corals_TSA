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louis/Desktop/ONGOING_PROJECTS/CoraldC13/"/>
    </mc:Choice>
  </mc:AlternateContent>
  <xr:revisionPtr revIDLastSave="0" documentId="13_ncr:1_{E9A668F7-F66A-D44A-9E74-4E26D8F52376}" xr6:coauthVersionLast="47" xr6:coauthVersionMax="47" xr10:uidLastSave="{00000000-0000-0000-0000-000000000000}"/>
  <bookViews>
    <workbookView xWindow="16000" yWindow="3260" windowWidth="27640" windowHeight="16940" xr2:uid="{9D029F62-DF25-3B4F-8919-4B8F2A77D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6" i="1" l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  <c r="A422" i="1" l="1"/>
  <c r="A423" i="1" s="1"/>
  <c r="A417" i="1"/>
  <c r="A418" i="1" s="1"/>
  <c r="A419" i="1" s="1"/>
  <c r="A420" i="1" s="1"/>
  <c r="A413" i="1"/>
  <c r="A414" i="1" s="1"/>
  <c r="A415" i="1" s="1"/>
  <c r="A409" i="1"/>
  <c r="A410" i="1" s="1"/>
  <c r="A411" i="1" s="1"/>
  <c r="A404" i="1"/>
  <c r="A405" i="1" s="1"/>
  <c r="A406" i="1" s="1"/>
  <c r="A407" i="1" s="1"/>
  <c r="A395" i="1"/>
  <c r="A396" i="1" s="1"/>
  <c r="A397" i="1" s="1"/>
  <c r="A398" i="1" s="1"/>
  <c r="A399" i="1" s="1"/>
  <c r="A400" i="1" s="1"/>
  <c r="A401" i="1" s="1"/>
  <c r="A402" i="1" s="1"/>
  <c r="A391" i="1"/>
  <c r="A392" i="1" s="1"/>
  <c r="A393" i="1" s="1"/>
  <c r="A386" i="1"/>
  <c r="A387" i="1" s="1"/>
  <c r="A388" i="1" s="1"/>
  <c r="A389" i="1" s="1"/>
  <c r="A380" i="1"/>
  <c r="A381" i="1" s="1"/>
  <c r="A382" i="1" s="1"/>
  <c r="A383" i="1" s="1"/>
  <c r="A384" i="1" s="1"/>
  <c r="A373" i="1"/>
  <c r="A374" i="1" s="1"/>
  <c r="A375" i="1" s="1"/>
  <c r="A376" i="1" s="1"/>
  <c r="A377" i="1" s="1"/>
  <c r="A378" i="1" s="1"/>
  <c r="A367" i="1"/>
  <c r="A368" i="1" s="1"/>
  <c r="A369" i="1" s="1"/>
  <c r="A370" i="1" s="1"/>
  <c r="A371" i="1" s="1"/>
  <c r="A359" i="1"/>
  <c r="A360" i="1" s="1"/>
  <c r="A361" i="1" s="1"/>
  <c r="A362" i="1" s="1"/>
  <c r="A363" i="1" s="1"/>
  <c r="A364" i="1" s="1"/>
  <c r="A365" i="1" s="1"/>
  <c r="A351" i="1"/>
  <c r="A352" i="1" s="1"/>
  <c r="A353" i="1" s="1"/>
  <c r="A354" i="1" s="1"/>
  <c r="A355" i="1" s="1"/>
  <c r="A356" i="1" s="1"/>
  <c r="A357" i="1" s="1"/>
  <c r="A343" i="1"/>
  <c r="A344" i="1" s="1"/>
  <c r="A345" i="1" s="1"/>
  <c r="A346" i="1" s="1"/>
  <c r="A347" i="1" s="1"/>
  <c r="A348" i="1" s="1"/>
  <c r="A349" i="1" s="1"/>
  <c r="A335" i="1"/>
  <c r="A336" i="1" s="1"/>
  <c r="A337" i="1" s="1"/>
  <c r="A338" i="1" s="1"/>
  <c r="A339" i="1" s="1"/>
  <c r="A340" i="1" s="1"/>
  <c r="A341" i="1" s="1"/>
  <c r="A329" i="1"/>
  <c r="A330" i="1" s="1"/>
  <c r="A331" i="1" s="1"/>
  <c r="A332" i="1" s="1"/>
  <c r="A333" i="1" s="1"/>
  <c r="A328" i="1"/>
  <c r="A320" i="1"/>
  <c r="A321" i="1" s="1"/>
  <c r="A322" i="1" s="1"/>
  <c r="A323" i="1" s="1"/>
  <c r="A324" i="1" s="1"/>
  <c r="A325" i="1" s="1"/>
  <c r="A326" i="1" s="1"/>
  <c r="A311" i="1"/>
  <c r="A312" i="1" s="1"/>
  <c r="A313" i="1" s="1"/>
  <c r="A314" i="1" s="1"/>
  <c r="A315" i="1" s="1"/>
  <c r="A316" i="1" s="1"/>
  <c r="A317" i="1" s="1"/>
  <c r="A318" i="1" s="1"/>
  <c r="A303" i="1"/>
  <c r="A304" i="1" s="1"/>
  <c r="A305" i="1" s="1"/>
  <c r="A306" i="1" s="1"/>
  <c r="A307" i="1" s="1"/>
  <c r="A308" i="1" s="1"/>
  <c r="A309" i="1" s="1"/>
  <c r="A294" i="1"/>
  <c r="A295" i="1" s="1"/>
  <c r="A296" i="1" s="1"/>
  <c r="A297" i="1" s="1"/>
  <c r="A298" i="1" s="1"/>
  <c r="A299" i="1" s="1"/>
  <c r="A300" i="1" s="1"/>
  <c r="A301" i="1" s="1"/>
  <c r="A287" i="1"/>
  <c r="A288" i="1" s="1"/>
  <c r="A289" i="1" s="1"/>
  <c r="A290" i="1" s="1"/>
  <c r="A291" i="1" s="1"/>
  <c r="A292" i="1" s="1"/>
  <c r="A281" i="1"/>
  <c r="A282" i="1" s="1"/>
  <c r="A283" i="1" s="1"/>
  <c r="A284" i="1" s="1"/>
  <c r="A285" i="1" s="1"/>
  <c r="A276" i="1"/>
  <c r="A277" i="1" s="1"/>
  <c r="A278" i="1" s="1"/>
  <c r="A279" i="1" s="1"/>
  <c r="A270" i="1"/>
  <c r="A271" i="1" s="1"/>
  <c r="A272" i="1" s="1"/>
  <c r="A273" i="1" s="1"/>
  <c r="A274" i="1" s="1"/>
  <c r="A264" i="1"/>
  <c r="A265" i="1" s="1"/>
  <c r="A266" i="1" s="1"/>
  <c r="A267" i="1" s="1"/>
  <c r="A268" i="1" s="1"/>
  <c r="A258" i="1"/>
  <c r="A259" i="1" s="1"/>
  <c r="A260" i="1" s="1"/>
  <c r="A261" i="1" s="1"/>
  <c r="A262" i="1" s="1"/>
  <c r="A252" i="1"/>
  <c r="A253" i="1" s="1"/>
  <c r="A254" i="1" s="1"/>
  <c r="A255" i="1" s="1"/>
  <c r="A256" i="1" s="1"/>
  <c r="A246" i="1"/>
  <c r="A247" i="1" s="1"/>
  <c r="A248" i="1" s="1"/>
  <c r="A249" i="1" s="1"/>
  <c r="A250" i="1" s="1"/>
  <c r="A240" i="1"/>
  <c r="A241" i="1" s="1"/>
  <c r="A242" i="1" s="1"/>
  <c r="A243" i="1" s="1"/>
  <c r="A244" i="1" s="1"/>
  <c r="A235" i="1"/>
  <c r="A236" i="1" s="1"/>
  <c r="A237" i="1" s="1"/>
  <c r="A238" i="1" s="1"/>
  <c r="A230" i="1"/>
  <c r="A231" i="1" s="1"/>
  <c r="A232" i="1" s="1"/>
  <c r="A233" i="1" s="1"/>
  <c r="A224" i="1"/>
  <c r="A225" i="1" s="1"/>
  <c r="A226" i="1" s="1"/>
  <c r="A227" i="1" s="1"/>
  <c r="A228" i="1" s="1"/>
  <c r="A219" i="1"/>
  <c r="A220" i="1" s="1"/>
  <c r="A221" i="1" s="1"/>
  <c r="A222" i="1" s="1"/>
  <c r="A213" i="1"/>
  <c r="A214" i="1" s="1"/>
  <c r="A215" i="1" s="1"/>
  <c r="A216" i="1" s="1"/>
  <c r="A217" i="1" s="1"/>
  <c r="A211" i="1"/>
  <c r="A210" i="1"/>
  <c r="A209" i="1" s="1"/>
  <c r="A208" i="1"/>
  <c r="A200" i="1"/>
  <c r="A201" i="1" s="1"/>
  <c r="A202" i="1" s="1"/>
  <c r="A203" i="1" s="1"/>
  <c r="A204" i="1" s="1"/>
  <c r="A205" i="1" s="1"/>
  <c r="A206" i="1" s="1"/>
  <c r="A193" i="1"/>
  <c r="A194" i="1" s="1"/>
  <c r="A195" i="1" s="1"/>
  <c r="A196" i="1" s="1"/>
  <c r="A197" i="1" s="1"/>
  <c r="A198" i="1" s="1"/>
  <c r="A186" i="1"/>
  <c r="A187" i="1" s="1"/>
  <c r="A188" i="1" s="1"/>
  <c r="A189" i="1" s="1"/>
  <c r="A190" i="1" s="1"/>
  <c r="A191" i="1" s="1"/>
  <c r="A179" i="1"/>
  <c r="A180" i="1" s="1"/>
  <c r="A181" i="1" s="1"/>
  <c r="A182" i="1" s="1"/>
  <c r="A183" i="1" s="1"/>
  <c r="A184" i="1" s="1"/>
  <c r="A173" i="1"/>
  <c r="A174" i="1" s="1"/>
  <c r="A175" i="1" s="1"/>
  <c r="A176" i="1" s="1"/>
  <c r="A177" i="1" s="1"/>
  <c r="A165" i="1"/>
  <c r="A166" i="1" s="1"/>
  <c r="A167" i="1" s="1"/>
  <c r="A168" i="1" s="1"/>
  <c r="A169" i="1" s="1"/>
  <c r="A170" i="1" s="1"/>
  <c r="A171" i="1" s="1"/>
  <c r="A156" i="1"/>
  <c r="A157" i="1" s="1"/>
  <c r="A158" i="1" s="1"/>
  <c r="A159" i="1" s="1"/>
  <c r="A160" i="1" s="1"/>
  <c r="A161" i="1" s="1"/>
  <c r="A162" i="1" s="1"/>
  <c r="A148" i="1"/>
  <c r="A149" i="1" s="1"/>
  <c r="A150" i="1" s="1"/>
  <c r="A151" i="1" s="1"/>
  <c r="A152" i="1" s="1"/>
  <c r="A153" i="1" s="1"/>
  <c r="A154" i="1" s="1"/>
  <c r="A141" i="1"/>
  <c r="A142" i="1" s="1"/>
  <c r="A143" i="1" s="1"/>
  <c r="A144" i="1" s="1"/>
  <c r="A145" i="1" s="1"/>
  <c r="A146" i="1" s="1"/>
  <c r="A132" i="1"/>
  <c r="A133" i="1" s="1"/>
  <c r="A134" i="1" s="1"/>
  <c r="A135" i="1" s="1"/>
  <c r="A136" i="1" s="1"/>
  <c r="A137" i="1" s="1"/>
  <c r="A138" i="1" s="1"/>
  <c r="A139" i="1" s="1"/>
  <c r="A122" i="1"/>
  <c r="A123" i="1" s="1"/>
  <c r="A124" i="1" s="1"/>
  <c r="A125" i="1" s="1"/>
  <c r="A126" i="1" s="1"/>
  <c r="A127" i="1" s="1"/>
  <c r="A128" i="1" s="1"/>
  <c r="A129" i="1" s="1"/>
  <c r="A130" i="1" s="1"/>
  <c r="A113" i="1"/>
  <c r="A114" i="1" s="1"/>
  <c r="A115" i="1" s="1"/>
  <c r="A116" i="1" s="1"/>
  <c r="A117" i="1" s="1"/>
  <c r="A118" i="1" s="1"/>
  <c r="A119" i="1" s="1"/>
  <c r="A120" i="1" s="1"/>
  <c r="A106" i="1"/>
  <c r="A107" i="1" s="1"/>
  <c r="A108" i="1" s="1"/>
  <c r="A109" i="1" s="1"/>
  <c r="A110" i="1" s="1"/>
  <c r="A111" i="1" s="1"/>
  <c r="A100" i="1"/>
  <c r="A101" i="1" s="1"/>
  <c r="A102" i="1" s="1"/>
  <c r="A103" i="1" s="1"/>
  <c r="A104" i="1" s="1"/>
  <c r="A98" i="1"/>
  <c r="A97" i="1"/>
  <c r="A96" i="1"/>
  <c r="A95" i="1"/>
  <c r="A94" i="1"/>
  <c r="A88" i="1"/>
  <c r="A89" i="1" s="1"/>
  <c r="A90" i="1" s="1"/>
  <c r="A91" i="1" s="1"/>
  <c r="A92" i="1" s="1"/>
  <c r="A82" i="1"/>
  <c r="A83" i="1" s="1"/>
  <c r="A84" i="1" s="1"/>
  <c r="A85" i="1" s="1"/>
  <c r="A86" i="1" s="1"/>
  <c r="A76" i="1"/>
  <c r="A77" i="1" s="1"/>
  <c r="A78" i="1" s="1"/>
  <c r="A79" i="1" s="1"/>
  <c r="A80" i="1" s="1"/>
  <c r="A70" i="1"/>
  <c r="A71" i="1" s="1"/>
  <c r="A72" i="1" s="1"/>
  <c r="A73" i="1" s="1"/>
  <c r="A74" i="1" s="1"/>
  <c r="A62" i="1"/>
  <c r="A63" i="1" s="1"/>
  <c r="A64" i="1" s="1"/>
  <c r="A65" i="1" s="1"/>
  <c r="A66" i="1" s="1"/>
  <c r="A67" i="1" s="1"/>
  <c r="A68" i="1" s="1"/>
  <c r="A54" i="1"/>
  <c r="A55" i="1" s="1"/>
  <c r="A56" i="1" s="1"/>
  <c r="A57" i="1" s="1"/>
  <c r="A58" i="1" s="1"/>
  <c r="A59" i="1" s="1"/>
  <c r="A60" i="1" s="1"/>
  <c r="A47" i="1"/>
  <c r="A48" i="1" s="1"/>
  <c r="A49" i="1" s="1"/>
  <c r="A50" i="1" s="1"/>
  <c r="A51" i="1" s="1"/>
  <c r="A52" i="1" s="1"/>
  <c r="A37" i="1"/>
  <c r="A38" i="1" s="1"/>
  <c r="A39" i="1" s="1"/>
  <c r="A40" i="1" s="1"/>
  <c r="A41" i="1" s="1"/>
  <c r="A42" i="1" s="1"/>
  <c r="A43" i="1" s="1"/>
  <c r="A44" i="1" s="1"/>
  <c r="A45" i="1" s="1"/>
  <c r="A27" i="1"/>
  <c r="A28" i="1" s="1"/>
  <c r="A29" i="1" s="1"/>
  <c r="A30" i="1" s="1"/>
  <c r="A31" i="1" s="1"/>
  <c r="A32" i="1" s="1"/>
  <c r="A33" i="1" s="1"/>
  <c r="A34" i="1" s="1"/>
  <c r="A35" i="1" s="1"/>
  <c r="A21" i="1"/>
  <c r="A22" i="1" s="1"/>
  <c r="A23" i="1" s="1"/>
  <c r="A24" i="1" s="1"/>
  <c r="A25" i="1" s="1"/>
  <c r="A14" i="1"/>
  <c r="A15" i="1" s="1"/>
  <c r="A16" i="1" s="1"/>
  <c r="A17" i="1" s="1"/>
  <c r="A18" i="1" s="1"/>
  <c r="A19" i="1" s="1"/>
  <c r="A8" i="1"/>
  <c r="A9" i="1" s="1"/>
  <c r="A10" i="1" s="1"/>
  <c r="A11" i="1" s="1"/>
  <c r="A12" i="1" s="1"/>
  <c r="A2" i="1"/>
  <c r="A3" i="1" s="1"/>
  <c r="A4" i="1" s="1"/>
  <c r="A5" i="1" s="1"/>
  <c r="A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.0"/>
  </numFmts>
  <fonts count="2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F21A-3F32-8C41-B678-4BADC5124576}">
  <dimension ref="A1:D566"/>
  <sheetViews>
    <sheetView tabSelected="1" workbookViewId="0">
      <selection sqref="A1:C566"/>
    </sheetView>
  </sheetViews>
  <sheetFormatPr baseColWidth="10" defaultRowHeight="16" x14ac:dyDescent="0.2"/>
  <sheetData>
    <row r="1" spans="1:3" x14ac:dyDescent="0.2">
      <c r="A1">
        <v>1926</v>
      </c>
      <c r="B1">
        <v>-0.99569778664185171</v>
      </c>
      <c r="C1">
        <f>38.12*B1+13.54</f>
        <v>-24.415999626787382</v>
      </c>
    </row>
    <row r="2" spans="1:3" x14ac:dyDescent="0.2">
      <c r="A2">
        <f>A1+1/6</f>
        <v>1926.1666666666667</v>
      </c>
      <c r="B2">
        <v>-0.90054049350235243</v>
      </c>
      <c r="C2">
        <f t="shared" ref="C2:C65" si="0">38.12*B2+13.54</f>
        <v>-20.788603612309672</v>
      </c>
    </row>
    <row r="3" spans="1:3" x14ac:dyDescent="0.2">
      <c r="A3">
        <f t="shared" ref="A3:A6" si="1">A2+1/6</f>
        <v>1926.3333333333335</v>
      </c>
      <c r="B3">
        <v>-0.97899321779129767</v>
      </c>
      <c r="C3">
        <f t="shared" si="0"/>
        <v>-23.779221462204262</v>
      </c>
    </row>
    <row r="4" spans="1:3" x14ac:dyDescent="0.2">
      <c r="A4">
        <f t="shared" si="1"/>
        <v>1926.5000000000002</v>
      </c>
      <c r="B4">
        <v>-1.2171337702647147</v>
      </c>
      <c r="C4">
        <f t="shared" si="0"/>
        <v>-32.857139322490923</v>
      </c>
    </row>
    <row r="5" spans="1:3" x14ac:dyDescent="0.2">
      <c r="A5">
        <f t="shared" si="1"/>
        <v>1926.666666666667</v>
      </c>
      <c r="B5">
        <v>-0.78782500615673801</v>
      </c>
      <c r="C5">
        <f t="shared" si="0"/>
        <v>-16.491889234694852</v>
      </c>
    </row>
    <row r="6" spans="1:3" x14ac:dyDescent="0.2">
      <c r="A6">
        <f t="shared" si="1"/>
        <v>1926.8333333333337</v>
      </c>
      <c r="B6">
        <v>-0.68146263830480625</v>
      </c>
      <c r="C6">
        <f t="shared" si="0"/>
        <v>-12.437355772179213</v>
      </c>
    </row>
    <row r="7" spans="1:3" x14ac:dyDescent="0.2">
      <c r="A7">
        <v>1927</v>
      </c>
      <c r="B7">
        <v>-1.2343251236303541</v>
      </c>
      <c r="C7">
        <f t="shared" si="0"/>
        <v>-33.512473712789095</v>
      </c>
    </row>
    <row r="8" spans="1:3" x14ac:dyDescent="0.2">
      <c r="A8">
        <f>A7+1/6</f>
        <v>1927.1666666666667</v>
      </c>
      <c r="B8">
        <v>-0.91062542443942429</v>
      </c>
      <c r="C8">
        <f t="shared" si="0"/>
        <v>-21.17304117963085</v>
      </c>
    </row>
    <row r="9" spans="1:3" x14ac:dyDescent="0.2">
      <c r="A9">
        <f t="shared" ref="A9:A12" si="2">A8+1/6</f>
        <v>1927.3333333333335</v>
      </c>
      <c r="B9">
        <v>-1.0200745586925912</v>
      </c>
      <c r="C9">
        <f t="shared" si="0"/>
        <v>-25.345242177361577</v>
      </c>
    </row>
    <row r="10" spans="1:3" x14ac:dyDescent="0.2">
      <c r="A10">
        <f t="shared" si="2"/>
        <v>1927.5000000000002</v>
      </c>
      <c r="B10">
        <v>-0.80595936670854251</v>
      </c>
      <c r="C10">
        <f t="shared" si="0"/>
        <v>-17.183171058929638</v>
      </c>
    </row>
    <row r="11" spans="1:3" x14ac:dyDescent="0.2">
      <c r="A11">
        <f t="shared" si="2"/>
        <v>1927.666666666667</v>
      </c>
      <c r="B11">
        <v>-1.1459114591029735</v>
      </c>
      <c r="C11">
        <f t="shared" si="0"/>
        <v>-30.142144821005353</v>
      </c>
    </row>
    <row r="12" spans="1:3" x14ac:dyDescent="0.2">
      <c r="A12">
        <f t="shared" si="2"/>
        <v>1927.8333333333337</v>
      </c>
      <c r="B12">
        <v>-1.4345232576258642</v>
      </c>
      <c r="C12">
        <f t="shared" si="0"/>
        <v>-41.14402658069794</v>
      </c>
    </row>
    <row r="13" spans="1:3" x14ac:dyDescent="0.2">
      <c r="A13">
        <v>1928</v>
      </c>
      <c r="B13">
        <v>-1.3970982005820503</v>
      </c>
      <c r="C13">
        <f t="shared" si="0"/>
        <v>-39.71738340618775</v>
      </c>
    </row>
    <row r="14" spans="1:3" x14ac:dyDescent="0.2">
      <c r="A14">
        <f>A13+1/7</f>
        <v>1928.1428571428571</v>
      </c>
      <c r="B14">
        <v>-1.4420545164016993</v>
      </c>
      <c r="C14">
        <f t="shared" si="0"/>
        <v>-41.431118165232775</v>
      </c>
    </row>
    <row r="15" spans="1:3" x14ac:dyDescent="0.2">
      <c r="A15">
        <f t="shared" ref="A15:A19" si="3">A14+1/7</f>
        <v>1928.2857142857142</v>
      </c>
      <c r="B15">
        <v>-1.2668526745475104</v>
      </c>
      <c r="C15">
        <f t="shared" si="0"/>
        <v>-34.752423953751091</v>
      </c>
    </row>
    <row r="16" spans="1:3" x14ac:dyDescent="0.2">
      <c r="A16">
        <f t="shared" si="3"/>
        <v>1928.4285714285713</v>
      </c>
      <c r="B16">
        <v>-0.88229939269182744</v>
      </c>
      <c r="C16">
        <f t="shared" si="0"/>
        <v>-20.093252849412458</v>
      </c>
    </row>
    <row r="17" spans="1:3" x14ac:dyDescent="0.2">
      <c r="A17">
        <f t="shared" si="3"/>
        <v>1928.5714285714284</v>
      </c>
      <c r="B17">
        <v>-1.1035530797698603</v>
      </c>
      <c r="C17">
        <f t="shared" si="0"/>
        <v>-28.527443400827075</v>
      </c>
    </row>
    <row r="18" spans="1:3" x14ac:dyDescent="0.2">
      <c r="A18">
        <f t="shared" si="3"/>
        <v>1928.7142857142856</v>
      </c>
      <c r="B18">
        <v>-0.87725290549316426</v>
      </c>
      <c r="C18">
        <f t="shared" si="0"/>
        <v>-19.90088075739942</v>
      </c>
    </row>
    <row r="19" spans="1:3" x14ac:dyDescent="0.2">
      <c r="A19">
        <f t="shared" si="3"/>
        <v>1928.8571428571427</v>
      </c>
      <c r="B19">
        <v>-0.60037641430568511</v>
      </c>
      <c r="C19">
        <f t="shared" si="0"/>
        <v>-9.3463489133327151</v>
      </c>
    </row>
    <row r="20" spans="1:3" x14ac:dyDescent="0.2">
      <c r="A20">
        <v>1929</v>
      </c>
      <c r="B20">
        <v>-1.1791105124818626</v>
      </c>
      <c r="C20">
        <f t="shared" si="0"/>
        <v>-31.407692735808602</v>
      </c>
    </row>
    <row r="21" spans="1:3" x14ac:dyDescent="0.2">
      <c r="A21">
        <f>A20+1/6</f>
        <v>1929.1666666666667</v>
      </c>
      <c r="B21">
        <v>-1.4333018657744203</v>
      </c>
      <c r="C21">
        <f t="shared" si="0"/>
        <v>-41.097467123320897</v>
      </c>
    </row>
    <row r="22" spans="1:3" x14ac:dyDescent="0.2">
      <c r="A22">
        <f t="shared" ref="A22:A25" si="4">A21+1/6</f>
        <v>1929.3333333333335</v>
      </c>
      <c r="B22">
        <v>-1.3333118407803008</v>
      </c>
      <c r="C22">
        <f t="shared" si="0"/>
        <v>-37.285847370545063</v>
      </c>
    </row>
    <row r="23" spans="1:3" x14ac:dyDescent="0.2">
      <c r="A23">
        <f t="shared" si="4"/>
        <v>1929.5000000000002</v>
      </c>
      <c r="B23">
        <v>-0.91167223779189022</v>
      </c>
      <c r="C23">
        <f t="shared" si="0"/>
        <v>-21.212945704626854</v>
      </c>
    </row>
    <row r="24" spans="1:3" x14ac:dyDescent="0.2">
      <c r="A24">
        <f t="shared" si="4"/>
        <v>1929.666666666667</v>
      </c>
      <c r="B24">
        <v>-0.63827138142687101</v>
      </c>
      <c r="C24">
        <f t="shared" si="0"/>
        <v>-10.790905059992323</v>
      </c>
    </row>
    <row r="25" spans="1:3" x14ac:dyDescent="0.2">
      <c r="A25">
        <f t="shared" si="4"/>
        <v>1929.8333333333337</v>
      </c>
      <c r="B25">
        <v>-1.0518902886711432</v>
      </c>
      <c r="C25">
        <f t="shared" si="0"/>
        <v>-26.558057804143978</v>
      </c>
    </row>
    <row r="26" spans="1:3" x14ac:dyDescent="0.2">
      <c r="A26">
        <v>1930</v>
      </c>
      <c r="B26">
        <v>-1.3965079927154664</v>
      </c>
      <c r="C26">
        <f t="shared" si="0"/>
        <v>-39.694884682313578</v>
      </c>
    </row>
    <row r="27" spans="1:3" x14ac:dyDescent="0.2">
      <c r="A27">
        <f>A26+1/10</f>
        <v>1930.1</v>
      </c>
      <c r="B27">
        <v>-1.1949233482881971</v>
      </c>
      <c r="C27">
        <f t="shared" si="0"/>
        <v>-32.010478036746072</v>
      </c>
    </row>
    <row r="28" spans="1:3" x14ac:dyDescent="0.2">
      <c r="A28">
        <f t="shared" ref="A28:A35" si="5">A27+1/10</f>
        <v>1930.1999999999998</v>
      </c>
      <c r="B28">
        <v>-1.4959042686969781</v>
      </c>
      <c r="C28">
        <f t="shared" si="0"/>
        <v>-43.483870722728803</v>
      </c>
    </row>
    <row r="29" spans="1:3" x14ac:dyDescent="0.2">
      <c r="A29">
        <f t="shared" si="5"/>
        <v>1930.2999999999997</v>
      </c>
      <c r="B29">
        <v>-1.4225919731519299</v>
      </c>
      <c r="C29">
        <f t="shared" si="0"/>
        <v>-40.689206016551566</v>
      </c>
    </row>
    <row r="30" spans="1:3" x14ac:dyDescent="0.2">
      <c r="A30">
        <f t="shared" si="5"/>
        <v>1930.3999999999996</v>
      </c>
      <c r="B30">
        <v>-1.310940751949899</v>
      </c>
      <c r="C30">
        <f t="shared" si="0"/>
        <v>-36.433061464330144</v>
      </c>
    </row>
    <row r="31" spans="1:3" x14ac:dyDescent="0.2">
      <c r="A31">
        <f t="shared" si="5"/>
        <v>1930.4999999999995</v>
      </c>
      <c r="B31">
        <v>-1.0161346290385973</v>
      </c>
      <c r="C31">
        <f t="shared" si="0"/>
        <v>-25.195052058951326</v>
      </c>
    </row>
    <row r="32" spans="1:3" x14ac:dyDescent="0.2">
      <c r="A32">
        <f t="shared" si="5"/>
        <v>1930.5999999999995</v>
      </c>
      <c r="B32">
        <v>-1.0216696932129583</v>
      </c>
      <c r="C32">
        <f t="shared" si="0"/>
        <v>-25.406048705277968</v>
      </c>
    </row>
    <row r="33" spans="1:3" x14ac:dyDescent="0.2">
      <c r="A33">
        <f t="shared" si="5"/>
        <v>1930.6999999999994</v>
      </c>
      <c r="B33">
        <v>-0.77059439665803364</v>
      </c>
      <c r="C33">
        <f t="shared" si="0"/>
        <v>-15.83505840060424</v>
      </c>
    </row>
    <row r="34" spans="1:3" x14ac:dyDescent="0.2">
      <c r="A34">
        <f t="shared" si="5"/>
        <v>1930.7999999999993</v>
      </c>
      <c r="B34">
        <v>-0.75523128639673476</v>
      </c>
      <c r="C34">
        <f t="shared" si="0"/>
        <v>-15.249416637443527</v>
      </c>
    </row>
    <row r="35" spans="1:3" x14ac:dyDescent="0.2">
      <c r="A35">
        <f t="shared" si="5"/>
        <v>1930.8999999999992</v>
      </c>
      <c r="B35">
        <v>-0.82440919278327629</v>
      </c>
      <c r="C35">
        <f t="shared" si="0"/>
        <v>-17.886478428898492</v>
      </c>
    </row>
    <row r="36" spans="1:3" x14ac:dyDescent="0.2">
      <c r="A36">
        <v>1931</v>
      </c>
      <c r="B36">
        <v>-1.1489939255411796</v>
      </c>
      <c r="C36">
        <f t="shared" si="0"/>
        <v>-30.259648441629764</v>
      </c>
    </row>
    <row r="37" spans="1:3" x14ac:dyDescent="0.2">
      <c r="A37">
        <f>A36+1/10</f>
        <v>1931.1</v>
      </c>
      <c r="B37">
        <v>-1.3715023418310817</v>
      </c>
      <c r="C37">
        <f t="shared" si="0"/>
        <v>-38.741669270600831</v>
      </c>
    </row>
    <row r="38" spans="1:3" x14ac:dyDescent="0.2">
      <c r="A38">
        <f t="shared" ref="A38:A45" si="6">A37+1/10</f>
        <v>1931.1999999999998</v>
      </c>
      <c r="B38">
        <v>-1.3467676392053258</v>
      </c>
      <c r="C38">
        <f t="shared" si="0"/>
        <v>-37.798782406507016</v>
      </c>
    </row>
    <row r="39" spans="1:3" x14ac:dyDescent="0.2">
      <c r="A39">
        <f t="shared" si="6"/>
        <v>1931.2999999999997</v>
      </c>
      <c r="B39">
        <v>-1.2942806716634458</v>
      </c>
      <c r="C39">
        <f t="shared" si="0"/>
        <v>-35.797979203810556</v>
      </c>
    </row>
    <row r="40" spans="1:3" x14ac:dyDescent="0.2">
      <c r="A40">
        <f t="shared" si="6"/>
        <v>1931.3999999999996</v>
      </c>
      <c r="B40">
        <v>-1.1316657827634171</v>
      </c>
      <c r="C40">
        <f t="shared" si="0"/>
        <v>-29.59909963894146</v>
      </c>
    </row>
    <row r="41" spans="1:3" x14ac:dyDescent="0.2">
      <c r="A41">
        <f t="shared" si="6"/>
        <v>1931.4999999999995</v>
      </c>
      <c r="B41">
        <v>-1.0621639626912891</v>
      </c>
      <c r="C41">
        <f t="shared" si="0"/>
        <v>-26.949690257791936</v>
      </c>
    </row>
    <row r="42" spans="1:3" x14ac:dyDescent="0.2">
      <c r="A42">
        <f t="shared" si="6"/>
        <v>1931.5999999999995</v>
      </c>
      <c r="B42">
        <v>-0.82085206101446617</v>
      </c>
      <c r="C42">
        <f t="shared" si="0"/>
        <v>-17.750880565871448</v>
      </c>
    </row>
    <row r="43" spans="1:3" x14ac:dyDescent="0.2">
      <c r="A43">
        <f t="shared" si="6"/>
        <v>1931.6999999999994</v>
      </c>
      <c r="B43">
        <v>-0.73324820599495188</v>
      </c>
      <c r="C43">
        <f t="shared" si="0"/>
        <v>-14.411421612527565</v>
      </c>
    </row>
    <row r="44" spans="1:3" x14ac:dyDescent="0.2">
      <c r="A44">
        <f t="shared" si="6"/>
        <v>1931.7999999999993</v>
      </c>
      <c r="B44">
        <v>-0.53503974077467131</v>
      </c>
      <c r="C44">
        <f t="shared" si="0"/>
        <v>-6.8557149183304702</v>
      </c>
    </row>
    <row r="45" spans="1:3" x14ac:dyDescent="0.2">
      <c r="A45">
        <f t="shared" si="6"/>
        <v>1931.8999999999992</v>
      </c>
      <c r="B45">
        <v>-0.9333145587705729</v>
      </c>
      <c r="C45">
        <f t="shared" si="0"/>
        <v>-22.037950980334237</v>
      </c>
    </row>
    <row r="46" spans="1:3" x14ac:dyDescent="0.2">
      <c r="A46">
        <v>1932</v>
      </c>
      <c r="B46">
        <v>-0.89247482520371024</v>
      </c>
      <c r="C46">
        <f t="shared" si="0"/>
        <v>-20.481140336765435</v>
      </c>
    </row>
    <row r="47" spans="1:3" x14ac:dyDescent="0.2">
      <c r="A47">
        <f>A46+1/7</f>
        <v>1932.1428571428571</v>
      </c>
      <c r="B47">
        <v>-1.1605839953018111</v>
      </c>
      <c r="C47">
        <f t="shared" si="0"/>
        <v>-30.701461900905038</v>
      </c>
    </row>
    <row r="48" spans="1:3" x14ac:dyDescent="0.2">
      <c r="A48">
        <f t="shared" ref="A48:A52" si="7">A47+1/7</f>
        <v>1932.2857142857142</v>
      </c>
      <c r="B48">
        <v>-1.7288280554357822</v>
      </c>
      <c r="C48">
        <f t="shared" si="0"/>
        <v>-52.362925473212009</v>
      </c>
    </row>
    <row r="49" spans="1:3" x14ac:dyDescent="0.2">
      <c r="A49">
        <f t="shared" si="7"/>
        <v>1932.4285714285713</v>
      </c>
      <c r="B49">
        <v>-1.3812264805761183</v>
      </c>
      <c r="C49">
        <f t="shared" si="0"/>
        <v>-39.11235343956163</v>
      </c>
    </row>
    <row r="50" spans="1:3" x14ac:dyDescent="0.2">
      <c r="A50">
        <f t="shared" si="7"/>
        <v>1932.5714285714284</v>
      </c>
      <c r="B50">
        <v>-0.96458657107105472</v>
      </c>
      <c r="C50">
        <f t="shared" si="0"/>
        <v>-23.230040089228602</v>
      </c>
    </row>
    <row r="51" spans="1:3" x14ac:dyDescent="0.2">
      <c r="A51">
        <f t="shared" si="7"/>
        <v>1932.7142857142856</v>
      </c>
      <c r="B51">
        <v>-0.87193870765509418</v>
      </c>
      <c r="C51">
        <f t="shared" si="0"/>
        <v>-19.698303535812187</v>
      </c>
    </row>
    <row r="52" spans="1:3" x14ac:dyDescent="0.2">
      <c r="A52">
        <f t="shared" si="7"/>
        <v>1932.8571428571427</v>
      </c>
      <c r="B52">
        <v>-0.57609376426378045</v>
      </c>
      <c r="C52">
        <f t="shared" si="0"/>
        <v>-8.4206942937353091</v>
      </c>
    </row>
    <row r="53" spans="1:3" x14ac:dyDescent="0.2">
      <c r="A53">
        <v>1933</v>
      </c>
      <c r="B53">
        <v>-1.0397638870512917</v>
      </c>
      <c r="C53">
        <f t="shared" si="0"/>
        <v>-26.095799374395241</v>
      </c>
    </row>
    <row r="54" spans="1:3" x14ac:dyDescent="0.2">
      <c r="A54">
        <f>A53+1/8</f>
        <v>1933.125</v>
      </c>
      <c r="B54">
        <v>-0.53798809895417232</v>
      </c>
      <c r="C54">
        <f t="shared" si="0"/>
        <v>-6.968106332133047</v>
      </c>
    </row>
    <row r="55" spans="1:3" x14ac:dyDescent="0.2">
      <c r="A55">
        <f t="shared" ref="A55:A60" si="8">A54+1/8</f>
        <v>1933.25</v>
      </c>
      <c r="B55">
        <v>-0.7970483762661944</v>
      </c>
      <c r="C55">
        <f t="shared" si="0"/>
        <v>-16.843484103267329</v>
      </c>
    </row>
    <row r="56" spans="1:3" x14ac:dyDescent="0.2">
      <c r="A56">
        <f t="shared" si="8"/>
        <v>1933.375</v>
      </c>
      <c r="B56">
        <v>-1.3502280470998831</v>
      </c>
      <c r="C56">
        <f t="shared" si="0"/>
        <v>-37.930693155447543</v>
      </c>
    </row>
    <row r="57" spans="1:3" x14ac:dyDescent="0.2">
      <c r="A57">
        <f t="shared" si="8"/>
        <v>1933.5</v>
      </c>
      <c r="B57">
        <v>-1.3473878456375119</v>
      </c>
      <c r="C57">
        <f t="shared" si="0"/>
        <v>-37.822424675701953</v>
      </c>
    </row>
    <row r="58" spans="1:3" x14ac:dyDescent="0.2">
      <c r="A58">
        <f t="shared" si="8"/>
        <v>1933.625</v>
      </c>
      <c r="B58">
        <v>-1.2603531539596395</v>
      </c>
      <c r="C58">
        <f t="shared" si="0"/>
        <v>-34.504662228941456</v>
      </c>
    </row>
    <row r="59" spans="1:3" x14ac:dyDescent="0.2">
      <c r="A59">
        <f t="shared" si="8"/>
        <v>1933.75</v>
      </c>
      <c r="B59">
        <v>-1.0071337946628427</v>
      </c>
      <c r="C59">
        <f t="shared" si="0"/>
        <v>-24.851940252547564</v>
      </c>
    </row>
    <row r="60" spans="1:3" x14ac:dyDescent="0.2">
      <c r="A60">
        <f t="shared" si="8"/>
        <v>1933.875</v>
      </c>
      <c r="B60">
        <v>-0.62610911305657746</v>
      </c>
      <c r="C60">
        <f t="shared" si="0"/>
        <v>-10.327279389716733</v>
      </c>
    </row>
    <row r="61" spans="1:3" x14ac:dyDescent="0.2">
      <c r="A61">
        <v>1934</v>
      </c>
      <c r="B61">
        <v>-0.72316094801906428</v>
      </c>
      <c r="C61">
        <f t="shared" si="0"/>
        <v>-14.026895338486728</v>
      </c>
    </row>
    <row r="62" spans="1:3" x14ac:dyDescent="0.2">
      <c r="A62">
        <f>A61+1/8</f>
        <v>1934.125</v>
      </c>
      <c r="B62">
        <v>-1.4983771028636328</v>
      </c>
      <c r="C62">
        <f t="shared" si="0"/>
        <v>-43.578135161161676</v>
      </c>
    </row>
    <row r="63" spans="1:3" x14ac:dyDescent="0.2">
      <c r="A63">
        <f t="shared" ref="A63:A68" si="9">A62+1/8</f>
        <v>1934.25</v>
      </c>
      <c r="B63">
        <v>-1.4155535451914933</v>
      </c>
      <c r="C63">
        <f t="shared" si="0"/>
        <v>-40.420901142699726</v>
      </c>
    </row>
    <row r="64" spans="1:3" x14ac:dyDescent="0.2">
      <c r="A64">
        <f t="shared" si="9"/>
        <v>1934.375</v>
      </c>
      <c r="B64">
        <v>-1.4951593213173455</v>
      </c>
      <c r="C64">
        <f t="shared" si="0"/>
        <v>-43.455473328617209</v>
      </c>
    </row>
    <row r="65" spans="1:3" x14ac:dyDescent="0.2">
      <c r="A65">
        <f t="shared" si="9"/>
        <v>1934.5</v>
      </c>
      <c r="B65">
        <v>-1.8890058030864778</v>
      </c>
      <c r="C65">
        <f t="shared" si="0"/>
        <v>-58.46890121365653</v>
      </c>
    </row>
    <row r="66" spans="1:3" x14ac:dyDescent="0.2">
      <c r="A66">
        <f t="shared" si="9"/>
        <v>1934.625</v>
      </c>
      <c r="B66">
        <v>-1.7663366818733919</v>
      </c>
      <c r="C66">
        <f t="shared" ref="C66:C129" si="10">38.12*B66+13.54</f>
        <v>-53.792754313013695</v>
      </c>
    </row>
    <row r="67" spans="1:3" x14ac:dyDescent="0.2">
      <c r="A67">
        <f t="shared" si="9"/>
        <v>1934.75</v>
      </c>
      <c r="B67">
        <v>-1.4124582851951217</v>
      </c>
      <c r="C67">
        <f t="shared" si="10"/>
        <v>-40.30290983163804</v>
      </c>
    </row>
    <row r="68" spans="1:3" x14ac:dyDescent="0.2">
      <c r="A68">
        <f t="shared" si="9"/>
        <v>1934.875</v>
      </c>
      <c r="B68">
        <v>-1.437578132132131</v>
      </c>
      <c r="C68">
        <f t="shared" si="10"/>
        <v>-41.260478396876834</v>
      </c>
    </row>
    <row r="69" spans="1:3" x14ac:dyDescent="0.2">
      <c r="A69">
        <v>1935</v>
      </c>
      <c r="B69">
        <v>-1.2390753430220312</v>
      </c>
      <c r="C69">
        <f t="shared" si="10"/>
        <v>-33.693552075999825</v>
      </c>
    </row>
    <row r="70" spans="1:3" x14ac:dyDescent="0.2">
      <c r="A70">
        <f>A69+1/6</f>
        <v>1935.1666666666667</v>
      </c>
      <c r="B70">
        <v>-1.3072604541801969</v>
      </c>
      <c r="C70">
        <f t="shared" si="10"/>
        <v>-36.292768513349102</v>
      </c>
    </row>
    <row r="71" spans="1:3" x14ac:dyDescent="0.2">
      <c r="A71">
        <f t="shared" ref="A71:A74" si="11">A70+1/6</f>
        <v>1935.3333333333335</v>
      </c>
      <c r="B71">
        <v>-1.937927455983709</v>
      </c>
      <c r="C71">
        <f t="shared" si="10"/>
        <v>-60.333794622098985</v>
      </c>
    </row>
    <row r="72" spans="1:3" x14ac:dyDescent="0.2">
      <c r="A72">
        <f t="shared" si="11"/>
        <v>1935.5000000000002</v>
      </c>
      <c r="B72">
        <v>-1.3732833074496298</v>
      </c>
      <c r="C72">
        <f t="shared" si="10"/>
        <v>-38.809559679979884</v>
      </c>
    </row>
    <row r="73" spans="1:3" x14ac:dyDescent="0.2">
      <c r="A73">
        <f t="shared" si="11"/>
        <v>1935.666666666667</v>
      </c>
      <c r="B73">
        <v>-1.5029351469373917</v>
      </c>
      <c r="C73">
        <f t="shared" si="10"/>
        <v>-43.751887801253368</v>
      </c>
    </row>
    <row r="74" spans="1:3" x14ac:dyDescent="0.2">
      <c r="A74">
        <f t="shared" si="11"/>
        <v>1935.8333333333337</v>
      </c>
      <c r="B74">
        <v>-1.8946647229825988</v>
      </c>
      <c r="C74">
        <f t="shared" si="10"/>
        <v>-58.684619240096659</v>
      </c>
    </row>
    <row r="75" spans="1:3" x14ac:dyDescent="0.2">
      <c r="A75">
        <v>1936</v>
      </c>
      <c r="B75">
        <v>-2.1395770186849523</v>
      </c>
      <c r="C75">
        <f t="shared" si="10"/>
        <v>-68.020675952270381</v>
      </c>
    </row>
    <row r="76" spans="1:3" x14ac:dyDescent="0.2">
      <c r="A76">
        <f>A75+1/6</f>
        <v>1936.1666666666667</v>
      </c>
      <c r="B76">
        <v>-1.8774768585627246</v>
      </c>
      <c r="C76">
        <f t="shared" si="10"/>
        <v>-58.029417848411065</v>
      </c>
    </row>
    <row r="77" spans="1:3" x14ac:dyDescent="0.2">
      <c r="A77">
        <f t="shared" ref="A77:A80" si="12">A76+1/6</f>
        <v>1936.3333333333335</v>
      </c>
      <c r="B77">
        <v>-2.1256905696475803</v>
      </c>
      <c r="C77">
        <f t="shared" si="10"/>
        <v>-67.491324514965754</v>
      </c>
    </row>
    <row r="78" spans="1:3" x14ac:dyDescent="0.2">
      <c r="A78">
        <f t="shared" si="12"/>
        <v>1936.5000000000002</v>
      </c>
      <c r="B78">
        <v>-1.5773321915825982</v>
      </c>
      <c r="C78">
        <f t="shared" si="10"/>
        <v>-46.587903143128642</v>
      </c>
    </row>
    <row r="79" spans="1:3" x14ac:dyDescent="0.2">
      <c r="A79">
        <f t="shared" si="12"/>
        <v>1936.666666666667</v>
      </c>
      <c r="B79">
        <v>-1.8285106615570734</v>
      </c>
      <c r="C79">
        <f t="shared" si="10"/>
        <v>-56.162826418555632</v>
      </c>
    </row>
    <row r="80" spans="1:3" x14ac:dyDescent="0.2">
      <c r="A80">
        <f t="shared" si="12"/>
        <v>1936.8333333333337</v>
      </c>
      <c r="B80">
        <v>-1.7245170091367505</v>
      </c>
      <c r="C80">
        <f t="shared" si="10"/>
        <v>-52.198588388292926</v>
      </c>
    </row>
    <row r="81" spans="1:3" x14ac:dyDescent="0.2">
      <c r="A81">
        <v>1937</v>
      </c>
      <c r="B81">
        <v>-1.8950479782098117</v>
      </c>
      <c r="C81">
        <f t="shared" si="10"/>
        <v>-58.699228929358021</v>
      </c>
    </row>
    <row r="82" spans="1:3" x14ac:dyDescent="0.2">
      <c r="A82">
        <f>A81+1/6</f>
        <v>1937.1666666666667</v>
      </c>
      <c r="B82">
        <v>-2.0039185903782735</v>
      </c>
      <c r="C82">
        <f t="shared" si="10"/>
        <v>-62.849376665219786</v>
      </c>
    </row>
    <row r="83" spans="1:3" x14ac:dyDescent="0.2">
      <c r="A83">
        <f t="shared" ref="A83:A86" si="13">A82+1/6</f>
        <v>1937.3333333333335</v>
      </c>
      <c r="B83">
        <v>-1.9409993054743766</v>
      </c>
      <c r="C83">
        <f t="shared" si="10"/>
        <v>-60.450893524683231</v>
      </c>
    </row>
    <row r="84" spans="1:3" x14ac:dyDescent="0.2">
      <c r="A84">
        <f t="shared" si="13"/>
        <v>1937.5000000000002</v>
      </c>
      <c r="B84">
        <v>-1.7036057830486024</v>
      </c>
      <c r="C84">
        <f t="shared" si="10"/>
        <v>-51.401452449812716</v>
      </c>
    </row>
    <row r="85" spans="1:3" x14ac:dyDescent="0.2">
      <c r="A85">
        <f t="shared" si="13"/>
        <v>1937.666666666667</v>
      </c>
      <c r="B85">
        <v>-1.992404351730354</v>
      </c>
      <c r="C85">
        <f t="shared" si="10"/>
        <v>-62.41045388796109</v>
      </c>
    </row>
    <row r="86" spans="1:3" x14ac:dyDescent="0.2">
      <c r="A86">
        <f t="shared" si="13"/>
        <v>1937.8333333333337</v>
      </c>
      <c r="B86">
        <v>-1.9606125497813636</v>
      </c>
      <c r="C86">
        <f t="shared" si="10"/>
        <v>-61.198550397665578</v>
      </c>
    </row>
    <row r="87" spans="1:3" x14ac:dyDescent="0.2">
      <c r="A87">
        <v>1938</v>
      </c>
      <c r="B87">
        <v>-2.1350496558577907</v>
      </c>
      <c r="C87">
        <f t="shared" si="10"/>
        <v>-67.848092881298982</v>
      </c>
    </row>
    <row r="88" spans="1:3" x14ac:dyDescent="0.2">
      <c r="A88">
        <f>A87+1/6</f>
        <v>1938.1666666666667</v>
      </c>
      <c r="B88">
        <v>-2.0306063362118123</v>
      </c>
      <c r="C88">
        <f t="shared" si="10"/>
        <v>-63.866713536394279</v>
      </c>
    </row>
    <row r="89" spans="1:3" x14ac:dyDescent="0.2">
      <c r="A89">
        <f t="shared" ref="A89:A92" si="14">A88+1/6</f>
        <v>1938.3333333333335</v>
      </c>
      <c r="B89">
        <v>-1.6918680980865748</v>
      </c>
      <c r="C89">
        <f t="shared" si="10"/>
        <v>-50.954011899060227</v>
      </c>
    </row>
    <row r="90" spans="1:3" x14ac:dyDescent="0.2">
      <c r="A90">
        <f t="shared" si="14"/>
        <v>1938.5000000000002</v>
      </c>
      <c r="B90">
        <v>-2.0306392182820341</v>
      </c>
      <c r="C90">
        <f t="shared" si="10"/>
        <v>-63.867967000911129</v>
      </c>
    </row>
    <row r="91" spans="1:3" x14ac:dyDescent="0.2">
      <c r="A91">
        <f t="shared" si="14"/>
        <v>1938.666666666667</v>
      </c>
      <c r="B91">
        <v>-2.0577894377862949</v>
      </c>
      <c r="C91">
        <f t="shared" si="10"/>
        <v>-64.902933368413557</v>
      </c>
    </row>
    <row r="92" spans="1:3" x14ac:dyDescent="0.2">
      <c r="A92">
        <f t="shared" si="14"/>
        <v>1938.8333333333337</v>
      </c>
      <c r="B92">
        <v>-1.7138434385549051</v>
      </c>
      <c r="C92">
        <f t="shared" si="10"/>
        <v>-51.791711877712977</v>
      </c>
    </row>
    <row r="93" spans="1:3" x14ac:dyDescent="0.2">
      <c r="A93">
        <v>1939</v>
      </c>
      <c r="B93">
        <v>-1.7389792518495688</v>
      </c>
      <c r="C93">
        <f t="shared" si="10"/>
        <v>-52.749889080505561</v>
      </c>
    </row>
    <row r="94" spans="1:3" x14ac:dyDescent="0.2">
      <c r="A94">
        <f>1939+1/6</f>
        <v>1939.1666666666667</v>
      </c>
      <c r="B94">
        <v>-2.3116625432269036</v>
      </c>
      <c r="C94">
        <f t="shared" si="10"/>
        <v>-74.580576147809552</v>
      </c>
    </row>
    <row r="95" spans="1:3" x14ac:dyDescent="0.2">
      <c r="A95">
        <f t="shared" ref="A95:A98" si="15">1939+1/6</f>
        <v>1939.1666666666667</v>
      </c>
      <c r="B95">
        <v>-1.8920495886957727</v>
      </c>
      <c r="C95">
        <f t="shared" si="10"/>
        <v>-58.584930321082844</v>
      </c>
    </row>
    <row r="96" spans="1:3" x14ac:dyDescent="0.2">
      <c r="A96">
        <f t="shared" si="15"/>
        <v>1939.1666666666667</v>
      </c>
      <c r="B96">
        <v>-2.0096034450294455</v>
      </c>
      <c r="C96">
        <f t="shared" si="10"/>
        <v>-63.066083324522459</v>
      </c>
    </row>
    <row r="97" spans="1:3" x14ac:dyDescent="0.2">
      <c r="A97">
        <f t="shared" si="15"/>
        <v>1939.1666666666667</v>
      </c>
      <c r="B97">
        <v>-2.3005463799798713</v>
      </c>
      <c r="C97">
        <f t="shared" si="10"/>
        <v>-74.156828004832704</v>
      </c>
    </row>
    <row r="98" spans="1:3" x14ac:dyDescent="0.2">
      <c r="A98">
        <f t="shared" si="15"/>
        <v>1939.1666666666667</v>
      </c>
      <c r="B98">
        <v>-2.5548600039858544</v>
      </c>
      <c r="C98">
        <f t="shared" si="10"/>
        <v>-83.851263351940759</v>
      </c>
    </row>
    <row r="99" spans="1:3" x14ac:dyDescent="0.2">
      <c r="A99">
        <v>1940</v>
      </c>
      <c r="B99">
        <v>-2.5786096103755609</v>
      </c>
      <c r="C99">
        <f t="shared" si="10"/>
        <v>-84.756598347516388</v>
      </c>
    </row>
    <row r="100" spans="1:3" x14ac:dyDescent="0.2">
      <c r="A100">
        <f>A99+1/6</f>
        <v>1940.1666666666667</v>
      </c>
      <c r="B100">
        <v>-2.0968222257127604</v>
      </c>
      <c r="C100">
        <f t="shared" si="10"/>
        <v>-66.390863244170419</v>
      </c>
    </row>
    <row r="101" spans="1:3" x14ac:dyDescent="0.2">
      <c r="A101">
        <f t="shared" ref="A101:A104" si="16">A100+1/6</f>
        <v>1940.3333333333335</v>
      </c>
      <c r="B101">
        <v>-1.6485390906283097</v>
      </c>
      <c r="C101">
        <f t="shared" si="10"/>
        <v>-49.30231013475116</v>
      </c>
    </row>
    <row r="102" spans="1:3" x14ac:dyDescent="0.2">
      <c r="A102">
        <f t="shared" si="16"/>
        <v>1940.5000000000002</v>
      </c>
      <c r="B102">
        <v>-2.082022005905861</v>
      </c>
      <c r="C102">
        <f t="shared" si="10"/>
        <v>-65.826678865131413</v>
      </c>
    </row>
    <row r="103" spans="1:3" x14ac:dyDescent="0.2">
      <c r="A103">
        <f t="shared" si="16"/>
        <v>1940.666666666667</v>
      </c>
      <c r="B103">
        <v>-2.1158957487779047</v>
      </c>
      <c r="C103">
        <f t="shared" si="10"/>
        <v>-67.11794594341373</v>
      </c>
    </row>
    <row r="104" spans="1:3" x14ac:dyDescent="0.2">
      <c r="A104">
        <f t="shared" si="16"/>
        <v>1940.8333333333337</v>
      </c>
      <c r="B104">
        <v>-2.0570845473763368</v>
      </c>
      <c r="C104">
        <f t="shared" si="10"/>
        <v>-64.87606294598595</v>
      </c>
    </row>
    <row r="105" spans="1:3" x14ac:dyDescent="0.2">
      <c r="A105">
        <v>1941</v>
      </c>
      <c r="B105">
        <v>-1.7204181326140835</v>
      </c>
      <c r="C105">
        <f t="shared" si="10"/>
        <v>-52.042339215248866</v>
      </c>
    </row>
    <row r="106" spans="1:3" x14ac:dyDescent="0.2">
      <c r="A106">
        <f>A105+1/7</f>
        <v>1941.1428571428571</v>
      </c>
      <c r="B106">
        <v>-2.047596299544292</v>
      </c>
      <c r="C106">
        <f t="shared" si="10"/>
        <v>-64.514370938628417</v>
      </c>
    </row>
    <row r="107" spans="1:3" x14ac:dyDescent="0.2">
      <c r="A107">
        <f t="shared" ref="A107:A111" si="17">A106+1/7</f>
        <v>1941.2857142857142</v>
      </c>
      <c r="B107">
        <v>-2.5955693222034366</v>
      </c>
      <c r="C107">
        <f t="shared" si="10"/>
        <v>-85.403102562394992</v>
      </c>
    </row>
    <row r="108" spans="1:3" x14ac:dyDescent="0.2">
      <c r="A108">
        <f t="shared" si="17"/>
        <v>1941.4285714285713</v>
      </c>
      <c r="B108">
        <v>-2.380492506722697</v>
      </c>
      <c r="C108">
        <f t="shared" si="10"/>
        <v>-77.204374356269199</v>
      </c>
    </row>
    <row r="109" spans="1:3" x14ac:dyDescent="0.2">
      <c r="A109">
        <f t="shared" si="17"/>
        <v>1941.5714285714284</v>
      </c>
      <c r="B109">
        <v>-2.0450982739634309</v>
      </c>
      <c r="C109">
        <f t="shared" si="10"/>
        <v>-64.41914620348598</v>
      </c>
    </row>
    <row r="110" spans="1:3" x14ac:dyDescent="0.2">
      <c r="A110">
        <f t="shared" si="17"/>
        <v>1941.7142857142856</v>
      </c>
      <c r="B110">
        <v>-1.6169871760285384</v>
      </c>
      <c r="C110">
        <f t="shared" si="10"/>
        <v>-48.09955115020788</v>
      </c>
    </row>
    <row r="111" spans="1:3" x14ac:dyDescent="0.2">
      <c r="A111">
        <f t="shared" si="17"/>
        <v>1941.8571428571427</v>
      </c>
      <c r="B111">
        <v>-1.7822254976664749</v>
      </c>
      <c r="C111">
        <f t="shared" si="10"/>
        <v>-54.39843597104602</v>
      </c>
    </row>
    <row r="112" spans="1:3" x14ac:dyDescent="0.2">
      <c r="A112">
        <v>1942</v>
      </c>
      <c r="B112">
        <v>-1.6290982495448867</v>
      </c>
      <c r="C112">
        <f t="shared" si="10"/>
        <v>-48.561225272651079</v>
      </c>
    </row>
    <row r="113" spans="1:3" x14ac:dyDescent="0.2">
      <c r="A113">
        <f>A112+1/9</f>
        <v>1942.1111111111111</v>
      </c>
      <c r="B113">
        <v>-1.7804157696970595</v>
      </c>
      <c r="C113">
        <f t="shared" si="10"/>
        <v>-54.329449140851899</v>
      </c>
    </row>
    <row r="114" spans="1:3" x14ac:dyDescent="0.2">
      <c r="A114">
        <f t="shared" ref="A114:A120" si="18">A113+1/9</f>
        <v>1942.2222222222222</v>
      </c>
      <c r="B114">
        <v>-2.4822402048396803</v>
      </c>
      <c r="C114">
        <f t="shared" si="10"/>
        <v>-81.0829966084886</v>
      </c>
    </row>
    <row r="115" spans="1:3" x14ac:dyDescent="0.2">
      <c r="A115">
        <f t="shared" si="18"/>
        <v>1942.3333333333333</v>
      </c>
      <c r="B115">
        <v>-2.2517051740329999</v>
      </c>
      <c r="C115">
        <f t="shared" si="10"/>
        <v>-72.295001234137942</v>
      </c>
    </row>
    <row r="116" spans="1:3" x14ac:dyDescent="0.2">
      <c r="A116">
        <f t="shared" si="18"/>
        <v>1942.4444444444443</v>
      </c>
      <c r="B116">
        <v>-2.1180994545363792</v>
      </c>
      <c r="C116">
        <f t="shared" si="10"/>
        <v>-67.201951206926765</v>
      </c>
    </row>
    <row r="117" spans="1:3" x14ac:dyDescent="0.2">
      <c r="A117">
        <f t="shared" si="18"/>
        <v>1942.5555555555554</v>
      </c>
      <c r="B117">
        <v>-2.2236576281262828</v>
      </c>
      <c r="C117">
        <f t="shared" si="10"/>
        <v>-71.225828784173899</v>
      </c>
    </row>
    <row r="118" spans="1:3" x14ac:dyDescent="0.2">
      <c r="A118">
        <f t="shared" si="18"/>
        <v>1942.6666666666665</v>
      </c>
      <c r="B118">
        <v>-2.0647011477713479</v>
      </c>
      <c r="C118">
        <f t="shared" si="10"/>
        <v>-65.166407753043785</v>
      </c>
    </row>
    <row r="119" spans="1:3" x14ac:dyDescent="0.2">
      <c r="A119">
        <f t="shared" si="18"/>
        <v>1942.7777777777776</v>
      </c>
      <c r="B119">
        <v>-1.6184203284122121</v>
      </c>
      <c r="C119">
        <f t="shared" si="10"/>
        <v>-48.15418291907352</v>
      </c>
    </row>
    <row r="120" spans="1:3" x14ac:dyDescent="0.2">
      <c r="A120">
        <f t="shared" si="18"/>
        <v>1942.8888888888887</v>
      </c>
      <c r="B120">
        <v>-1.6518248188482878</v>
      </c>
      <c r="C120">
        <f t="shared" si="10"/>
        <v>-49.427562094496729</v>
      </c>
    </row>
    <row r="121" spans="1:3" x14ac:dyDescent="0.2">
      <c r="A121">
        <v>1943</v>
      </c>
      <c r="B121">
        <v>-1.7799107010984505</v>
      </c>
      <c r="C121">
        <f t="shared" si="10"/>
        <v>-54.310195925872925</v>
      </c>
    </row>
    <row r="122" spans="1:3" x14ac:dyDescent="0.2">
      <c r="A122">
        <f>A121+1/10</f>
        <v>1943.1</v>
      </c>
      <c r="B122">
        <v>-1.6003753565036107</v>
      </c>
      <c r="C122">
        <f t="shared" si="10"/>
        <v>-47.466308589917638</v>
      </c>
    </row>
    <row r="123" spans="1:3" x14ac:dyDescent="0.2">
      <c r="A123">
        <f t="shared" ref="A123:A130" si="19">A122+1/10</f>
        <v>1943.1999999999998</v>
      </c>
      <c r="B123">
        <v>-1.9676443552044274</v>
      </c>
      <c r="C123">
        <f t="shared" si="10"/>
        <v>-61.466602820392772</v>
      </c>
    </row>
    <row r="124" spans="1:3" x14ac:dyDescent="0.2">
      <c r="A124">
        <f t="shared" si="19"/>
        <v>1943.2999999999997</v>
      </c>
      <c r="B124">
        <v>-2.0807560462023162</v>
      </c>
      <c r="C124">
        <f t="shared" si="10"/>
        <v>-65.778420481232303</v>
      </c>
    </row>
    <row r="125" spans="1:3" x14ac:dyDescent="0.2">
      <c r="A125">
        <f t="shared" si="19"/>
        <v>1943.3999999999996</v>
      </c>
      <c r="B125">
        <v>-2.5166877145431963</v>
      </c>
      <c r="C125">
        <f t="shared" si="10"/>
        <v>-82.396135678386628</v>
      </c>
    </row>
    <row r="126" spans="1:3" x14ac:dyDescent="0.2">
      <c r="A126">
        <f t="shared" si="19"/>
        <v>1943.4999999999995</v>
      </c>
      <c r="B126">
        <v>-2.4038986725358855</v>
      </c>
      <c r="C126">
        <f t="shared" si="10"/>
        <v>-78.096617397067945</v>
      </c>
    </row>
    <row r="127" spans="1:3" x14ac:dyDescent="0.2">
      <c r="A127">
        <f t="shared" si="19"/>
        <v>1943.5999999999995</v>
      </c>
      <c r="B127">
        <v>-1.9765750243011082</v>
      </c>
      <c r="C127">
        <f t="shared" si="10"/>
        <v>-61.807039926358236</v>
      </c>
    </row>
    <row r="128" spans="1:3" x14ac:dyDescent="0.2">
      <c r="A128">
        <f t="shared" si="19"/>
        <v>1943.6999999999994</v>
      </c>
      <c r="B128">
        <v>-1.9356980581131942</v>
      </c>
      <c r="C128">
        <f t="shared" si="10"/>
        <v>-60.248809975274959</v>
      </c>
    </row>
    <row r="129" spans="1:3" x14ac:dyDescent="0.2">
      <c r="A129">
        <f t="shared" si="19"/>
        <v>1943.7999999999993</v>
      </c>
      <c r="B129">
        <v>-1.9718089958675382</v>
      </c>
      <c r="C129">
        <f t="shared" si="10"/>
        <v>-61.625358922470546</v>
      </c>
    </row>
    <row r="130" spans="1:3" x14ac:dyDescent="0.2">
      <c r="A130">
        <f t="shared" si="19"/>
        <v>1943.8999999999992</v>
      </c>
      <c r="B130">
        <v>-2.3063260361688833</v>
      </c>
      <c r="C130">
        <f t="shared" ref="C130:C193" si="20">38.12*B130+13.54</f>
        <v>-74.377148498757833</v>
      </c>
    </row>
    <row r="131" spans="1:3" x14ac:dyDescent="0.2">
      <c r="A131">
        <v>1944</v>
      </c>
      <c r="B131">
        <v>-2.083373458991983</v>
      </c>
      <c r="C131">
        <f t="shared" si="20"/>
        <v>-65.878196256774402</v>
      </c>
    </row>
    <row r="132" spans="1:3" x14ac:dyDescent="0.2">
      <c r="A132">
        <f>A131+1/9</f>
        <v>1944.1111111111111</v>
      </c>
      <c r="B132">
        <v>-1.7657024091433464</v>
      </c>
      <c r="C132">
        <f t="shared" si="20"/>
        <v>-53.768575836544365</v>
      </c>
    </row>
    <row r="133" spans="1:3" x14ac:dyDescent="0.2">
      <c r="A133">
        <f t="shared" ref="A133:A139" si="21">A132+1/9</f>
        <v>1944.2222222222222</v>
      </c>
      <c r="B133">
        <v>-2.2568969999820441</v>
      </c>
      <c r="C133">
        <f t="shared" si="20"/>
        <v>-72.492913639315503</v>
      </c>
    </row>
    <row r="134" spans="1:3" x14ac:dyDescent="0.2">
      <c r="A134">
        <f t="shared" si="21"/>
        <v>1944.3333333333333</v>
      </c>
      <c r="B134">
        <v>-2.1850401154528196</v>
      </c>
      <c r="C134">
        <f t="shared" si="20"/>
        <v>-69.753729201061475</v>
      </c>
    </row>
    <row r="135" spans="1:3" x14ac:dyDescent="0.2">
      <c r="A135">
        <f t="shared" si="21"/>
        <v>1944.4444444444443</v>
      </c>
      <c r="B135">
        <v>-2.1234752683152651</v>
      </c>
      <c r="C135">
        <f t="shared" si="20"/>
        <v>-67.406877228177905</v>
      </c>
    </row>
    <row r="136" spans="1:3" x14ac:dyDescent="0.2">
      <c r="A136">
        <f t="shared" si="21"/>
        <v>1944.5555555555554</v>
      </c>
      <c r="B136">
        <v>-1.86967096228312</v>
      </c>
      <c r="C136">
        <f t="shared" si="20"/>
        <v>-57.73185708223253</v>
      </c>
    </row>
    <row r="137" spans="1:3" x14ac:dyDescent="0.2">
      <c r="A137">
        <f t="shared" si="21"/>
        <v>1944.6666666666665</v>
      </c>
      <c r="B137">
        <v>-1.914366497992009</v>
      </c>
      <c r="C137">
        <f t="shared" si="20"/>
        <v>-59.435650903455375</v>
      </c>
    </row>
    <row r="138" spans="1:3" x14ac:dyDescent="0.2">
      <c r="A138">
        <f t="shared" si="21"/>
        <v>1944.7777777777776</v>
      </c>
      <c r="B138">
        <v>-1.7087122167906701</v>
      </c>
      <c r="C138">
        <f t="shared" si="20"/>
        <v>-51.596109704060346</v>
      </c>
    </row>
    <row r="139" spans="1:3" x14ac:dyDescent="0.2">
      <c r="A139">
        <f t="shared" si="21"/>
        <v>1944.8888888888887</v>
      </c>
      <c r="B139">
        <v>-1.7743903579739888</v>
      </c>
      <c r="C139">
        <f t="shared" si="20"/>
        <v>-54.09976044596845</v>
      </c>
    </row>
    <row r="140" spans="1:3" x14ac:dyDescent="0.2">
      <c r="A140">
        <v>1945</v>
      </c>
      <c r="B140">
        <v>-2.1268315665167199</v>
      </c>
      <c r="C140">
        <f t="shared" si="20"/>
        <v>-67.534819315617369</v>
      </c>
    </row>
    <row r="141" spans="1:3" x14ac:dyDescent="0.2">
      <c r="A141">
        <f>A140+1/7</f>
        <v>1945.1428571428571</v>
      </c>
      <c r="B141">
        <v>-2.1993405277923452</v>
      </c>
      <c r="C141">
        <f t="shared" si="20"/>
        <v>-70.298860919444195</v>
      </c>
    </row>
    <row r="142" spans="1:3" x14ac:dyDescent="0.2">
      <c r="A142">
        <f t="shared" ref="A142:A146" si="22">A141+1/7</f>
        <v>1945.2857142857142</v>
      </c>
      <c r="B142">
        <v>-2.4752954610210036</v>
      </c>
      <c r="C142">
        <f t="shared" si="20"/>
        <v>-80.818262974120643</v>
      </c>
    </row>
    <row r="143" spans="1:3" x14ac:dyDescent="0.2">
      <c r="A143">
        <f t="shared" si="22"/>
        <v>1945.4285714285713</v>
      </c>
      <c r="B143">
        <v>-2.0392771357781387</v>
      </c>
      <c r="C143">
        <f t="shared" si="20"/>
        <v>-64.197244415862656</v>
      </c>
    </row>
    <row r="144" spans="1:3" x14ac:dyDescent="0.2">
      <c r="A144">
        <f t="shared" si="22"/>
        <v>1945.5714285714284</v>
      </c>
      <c r="B144">
        <v>-2.1750049123234834</v>
      </c>
      <c r="C144">
        <f t="shared" si="20"/>
        <v>-69.371187257771169</v>
      </c>
    </row>
    <row r="145" spans="1:3" x14ac:dyDescent="0.2">
      <c r="A145">
        <f t="shared" si="22"/>
        <v>1945.7142857142856</v>
      </c>
      <c r="B145">
        <v>-1.8803070978927126</v>
      </c>
      <c r="C145">
        <f t="shared" si="20"/>
        <v>-58.137306571670202</v>
      </c>
    </row>
    <row r="146" spans="1:3" x14ac:dyDescent="0.2">
      <c r="A146">
        <f t="shared" si="22"/>
        <v>1945.8571428571427</v>
      </c>
      <c r="B146">
        <v>-1.4932313059608029</v>
      </c>
      <c r="C146">
        <f t="shared" si="20"/>
        <v>-43.381977383225802</v>
      </c>
    </row>
    <row r="147" spans="1:3" x14ac:dyDescent="0.2">
      <c r="A147">
        <v>1946</v>
      </c>
      <c r="B147">
        <v>-2.0406973376849251</v>
      </c>
      <c r="C147">
        <f t="shared" si="20"/>
        <v>-64.251382512549327</v>
      </c>
    </row>
    <row r="148" spans="1:3" x14ac:dyDescent="0.2">
      <c r="A148">
        <f>A147+1/8</f>
        <v>1946.125</v>
      </c>
      <c r="B148">
        <v>-2.4659122334624688</v>
      </c>
      <c r="C148">
        <f t="shared" si="20"/>
        <v>-80.4605743395893</v>
      </c>
    </row>
    <row r="149" spans="1:3" x14ac:dyDescent="0.2">
      <c r="A149">
        <f t="shared" ref="A149:A154" si="23">A148+1/8</f>
        <v>1946.25</v>
      </c>
      <c r="B149">
        <v>-2.0667780805021669</v>
      </c>
      <c r="C149">
        <f t="shared" si="20"/>
        <v>-65.245580428742613</v>
      </c>
    </row>
    <row r="150" spans="1:3" x14ac:dyDescent="0.2">
      <c r="A150">
        <f t="shared" si="23"/>
        <v>1946.375</v>
      </c>
      <c r="B150">
        <v>-2.3690230888658803</v>
      </c>
      <c r="C150">
        <f t="shared" si="20"/>
        <v>-76.767160147567353</v>
      </c>
    </row>
    <row r="151" spans="1:3" x14ac:dyDescent="0.2">
      <c r="A151">
        <f t="shared" si="23"/>
        <v>1946.5</v>
      </c>
      <c r="B151">
        <v>-2.2874735817912315</v>
      </c>
      <c r="C151">
        <f t="shared" si="20"/>
        <v>-73.658492937881732</v>
      </c>
    </row>
    <row r="152" spans="1:3" x14ac:dyDescent="0.2">
      <c r="A152">
        <f t="shared" si="23"/>
        <v>1946.625</v>
      </c>
      <c r="B152">
        <v>-1.9564201364158653</v>
      </c>
      <c r="C152">
        <f t="shared" si="20"/>
        <v>-61.038735600172778</v>
      </c>
    </row>
    <row r="153" spans="1:3" x14ac:dyDescent="0.2">
      <c r="A153">
        <f t="shared" si="23"/>
        <v>1946.75</v>
      </c>
      <c r="B153">
        <v>-1.7911551550071492</v>
      </c>
      <c r="C153">
        <f t="shared" si="20"/>
        <v>-54.738834508872522</v>
      </c>
    </row>
    <row r="154" spans="1:3" x14ac:dyDescent="0.2">
      <c r="A154">
        <f t="shared" si="23"/>
        <v>1946.875</v>
      </c>
      <c r="B154">
        <v>-2.1885670463048257</v>
      </c>
      <c r="C154">
        <f t="shared" si="20"/>
        <v>-69.888175805139952</v>
      </c>
    </row>
    <row r="155" spans="1:3" x14ac:dyDescent="0.2">
      <c r="A155">
        <v>1947</v>
      </c>
      <c r="B155">
        <v>-2.197950982092566</v>
      </c>
      <c r="C155">
        <f t="shared" si="20"/>
        <v>-70.245891437368613</v>
      </c>
    </row>
    <row r="156" spans="1:3" x14ac:dyDescent="0.2">
      <c r="A156">
        <f>A155+1/8</f>
        <v>1947.125</v>
      </c>
      <c r="B156">
        <v>-2.4634560439924895</v>
      </c>
      <c r="C156">
        <f t="shared" si="20"/>
        <v>-80.366944396993688</v>
      </c>
    </row>
    <row r="157" spans="1:3" x14ac:dyDescent="0.2">
      <c r="A157">
        <f t="shared" ref="A157:A162" si="24">A156+1/8</f>
        <v>1947.25</v>
      </c>
      <c r="B157">
        <v>-2.5179892374703812</v>
      </c>
      <c r="C157">
        <f t="shared" si="20"/>
        <v>-82.445749732370928</v>
      </c>
    </row>
    <row r="158" spans="1:3" x14ac:dyDescent="0.2">
      <c r="A158">
        <f t="shared" si="24"/>
        <v>1947.375</v>
      </c>
      <c r="B158">
        <v>-2.4883068962078294</v>
      </c>
      <c r="C158">
        <f t="shared" si="20"/>
        <v>-81.314258883442449</v>
      </c>
    </row>
    <row r="159" spans="1:3" x14ac:dyDescent="0.2">
      <c r="A159">
        <f t="shared" si="24"/>
        <v>1947.5</v>
      </c>
      <c r="B159">
        <v>-1.7500459402278672</v>
      </c>
      <c r="C159">
        <f t="shared" si="20"/>
        <v>-53.171751241486298</v>
      </c>
    </row>
    <row r="160" spans="1:3" x14ac:dyDescent="0.2">
      <c r="A160">
        <f t="shared" si="24"/>
        <v>1947.625</v>
      </c>
      <c r="B160">
        <v>-1.6991513754651359</v>
      </c>
      <c r="C160">
        <f t="shared" si="20"/>
        <v>-51.23165043273098</v>
      </c>
    </row>
    <row r="161" spans="1:3" x14ac:dyDescent="0.2">
      <c r="A161">
        <f t="shared" si="24"/>
        <v>1947.75</v>
      </c>
      <c r="B161">
        <v>-1.5911504687601441</v>
      </c>
      <c r="C161">
        <f t="shared" si="20"/>
        <v>-47.114655869136691</v>
      </c>
    </row>
    <row r="162" spans="1:3" x14ac:dyDescent="0.2">
      <c r="A162">
        <f t="shared" si="24"/>
        <v>1947.875</v>
      </c>
      <c r="B162">
        <v>-1.9145693550713783</v>
      </c>
      <c r="C162">
        <f t="shared" si="20"/>
        <v>-59.443383815320935</v>
      </c>
    </row>
    <row r="163" spans="1:3" x14ac:dyDescent="0.2">
      <c r="A163">
        <v>1948</v>
      </c>
      <c r="B163">
        <v>-2.0373315289770066</v>
      </c>
      <c r="C163">
        <f t="shared" si="20"/>
        <v>-64.123077884603475</v>
      </c>
    </row>
    <row r="164" spans="1:3" x14ac:dyDescent="0.2">
      <c r="A164">
        <v>1949</v>
      </c>
      <c r="B164">
        <v>-1.7002579924449117</v>
      </c>
      <c r="C164">
        <f t="shared" si="20"/>
        <v>-51.273834672000028</v>
      </c>
    </row>
    <row r="165" spans="1:3" x14ac:dyDescent="0.2">
      <c r="A165">
        <f>A164+1/8</f>
        <v>1949.125</v>
      </c>
      <c r="B165">
        <v>-2.0019707938540838</v>
      </c>
      <c r="C165">
        <f t="shared" si="20"/>
        <v>-62.775126661717671</v>
      </c>
    </row>
    <row r="166" spans="1:3" x14ac:dyDescent="0.2">
      <c r="A166">
        <f t="shared" ref="A166:A171" si="25">A165+1/8</f>
        <v>1949.25</v>
      </c>
      <c r="B166">
        <v>-1.8998595362293538</v>
      </c>
      <c r="C166">
        <f t="shared" si="20"/>
        <v>-58.882645521062962</v>
      </c>
    </row>
    <row r="167" spans="1:3" x14ac:dyDescent="0.2">
      <c r="A167">
        <f t="shared" si="25"/>
        <v>1949.375</v>
      </c>
      <c r="B167">
        <v>-1.4882537931665887</v>
      </c>
      <c r="C167">
        <f t="shared" si="20"/>
        <v>-43.192234595510357</v>
      </c>
    </row>
    <row r="168" spans="1:3" x14ac:dyDescent="0.2">
      <c r="A168">
        <f t="shared" si="25"/>
        <v>1949.5</v>
      </c>
      <c r="B168">
        <v>-1.5804008064569599</v>
      </c>
      <c r="C168">
        <f t="shared" si="20"/>
        <v>-46.704878742139307</v>
      </c>
    </row>
    <row r="169" spans="1:3" x14ac:dyDescent="0.2">
      <c r="A169">
        <f t="shared" si="25"/>
        <v>1949.625</v>
      </c>
      <c r="B169">
        <v>-1.6927131699449447</v>
      </c>
      <c r="C169">
        <f t="shared" si="20"/>
        <v>-50.98622603830129</v>
      </c>
    </row>
    <row r="170" spans="1:3" x14ac:dyDescent="0.2">
      <c r="A170">
        <f t="shared" si="25"/>
        <v>1949.75</v>
      </c>
      <c r="B170">
        <v>-1.7505068779603503</v>
      </c>
      <c r="C170">
        <f t="shared" si="20"/>
        <v>-53.189322187848553</v>
      </c>
    </row>
    <row r="171" spans="1:3" x14ac:dyDescent="0.2">
      <c r="A171">
        <f t="shared" si="25"/>
        <v>1949.875</v>
      </c>
      <c r="B171">
        <v>-1.8012671621626974</v>
      </c>
      <c r="C171">
        <f t="shared" si="20"/>
        <v>-55.124304221642028</v>
      </c>
    </row>
    <row r="172" spans="1:3" x14ac:dyDescent="0.2">
      <c r="A172">
        <v>1950</v>
      </c>
      <c r="B172">
        <v>-2.1598767289959753</v>
      </c>
      <c r="C172">
        <f t="shared" si="20"/>
        <v>-68.794500909326587</v>
      </c>
    </row>
    <row r="173" spans="1:3" x14ac:dyDescent="0.2">
      <c r="A173">
        <f>A172+1/6</f>
        <v>1950.1666666666667</v>
      </c>
      <c r="B173">
        <v>-1.5743815944185899</v>
      </c>
      <c r="C173">
        <f t="shared" si="20"/>
        <v>-46.475426379236644</v>
      </c>
    </row>
    <row r="174" spans="1:3" x14ac:dyDescent="0.2">
      <c r="A174">
        <f t="shared" ref="A174:A177" si="26">A173+1/6</f>
        <v>1950.3333333333335</v>
      </c>
      <c r="B174">
        <v>-1.8261532787893158</v>
      </c>
      <c r="C174">
        <f t="shared" si="20"/>
        <v>-56.072962987448712</v>
      </c>
    </row>
    <row r="175" spans="1:3" x14ac:dyDescent="0.2">
      <c r="A175">
        <f t="shared" si="26"/>
        <v>1950.5000000000002</v>
      </c>
      <c r="B175">
        <v>-1.7182568424577527</v>
      </c>
      <c r="C175">
        <f t="shared" si="20"/>
        <v>-51.959950834489526</v>
      </c>
    </row>
    <row r="176" spans="1:3" x14ac:dyDescent="0.2">
      <c r="A176">
        <f t="shared" si="26"/>
        <v>1950.666666666667</v>
      </c>
      <c r="B176">
        <v>-1.4818826725710021</v>
      </c>
      <c r="C176">
        <f t="shared" si="20"/>
        <v>-42.9493674784066</v>
      </c>
    </row>
    <row r="177" spans="1:3" x14ac:dyDescent="0.2">
      <c r="A177">
        <f t="shared" si="26"/>
        <v>1950.8333333333337</v>
      </c>
      <c r="B177">
        <v>-1.5676917965847663</v>
      </c>
      <c r="C177">
        <f t="shared" si="20"/>
        <v>-46.220411285811288</v>
      </c>
    </row>
    <row r="178" spans="1:3" x14ac:dyDescent="0.2">
      <c r="A178">
        <v>1951</v>
      </c>
      <c r="B178">
        <v>-1.6605377786512403</v>
      </c>
      <c r="C178">
        <f t="shared" si="20"/>
        <v>-49.759700122185279</v>
      </c>
    </row>
    <row r="179" spans="1:3" x14ac:dyDescent="0.2">
      <c r="A179">
        <f>A178+1/7</f>
        <v>1951.1428571428571</v>
      </c>
      <c r="B179">
        <v>-1.792984887201122</v>
      </c>
      <c r="C179">
        <f t="shared" si="20"/>
        <v>-54.808583900106761</v>
      </c>
    </row>
    <row r="180" spans="1:3" x14ac:dyDescent="0.2">
      <c r="A180">
        <f t="shared" ref="A180:A184" si="27">A179+1/7</f>
        <v>1951.2857142857142</v>
      </c>
      <c r="B180">
        <v>-1.4410718856739226</v>
      </c>
      <c r="C180">
        <f t="shared" si="20"/>
        <v>-41.393660281889929</v>
      </c>
    </row>
    <row r="181" spans="1:3" x14ac:dyDescent="0.2">
      <c r="A181">
        <f t="shared" si="27"/>
        <v>1951.4285714285713</v>
      </c>
      <c r="B181">
        <v>-0.78232250019884964</v>
      </c>
      <c r="C181">
        <f t="shared" si="20"/>
        <v>-16.282133707580147</v>
      </c>
    </row>
    <row r="182" spans="1:3" x14ac:dyDescent="0.2">
      <c r="A182">
        <f t="shared" si="27"/>
        <v>1951.5714285714284</v>
      </c>
      <c r="B182">
        <v>-0.74754536934808535</v>
      </c>
      <c r="C182">
        <f t="shared" si="20"/>
        <v>-14.956429479549012</v>
      </c>
    </row>
    <row r="183" spans="1:3" x14ac:dyDescent="0.2">
      <c r="A183">
        <f t="shared" si="27"/>
        <v>1951.7142857142856</v>
      </c>
      <c r="B183">
        <v>-1.2992138494017471</v>
      </c>
      <c r="C183">
        <f t="shared" si="20"/>
        <v>-35.986031939194596</v>
      </c>
    </row>
    <row r="184" spans="1:3" x14ac:dyDescent="0.2">
      <c r="A184">
        <f t="shared" si="27"/>
        <v>1951.8571428571427</v>
      </c>
      <c r="B184">
        <v>-1.7444987766973234</v>
      </c>
      <c r="C184">
        <f t="shared" si="20"/>
        <v>-52.960293367701972</v>
      </c>
    </row>
    <row r="185" spans="1:3" x14ac:dyDescent="0.2">
      <c r="A185">
        <v>1952</v>
      </c>
      <c r="B185">
        <v>-1.725125927802788</v>
      </c>
      <c r="C185">
        <f t="shared" si="20"/>
        <v>-52.22180036784227</v>
      </c>
    </row>
    <row r="186" spans="1:3" x14ac:dyDescent="0.2">
      <c r="A186">
        <f>A185+1/7</f>
        <v>1952.1428571428571</v>
      </c>
      <c r="B186">
        <v>-1.1785514352225968</v>
      </c>
      <c r="C186">
        <f t="shared" si="20"/>
        <v>-31.386380710685387</v>
      </c>
    </row>
    <row r="187" spans="1:3" x14ac:dyDescent="0.2">
      <c r="A187">
        <f t="shared" ref="A187:A191" si="28">A186+1/7</f>
        <v>1952.2857142857142</v>
      </c>
      <c r="B187">
        <v>-1.3758722398503334</v>
      </c>
      <c r="C187">
        <f t="shared" si="20"/>
        <v>-38.908249783094703</v>
      </c>
    </row>
    <row r="188" spans="1:3" x14ac:dyDescent="0.2">
      <c r="A188">
        <f t="shared" si="28"/>
        <v>1952.4285714285713</v>
      </c>
      <c r="B188">
        <v>-1.4184946891705601</v>
      </c>
      <c r="C188">
        <f t="shared" si="20"/>
        <v>-40.53301755118175</v>
      </c>
    </row>
    <row r="189" spans="1:3" x14ac:dyDescent="0.2">
      <c r="A189">
        <f t="shared" si="28"/>
        <v>1952.5714285714284</v>
      </c>
      <c r="B189">
        <v>-1.1732323030378644</v>
      </c>
      <c r="C189">
        <f t="shared" si="20"/>
        <v>-31.183615391803386</v>
      </c>
    </row>
    <row r="190" spans="1:3" x14ac:dyDescent="0.2">
      <c r="A190">
        <f t="shared" si="28"/>
        <v>1952.7142857142856</v>
      </c>
      <c r="B190">
        <v>-1.6444045288254827</v>
      </c>
      <c r="C190">
        <f t="shared" si="20"/>
        <v>-49.144700638827395</v>
      </c>
    </row>
    <row r="191" spans="1:3" x14ac:dyDescent="0.2">
      <c r="A191">
        <f t="shared" si="28"/>
        <v>1952.8571428571427</v>
      </c>
      <c r="B191">
        <v>-1.6868074898291676</v>
      </c>
      <c r="C191">
        <f t="shared" si="20"/>
        <v>-50.761101512287873</v>
      </c>
    </row>
    <row r="192" spans="1:3" x14ac:dyDescent="0.2">
      <c r="A192">
        <v>1953</v>
      </c>
      <c r="B192">
        <v>-1.1221042521716749</v>
      </c>
      <c r="C192">
        <f t="shared" si="20"/>
        <v>-29.234614092784241</v>
      </c>
    </row>
    <row r="193" spans="1:3" x14ac:dyDescent="0.2">
      <c r="A193">
        <f>A192+1/7</f>
        <v>1953.1428571428571</v>
      </c>
      <c r="B193">
        <v>-1.6497969921274769</v>
      </c>
      <c r="C193">
        <f t="shared" si="20"/>
        <v>-49.350261339899419</v>
      </c>
    </row>
    <row r="194" spans="1:3" x14ac:dyDescent="0.2">
      <c r="A194">
        <f t="shared" ref="A194:A198" si="29">A193+1/7</f>
        <v>1953.2857142857142</v>
      </c>
      <c r="B194">
        <v>-0.93334894626970288</v>
      </c>
      <c r="C194">
        <f t="shared" ref="C194:C257" si="30">38.12*B194+13.54</f>
        <v>-22.03926183180107</v>
      </c>
    </row>
    <row r="195" spans="1:3" x14ac:dyDescent="0.2">
      <c r="A195">
        <f t="shared" si="29"/>
        <v>1953.4285714285713</v>
      </c>
      <c r="B195">
        <v>-1.8082888691581216</v>
      </c>
      <c r="C195">
        <f t="shared" si="30"/>
        <v>-55.391971692307585</v>
      </c>
    </row>
    <row r="196" spans="1:3" x14ac:dyDescent="0.2">
      <c r="A196">
        <f t="shared" si="29"/>
        <v>1953.5714285714284</v>
      </c>
      <c r="B196">
        <v>-1.8671024453429363</v>
      </c>
      <c r="C196">
        <f t="shared" si="30"/>
        <v>-57.633945216472732</v>
      </c>
    </row>
    <row r="197" spans="1:3" x14ac:dyDescent="0.2">
      <c r="A197">
        <f t="shared" si="29"/>
        <v>1953.7142857142856</v>
      </c>
      <c r="B197">
        <v>-1.8990148142821648</v>
      </c>
      <c r="C197">
        <f t="shared" si="30"/>
        <v>-58.850444720436123</v>
      </c>
    </row>
    <row r="198" spans="1:3" x14ac:dyDescent="0.2">
      <c r="A198">
        <f t="shared" si="29"/>
        <v>1953.8571428571427</v>
      </c>
      <c r="B198">
        <v>-1.8004375912727937</v>
      </c>
      <c r="C198">
        <f t="shared" si="30"/>
        <v>-55.092680979318892</v>
      </c>
    </row>
    <row r="199" spans="1:3" x14ac:dyDescent="0.2">
      <c r="A199">
        <v>1954</v>
      </c>
      <c r="B199">
        <v>-1.2463984757891997</v>
      </c>
      <c r="C199">
        <f t="shared" si="30"/>
        <v>-33.972709897084293</v>
      </c>
    </row>
    <row r="200" spans="1:3" x14ac:dyDescent="0.2">
      <c r="A200">
        <f>A199+1/8</f>
        <v>1954.125</v>
      </c>
      <c r="B200">
        <v>-1.2915211525826737</v>
      </c>
      <c r="C200">
        <f t="shared" si="30"/>
        <v>-35.692786336451519</v>
      </c>
    </row>
    <row r="201" spans="1:3" x14ac:dyDescent="0.2">
      <c r="A201">
        <f t="shared" ref="A201:A206" si="31">A200+1/8</f>
        <v>1954.25</v>
      </c>
      <c r="B201">
        <v>-1.4180006636960054</v>
      </c>
      <c r="C201">
        <f t="shared" si="30"/>
        <v>-40.514185300091725</v>
      </c>
    </row>
    <row r="202" spans="1:3" x14ac:dyDescent="0.2">
      <c r="A202">
        <f t="shared" si="31"/>
        <v>1954.375</v>
      </c>
      <c r="B202">
        <v>-1.4053474097146224</v>
      </c>
      <c r="C202">
        <f t="shared" si="30"/>
        <v>-40.031843258321402</v>
      </c>
    </row>
    <row r="203" spans="1:3" x14ac:dyDescent="0.2">
      <c r="A203">
        <f t="shared" si="31"/>
        <v>1954.5</v>
      </c>
      <c r="B203">
        <v>-1.3943755190637315</v>
      </c>
      <c r="C203">
        <f t="shared" si="30"/>
        <v>-39.613594786709442</v>
      </c>
    </row>
    <row r="204" spans="1:3" x14ac:dyDescent="0.2">
      <c r="A204">
        <f t="shared" si="31"/>
        <v>1954.625</v>
      </c>
      <c r="B204">
        <v>-1.6084038995953929</v>
      </c>
      <c r="C204">
        <f t="shared" si="30"/>
        <v>-47.77235665257637</v>
      </c>
    </row>
    <row r="205" spans="1:3" x14ac:dyDescent="0.2">
      <c r="A205">
        <f t="shared" si="31"/>
        <v>1954.75</v>
      </c>
      <c r="B205">
        <v>-1.2844016707642341</v>
      </c>
      <c r="C205">
        <f t="shared" si="30"/>
        <v>-35.421391689532598</v>
      </c>
    </row>
    <row r="206" spans="1:3" x14ac:dyDescent="0.2">
      <c r="A206">
        <f t="shared" si="31"/>
        <v>1954.875</v>
      </c>
      <c r="B206">
        <v>-1.2833611971569168</v>
      </c>
      <c r="C206">
        <f t="shared" si="30"/>
        <v>-35.381728835621665</v>
      </c>
    </row>
    <row r="207" spans="1:3" x14ac:dyDescent="0.2">
      <c r="A207">
        <v>1955</v>
      </c>
      <c r="B207">
        <v>-0.99427952918549112</v>
      </c>
      <c r="C207">
        <f t="shared" si="30"/>
        <v>-24.361935652550919</v>
      </c>
    </row>
    <row r="208" spans="1:3" x14ac:dyDescent="0.2">
      <c r="A208">
        <f>A207+1/5</f>
        <v>1955.2</v>
      </c>
      <c r="B208">
        <v>-0.82418143723893755</v>
      </c>
      <c r="C208">
        <f t="shared" si="30"/>
        <v>-17.877796387548297</v>
      </c>
    </row>
    <row r="209" spans="1:3" x14ac:dyDescent="0.2">
      <c r="A209">
        <f t="shared" ref="A209:A210" si="32">A210-1/5</f>
        <v>1955.3999999999999</v>
      </c>
      <c r="B209">
        <v>-1.2218503896200255</v>
      </c>
      <c r="C209">
        <f t="shared" si="30"/>
        <v>-33.036936852315371</v>
      </c>
    </row>
    <row r="210" spans="1:3" x14ac:dyDescent="0.2">
      <c r="A210">
        <f t="shared" si="32"/>
        <v>1955.6</v>
      </c>
      <c r="B210">
        <v>-1.1048426124722264</v>
      </c>
      <c r="C210">
        <f t="shared" si="30"/>
        <v>-28.576600387441268</v>
      </c>
    </row>
    <row r="211" spans="1:3" x14ac:dyDescent="0.2">
      <c r="A211">
        <f>A212-1/5</f>
        <v>1955.8</v>
      </c>
      <c r="B211">
        <v>-1.3324183613792104</v>
      </c>
      <c r="C211">
        <f t="shared" si="30"/>
        <v>-37.251787935775496</v>
      </c>
    </row>
    <row r="212" spans="1:3" x14ac:dyDescent="0.2">
      <c r="A212">
        <v>1956</v>
      </c>
      <c r="B212">
        <v>-1.3350398983177905</v>
      </c>
      <c r="C212">
        <f t="shared" si="30"/>
        <v>-37.351720923874169</v>
      </c>
    </row>
    <row r="213" spans="1:3" x14ac:dyDescent="0.2">
      <c r="A213">
        <f>A212+1/6</f>
        <v>1956.1666666666667</v>
      </c>
      <c r="B213">
        <v>-0.9323644914402236</v>
      </c>
      <c r="C213">
        <f t="shared" si="30"/>
        <v>-22.001734413701321</v>
      </c>
    </row>
    <row r="214" spans="1:3" x14ac:dyDescent="0.2">
      <c r="A214">
        <f t="shared" ref="A214:A217" si="33">A213+1/6</f>
        <v>1956.3333333333335</v>
      </c>
      <c r="B214">
        <v>-1.1955950214429951</v>
      </c>
      <c r="C214">
        <f t="shared" si="30"/>
        <v>-32.036082217406971</v>
      </c>
    </row>
    <row r="215" spans="1:3" x14ac:dyDescent="0.2">
      <c r="A215">
        <f t="shared" si="33"/>
        <v>1956.5000000000002</v>
      </c>
      <c r="B215">
        <v>-1.1281388781543573</v>
      </c>
      <c r="C215">
        <f t="shared" si="30"/>
        <v>-29.464654035244102</v>
      </c>
    </row>
    <row r="216" spans="1:3" x14ac:dyDescent="0.2">
      <c r="A216">
        <f t="shared" si="33"/>
        <v>1956.666666666667</v>
      </c>
      <c r="B216">
        <v>-1.1133179119036183</v>
      </c>
      <c r="C216">
        <f t="shared" si="30"/>
        <v>-28.89967880176593</v>
      </c>
    </row>
    <row r="217" spans="1:3" x14ac:dyDescent="0.2">
      <c r="A217">
        <f t="shared" si="33"/>
        <v>1956.8333333333337</v>
      </c>
      <c r="B217">
        <v>-1.2894361249519786</v>
      </c>
      <c r="C217">
        <f t="shared" si="30"/>
        <v>-35.613305083169422</v>
      </c>
    </row>
    <row r="218" spans="1:3" x14ac:dyDescent="0.2">
      <c r="A218">
        <v>1957</v>
      </c>
      <c r="B218">
        <v>-1.6966454352186962</v>
      </c>
      <c r="C218">
        <f t="shared" si="30"/>
        <v>-51.136123990536696</v>
      </c>
    </row>
    <row r="219" spans="1:3" x14ac:dyDescent="0.2">
      <c r="A219">
        <f>A218+1/5</f>
        <v>1957.2</v>
      </c>
      <c r="B219">
        <v>-1.2013836343894797</v>
      </c>
      <c r="C219">
        <f t="shared" si="30"/>
        <v>-32.256744142926962</v>
      </c>
    </row>
    <row r="220" spans="1:3" x14ac:dyDescent="0.2">
      <c r="A220">
        <f t="shared" ref="A220:A222" si="34">A219+1/5</f>
        <v>1957.4</v>
      </c>
      <c r="B220">
        <v>-1.0859383352760061</v>
      </c>
      <c r="C220">
        <f t="shared" si="30"/>
        <v>-27.855969340721352</v>
      </c>
    </row>
    <row r="221" spans="1:3" x14ac:dyDescent="0.2">
      <c r="A221">
        <f t="shared" si="34"/>
        <v>1957.6000000000001</v>
      </c>
      <c r="B221">
        <v>-0.95178006631630407</v>
      </c>
      <c r="C221">
        <f t="shared" si="30"/>
        <v>-22.741856127977506</v>
      </c>
    </row>
    <row r="222" spans="1:3" x14ac:dyDescent="0.2">
      <c r="A222">
        <f t="shared" si="34"/>
        <v>1957.8000000000002</v>
      </c>
      <c r="B222">
        <v>-0.58913375278693536</v>
      </c>
      <c r="C222">
        <f t="shared" si="30"/>
        <v>-8.9177786562379744</v>
      </c>
    </row>
    <row r="223" spans="1:3" x14ac:dyDescent="0.2">
      <c r="A223">
        <v>1958</v>
      </c>
      <c r="B223">
        <v>-0.96977871431504759</v>
      </c>
      <c r="C223">
        <f t="shared" si="30"/>
        <v>-23.427964589689616</v>
      </c>
    </row>
    <row r="224" spans="1:3" x14ac:dyDescent="0.2">
      <c r="A224">
        <f>A223+1/6</f>
        <v>1958.1666666666667</v>
      </c>
      <c r="B224">
        <v>-1.3150770672525591</v>
      </c>
      <c r="C224">
        <f t="shared" si="30"/>
        <v>-36.590737803667551</v>
      </c>
    </row>
    <row r="225" spans="1:3" x14ac:dyDescent="0.2">
      <c r="A225">
        <f t="shared" ref="A225:A228" si="35">A224+1/6</f>
        <v>1958.3333333333335</v>
      </c>
      <c r="B225">
        <v>-1.4646523450566102</v>
      </c>
      <c r="C225">
        <f t="shared" si="30"/>
        <v>-42.292547393557982</v>
      </c>
    </row>
    <row r="226" spans="1:3" x14ac:dyDescent="0.2">
      <c r="A226">
        <f t="shared" si="35"/>
        <v>1958.5000000000002</v>
      </c>
      <c r="B226">
        <v>-1.1544574767437925</v>
      </c>
      <c r="C226">
        <f t="shared" si="30"/>
        <v>-30.46791901347337</v>
      </c>
    </row>
    <row r="227" spans="1:3" x14ac:dyDescent="0.2">
      <c r="A227">
        <f t="shared" si="35"/>
        <v>1958.666666666667</v>
      </c>
      <c r="B227">
        <v>-1.0121082431944222</v>
      </c>
      <c r="C227">
        <f t="shared" si="30"/>
        <v>-25.04156623057137</v>
      </c>
    </row>
    <row r="228" spans="1:3" x14ac:dyDescent="0.2">
      <c r="A228">
        <f t="shared" si="35"/>
        <v>1958.8333333333337</v>
      </c>
      <c r="B228">
        <v>-0.96263226361463961</v>
      </c>
      <c r="C228">
        <f t="shared" si="30"/>
        <v>-23.155541888990058</v>
      </c>
    </row>
    <row r="229" spans="1:3" x14ac:dyDescent="0.2">
      <c r="A229">
        <v>1959</v>
      </c>
      <c r="B229">
        <v>-0.90080524314279486</v>
      </c>
      <c r="C229">
        <f t="shared" si="30"/>
        <v>-20.798695868603339</v>
      </c>
    </row>
    <row r="230" spans="1:3" x14ac:dyDescent="0.2">
      <c r="A230">
        <f>A229+1/5</f>
        <v>1959.2</v>
      </c>
      <c r="B230">
        <v>-0.91009152816715333</v>
      </c>
      <c r="C230">
        <f t="shared" si="30"/>
        <v>-21.152689053731883</v>
      </c>
    </row>
    <row r="231" spans="1:3" x14ac:dyDescent="0.2">
      <c r="A231">
        <f t="shared" ref="A231:A233" si="36">A230+1/5</f>
        <v>1959.4</v>
      </c>
      <c r="B231">
        <v>-0.92576913519681225</v>
      </c>
      <c r="C231">
        <f t="shared" si="30"/>
        <v>-21.750319433702479</v>
      </c>
    </row>
    <row r="232" spans="1:3" x14ac:dyDescent="0.2">
      <c r="A232">
        <f t="shared" si="36"/>
        <v>1959.6000000000001</v>
      </c>
      <c r="B232">
        <v>-0.82327869711175139</v>
      </c>
      <c r="C232">
        <f t="shared" si="30"/>
        <v>-17.843383933899961</v>
      </c>
    </row>
    <row r="233" spans="1:3" x14ac:dyDescent="0.2">
      <c r="A233">
        <f t="shared" si="36"/>
        <v>1959.8000000000002</v>
      </c>
      <c r="B233">
        <v>-1.1011498957835644</v>
      </c>
      <c r="C233">
        <f t="shared" si="30"/>
        <v>-28.435834027269472</v>
      </c>
    </row>
    <row r="234" spans="1:3" x14ac:dyDescent="0.2">
      <c r="A234">
        <v>1960</v>
      </c>
      <c r="B234">
        <v>-0.94155088049354685</v>
      </c>
      <c r="C234">
        <f t="shared" si="30"/>
        <v>-22.351919564414004</v>
      </c>
    </row>
    <row r="235" spans="1:3" x14ac:dyDescent="0.2">
      <c r="A235">
        <f>A234+1/5</f>
        <v>1960.2</v>
      </c>
      <c r="B235">
        <v>-0.73506560534202681</v>
      </c>
      <c r="C235">
        <f t="shared" si="30"/>
        <v>-14.48070087563806</v>
      </c>
    </row>
    <row r="236" spans="1:3" x14ac:dyDescent="0.2">
      <c r="A236">
        <f t="shared" ref="A236:A238" si="37">A235+1/5</f>
        <v>1960.4</v>
      </c>
      <c r="B236">
        <v>-0.69503550192334296</v>
      </c>
      <c r="C236">
        <f t="shared" si="30"/>
        <v>-12.954753333317832</v>
      </c>
    </row>
    <row r="237" spans="1:3" x14ac:dyDescent="0.2">
      <c r="A237">
        <f t="shared" si="37"/>
        <v>1960.6000000000001</v>
      </c>
      <c r="B237">
        <v>-1.4258588709335662</v>
      </c>
      <c r="C237">
        <f t="shared" si="30"/>
        <v>-40.813740159987539</v>
      </c>
    </row>
    <row r="238" spans="1:3" x14ac:dyDescent="0.2">
      <c r="A238">
        <f t="shared" si="37"/>
        <v>1960.8000000000002</v>
      </c>
      <c r="B238">
        <v>-1.1589946123584973</v>
      </c>
      <c r="C238">
        <f t="shared" si="30"/>
        <v>-30.640874623105915</v>
      </c>
    </row>
    <row r="239" spans="1:3" x14ac:dyDescent="0.2">
      <c r="A239">
        <v>1961</v>
      </c>
      <c r="B239">
        <v>-0.55123196888866532</v>
      </c>
      <c r="C239">
        <f t="shared" si="30"/>
        <v>-7.4729626540359213</v>
      </c>
    </row>
    <row r="240" spans="1:3" x14ac:dyDescent="0.2">
      <c r="A240">
        <f>A239+1/6</f>
        <v>1961.1666666666667</v>
      </c>
      <c r="B240">
        <v>-0.3668801662761409</v>
      </c>
      <c r="C240">
        <f t="shared" si="30"/>
        <v>-0.44547193844649158</v>
      </c>
    </row>
    <row r="241" spans="1:3" x14ac:dyDescent="0.2">
      <c r="A241">
        <f t="shared" ref="A241:A244" si="38">A240+1/6</f>
        <v>1961.3333333333335</v>
      </c>
      <c r="B241">
        <v>-0.4901027517735968</v>
      </c>
      <c r="C241">
        <f t="shared" si="30"/>
        <v>-5.1427168976095103</v>
      </c>
    </row>
    <row r="242" spans="1:3" x14ac:dyDescent="0.2">
      <c r="A242">
        <f t="shared" si="38"/>
        <v>1961.5000000000002</v>
      </c>
      <c r="B242">
        <v>-0.81681970038390928</v>
      </c>
      <c r="C242">
        <f t="shared" si="30"/>
        <v>-17.597166978634622</v>
      </c>
    </row>
    <row r="243" spans="1:3" x14ac:dyDescent="0.2">
      <c r="A243">
        <f t="shared" si="38"/>
        <v>1961.666666666667</v>
      </c>
      <c r="B243">
        <v>-0.60035250466453061</v>
      </c>
      <c r="C243">
        <f t="shared" si="30"/>
        <v>-9.345437477811906</v>
      </c>
    </row>
    <row r="244" spans="1:3" x14ac:dyDescent="0.2">
      <c r="A244">
        <f t="shared" si="38"/>
        <v>1961.8333333333337</v>
      </c>
      <c r="B244">
        <v>9.7541455434414559E-2</v>
      </c>
      <c r="C244">
        <f t="shared" si="30"/>
        <v>17.258280281159884</v>
      </c>
    </row>
    <row r="245" spans="1:3" x14ac:dyDescent="0.2">
      <c r="A245">
        <v>1962</v>
      </c>
      <c r="B245">
        <v>-0.41801124735378753</v>
      </c>
      <c r="C245">
        <f t="shared" si="30"/>
        <v>-2.3945887491263811</v>
      </c>
    </row>
    <row r="246" spans="1:3" x14ac:dyDescent="0.2">
      <c r="A246">
        <f>A245+1/6</f>
        <v>1962.1666666666667</v>
      </c>
      <c r="B246">
        <v>-0.12698620376787967</v>
      </c>
      <c r="C246">
        <f t="shared" si="30"/>
        <v>8.6992859123684276</v>
      </c>
    </row>
    <row r="247" spans="1:3" x14ac:dyDescent="0.2">
      <c r="A247">
        <f t="shared" ref="A247:A250" si="39">A246+1/6</f>
        <v>1962.3333333333335</v>
      </c>
      <c r="B247">
        <v>-0.72860802271286462</v>
      </c>
      <c r="C247">
        <f t="shared" si="30"/>
        <v>-14.2345378258144</v>
      </c>
    </row>
    <row r="248" spans="1:3" x14ac:dyDescent="0.2">
      <c r="A248">
        <f t="shared" si="39"/>
        <v>1962.5000000000002</v>
      </c>
      <c r="B248">
        <v>-0.60504963544417034</v>
      </c>
      <c r="C248">
        <f t="shared" si="30"/>
        <v>-9.5244921031317737</v>
      </c>
    </row>
    <row r="249" spans="1:3" x14ac:dyDescent="0.2">
      <c r="A249">
        <f t="shared" si="39"/>
        <v>1962.666666666667</v>
      </c>
      <c r="B249">
        <v>-0.52651332194857514</v>
      </c>
      <c r="C249">
        <f t="shared" si="30"/>
        <v>-6.5306878326796856</v>
      </c>
    </row>
    <row r="250" spans="1:3" x14ac:dyDescent="0.2">
      <c r="A250">
        <f t="shared" si="39"/>
        <v>1962.8333333333337</v>
      </c>
      <c r="B250">
        <v>-0.38249292678061803</v>
      </c>
      <c r="C250">
        <f t="shared" si="30"/>
        <v>-1.0406303688771583</v>
      </c>
    </row>
    <row r="251" spans="1:3" x14ac:dyDescent="0.2">
      <c r="A251">
        <v>1963</v>
      </c>
      <c r="B251">
        <v>-0.74710150424255128</v>
      </c>
      <c r="C251">
        <f t="shared" si="30"/>
        <v>-14.939509341726055</v>
      </c>
    </row>
    <row r="252" spans="1:3" x14ac:dyDescent="0.2">
      <c r="A252">
        <f>A251+1/6</f>
        <v>1963.1666666666667</v>
      </c>
      <c r="B252">
        <v>-0.36983603654548641</v>
      </c>
      <c r="C252">
        <f t="shared" si="30"/>
        <v>-0.55814971311394146</v>
      </c>
    </row>
    <row r="253" spans="1:3" x14ac:dyDescent="0.2">
      <c r="A253">
        <f t="shared" ref="A253:A256" si="40">A252+1/6</f>
        <v>1963.3333333333335</v>
      </c>
      <c r="B253">
        <v>-0.95801078711437837</v>
      </c>
      <c r="C253">
        <f t="shared" si="30"/>
        <v>-22.979371204800103</v>
      </c>
    </row>
    <row r="254" spans="1:3" x14ac:dyDescent="0.2">
      <c r="A254">
        <f t="shared" si="40"/>
        <v>1963.5000000000002</v>
      </c>
      <c r="B254">
        <v>-0.57623454664228491</v>
      </c>
      <c r="C254">
        <f t="shared" si="30"/>
        <v>-8.4260609180038983</v>
      </c>
    </row>
    <row r="255" spans="1:3" x14ac:dyDescent="0.2">
      <c r="A255">
        <f t="shared" si="40"/>
        <v>1963.666666666667</v>
      </c>
      <c r="B255">
        <v>-0.74958223735542484</v>
      </c>
      <c r="C255">
        <f t="shared" si="30"/>
        <v>-15.034074887988794</v>
      </c>
    </row>
    <row r="256" spans="1:3" x14ac:dyDescent="0.2">
      <c r="A256">
        <f t="shared" si="40"/>
        <v>1963.8333333333337</v>
      </c>
      <c r="B256">
        <v>-0.58787419489127024</v>
      </c>
      <c r="C256">
        <f t="shared" si="30"/>
        <v>-8.8697643092552205</v>
      </c>
    </row>
    <row r="257" spans="1:3" x14ac:dyDescent="0.2">
      <c r="A257">
        <v>1964</v>
      </c>
      <c r="B257">
        <v>-0.92874066155868618</v>
      </c>
      <c r="C257">
        <f t="shared" si="30"/>
        <v>-21.863594018617114</v>
      </c>
    </row>
    <row r="258" spans="1:3" x14ac:dyDescent="0.2">
      <c r="A258">
        <f>A257+1/6</f>
        <v>1964.1666666666667</v>
      </c>
      <c r="B258">
        <v>-0.50311665526016625</v>
      </c>
      <c r="C258">
        <f t="shared" ref="C258:C321" si="41">38.12*B258+13.54</f>
        <v>-5.6388068985175366</v>
      </c>
    </row>
    <row r="259" spans="1:3" x14ac:dyDescent="0.2">
      <c r="A259">
        <f t="shared" ref="A259:A262" si="42">A258+1/6</f>
        <v>1964.3333333333335</v>
      </c>
      <c r="B259">
        <v>-0.64929658112654476</v>
      </c>
      <c r="C259">
        <f t="shared" si="41"/>
        <v>-11.211185672543884</v>
      </c>
    </row>
    <row r="260" spans="1:3" x14ac:dyDescent="0.2">
      <c r="A260">
        <f t="shared" si="42"/>
        <v>1964.5000000000002</v>
      </c>
      <c r="B260">
        <v>-0.85804370711668776</v>
      </c>
      <c r="C260">
        <f t="shared" si="41"/>
        <v>-19.168626115288134</v>
      </c>
    </row>
    <row r="261" spans="1:3" x14ac:dyDescent="0.2">
      <c r="A261">
        <f t="shared" si="42"/>
        <v>1964.666666666667</v>
      </c>
      <c r="B261">
        <v>-1.1819884629372104</v>
      </c>
      <c r="C261">
        <f t="shared" si="41"/>
        <v>-31.51740020716646</v>
      </c>
    </row>
    <row r="262" spans="1:3" x14ac:dyDescent="0.2">
      <c r="A262">
        <f t="shared" si="42"/>
        <v>1964.8333333333337</v>
      </c>
      <c r="B262">
        <v>-1.0448703844332681</v>
      </c>
      <c r="C262">
        <f t="shared" si="41"/>
        <v>-26.290459054596177</v>
      </c>
    </row>
    <row r="263" spans="1:3" x14ac:dyDescent="0.2">
      <c r="A263">
        <v>1965</v>
      </c>
      <c r="B263">
        <v>-0.77624395688885128</v>
      </c>
      <c r="C263">
        <f t="shared" si="41"/>
        <v>-16.05041963660301</v>
      </c>
    </row>
    <row r="264" spans="1:3" x14ac:dyDescent="0.2">
      <c r="A264">
        <f>A263+1/6</f>
        <v>1965.1666666666667</v>
      </c>
      <c r="B264">
        <v>-0.46548233802650868</v>
      </c>
      <c r="C264">
        <f t="shared" si="41"/>
        <v>-4.2041867255705121</v>
      </c>
    </row>
    <row r="265" spans="1:3" x14ac:dyDescent="0.2">
      <c r="A265">
        <f t="shared" ref="A265:A268" si="43">A264+1/6</f>
        <v>1965.3333333333335</v>
      </c>
      <c r="B265">
        <v>-0.65441945661590606</v>
      </c>
      <c r="C265">
        <f t="shared" si="41"/>
        <v>-11.406469686198339</v>
      </c>
    </row>
    <row r="266" spans="1:3" x14ac:dyDescent="0.2">
      <c r="A266">
        <f t="shared" si="43"/>
        <v>1965.5000000000002</v>
      </c>
      <c r="B266">
        <v>-0.99654467312259842</v>
      </c>
      <c r="C266">
        <f t="shared" si="41"/>
        <v>-24.448282939433447</v>
      </c>
    </row>
    <row r="267" spans="1:3" x14ac:dyDescent="0.2">
      <c r="A267">
        <f t="shared" si="43"/>
        <v>1965.666666666667</v>
      </c>
      <c r="B267">
        <v>-1.1979806059161155</v>
      </c>
      <c r="C267">
        <f t="shared" si="41"/>
        <v>-32.127020697522326</v>
      </c>
    </row>
    <row r="268" spans="1:3" x14ac:dyDescent="0.2">
      <c r="A268">
        <f t="shared" si="43"/>
        <v>1965.8333333333337</v>
      </c>
      <c r="B268">
        <v>-1.4168771221606455</v>
      </c>
      <c r="C268">
        <f t="shared" si="41"/>
        <v>-40.471355896763804</v>
      </c>
    </row>
    <row r="269" spans="1:3" x14ac:dyDescent="0.2">
      <c r="A269">
        <v>1966</v>
      </c>
      <c r="B269">
        <v>-1.1592084442803201</v>
      </c>
      <c r="C269">
        <f t="shared" si="41"/>
        <v>-30.649025895965799</v>
      </c>
    </row>
    <row r="270" spans="1:3" x14ac:dyDescent="0.2">
      <c r="A270">
        <f>A269+1/6</f>
        <v>1966.1666666666667</v>
      </c>
      <c r="B270">
        <v>-1.08024941628646</v>
      </c>
      <c r="C270">
        <f t="shared" si="41"/>
        <v>-27.639107748839855</v>
      </c>
    </row>
    <row r="271" spans="1:3" x14ac:dyDescent="0.2">
      <c r="A271">
        <f t="shared" ref="A271:A274" si="44">A270+1/6</f>
        <v>1966.3333333333335</v>
      </c>
      <c r="B271">
        <v>-1.053710319309997</v>
      </c>
      <c r="C271">
        <f t="shared" si="41"/>
        <v>-26.627437372097084</v>
      </c>
    </row>
    <row r="272" spans="1:3" x14ac:dyDescent="0.2">
      <c r="A272">
        <f t="shared" si="44"/>
        <v>1966.5000000000002</v>
      </c>
      <c r="B272">
        <v>-0.94561984843813129</v>
      </c>
      <c r="C272">
        <f t="shared" si="41"/>
        <v>-22.507028622461561</v>
      </c>
    </row>
    <row r="273" spans="1:3" x14ac:dyDescent="0.2">
      <c r="A273">
        <f t="shared" si="44"/>
        <v>1966.666666666667</v>
      </c>
      <c r="B273">
        <v>-1.2330182339451417</v>
      </c>
      <c r="C273">
        <f t="shared" si="41"/>
        <v>-33.462655077988799</v>
      </c>
    </row>
    <row r="274" spans="1:3" x14ac:dyDescent="0.2">
      <c r="A274">
        <f t="shared" si="44"/>
        <v>1966.8333333333337</v>
      </c>
      <c r="B274">
        <v>-1.2415859548259749</v>
      </c>
      <c r="C274">
        <f t="shared" si="41"/>
        <v>-33.789256597966158</v>
      </c>
    </row>
    <row r="275" spans="1:3" x14ac:dyDescent="0.2">
      <c r="A275">
        <v>1967</v>
      </c>
      <c r="B275">
        <v>-1.0357897497597979</v>
      </c>
      <c r="C275">
        <f t="shared" si="41"/>
        <v>-25.944305260843493</v>
      </c>
    </row>
    <row r="276" spans="1:3" x14ac:dyDescent="0.2">
      <c r="A276">
        <f>A275+1/5</f>
        <v>1967.2</v>
      </c>
      <c r="B276">
        <v>-1.5406627752886215</v>
      </c>
      <c r="C276">
        <f t="shared" si="41"/>
        <v>-45.190064994002249</v>
      </c>
    </row>
    <row r="277" spans="1:3" x14ac:dyDescent="0.2">
      <c r="A277">
        <f t="shared" ref="A277:A279" si="45">A276+1/5</f>
        <v>1967.4</v>
      </c>
      <c r="B277">
        <v>-1.5438083367951811</v>
      </c>
      <c r="C277">
        <f t="shared" si="41"/>
        <v>-45.309973798632299</v>
      </c>
    </row>
    <row r="278" spans="1:3" x14ac:dyDescent="0.2">
      <c r="A278">
        <f t="shared" si="45"/>
        <v>1967.6000000000001</v>
      </c>
      <c r="B278">
        <v>-1.544710430745958</v>
      </c>
      <c r="C278">
        <f t="shared" si="41"/>
        <v>-45.344361620035919</v>
      </c>
    </row>
    <row r="279" spans="1:3" x14ac:dyDescent="0.2">
      <c r="A279">
        <f t="shared" si="45"/>
        <v>1967.8000000000002</v>
      </c>
      <c r="B279">
        <v>-1.289113811459992</v>
      </c>
      <c r="C279">
        <f t="shared" si="41"/>
        <v>-35.601018492854891</v>
      </c>
    </row>
    <row r="280" spans="1:3" x14ac:dyDescent="0.2">
      <c r="A280">
        <v>1968</v>
      </c>
      <c r="B280">
        <v>-1.4597968352248132</v>
      </c>
      <c r="C280">
        <f t="shared" si="41"/>
        <v>-42.107455358769876</v>
      </c>
    </row>
    <row r="281" spans="1:3" x14ac:dyDescent="0.2">
      <c r="A281">
        <f>A280+1/6</f>
        <v>1968.1666666666667</v>
      </c>
      <c r="B281">
        <v>-1.3743308321550405</v>
      </c>
      <c r="C281">
        <f t="shared" si="41"/>
        <v>-38.849491321750143</v>
      </c>
    </row>
    <row r="282" spans="1:3" x14ac:dyDescent="0.2">
      <c r="A282">
        <f>A281+1/6</f>
        <v>1968.3333333333335</v>
      </c>
      <c r="B282">
        <v>-0.95851955961802449</v>
      </c>
      <c r="C282">
        <f t="shared" si="41"/>
        <v>-22.99876561263909</v>
      </c>
    </row>
    <row r="283" spans="1:3" x14ac:dyDescent="0.2">
      <c r="A283">
        <f t="shared" ref="A283:A285" si="46">A282+1/6</f>
        <v>1968.5000000000002</v>
      </c>
      <c r="B283">
        <v>-0.60076858441384307</v>
      </c>
      <c r="C283">
        <f t="shared" si="41"/>
        <v>-9.361298437855698</v>
      </c>
    </row>
    <row r="284" spans="1:3" x14ac:dyDescent="0.2">
      <c r="A284">
        <f t="shared" si="46"/>
        <v>1968.666666666667</v>
      </c>
      <c r="B284">
        <v>-0.95896268888597613</v>
      </c>
      <c r="C284">
        <f t="shared" si="41"/>
        <v>-23.015657700333406</v>
      </c>
    </row>
    <row r="285" spans="1:3" x14ac:dyDescent="0.2">
      <c r="A285">
        <f t="shared" si="46"/>
        <v>1968.8333333333337</v>
      </c>
      <c r="B285">
        <v>-1.2895429614218381</v>
      </c>
      <c r="C285">
        <f t="shared" si="41"/>
        <v>-35.617377689400463</v>
      </c>
    </row>
    <row r="286" spans="1:3" x14ac:dyDescent="0.2">
      <c r="A286">
        <v>1969</v>
      </c>
      <c r="B286">
        <v>-1.551739823220522</v>
      </c>
      <c r="C286">
        <f t="shared" si="41"/>
        <v>-45.612322061166296</v>
      </c>
    </row>
    <row r="287" spans="1:3" x14ac:dyDescent="0.2">
      <c r="A287">
        <f>A286+1/7</f>
        <v>1969.1428571428571</v>
      </c>
      <c r="B287">
        <v>-1.4926186638087025</v>
      </c>
      <c r="C287">
        <f t="shared" si="41"/>
        <v>-43.358623464387733</v>
      </c>
    </row>
    <row r="288" spans="1:3" x14ac:dyDescent="0.2">
      <c r="A288">
        <f t="shared" ref="A288:A292" si="47">A287+1/7</f>
        <v>1969.2857142857142</v>
      </c>
      <c r="B288">
        <v>-1.7071879279582396</v>
      </c>
      <c r="C288">
        <f t="shared" si="41"/>
        <v>-51.538003813768093</v>
      </c>
    </row>
    <row r="289" spans="1:3" x14ac:dyDescent="0.2">
      <c r="A289">
        <f t="shared" si="47"/>
        <v>1969.4285714285713</v>
      </c>
      <c r="B289">
        <v>-1.7535483471967561</v>
      </c>
      <c r="C289">
        <f t="shared" si="41"/>
        <v>-53.305262995140346</v>
      </c>
    </row>
    <row r="290" spans="1:3" x14ac:dyDescent="0.2">
      <c r="A290">
        <f t="shared" si="47"/>
        <v>1969.5714285714284</v>
      </c>
      <c r="B290">
        <v>-1.6650734423916511</v>
      </c>
      <c r="C290">
        <f t="shared" si="41"/>
        <v>-49.932599623969736</v>
      </c>
    </row>
    <row r="291" spans="1:3" x14ac:dyDescent="0.2">
      <c r="A291">
        <f t="shared" si="47"/>
        <v>1969.7142857142856</v>
      </c>
      <c r="B291">
        <v>-1.61039866058865</v>
      </c>
      <c r="C291">
        <f t="shared" si="41"/>
        <v>-47.848396941639336</v>
      </c>
    </row>
    <row r="292" spans="1:3" x14ac:dyDescent="0.2">
      <c r="A292">
        <f t="shared" si="47"/>
        <v>1969.8571428571427</v>
      </c>
      <c r="B292">
        <v>-1.0649657832994597</v>
      </c>
      <c r="C292">
        <f t="shared" si="41"/>
        <v>-27.0564956593754</v>
      </c>
    </row>
    <row r="293" spans="1:3" x14ac:dyDescent="0.2">
      <c r="A293">
        <v>1970</v>
      </c>
      <c r="B293">
        <v>-0.62213889195897742</v>
      </c>
      <c r="C293">
        <f t="shared" si="41"/>
        <v>-10.175934561476218</v>
      </c>
    </row>
    <row r="294" spans="1:3" x14ac:dyDescent="0.2">
      <c r="A294">
        <f>A293+1/9</f>
        <v>1970.1111111111111</v>
      </c>
      <c r="B294">
        <v>-0.71821045139246475</v>
      </c>
      <c r="C294">
        <f t="shared" si="41"/>
        <v>-13.838182407080755</v>
      </c>
    </row>
    <row r="295" spans="1:3" x14ac:dyDescent="0.2">
      <c r="A295">
        <f t="shared" ref="A295:A301" si="48">A294+1/9</f>
        <v>1970.2222222222222</v>
      </c>
      <c r="B295">
        <v>-0.91757619695985992</v>
      </c>
      <c r="C295">
        <f t="shared" si="41"/>
        <v>-21.438004628109859</v>
      </c>
    </row>
    <row r="296" spans="1:3" x14ac:dyDescent="0.2">
      <c r="A296">
        <f t="shared" si="48"/>
        <v>1970.3333333333333</v>
      </c>
      <c r="B296">
        <v>-1.1440767763397299</v>
      </c>
      <c r="C296">
        <f t="shared" si="41"/>
        <v>-30.072206714070504</v>
      </c>
    </row>
    <row r="297" spans="1:3" x14ac:dyDescent="0.2">
      <c r="A297">
        <f t="shared" si="48"/>
        <v>1970.4444444444443</v>
      </c>
      <c r="B297">
        <v>-1.046744428871347</v>
      </c>
      <c r="C297">
        <f t="shared" si="41"/>
        <v>-26.361897628575747</v>
      </c>
    </row>
    <row r="298" spans="1:3" x14ac:dyDescent="0.2">
      <c r="A298">
        <f t="shared" si="48"/>
        <v>1970.5555555555554</v>
      </c>
      <c r="B298">
        <v>-1.6465320854431813</v>
      </c>
      <c r="C298">
        <f t="shared" si="41"/>
        <v>-49.225803097094065</v>
      </c>
    </row>
    <row r="299" spans="1:3" x14ac:dyDescent="0.2">
      <c r="A299">
        <f t="shared" si="48"/>
        <v>1970.6666666666665</v>
      </c>
      <c r="B299">
        <v>-1.7725427588711198</v>
      </c>
      <c r="C299">
        <f t="shared" si="41"/>
        <v>-54.029329968167083</v>
      </c>
    </row>
    <row r="300" spans="1:3" x14ac:dyDescent="0.2">
      <c r="A300">
        <f t="shared" si="48"/>
        <v>1970.7777777777776</v>
      </c>
      <c r="B300">
        <v>-1.5202169908094263</v>
      </c>
      <c r="C300">
        <f t="shared" si="41"/>
        <v>-44.410671689655324</v>
      </c>
    </row>
    <row r="301" spans="1:3" x14ac:dyDescent="0.2">
      <c r="A301">
        <f t="shared" si="48"/>
        <v>1970.8888888888887</v>
      </c>
      <c r="B301">
        <v>-1.2006987896459906</v>
      </c>
      <c r="C301">
        <f t="shared" si="41"/>
        <v>-32.230637861305162</v>
      </c>
    </row>
    <row r="302" spans="1:3" x14ac:dyDescent="0.2">
      <c r="A302">
        <v>1971</v>
      </c>
      <c r="B302">
        <v>-1.1468374695764547</v>
      </c>
      <c r="C302">
        <f t="shared" si="41"/>
        <v>-30.177444340254453</v>
      </c>
    </row>
    <row r="303" spans="1:3" x14ac:dyDescent="0.2">
      <c r="A303">
        <f>A302+1/8</f>
        <v>1971.125</v>
      </c>
      <c r="B303">
        <v>-1.2391285489204129</v>
      </c>
      <c r="C303">
        <f t="shared" si="41"/>
        <v>-33.695580284846137</v>
      </c>
    </row>
    <row r="304" spans="1:3" x14ac:dyDescent="0.2">
      <c r="A304">
        <f t="shared" ref="A304:A309" si="49">A303+1/8</f>
        <v>1971.25</v>
      </c>
      <c r="B304">
        <v>-1.3399865761581942</v>
      </c>
      <c r="C304">
        <f t="shared" si="41"/>
        <v>-37.54028828315036</v>
      </c>
    </row>
    <row r="305" spans="1:3" x14ac:dyDescent="0.2">
      <c r="A305">
        <f t="shared" si="49"/>
        <v>1971.375</v>
      </c>
      <c r="B305">
        <v>-1.5258572070073799</v>
      </c>
      <c r="C305">
        <f t="shared" si="41"/>
        <v>-44.625676731121317</v>
      </c>
    </row>
    <row r="306" spans="1:3" x14ac:dyDescent="0.2">
      <c r="A306">
        <f t="shared" si="49"/>
        <v>1971.5</v>
      </c>
      <c r="B306">
        <v>-1.4527199375640705</v>
      </c>
      <c r="C306">
        <f t="shared" si="41"/>
        <v>-41.837684019942365</v>
      </c>
    </row>
    <row r="307" spans="1:3" x14ac:dyDescent="0.2">
      <c r="A307">
        <f t="shared" si="49"/>
        <v>1971.625</v>
      </c>
      <c r="B307">
        <v>-1.4964185706650182</v>
      </c>
      <c r="C307">
        <f t="shared" si="41"/>
        <v>-43.503475913750492</v>
      </c>
    </row>
    <row r="308" spans="1:3" x14ac:dyDescent="0.2">
      <c r="A308">
        <f t="shared" si="49"/>
        <v>1971.75</v>
      </c>
      <c r="B308">
        <v>-1.65437082683235</v>
      </c>
      <c r="C308">
        <f t="shared" si="41"/>
        <v>-49.524615918849179</v>
      </c>
    </row>
    <row r="309" spans="1:3" ht="18" x14ac:dyDescent="0.2">
      <c r="A309">
        <f t="shared" si="49"/>
        <v>1971.875</v>
      </c>
      <c r="B309" s="1">
        <v>-1.7226926609634456</v>
      </c>
      <c r="C309">
        <f t="shared" si="41"/>
        <v>-52.12904423592655</v>
      </c>
    </row>
    <row r="310" spans="1:3" ht="18" x14ac:dyDescent="0.2">
      <c r="A310">
        <v>1972</v>
      </c>
      <c r="B310" s="1">
        <v>-1.4603180397887459</v>
      </c>
      <c r="C310">
        <f t="shared" si="41"/>
        <v>-42.12732367674699</v>
      </c>
    </row>
    <row r="311" spans="1:3" ht="18" x14ac:dyDescent="0.2">
      <c r="A311">
        <f>A310+1/9</f>
        <v>1972.1111111111111</v>
      </c>
      <c r="B311" s="1">
        <v>-2.1824775472710525</v>
      </c>
      <c r="C311">
        <f t="shared" si="41"/>
        <v>-69.656044101972526</v>
      </c>
    </row>
    <row r="312" spans="1:3" ht="18" x14ac:dyDescent="0.2">
      <c r="A312">
        <f t="shared" ref="A312:A318" si="50">A311+1/9</f>
        <v>1972.2222222222222</v>
      </c>
      <c r="B312" s="1">
        <v>-1.87461559512505</v>
      </c>
      <c r="C312">
        <f t="shared" si="41"/>
        <v>-57.920346486166899</v>
      </c>
    </row>
    <row r="313" spans="1:3" ht="18" x14ac:dyDescent="0.2">
      <c r="A313">
        <f t="shared" si="50"/>
        <v>1972.3333333333333</v>
      </c>
      <c r="B313" s="1">
        <v>-1.8190315977912199</v>
      </c>
      <c r="C313">
        <f t="shared" si="41"/>
        <v>-55.801484507801298</v>
      </c>
    </row>
    <row r="314" spans="1:3" ht="18" x14ac:dyDescent="0.2">
      <c r="A314">
        <f t="shared" si="50"/>
        <v>1972.4444444444443</v>
      </c>
      <c r="B314" s="1">
        <v>-1.6450145632886155</v>
      </c>
      <c r="C314">
        <f t="shared" si="41"/>
        <v>-49.167955152562023</v>
      </c>
    </row>
    <row r="315" spans="1:3" ht="18" x14ac:dyDescent="0.2">
      <c r="A315">
        <f t="shared" si="50"/>
        <v>1972.5555555555554</v>
      </c>
      <c r="B315" s="1">
        <v>-1.6790330792909272</v>
      </c>
      <c r="C315">
        <f t="shared" si="41"/>
        <v>-50.464740982570142</v>
      </c>
    </row>
    <row r="316" spans="1:3" ht="18" x14ac:dyDescent="0.2">
      <c r="A316">
        <f t="shared" si="50"/>
        <v>1972.6666666666665</v>
      </c>
      <c r="B316" s="1">
        <v>-1.729534029191246</v>
      </c>
      <c r="C316">
        <f t="shared" si="41"/>
        <v>-52.389837192770294</v>
      </c>
    </row>
    <row r="317" spans="1:3" ht="18" x14ac:dyDescent="0.2">
      <c r="A317">
        <f t="shared" si="50"/>
        <v>1972.7777777777776</v>
      </c>
      <c r="B317" s="1">
        <v>-1.6349392575844206</v>
      </c>
      <c r="C317">
        <f t="shared" si="41"/>
        <v>-48.783884499118109</v>
      </c>
    </row>
    <row r="318" spans="1:3" ht="18" x14ac:dyDescent="0.2">
      <c r="A318">
        <f t="shared" si="50"/>
        <v>1972.8888888888887</v>
      </c>
      <c r="B318" s="1">
        <v>-1.5624138649845767</v>
      </c>
      <c r="C318">
        <f t="shared" si="41"/>
        <v>-46.01921653321206</v>
      </c>
    </row>
    <row r="319" spans="1:3" ht="18" x14ac:dyDescent="0.2">
      <c r="A319">
        <v>1973</v>
      </c>
      <c r="B319" s="1">
        <v>-1.5305739833741807</v>
      </c>
      <c r="C319">
        <f t="shared" si="41"/>
        <v>-44.805480246223766</v>
      </c>
    </row>
    <row r="320" spans="1:3" ht="18" x14ac:dyDescent="0.2">
      <c r="A320">
        <f>A319+1/8</f>
        <v>1973.125</v>
      </c>
      <c r="B320" s="1">
        <v>-1.8384614715634577</v>
      </c>
      <c r="C320">
        <f t="shared" si="41"/>
        <v>-56.542151295998998</v>
      </c>
    </row>
    <row r="321" spans="1:3" ht="18" x14ac:dyDescent="0.2">
      <c r="A321">
        <f t="shared" ref="A321:A326" si="51">A320+1/8</f>
        <v>1973.25</v>
      </c>
      <c r="B321" s="1">
        <v>-2.0359848030654413</v>
      </c>
      <c r="C321">
        <f t="shared" si="41"/>
        <v>-64.071740692854604</v>
      </c>
    </row>
    <row r="322" spans="1:3" ht="18" x14ac:dyDescent="0.2">
      <c r="A322">
        <f t="shared" si="51"/>
        <v>1973.375</v>
      </c>
      <c r="B322" s="1">
        <v>-1.7951278754324029</v>
      </c>
      <c r="C322">
        <f t="shared" ref="C322:C385" si="52">38.12*B322+13.54</f>
        <v>-54.8902746114832</v>
      </c>
    </row>
    <row r="323" spans="1:3" ht="18" x14ac:dyDescent="0.2">
      <c r="A323">
        <f t="shared" si="51"/>
        <v>1973.5</v>
      </c>
      <c r="B323" s="1">
        <v>-1.71567335514198</v>
      </c>
      <c r="C323">
        <f t="shared" si="52"/>
        <v>-51.861468298012277</v>
      </c>
    </row>
    <row r="324" spans="1:3" ht="18" x14ac:dyDescent="0.2">
      <c r="A324">
        <f t="shared" si="51"/>
        <v>1973.625</v>
      </c>
      <c r="B324" s="1">
        <v>-1.7283212071638578</v>
      </c>
      <c r="C324">
        <f t="shared" si="52"/>
        <v>-52.343604417086262</v>
      </c>
    </row>
    <row r="325" spans="1:3" ht="18" x14ac:dyDescent="0.2">
      <c r="A325">
        <f t="shared" si="51"/>
        <v>1973.75</v>
      </c>
      <c r="B325" s="1">
        <v>-1.4144082820676802</v>
      </c>
      <c r="C325">
        <f t="shared" si="52"/>
        <v>-40.377243712419968</v>
      </c>
    </row>
    <row r="326" spans="1:3" ht="18" x14ac:dyDescent="0.2">
      <c r="A326">
        <f t="shared" si="51"/>
        <v>1973.875</v>
      </c>
      <c r="B326" s="1">
        <v>-1.2420875740768389</v>
      </c>
      <c r="C326">
        <f t="shared" si="52"/>
        <v>-33.808378323809094</v>
      </c>
    </row>
    <row r="327" spans="1:3" ht="18" x14ac:dyDescent="0.2">
      <c r="A327">
        <v>1974</v>
      </c>
      <c r="B327" s="1">
        <v>-1.1182915350061111</v>
      </c>
      <c r="C327">
        <f t="shared" si="52"/>
        <v>-29.089273314432951</v>
      </c>
    </row>
    <row r="328" spans="1:3" ht="18" x14ac:dyDescent="0.2">
      <c r="A328">
        <f>A327+1/7</f>
        <v>1974.1428571428571</v>
      </c>
      <c r="B328" s="1">
        <v>-1.0707595129366783</v>
      </c>
      <c r="C328">
        <f t="shared" si="52"/>
        <v>-27.277352633146172</v>
      </c>
    </row>
    <row r="329" spans="1:3" ht="18" x14ac:dyDescent="0.2">
      <c r="A329">
        <f t="shared" ref="A329:A333" si="53">A328+1/7</f>
        <v>1974.2857142857142</v>
      </c>
      <c r="B329" s="1">
        <v>-1.2264384604504379</v>
      </c>
      <c r="C329">
        <f t="shared" si="52"/>
        <v>-33.211834112370688</v>
      </c>
    </row>
    <row r="330" spans="1:3" ht="18" x14ac:dyDescent="0.2">
      <c r="A330">
        <f t="shared" si="53"/>
        <v>1974.4285714285713</v>
      </c>
      <c r="B330" s="1">
        <v>-1.0304478771172076</v>
      </c>
      <c r="C330">
        <f t="shared" si="52"/>
        <v>-25.740673075707953</v>
      </c>
    </row>
    <row r="331" spans="1:3" ht="18" x14ac:dyDescent="0.2">
      <c r="A331">
        <f t="shared" si="53"/>
        <v>1974.5714285714284</v>
      </c>
      <c r="B331" s="1">
        <v>-1.0488818706614014</v>
      </c>
      <c r="C331">
        <f t="shared" si="52"/>
        <v>-26.443376909612617</v>
      </c>
    </row>
    <row r="332" spans="1:3" ht="18" x14ac:dyDescent="0.2">
      <c r="A332">
        <f t="shared" si="53"/>
        <v>1974.7142857142856</v>
      </c>
      <c r="B332" s="1">
        <v>-1.0708517278407064</v>
      </c>
      <c r="C332">
        <f t="shared" si="52"/>
        <v>-27.280867865287725</v>
      </c>
    </row>
    <row r="333" spans="1:3" ht="18" x14ac:dyDescent="0.2">
      <c r="A333">
        <f t="shared" si="53"/>
        <v>1974.8571428571427</v>
      </c>
      <c r="B333" s="1">
        <v>-1.4335149454018621</v>
      </c>
      <c r="C333">
        <f t="shared" si="52"/>
        <v>-41.105589718718981</v>
      </c>
    </row>
    <row r="334" spans="1:3" ht="18" x14ac:dyDescent="0.2">
      <c r="A334">
        <v>1975</v>
      </c>
      <c r="B334" s="1">
        <v>-1.5323267539616563</v>
      </c>
      <c r="C334">
        <f t="shared" si="52"/>
        <v>-44.872295861018337</v>
      </c>
    </row>
    <row r="335" spans="1:3" ht="18" x14ac:dyDescent="0.2">
      <c r="A335">
        <f>A334+1/8</f>
        <v>1975.125</v>
      </c>
      <c r="B335" s="1">
        <v>-1.7249985427574419</v>
      </c>
      <c r="C335">
        <f t="shared" si="52"/>
        <v>-52.216944449913676</v>
      </c>
    </row>
    <row r="336" spans="1:3" ht="18" x14ac:dyDescent="0.2">
      <c r="A336">
        <f t="shared" ref="A336:A341" si="54">A335+1/8</f>
        <v>1975.25</v>
      </c>
      <c r="B336" s="1">
        <v>-1.7051156397189744</v>
      </c>
      <c r="C336">
        <f t="shared" si="52"/>
        <v>-51.459008186087296</v>
      </c>
    </row>
    <row r="337" spans="1:3" ht="18" x14ac:dyDescent="0.2">
      <c r="A337">
        <f t="shared" si="54"/>
        <v>1975.375</v>
      </c>
      <c r="B337" s="1">
        <v>-1.9748542905695143</v>
      </c>
      <c r="C337">
        <f t="shared" si="52"/>
        <v>-61.741445556509881</v>
      </c>
    </row>
    <row r="338" spans="1:3" ht="18" x14ac:dyDescent="0.2">
      <c r="A338">
        <f t="shared" si="54"/>
        <v>1975.5</v>
      </c>
      <c r="B338" s="1">
        <v>-2.0238023791662973</v>
      </c>
      <c r="C338">
        <f t="shared" si="52"/>
        <v>-63.607346693819245</v>
      </c>
    </row>
    <row r="339" spans="1:3" ht="18" x14ac:dyDescent="0.2">
      <c r="A339">
        <f t="shared" si="54"/>
        <v>1975.625</v>
      </c>
      <c r="B339" s="1">
        <v>-1.4316215356288939</v>
      </c>
      <c r="C339">
        <f t="shared" si="52"/>
        <v>-41.033412938173434</v>
      </c>
    </row>
    <row r="340" spans="1:3" ht="18" x14ac:dyDescent="0.2">
      <c r="A340">
        <f t="shared" si="54"/>
        <v>1975.75</v>
      </c>
      <c r="B340" s="1">
        <v>-1.4150704370163196</v>
      </c>
      <c r="C340">
        <f t="shared" si="52"/>
        <v>-40.402485059062101</v>
      </c>
    </row>
    <row r="341" spans="1:3" ht="18" x14ac:dyDescent="0.2">
      <c r="A341">
        <f t="shared" si="54"/>
        <v>1975.875</v>
      </c>
      <c r="B341" s="1">
        <v>-1.4312684864642991</v>
      </c>
      <c r="C341">
        <f t="shared" si="52"/>
        <v>-41.019954704019078</v>
      </c>
    </row>
    <row r="342" spans="1:3" ht="18" x14ac:dyDescent="0.2">
      <c r="A342">
        <v>1976</v>
      </c>
      <c r="B342" s="1">
        <v>-1.4807789281257373</v>
      </c>
      <c r="C342">
        <f t="shared" si="52"/>
        <v>-42.907292740153103</v>
      </c>
    </row>
    <row r="343" spans="1:3" ht="18" x14ac:dyDescent="0.2">
      <c r="A343">
        <f>A342+1/8</f>
        <v>1976.125</v>
      </c>
      <c r="B343" s="1">
        <v>-1.5100607499674263</v>
      </c>
      <c r="C343">
        <f t="shared" si="52"/>
        <v>-44.023515788758289</v>
      </c>
    </row>
    <row r="344" spans="1:3" ht="18" x14ac:dyDescent="0.2">
      <c r="A344">
        <f t="shared" ref="A344:A349" si="55">A343+1/8</f>
        <v>1976.25</v>
      </c>
      <c r="B344" s="1">
        <v>-1.7180932453126294</v>
      </c>
      <c r="C344">
        <f t="shared" si="52"/>
        <v>-51.953714511317436</v>
      </c>
    </row>
    <row r="345" spans="1:3" ht="18" x14ac:dyDescent="0.2">
      <c r="A345">
        <f t="shared" si="55"/>
        <v>1976.375</v>
      </c>
      <c r="B345" s="1">
        <v>-1.9288654042118605</v>
      </c>
      <c r="C345">
        <f t="shared" si="52"/>
        <v>-59.988349208556123</v>
      </c>
    </row>
    <row r="346" spans="1:3" ht="18" x14ac:dyDescent="0.2">
      <c r="A346">
        <f t="shared" si="55"/>
        <v>1976.5</v>
      </c>
      <c r="B346" s="1">
        <v>-2.384266034491497</v>
      </c>
      <c r="C346">
        <f t="shared" si="52"/>
        <v>-77.348221234815867</v>
      </c>
    </row>
    <row r="347" spans="1:3" ht="18" x14ac:dyDescent="0.2">
      <c r="A347">
        <f t="shared" si="55"/>
        <v>1976.625</v>
      </c>
      <c r="B347" s="1">
        <v>-2.2495827301033016</v>
      </c>
      <c r="C347">
        <f t="shared" si="52"/>
        <v>-72.214093671537853</v>
      </c>
    </row>
    <row r="348" spans="1:3" ht="18" x14ac:dyDescent="0.2">
      <c r="A348">
        <f t="shared" si="55"/>
        <v>1976.75</v>
      </c>
      <c r="B348" s="1">
        <v>-1.800783739852589</v>
      </c>
      <c r="C348">
        <f t="shared" si="52"/>
        <v>-55.105876163180689</v>
      </c>
    </row>
    <row r="349" spans="1:3" ht="18" x14ac:dyDescent="0.2">
      <c r="A349">
        <f t="shared" si="55"/>
        <v>1976.875</v>
      </c>
      <c r="B349" s="1">
        <v>-1.5137262542130598</v>
      </c>
      <c r="C349">
        <f t="shared" si="52"/>
        <v>-44.163244810601839</v>
      </c>
    </row>
    <row r="350" spans="1:3" ht="18" x14ac:dyDescent="0.2">
      <c r="A350">
        <v>1977</v>
      </c>
      <c r="B350" s="1">
        <v>-1.355486624585172</v>
      </c>
      <c r="C350">
        <f t="shared" si="52"/>
        <v>-38.131150129186757</v>
      </c>
    </row>
    <row r="351" spans="1:3" ht="18" x14ac:dyDescent="0.2">
      <c r="A351">
        <f>A350+1/8</f>
        <v>1977.125</v>
      </c>
      <c r="B351" s="1">
        <v>-1.8347002644397894</v>
      </c>
      <c r="C351">
        <f t="shared" si="52"/>
        <v>-56.398774080444774</v>
      </c>
    </row>
    <row r="352" spans="1:3" ht="18" x14ac:dyDescent="0.2">
      <c r="A352">
        <f t="shared" ref="A352:A357" si="56">A351+1/8</f>
        <v>1977.25</v>
      </c>
      <c r="B352" s="1">
        <v>-1.4709848753328629</v>
      </c>
      <c r="C352">
        <f t="shared" si="52"/>
        <v>-42.533943447688735</v>
      </c>
    </row>
    <row r="353" spans="1:3" ht="18" x14ac:dyDescent="0.2">
      <c r="A353">
        <f t="shared" si="56"/>
        <v>1977.375</v>
      </c>
      <c r="B353" s="1">
        <v>-0.96006048528508647</v>
      </c>
      <c r="C353">
        <f t="shared" si="52"/>
        <v>-23.057505699067498</v>
      </c>
    </row>
    <row r="354" spans="1:3" ht="18" x14ac:dyDescent="0.2">
      <c r="A354">
        <f t="shared" si="56"/>
        <v>1977.5</v>
      </c>
      <c r="B354" s="1">
        <v>-1.4136370069979294</v>
      </c>
      <c r="C354">
        <f t="shared" si="52"/>
        <v>-40.347842706761064</v>
      </c>
    </row>
    <row r="355" spans="1:3" ht="18" x14ac:dyDescent="0.2">
      <c r="A355">
        <f t="shared" si="56"/>
        <v>1977.625</v>
      </c>
      <c r="B355" s="1">
        <v>-1.8203182019256974</v>
      </c>
      <c r="C355">
        <f t="shared" si="52"/>
        <v>-55.850529857407587</v>
      </c>
    </row>
    <row r="356" spans="1:3" ht="18" x14ac:dyDescent="0.2">
      <c r="A356">
        <f t="shared" si="56"/>
        <v>1977.75</v>
      </c>
      <c r="B356" s="1">
        <v>-1.3154459305129877</v>
      </c>
      <c r="C356">
        <f t="shared" si="52"/>
        <v>-36.60479887115509</v>
      </c>
    </row>
    <row r="357" spans="1:3" ht="18" x14ac:dyDescent="0.2">
      <c r="A357">
        <f t="shared" si="56"/>
        <v>1977.875</v>
      </c>
      <c r="B357" s="1">
        <v>-1.4420506797472759</v>
      </c>
      <c r="C357">
        <f t="shared" si="52"/>
        <v>-41.430971911966154</v>
      </c>
    </row>
    <row r="358" spans="1:3" ht="18" x14ac:dyDescent="0.2">
      <c r="A358">
        <v>1978</v>
      </c>
      <c r="B358" s="1">
        <v>-1.5411904851620117</v>
      </c>
      <c r="C358">
        <f t="shared" si="52"/>
        <v>-45.210181294375886</v>
      </c>
    </row>
    <row r="359" spans="1:3" ht="18" x14ac:dyDescent="0.2">
      <c r="A359">
        <f>A358+1/8</f>
        <v>1978.125</v>
      </c>
      <c r="B359" s="1">
        <v>-1.4324807483790736</v>
      </c>
      <c r="C359">
        <f t="shared" si="52"/>
        <v>-41.066166128210284</v>
      </c>
    </row>
    <row r="360" spans="1:3" ht="18" x14ac:dyDescent="0.2">
      <c r="A360">
        <f t="shared" ref="A360:A365" si="57">A359+1/8</f>
        <v>1978.25</v>
      </c>
      <c r="B360" s="1">
        <v>-1.5915266601150995</v>
      </c>
      <c r="C360">
        <f t="shared" si="52"/>
        <v>-47.12899628358759</v>
      </c>
    </row>
    <row r="361" spans="1:3" ht="18" x14ac:dyDescent="0.2">
      <c r="A361">
        <f t="shared" si="57"/>
        <v>1978.375</v>
      </c>
      <c r="B361" s="1">
        <v>-1.689712262772221</v>
      </c>
      <c r="C361">
        <f t="shared" si="52"/>
        <v>-50.871831456877054</v>
      </c>
    </row>
    <row r="362" spans="1:3" ht="18" x14ac:dyDescent="0.2">
      <c r="A362">
        <f t="shared" si="57"/>
        <v>1978.5</v>
      </c>
      <c r="B362" s="1">
        <v>-1.9803414337945058</v>
      </c>
      <c r="C362">
        <f t="shared" si="52"/>
        <v>-61.95061545624656</v>
      </c>
    </row>
    <row r="363" spans="1:3" ht="18" x14ac:dyDescent="0.2">
      <c r="A363">
        <f t="shared" si="57"/>
        <v>1978.625</v>
      </c>
      <c r="B363" s="1">
        <v>-1.6382066236000159</v>
      </c>
      <c r="C363">
        <f t="shared" si="52"/>
        <v>-48.9084364916326</v>
      </c>
    </row>
    <row r="364" spans="1:3" ht="18" x14ac:dyDescent="0.2">
      <c r="A364">
        <f t="shared" si="57"/>
        <v>1978.75</v>
      </c>
      <c r="B364" s="1">
        <v>-1.6680974406113243</v>
      </c>
      <c r="C364">
        <f t="shared" si="52"/>
        <v>-50.047874436103676</v>
      </c>
    </row>
    <row r="365" spans="1:3" ht="18" x14ac:dyDescent="0.2">
      <c r="A365">
        <f t="shared" si="57"/>
        <v>1978.875</v>
      </c>
      <c r="B365" s="1">
        <v>-1.4369191061936435</v>
      </c>
      <c r="C365">
        <f t="shared" si="52"/>
        <v>-41.235356328101687</v>
      </c>
    </row>
    <row r="366" spans="1:3" ht="18" x14ac:dyDescent="0.2">
      <c r="A366">
        <v>1979</v>
      </c>
      <c r="B366" s="1">
        <v>-1.1693557035996704</v>
      </c>
      <c r="C366">
        <f t="shared" si="52"/>
        <v>-31.035839421219436</v>
      </c>
    </row>
    <row r="367" spans="1:3" ht="18" x14ac:dyDescent="0.2">
      <c r="A367">
        <f>A366+1/6</f>
        <v>1979.1666666666667</v>
      </c>
      <c r="B367" s="1">
        <v>-0.96386199505731307</v>
      </c>
      <c r="C367">
        <f t="shared" si="52"/>
        <v>-23.202419251584772</v>
      </c>
    </row>
    <row r="368" spans="1:3" ht="18" x14ac:dyDescent="0.2">
      <c r="A368">
        <f t="shared" ref="A368:A371" si="58">A367+1/6</f>
        <v>1979.3333333333335</v>
      </c>
      <c r="B368" s="1">
        <v>-1.2875649248597441</v>
      </c>
      <c r="C368">
        <f t="shared" si="52"/>
        <v>-35.541974935653442</v>
      </c>
    </row>
    <row r="369" spans="1:3" ht="18" x14ac:dyDescent="0.2">
      <c r="A369">
        <f t="shared" si="58"/>
        <v>1979.5000000000002</v>
      </c>
      <c r="B369" s="1">
        <v>-1.5289684460252462</v>
      </c>
      <c r="C369">
        <f t="shared" si="52"/>
        <v>-44.744277162482383</v>
      </c>
    </row>
    <row r="370" spans="1:3" ht="18" x14ac:dyDescent="0.2">
      <c r="A370">
        <f t="shared" si="58"/>
        <v>1979.666666666667</v>
      </c>
      <c r="B370" s="1">
        <v>-1.5465568731993149</v>
      </c>
      <c r="C370">
        <f t="shared" si="52"/>
        <v>-45.414748006357883</v>
      </c>
    </row>
    <row r="371" spans="1:3" ht="18" x14ac:dyDescent="0.2">
      <c r="A371">
        <f t="shared" si="58"/>
        <v>1979.8333333333337</v>
      </c>
      <c r="B371" s="1">
        <v>-1.6128373156668219</v>
      </c>
      <c r="C371">
        <f t="shared" si="52"/>
        <v>-47.941358473219246</v>
      </c>
    </row>
    <row r="372" spans="1:3" ht="18" x14ac:dyDescent="0.2">
      <c r="A372">
        <v>1980</v>
      </c>
      <c r="B372" s="1">
        <v>-1.010384363220326</v>
      </c>
      <c r="C372">
        <f t="shared" si="52"/>
        <v>-24.975851925958828</v>
      </c>
    </row>
    <row r="373" spans="1:3" ht="18" x14ac:dyDescent="0.2">
      <c r="A373">
        <f>A372+1/7</f>
        <v>1980.1428571428571</v>
      </c>
      <c r="B373" s="1">
        <v>-1.6694416090467428</v>
      </c>
      <c r="C373">
        <f t="shared" si="52"/>
        <v>-50.099114136861829</v>
      </c>
    </row>
    <row r="374" spans="1:3" ht="18" x14ac:dyDescent="0.2">
      <c r="A374">
        <f t="shared" ref="A374:A378" si="59">A373+1/7</f>
        <v>1980.2857142857142</v>
      </c>
      <c r="B374" s="1">
        <v>-1.2281799524066368</v>
      </c>
      <c r="C374">
        <f t="shared" si="52"/>
        <v>-33.278219785740994</v>
      </c>
    </row>
    <row r="375" spans="1:3" ht="18" x14ac:dyDescent="0.2">
      <c r="A375">
        <f t="shared" si="59"/>
        <v>1980.4285714285713</v>
      </c>
      <c r="B375" s="1">
        <v>-1.8809008988252733</v>
      </c>
      <c r="C375">
        <f t="shared" si="52"/>
        <v>-58.159942263219413</v>
      </c>
    </row>
    <row r="376" spans="1:3" ht="18" x14ac:dyDescent="0.2">
      <c r="A376">
        <f t="shared" si="59"/>
        <v>1980.5714285714284</v>
      </c>
      <c r="B376" s="1">
        <v>-1.3526417362386676</v>
      </c>
      <c r="C376">
        <f t="shared" si="52"/>
        <v>-38.022702985418007</v>
      </c>
    </row>
    <row r="377" spans="1:3" ht="18" x14ac:dyDescent="0.2">
      <c r="A377">
        <f t="shared" si="59"/>
        <v>1980.7142857142856</v>
      </c>
      <c r="B377" s="1">
        <v>-1.2012744337903467</v>
      </c>
      <c r="C377">
        <f t="shared" si="52"/>
        <v>-32.252581416088013</v>
      </c>
    </row>
    <row r="378" spans="1:3" ht="18" x14ac:dyDescent="0.2">
      <c r="A378">
        <f t="shared" si="59"/>
        <v>1980.8571428571427</v>
      </c>
      <c r="B378" s="1">
        <v>-1.6247104810239352</v>
      </c>
      <c r="C378">
        <f t="shared" si="52"/>
        <v>-48.393963536632405</v>
      </c>
    </row>
    <row r="379" spans="1:3" ht="18" x14ac:dyDescent="0.2">
      <c r="A379">
        <v>1981</v>
      </c>
      <c r="B379" s="1">
        <v>-1.7056689291431453</v>
      </c>
      <c r="C379">
        <f t="shared" si="52"/>
        <v>-51.480099578936695</v>
      </c>
    </row>
    <row r="380" spans="1:3" ht="18" x14ac:dyDescent="0.2">
      <c r="A380">
        <f>A379+1/6</f>
        <v>1981.1666666666667</v>
      </c>
      <c r="B380" s="1">
        <v>-1.6062898028841608</v>
      </c>
      <c r="C380">
        <f t="shared" si="52"/>
        <v>-47.691767285944209</v>
      </c>
    </row>
    <row r="381" spans="1:3" ht="18" x14ac:dyDescent="0.2">
      <c r="A381">
        <f t="shared" ref="A381:A384" si="60">A380+1/6</f>
        <v>1981.3333333333335</v>
      </c>
      <c r="B381" s="1">
        <v>-1.5567960882221556</v>
      </c>
      <c r="C381">
        <f t="shared" si="52"/>
        <v>-45.805066883028573</v>
      </c>
    </row>
    <row r="382" spans="1:3" ht="18" x14ac:dyDescent="0.2">
      <c r="A382">
        <f t="shared" si="60"/>
        <v>1981.5000000000002</v>
      </c>
      <c r="B382" s="1">
        <v>-1.6165555977965109</v>
      </c>
      <c r="C382">
        <f t="shared" si="52"/>
        <v>-48.083099388002992</v>
      </c>
    </row>
    <row r="383" spans="1:3" ht="18" x14ac:dyDescent="0.2">
      <c r="A383">
        <f t="shared" si="60"/>
        <v>1981.666666666667</v>
      </c>
      <c r="B383" s="1">
        <v>-1.5854465103896578</v>
      </c>
      <c r="C383">
        <f t="shared" si="52"/>
        <v>-46.897220976053752</v>
      </c>
    </row>
    <row r="384" spans="1:3" ht="18" x14ac:dyDescent="0.2">
      <c r="A384">
        <f t="shared" si="60"/>
        <v>1981.8333333333337</v>
      </c>
      <c r="B384" s="1">
        <v>-1.3200626587355158</v>
      </c>
      <c r="C384">
        <f t="shared" si="52"/>
        <v>-36.780788550997855</v>
      </c>
    </row>
    <row r="385" spans="1:3" ht="18" x14ac:dyDescent="0.2">
      <c r="A385">
        <v>1982</v>
      </c>
      <c r="B385" s="1">
        <v>-1.394028075406798</v>
      </c>
      <c r="C385">
        <f t="shared" si="52"/>
        <v>-39.600350234507133</v>
      </c>
    </row>
    <row r="386" spans="1:3" ht="18" x14ac:dyDescent="0.2">
      <c r="A386">
        <f>A385+1/5</f>
        <v>1982.2</v>
      </c>
      <c r="B386" s="1">
        <v>-1.508254055811002</v>
      </c>
      <c r="C386">
        <f t="shared" ref="C386:C449" si="61">38.12*B386+13.54</f>
        <v>-43.954644607515391</v>
      </c>
    </row>
    <row r="387" spans="1:3" ht="18" x14ac:dyDescent="0.2">
      <c r="A387">
        <f t="shared" ref="A387:A389" si="62">A386+1/5</f>
        <v>1982.4</v>
      </c>
      <c r="B387" s="1">
        <v>-1.555874957568443</v>
      </c>
      <c r="C387">
        <f t="shared" si="61"/>
        <v>-45.769953382509044</v>
      </c>
    </row>
    <row r="388" spans="1:3" ht="18" x14ac:dyDescent="0.2">
      <c r="A388">
        <f t="shared" si="62"/>
        <v>1982.6000000000001</v>
      </c>
      <c r="B388" s="1">
        <v>-1.2774298907831438</v>
      </c>
      <c r="C388">
        <f t="shared" si="61"/>
        <v>-35.15562743665344</v>
      </c>
    </row>
    <row r="389" spans="1:3" ht="18" x14ac:dyDescent="0.2">
      <c r="A389">
        <f t="shared" si="62"/>
        <v>1982.8000000000002</v>
      </c>
      <c r="B389" s="1">
        <v>-0.952424699152703</v>
      </c>
      <c r="C389">
        <f t="shared" si="61"/>
        <v>-22.766429531701036</v>
      </c>
    </row>
    <row r="390" spans="1:3" ht="18" x14ac:dyDescent="0.2">
      <c r="A390">
        <v>1983</v>
      </c>
      <c r="B390" s="1">
        <v>-0.8097457871968301</v>
      </c>
      <c r="C390">
        <f t="shared" si="61"/>
        <v>-17.327509407943161</v>
      </c>
    </row>
    <row r="391" spans="1:3" ht="18" x14ac:dyDescent="0.2">
      <c r="A391">
        <f>A390+1/4</f>
        <v>1983.25</v>
      </c>
      <c r="B391" s="1">
        <v>-1.1179852043254734</v>
      </c>
      <c r="C391">
        <f t="shared" si="61"/>
        <v>-29.077595988887047</v>
      </c>
    </row>
    <row r="392" spans="1:3" ht="18" x14ac:dyDescent="0.2">
      <c r="A392">
        <f t="shared" ref="A392:A393" si="63">A391+1/4</f>
        <v>1983.5</v>
      </c>
      <c r="B392" s="1">
        <v>-1.0889245505873999</v>
      </c>
      <c r="C392">
        <f t="shared" si="61"/>
        <v>-27.969803868391679</v>
      </c>
    </row>
    <row r="393" spans="1:3" ht="18" x14ac:dyDescent="0.2">
      <c r="A393">
        <f t="shared" si="63"/>
        <v>1983.75</v>
      </c>
      <c r="B393" s="1">
        <v>-1.0573336135743505</v>
      </c>
      <c r="C393">
        <f t="shared" si="61"/>
        <v>-26.765557349454241</v>
      </c>
    </row>
    <row r="394" spans="1:3" ht="18" x14ac:dyDescent="0.2">
      <c r="A394">
        <v>1984</v>
      </c>
      <c r="B394" s="1">
        <v>-1.0866895230390996</v>
      </c>
      <c r="C394">
        <f t="shared" si="61"/>
        <v>-27.884604618250478</v>
      </c>
    </row>
    <row r="395" spans="1:3" ht="18" x14ac:dyDescent="0.2">
      <c r="A395">
        <f>A394+1/4</f>
        <v>1984.25</v>
      </c>
      <c r="B395" s="1">
        <v>-1.3723507752297546</v>
      </c>
      <c r="C395">
        <f t="shared" si="61"/>
        <v>-38.774011551758242</v>
      </c>
    </row>
    <row r="396" spans="1:3" ht="18" x14ac:dyDescent="0.2">
      <c r="A396">
        <f t="shared" ref="A396:A398" si="64">A395+1/4</f>
        <v>1984.5</v>
      </c>
      <c r="B396" s="1">
        <v>-1.1058732273173977</v>
      </c>
      <c r="C396">
        <f t="shared" si="61"/>
        <v>-28.615887425339196</v>
      </c>
    </row>
    <row r="397" spans="1:3" ht="18" x14ac:dyDescent="0.2">
      <c r="A397">
        <f t="shared" si="64"/>
        <v>1984.75</v>
      </c>
      <c r="B397" s="1">
        <v>-1.0409812531011593</v>
      </c>
      <c r="C397">
        <f t="shared" si="61"/>
        <v>-26.142205368216189</v>
      </c>
    </row>
    <row r="398" spans="1:3" ht="18" x14ac:dyDescent="0.2">
      <c r="A398">
        <f t="shared" si="64"/>
        <v>1985</v>
      </c>
      <c r="B398" s="1">
        <v>-1.4191741784632343</v>
      </c>
      <c r="C398">
        <f t="shared" si="61"/>
        <v>-40.558919683018487</v>
      </c>
    </row>
    <row r="399" spans="1:3" ht="18" x14ac:dyDescent="0.2">
      <c r="A399">
        <f>A398+1/5</f>
        <v>1985.2</v>
      </c>
      <c r="B399" s="1">
        <v>-1.6433245253139299</v>
      </c>
      <c r="C399">
        <f t="shared" si="61"/>
        <v>-49.103530904967002</v>
      </c>
    </row>
    <row r="400" spans="1:3" ht="18" x14ac:dyDescent="0.2">
      <c r="A400">
        <f t="shared" ref="A400:A402" si="65">A399+1/5</f>
        <v>1985.4</v>
      </c>
      <c r="B400" s="1">
        <v>-1.5469479336426826</v>
      </c>
      <c r="C400">
        <f t="shared" si="61"/>
        <v>-45.429655230459055</v>
      </c>
    </row>
    <row r="401" spans="1:3" ht="18" x14ac:dyDescent="0.2">
      <c r="A401">
        <f t="shared" si="65"/>
        <v>1985.6000000000001</v>
      </c>
      <c r="B401" s="1">
        <v>-1.3103854403420301</v>
      </c>
      <c r="C401">
        <f t="shared" si="61"/>
        <v>-36.411892985838186</v>
      </c>
    </row>
    <row r="402" spans="1:3" ht="18" x14ac:dyDescent="0.2">
      <c r="A402">
        <f t="shared" si="65"/>
        <v>1985.8000000000002</v>
      </c>
      <c r="B402" s="1">
        <v>-1.1390073764212196</v>
      </c>
      <c r="C402">
        <f t="shared" si="61"/>
        <v>-29.878961189176891</v>
      </c>
    </row>
    <row r="403" spans="1:3" ht="18" x14ac:dyDescent="0.2">
      <c r="A403">
        <v>1986</v>
      </c>
      <c r="B403" s="1">
        <v>-1.1736744264517804</v>
      </c>
      <c r="C403">
        <f t="shared" si="61"/>
        <v>-31.200469136341866</v>
      </c>
    </row>
    <row r="404" spans="1:3" ht="18" x14ac:dyDescent="0.2">
      <c r="A404">
        <f>A403+1/5</f>
        <v>1986.2</v>
      </c>
      <c r="B404" s="1">
        <v>-1.1325196174706276</v>
      </c>
      <c r="C404">
        <f t="shared" si="61"/>
        <v>-29.631647817980323</v>
      </c>
    </row>
    <row r="405" spans="1:3" ht="18" x14ac:dyDescent="0.2">
      <c r="A405">
        <f t="shared" ref="A405:A407" si="66">A404+1/5</f>
        <v>1986.4</v>
      </c>
      <c r="B405" s="1">
        <v>-1.2792672892946924</v>
      </c>
      <c r="C405">
        <f t="shared" si="61"/>
        <v>-35.225669067913671</v>
      </c>
    </row>
    <row r="406" spans="1:3" ht="18" x14ac:dyDescent="0.2">
      <c r="A406">
        <f t="shared" si="66"/>
        <v>1986.6000000000001</v>
      </c>
      <c r="B406" s="1">
        <v>-1.346575054675631</v>
      </c>
      <c r="C406">
        <f t="shared" si="61"/>
        <v>-37.791441084235053</v>
      </c>
    </row>
    <row r="407" spans="1:3" ht="18" x14ac:dyDescent="0.2">
      <c r="A407">
        <f t="shared" si="66"/>
        <v>1986.8000000000002</v>
      </c>
      <c r="B407" s="1">
        <v>-1.0556815614187731</v>
      </c>
      <c r="C407">
        <f t="shared" si="61"/>
        <v>-26.702581121283629</v>
      </c>
    </row>
    <row r="408" spans="1:3" ht="18" x14ac:dyDescent="0.2">
      <c r="A408">
        <v>1987</v>
      </c>
      <c r="B408" s="1">
        <v>-0.70306146854616069</v>
      </c>
      <c r="C408">
        <f t="shared" si="61"/>
        <v>-13.260703180979643</v>
      </c>
    </row>
    <row r="409" spans="1:3" ht="18" x14ac:dyDescent="0.2">
      <c r="A409">
        <f>A408+1/4</f>
        <v>1987.25</v>
      </c>
      <c r="B409" s="1">
        <v>-0.74938983406734616</v>
      </c>
      <c r="C409">
        <f t="shared" si="61"/>
        <v>-15.026740474647234</v>
      </c>
    </row>
    <row r="410" spans="1:3" ht="18" x14ac:dyDescent="0.2">
      <c r="A410">
        <f t="shared" ref="A410:A411" si="67">A409+1/4</f>
        <v>1987.5</v>
      </c>
      <c r="B410" s="1">
        <v>-1.1173531172403512</v>
      </c>
      <c r="C410">
        <f t="shared" si="61"/>
        <v>-29.053500829202186</v>
      </c>
    </row>
    <row r="411" spans="1:3" ht="18" x14ac:dyDescent="0.2">
      <c r="A411">
        <f t="shared" si="67"/>
        <v>1987.75</v>
      </c>
      <c r="B411" s="1">
        <v>-1.425758149485147</v>
      </c>
      <c r="C411">
        <f t="shared" si="61"/>
        <v>-40.809900658373799</v>
      </c>
    </row>
    <row r="412" spans="1:3" ht="18" x14ac:dyDescent="0.2">
      <c r="A412">
        <v>1988</v>
      </c>
      <c r="B412" s="1">
        <v>-1.4966670061610865</v>
      </c>
      <c r="C412">
        <f t="shared" si="61"/>
        <v>-43.512946274860617</v>
      </c>
    </row>
    <row r="413" spans="1:3" ht="18" x14ac:dyDescent="0.2">
      <c r="A413">
        <f>A412+1/4</f>
        <v>1988.25</v>
      </c>
      <c r="B413" s="1">
        <v>-1.2343845998904157</v>
      </c>
      <c r="C413">
        <f t="shared" si="61"/>
        <v>-33.514740947822645</v>
      </c>
    </row>
    <row r="414" spans="1:3" ht="18" x14ac:dyDescent="0.2">
      <c r="A414">
        <f t="shared" ref="A414:A415" si="68">A413+1/4</f>
        <v>1988.5</v>
      </c>
      <c r="B414" s="1">
        <v>-1.0795975553357737</v>
      </c>
      <c r="C414">
        <f t="shared" si="61"/>
        <v>-27.614258809399693</v>
      </c>
    </row>
    <row r="415" spans="1:3" ht="18" x14ac:dyDescent="0.2">
      <c r="A415">
        <f t="shared" si="68"/>
        <v>1988.75</v>
      </c>
      <c r="B415" s="1">
        <v>-1.0463656920404383</v>
      </c>
      <c r="C415">
        <f t="shared" si="61"/>
        <v>-26.347460180581507</v>
      </c>
    </row>
    <row r="416" spans="1:3" ht="18" x14ac:dyDescent="0.2">
      <c r="A416">
        <v>1989</v>
      </c>
      <c r="B416" s="1">
        <v>-1.382663721440355</v>
      </c>
      <c r="C416">
        <f t="shared" si="61"/>
        <v>-39.167141061306332</v>
      </c>
    </row>
    <row r="417" spans="1:4" ht="18" x14ac:dyDescent="0.2">
      <c r="A417">
        <f>A416+1/5</f>
        <v>1989.2</v>
      </c>
      <c r="B417" s="1">
        <v>-1.1951274524461661</v>
      </c>
      <c r="C417">
        <f t="shared" si="61"/>
        <v>-32.018258487247849</v>
      </c>
      <c r="D417" s="1"/>
    </row>
    <row r="418" spans="1:4" ht="18" x14ac:dyDescent="0.2">
      <c r="A418">
        <f t="shared" ref="A418:A420" si="69">A417+1/5</f>
        <v>1989.4</v>
      </c>
      <c r="B418" s="1">
        <v>-0.69686718314574425</v>
      </c>
      <c r="C418">
        <f t="shared" si="61"/>
        <v>-13.024577021515771</v>
      </c>
      <c r="D418" s="1"/>
    </row>
    <row r="419" spans="1:4" ht="18" x14ac:dyDescent="0.2">
      <c r="A419">
        <f t="shared" si="69"/>
        <v>1989.6000000000001</v>
      </c>
      <c r="B419" s="1">
        <v>-1.0990225408524699</v>
      </c>
      <c r="C419">
        <f t="shared" si="61"/>
        <v>-28.354739257296153</v>
      </c>
      <c r="D419" s="1"/>
    </row>
    <row r="420" spans="1:4" ht="18" x14ac:dyDescent="0.2">
      <c r="A420">
        <f t="shared" si="69"/>
        <v>1989.8000000000002</v>
      </c>
      <c r="B420" s="1">
        <v>-1.0888876595338557</v>
      </c>
      <c r="C420">
        <f t="shared" si="61"/>
        <v>-27.96839758143058</v>
      </c>
      <c r="D420" s="1"/>
    </row>
    <row r="421" spans="1:4" ht="18" x14ac:dyDescent="0.2">
      <c r="A421">
        <v>1990</v>
      </c>
      <c r="B421" s="1">
        <v>-1.2288302686113852</v>
      </c>
      <c r="C421">
        <f t="shared" si="61"/>
        <v>-33.303009839466</v>
      </c>
      <c r="D421" s="1"/>
    </row>
    <row r="422" spans="1:4" ht="18" x14ac:dyDescent="0.2">
      <c r="A422">
        <f>A421+1/6</f>
        <v>1990.1666666666667</v>
      </c>
      <c r="B422" s="1">
        <v>-1.5694678214091302</v>
      </c>
      <c r="C422">
        <f t="shared" si="61"/>
        <v>-46.288113352116042</v>
      </c>
      <c r="D422" s="1"/>
    </row>
    <row r="423" spans="1:4" ht="18" x14ac:dyDescent="0.2">
      <c r="A423">
        <f>A422+1/6</f>
        <v>1990.3333333333335</v>
      </c>
      <c r="B423" s="1">
        <v>-1.545975043491485</v>
      </c>
      <c r="C423">
        <f t="shared" si="61"/>
        <v>-45.392568657895403</v>
      </c>
      <c r="D423" s="1"/>
    </row>
    <row r="424" spans="1:4" ht="18" x14ac:dyDescent="0.2">
      <c r="A424">
        <v>1990.5000000000002</v>
      </c>
      <c r="B424">
        <v>-1.61550465386446</v>
      </c>
      <c r="C424">
        <f t="shared" si="61"/>
        <v>-48.043037405313207</v>
      </c>
      <c r="D424" s="1"/>
    </row>
    <row r="425" spans="1:4" ht="18" x14ac:dyDescent="0.2">
      <c r="A425">
        <v>1990.7</v>
      </c>
      <c r="B425">
        <v>-1.7980560701180961</v>
      </c>
      <c r="C425">
        <f t="shared" si="61"/>
        <v>-55.001897392901817</v>
      </c>
      <c r="D425" s="1"/>
    </row>
    <row r="426" spans="1:4" ht="18" x14ac:dyDescent="0.2">
      <c r="A426">
        <v>1990.8428571428572</v>
      </c>
      <c r="B426">
        <v>-1.9267107878615883</v>
      </c>
      <c r="C426">
        <f t="shared" si="61"/>
        <v>-59.906215233283739</v>
      </c>
      <c r="D426" s="1"/>
    </row>
    <row r="427" spans="1:4" ht="18" x14ac:dyDescent="0.2">
      <c r="A427">
        <v>1990.9857142857143</v>
      </c>
      <c r="B427">
        <v>-1.663369985598171</v>
      </c>
      <c r="C427">
        <f t="shared" si="61"/>
        <v>-49.86766385100227</v>
      </c>
      <c r="D427" s="1"/>
    </row>
    <row r="428" spans="1:4" ht="18" x14ac:dyDescent="0.2">
      <c r="A428">
        <v>1991.1285714285714</v>
      </c>
      <c r="B428">
        <v>-1.6604934565985618</v>
      </c>
      <c r="C428">
        <f t="shared" si="61"/>
        <v>-49.758010565537177</v>
      </c>
      <c r="D428" s="1"/>
    </row>
    <row r="429" spans="1:4" ht="18" x14ac:dyDescent="0.2">
      <c r="A429">
        <v>1991.2714285714285</v>
      </c>
      <c r="B429">
        <v>-1.7924077871879467</v>
      </c>
      <c r="C429">
        <f t="shared" si="61"/>
        <v>-54.786584847604523</v>
      </c>
      <c r="D429" s="1"/>
    </row>
    <row r="430" spans="1:4" ht="18" x14ac:dyDescent="0.2">
      <c r="A430">
        <v>1991.4142857142856</v>
      </c>
      <c r="B430">
        <v>-1.422031444112958</v>
      </c>
      <c r="C430">
        <f t="shared" si="61"/>
        <v>-40.66783864958596</v>
      </c>
      <c r="D430" s="1"/>
    </row>
    <row r="431" spans="1:4" ht="18" x14ac:dyDescent="0.2">
      <c r="A431">
        <v>1991.5571428571427</v>
      </c>
      <c r="B431">
        <v>-1.6620517338878169</v>
      </c>
      <c r="C431">
        <f t="shared" si="61"/>
        <v>-49.817412095803576</v>
      </c>
      <c r="D431" s="1"/>
    </row>
    <row r="432" spans="1:4" ht="18" x14ac:dyDescent="0.2">
      <c r="A432">
        <v>1991.7</v>
      </c>
      <c r="B432">
        <v>-1.9642570346077362</v>
      </c>
      <c r="C432">
        <f t="shared" si="61"/>
        <v>-61.337478159246892</v>
      </c>
      <c r="D432" s="1"/>
    </row>
    <row r="433" spans="1:4" ht="18" x14ac:dyDescent="0.2">
      <c r="A433">
        <v>1991.8428571428572</v>
      </c>
      <c r="B433">
        <v>-1.2682846085063124</v>
      </c>
      <c r="C433">
        <f t="shared" si="61"/>
        <v>-34.807009276260629</v>
      </c>
      <c r="D433" s="1"/>
    </row>
    <row r="434" spans="1:4" ht="18" x14ac:dyDescent="0.2">
      <c r="A434">
        <v>1991.9857142857143</v>
      </c>
      <c r="B434">
        <v>-0.88681369381475861</v>
      </c>
      <c r="C434">
        <f t="shared" si="61"/>
        <v>-20.265338008218599</v>
      </c>
      <c r="D434" s="1"/>
    </row>
    <row r="435" spans="1:4" ht="18" x14ac:dyDescent="0.2">
      <c r="A435">
        <v>1992.1285714285714</v>
      </c>
      <c r="B435">
        <v>-1.1674972886405692</v>
      </c>
      <c r="C435">
        <f t="shared" si="61"/>
        <v>-30.964996642978498</v>
      </c>
      <c r="D435" s="1"/>
    </row>
    <row r="436" spans="1:4" ht="18" x14ac:dyDescent="0.2">
      <c r="A436">
        <v>1992.2714285714285</v>
      </c>
      <c r="B436">
        <v>-1.2090577302204246</v>
      </c>
      <c r="C436">
        <f t="shared" si="61"/>
        <v>-32.549280676002581</v>
      </c>
      <c r="D436" s="1"/>
    </row>
    <row r="437" spans="1:4" ht="18" x14ac:dyDescent="0.2">
      <c r="A437">
        <v>1992.4142857142856</v>
      </c>
      <c r="B437">
        <v>-1.1966481811144141</v>
      </c>
      <c r="C437">
        <f t="shared" si="61"/>
        <v>-32.076228664081462</v>
      </c>
      <c r="D437" s="1"/>
    </row>
    <row r="438" spans="1:4" ht="18" x14ac:dyDescent="0.2">
      <c r="A438">
        <v>1992.5571428571427</v>
      </c>
      <c r="B438">
        <v>-1.3814033999025581</v>
      </c>
      <c r="C438">
        <f t="shared" si="61"/>
        <v>-39.119097604285514</v>
      </c>
      <c r="D438" s="1"/>
    </row>
    <row r="439" spans="1:4" ht="18" x14ac:dyDescent="0.2">
      <c r="A439">
        <v>1992.7</v>
      </c>
      <c r="B439">
        <v>-2.0817350733488063</v>
      </c>
      <c r="C439">
        <f t="shared" si="61"/>
        <v>-65.815740996056491</v>
      </c>
      <c r="D439" s="1"/>
    </row>
    <row r="440" spans="1:4" ht="18" x14ac:dyDescent="0.2">
      <c r="A440">
        <v>1992.8666666666668</v>
      </c>
      <c r="B440">
        <v>-1.7355627786813519</v>
      </c>
      <c r="C440">
        <f t="shared" si="61"/>
        <v>-52.61965312333313</v>
      </c>
      <c r="D440" s="1"/>
    </row>
    <row r="441" spans="1:4" ht="18" x14ac:dyDescent="0.2">
      <c r="A441">
        <v>1993.0333333333335</v>
      </c>
      <c r="B441">
        <v>-1.8533601798925647</v>
      </c>
      <c r="C441">
        <f t="shared" si="61"/>
        <v>-57.110090057504557</v>
      </c>
      <c r="D441" s="1"/>
    </row>
    <row r="442" spans="1:4" ht="18" x14ac:dyDescent="0.2">
      <c r="A442">
        <v>1993.2000000000003</v>
      </c>
      <c r="B442">
        <v>-1.2658841008541561</v>
      </c>
      <c r="C442">
        <f t="shared" si="61"/>
        <v>-34.715501924560428</v>
      </c>
      <c r="D442" s="1"/>
    </row>
    <row r="443" spans="1:4" ht="18" x14ac:dyDescent="0.2">
      <c r="A443">
        <v>1993.366666666667</v>
      </c>
      <c r="B443">
        <v>-2.0448852282035617</v>
      </c>
      <c r="C443">
        <f t="shared" si="61"/>
        <v>-64.411024899119752</v>
      </c>
      <c r="D443" s="1"/>
    </row>
    <row r="444" spans="1:4" ht="18" x14ac:dyDescent="0.2">
      <c r="A444">
        <v>1993.5333333333338</v>
      </c>
      <c r="B444">
        <v>-1.7313984734121513</v>
      </c>
      <c r="C444">
        <f t="shared" si="61"/>
        <v>-52.4609098064712</v>
      </c>
      <c r="D444" s="1"/>
    </row>
    <row r="445" spans="1:4" ht="18" x14ac:dyDescent="0.2">
      <c r="A445">
        <v>1993.7</v>
      </c>
      <c r="B445">
        <v>-1.5894871907999579</v>
      </c>
      <c r="C445">
        <f t="shared" si="61"/>
        <v>-47.051251713294391</v>
      </c>
      <c r="D445" s="1"/>
    </row>
    <row r="446" spans="1:4" ht="18" x14ac:dyDescent="0.2">
      <c r="A446">
        <v>1993.8666666666668</v>
      </c>
      <c r="B446">
        <v>-1.6791723831547321</v>
      </c>
      <c r="C446">
        <f t="shared" si="61"/>
        <v>-50.470051245858379</v>
      </c>
      <c r="D446" s="1"/>
    </row>
    <row r="447" spans="1:4" ht="18" x14ac:dyDescent="0.2">
      <c r="A447">
        <v>1994.0333333333335</v>
      </c>
      <c r="B447">
        <v>-1.8516303838003387</v>
      </c>
      <c r="C447">
        <f t="shared" si="61"/>
        <v>-57.044150230468908</v>
      </c>
      <c r="D447" s="1"/>
    </row>
    <row r="448" spans="1:4" ht="18" x14ac:dyDescent="0.2">
      <c r="A448">
        <v>1994.2000000000003</v>
      </c>
      <c r="B448">
        <v>-2.1468968548259024</v>
      </c>
      <c r="C448">
        <f t="shared" si="61"/>
        <v>-68.29970810596339</v>
      </c>
      <c r="D448" s="1"/>
    </row>
    <row r="449" spans="1:4" ht="18" x14ac:dyDescent="0.2">
      <c r="A449">
        <v>1994.366666666667</v>
      </c>
      <c r="B449">
        <v>-1.8114602267908224</v>
      </c>
      <c r="C449">
        <f t="shared" si="61"/>
        <v>-55.512863845266146</v>
      </c>
      <c r="D449" s="1"/>
    </row>
    <row r="450" spans="1:4" ht="18" x14ac:dyDescent="0.2">
      <c r="A450">
        <v>1994.5333333333338</v>
      </c>
      <c r="B450">
        <v>-2.0327481950223891</v>
      </c>
      <c r="C450">
        <f t="shared" ref="C450:C513" si="70">38.12*B450+13.54</f>
        <v>-63.948361194253472</v>
      </c>
      <c r="D450" s="1"/>
    </row>
    <row r="451" spans="1:4" ht="18" x14ac:dyDescent="0.2">
      <c r="A451">
        <v>1994.7</v>
      </c>
      <c r="B451">
        <v>-2.2229688440961057</v>
      </c>
      <c r="C451">
        <f t="shared" si="70"/>
        <v>-71.199572336943532</v>
      </c>
      <c r="D451" s="1"/>
    </row>
    <row r="452" spans="1:4" ht="18" x14ac:dyDescent="0.2">
      <c r="A452">
        <v>1994.8428571428572</v>
      </c>
      <c r="B452">
        <v>-2.048050896095698</v>
      </c>
      <c r="C452">
        <f t="shared" si="70"/>
        <v>-64.531700159167997</v>
      </c>
      <c r="D452" s="1"/>
    </row>
    <row r="453" spans="1:4" ht="18" x14ac:dyDescent="0.2">
      <c r="A453">
        <v>1994.9857142857143</v>
      </c>
      <c r="B453">
        <v>-1.8344404721680532</v>
      </c>
      <c r="C453">
        <f t="shared" si="70"/>
        <v>-56.388870799046181</v>
      </c>
      <c r="D453" s="1"/>
    </row>
    <row r="454" spans="1:4" ht="18" x14ac:dyDescent="0.2">
      <c r="A454">
        <v>1995.1285714285714</v>
      </c>
      <c r="B454">
        <v>-1.9809628652718709</v>
      </c>
      <c r="C454">
        <f t="shared" si="70"/>
        <v>-61.974304424163712</v>
      </c>
      <c r="D454" s="1"/>
    </row>
    <row r="455" spans="1:4" ht="18" x14ac:dyDescent="0.2">
      <c r="A455">
        <v>1995.2714285714285</v>
      </c>
      <c r="B455">
        <v>-1.6153782185647629</v>
      </c>
      <c r="C455">
        <f t="shared" si="70"/>
        <v>-48.038217691688757</v>
      </c>
      <c r="D455" s="1"/>
    </row>
    <row r="456" spans="1:4" ht="18" x14ac:dyDescent="0.2">
      <c r="A456">
        <v>1995.4142857142856</v>
      </c>
      <c r="B456">
        <v>-1.8478383322621093</v>
      </c>
      <c r="C456">
        <f t="shared" si="70"/>
        <v>-56.899597225831606</v>
      </c>
      <c r="D456" s="1"/>
    </row>
    <row r="457" spans="1:4" ht="18" x14ac:dyDescent="0.2">
      <c r="A457">
        <v>1995.5571428571427</v>
      </c>
      <c r="B457">
        <v>-2.056841675508478</v>
      </c>
      <c r="C457">
        <f t="shared" si="70"/>
        <v>-64.866804670383175</v>
      </c>
      <c r="D457" s="1"/>
    </row>
    <row r="458" spans="1:4" ht="18" x14ac:dyDescent="0.2">
      <c r="A458">
        <v>1995.7</v>
      </c>
      <c r="B458">
        <v>-1.9120717461800991</v>
      </c>
      <c r="C458">
        <f t="shared" si="70"/>
        <v>-59.348174964385372</v>
      </c>
      <c r="D458" s="1"/>
    </row>
    <row r="459" spans="1:4" ht="18" x14ac:dyDescent="0.2">
      <c r="A459">
        <v>1995.8666666666668</v>
      </c>
      <c r="B459">
        <v>-1.8778823314545088</v>
      </c>
      <c r="C459">
        <f t="shared" si="70"/>
        <v>-58.044874475045866</v>
      </c>
      <c r="D459" s="1"/>
    </row>
    <row r="460" spans="1:4" ht="18" x14ac:dyDescent="0.2">
      <c r="A460">
        <v>1996.0333333333335</v>
      </c>
      <c r="B460">
        <v>-1.9122374721306934</v>
      </c>
      <c r="C460">
        <f t="shared" si="70"/>
        <v>-59.354492437622035</v>
      </c>
      <c r="D460" s="1"/>
    </row>
    <row r="461" spans="1:4" ht="18" x14ac:dyDescent="0.2">
      <c r="A461">
        <v>1996.2000000000003</v>
      </c>
      <c r="B461">
        <v>-1.6141080727154478</v>
      </c>
      <c r="C461">
        <f t="shared" si="70"/>
        <v>-47.989799731912868</v>
      </c>
      <c r="D461" s="1"/>
    </row>
    <row r="462" spans="1:4" ht="18" x14ac:dyDescent="0.2">
      <c r="A462">
        <v>1996.366666666667</v>
      </c>
      <c r="B462">
        <v>-1.6703816037419521</v>
      </c>
      <c r="C462">
        <f t="shared" si="70"/>
        <v>-50.134946734643208</v>
      </c>
      <c r="D462" s="1"/>
    </row>
    <row r="463" spans="1:4" ht="18" x14ac:dyDescent="0.2">
      <c r="A463">
        <v>1996.5333333333338</v>
      </c>
      <c r="B463">
        <v>-2.1057532467540021</v>
      </c>
      <c r="C463">
        <f t="shared" si="70"/>
        <v>-66.731313766262559</v>
      </c>
      <c r="D463" s="1"/>
    </row>
    <row r="464" spans="1:4" ht="18" x14ac:dyDescent="0.2">
      <c r="A464">
        <v>1996.7</v>
      </c>
      <c r="B464">
        <v>-1.801673580495593</v>
      </c>
      <c r="C464">
        <f t="shared" si="70"/>
        <v>-55.139796888492008</v>
      </c>
      <c r="D464" s="1"/>
    </row>
    <row r="465" spans="1:4" ht="18" x14ac:dyDescent="0.2">
      <c r="A465">
        <v>1996.8428571428572</v>
      </c>
      <c r="B465">
        <v>-1.6175248481649442</v>
      </c>
      <c r="C465">
        <f t="shared" si="70"/>
        <v>-48.120047212047673</v>
      </c>
      <c r="D465" s="1"/>
    </row>
    <row r="466" spans="1:4" ht="18" x14ac:dyDescent="0.2">
      <c r="A466">
        <v>1996.9857142857143</v>
      </c>
      <c r="B466">
        <v>-1.5622565029573212</v>
      </c>
      <c r="C466">
        <f t="shared" si="70"/>
        <v>-46.013217892733081</v>
      </c>
      <c r="D466" s="1"/>
    </row>
    <row r="467" spans="1:4" ht="18" x14ac:dyDescent="0.2">
      <c r="A467">
        <v>1997.1285714285714</v>
      </c>
      <c r="B467">
        <v>-1.5311713015160482</v>
      </c>
      <c r="C467">
        <f t="shared" si="70"/>
        <v>-44.828250013791752</v>
      </c>
      <c r="D467" s="1"/>
    </row>
    <row r="468" spans="1:4" ht="18" x14ac:dyDescent="0.2">
      <c r="A468">
        <v>1997.2714285714285</v>
      </c>
      <c r="B468">
        <v>-1.5678183968281181</v>
      </c>
      <c r="C468">
        <f t="shared" si="70"/>
        <v>-46.225237287087857</v>
      </c>
      <c r="D468" s="1"/>
    </row>
    <row r="469" spans="1:4" ht="18" x14ac:dyDescent="0.2">
      <c r="A469">
        <v>1997.4142857142856</v>
      </c>
      <c r="B469">
        <v>-2.0865063688017957</v>
      </c>
      <c r="C469">
        <f t="shared" si="70"/>
        <v>-65.997622778724462</v>
      </c>
      <c r="D469" s="1"/>
    </row>
    <row r="470" spans="1:4" ht="18" x14ac:dyDescent="0.2">
      <c r="A470">
        <v>1997.5571428571427</v>
      </c>
      <c r="B470">
        <v>-2.4552161334344049</v>
      </c>
      <c r="C470">
        <f t="shared" si="70"/>
        <v>-80.05283900651952</v>
      </c>
      <c r="D470" s="1"/>
    </row>
    <row r="471" spans="1:4" ht="18" x14ac:dyDescent="0.2">
      <c r="A471">
        <v>1997.7</v>
      </c>
      <c r="B471">
        <v>-2.1781613828276973</v>
      </c>
      <c r="C471">
        <f t="shared" si="70"/>
        <v>-69.491511913391804</v>
      </c>
      <c r="D471" s="1"/>
    </row>
    <row r="472" spans="1:4" ht="18" x14ac:dyDescent="0.2">
      <c r="A472">
        <v>1997.8666666666668</v>
      </c>
      <c r="B472">
        <v>-1.859014003811944</v>
      </c>
      <c r="C472">
        <f t="shared" si="70"/>
        <v>-57.325613825311301</v>
      </c>
      <c r="D472" s="1"/>
    </row>
    <row r="473" spans="1:4" ht="18" x14ac:dyDescent="0.2">
      <c r="A473">
        <v>1998.0333333333335</v>
      </c>
      <c r="B473">
        <v>-1.7285184183284867</v>
      </c>
      <c r="C473">
        <f t="shared" si="70"/>
        <v>-52.351122106681906</v>
      </c>
      <c r="D473" s="1"/>
    </row>
    <row r="474" spans="1:4" ht="18" x14ac:dyDescent="0.2">
      <c r="A474">
        <v>1998.2000000000003</v>
      </c>
      <c r="B474">
        <v>-1.6272515510312355</v>
      </c>
      <c r="C474">
        <f t="shared" si="70"/>
        <v>-48.490829125310697</v>
      </c>
      <c r="D474" s="1"/>
    </row>
    <row r="475" spans="1:4" ht="18" x14ac:dyDescent="0.2">
      <c r="A475">
        <v>1998.366666666667</v>
      </c>
      <c r="B475">
        <v>-1.740005392727767</v>
      </c>
      <c r="C475">
        <f t="shared" si="70"/>
        <v>-52.789005570782471</v>
      </c>
      <c r="D475" s="1"/>
    </row>
    <row r="476" spans="1:4" ht="18" x14ac:dyDescent="0.2">
      <c r="A476">
        <v>1998.5333333333338</v>
      </c>
      <c r="B476">
        <v>-1.5406239772786203</v>
      </c>
      <c r="C476">
        <f t="shared" si="70"/>
        <v>-45.188586013861006</v>
      </c>
      <c r="D476" s="1"/>
    </row>
    <row r="477" spans="1:4" ht="18" x14ac:dyDescent="0.2">
      <c r="A477">
        <v>1998.7</v>
      </c>
      <c r="B477">
        <v>-2.0487399936653441</v>
      </c>
      <c r="C477">
        <f t="shared" si="70"/>
        <v>-64.557968558522902</v>
      </c>
      <c r="D477" s="1"/>
    </row>
    <row r="478" spans="1:4" ht="18" x14ac:dyDescent="0.2">
      <c r="A478">
        <v>1998.8428571428572</v>
      </c>
      <c r="B478">
        <v>-1.8474330844589071</v>
      </c>
      <c r="C478">
        <f t="shared" si="70"/>
        <v>-56.884149179573534</v>
      </c>
      <c r="D478" s="1"/>
    </row>
    <row r="479" spans="1:4" ht="18" x14ac:dyDescent="0.2">
      <c r="A479">
        <v>1998.9857142857143</v>
      </c>
      <c r="B479">
        <v>-1.7113083576444572</v>
      </c>
      <c r="C479">
        <f t="shared" si="70"/>
        <v>-51.695074593406709</v>
      </c>
      <c r="D479" s="1"/>
    </row>
    <row r="480" spans="1:4" ht="18" x14ac:dyDescent="0.2">
      <c r="A480">
        <v>1999.1285714285714</v>
      </c>
      <c r="B480">
        <v>-1.6439611596425725</v>
      </c>
      <c r="C480">
        <f t="shared" si="70"/>
        <v>-49.127799405574862</v>
      </c>
      <c r="D480" s="1"/>
    </row>
    <row r="481" spans="1:4" ht="18" x14ac:dyDescent="0.2">
      <c r="A481">
        <v>1999.2714285714285</v>
      </c>
      <c r="B481">
        <v>-1.7984865042359786</v>
      </c>
      <c r="C481">
        <f t="shared" si="70"/>
        <v>-55.018305541475492</v>
      </c>
      <c r="D481" s="1"/>
    </row>
    <row r="482" spans="1:4" ht="18" x14ac:dyDescent="0.2">
      <c r="A482">
        <v>1999.4142857142856</v>
      </c>
      <c r="B482">
        <v>-1.7651219413161601</v>
      </c>
      <c r="C482">
        <f t="shared" si="70"/>
        <v>-53.746448402972014</v>
      </c>
      <c r="D482" s="1"/>
    </row>
    <row r="483" spans="1:4" ht="18" x14ac:dyDescent="0.2">
      <c r="A483">
        <v>1999.5571428571427</v>
      </c>
      <c r="B483">
        <v>-2.11886675335532</v>
      </c>
      <c r="C483">
        <f t="shared" si="70"/>
        <v>-67.231200637904806</v>
      </c>
      <c r="D483" s="1"/>
    </row>
    <row r="484" spans="1:4" ht="18" x14ac:dyDescent="0.2">
      <c r="A484">
        <v>1999.7</v>
      </c>
      <c r="B484">
        <v>-2.1215060272706432</v>
      </c>
      <c r="C484">
        <f t="shared" si="70"/>
        <v>-67.331809759556904</v>
      </c>
      <c r="D484" s="1"/>
    </row>
    <row r="485" spans="1:4" ht="18" x14ac:dyDescent="0.2">
      <c r="A485">
        <v>1999.8428571428572</v>
      </c>
      <c r="B485">
        <v>-1.6313435715773041</v>
      </c>
      <c r="C485">
        <f t="shared" si="70"/>
        <v>-48.646816948526833</v>
      </c>
      <c r="D485" s="1"/>
    </row>
    <row r="486" spans="1:4" ht="18" x14ac:dyDescent="0.2">
      <c r="A486">
        <v>1999.9857142857143</v>
      </c>
      <c r="B486">
        <v>-1.7698693097702041</v>
      </c>
      <c r="C486">
        <f t="shared" si="70"/>
        <v>-53.92741808844017</v>
      </c>
      <c r="D486" s="1"/>
    </row>
    <row r="487" spans="1:4" ht="18" x14ac:dyDescent="0.2">
      <c r="A487">
        <v>2000.1285714285714</v>
      </c>
      <c r="B487">
        <v>-1.5246563574977581</v>
      </c>
      <c r="C487">
        <f t="shared" si="70"/>
        <v>-44.579900347814537</v>
      </c>
      <c r="D487" s="1"/>
    </row>
    <row r="488" spans="1:4" ht="18" x14ac:dyDescent="0.2">
      <c r="A488">
        <v>2000.2714285714285</v>
      </c>
      <c r="B488">
        <v>-1.7000989364329508</v>
      </c>
      <c r="C488">
        <f t="shared" si="70"/>
        <v>-51.267771456824086</v>
      </c>
      <c r="D488" s="1"/>
    </row>
    <row r="489" spans="1:4" ht="18" x14ac:dyDescent="0.2">
      <c r="A489">
        <v>2000.4142857142856</v>
      </c>
      <c r="B489">
        <v>-2.1623443772086217</v>
      </c>
      <c r="C489">
        <f t="shared" si="70"/>
        <v>-68.88856765919266</v>
      </c>
      <c r="D489" s="1"/>
    </row>
    <row r="490" spans="1:4" ht="18" x14ac:dyDescent="0.2">
      <c r="A490">
        <v>2000.5571428571427</v>
      </c>
      <c r="B490">
        <v>-2.3936564986828506</v>
      </c>
      <c r="C490">
        <f t="shared" si="70"/>
        <v>-77.706185729790263</v>
      </c>
      <c r="D490" s="1"/>
    </row>
    <row r="491" spans="1:4" ht="18" x14ac:dyDescent="0.2">
      <c r="A491">
        <v>2000.7</v>
      </c>
      <c r="B491">
        <v>-2.436543503456905</v>
      </c>
      <c r="C491">
        <f t="shared" si="70"/>
        <v>-79.3410383517772</v>
      </c>
      <c r="D491" s="1"/>
    </row>
    <row r="492" spans="1:4" ht="18" x14ac:dyDescent="0.2">
      <c r="A492">
        <v>2000.8666666666668</v>
      </c>
      <c r="B492">
        <v>-1.767564510113832</v>
      </c>
      <c r="C492">
        <f t="shared" si="70"/>
        <v>-53.839559125539274</v>
      </c>
      <c r="D492" s="1"/>
    </row>
    <row r="493" spans="1:4" ht="18" x14ac:dyDescent="0.2">
      <c r="A493">
        <v>2001.0333333333335</v>
      </c>
      <c r="B493">
        <v>-1.9664827492360129</v>
      </c>
      <c r="C493">
        <f t="shared" si="70"/>
        <v>-61.422322400876801</v>
      </c>
      <c r="D493" s="1"/>
    </row>
    <row r="494" spans="1:4" ht="18" x14ac:dyDescent="0.2">
      <c r="A494">
        <v>2001.2000000000003</v>
      </c>
      <c r="B494">
        <v>-2.1247419649807373</v>
      </c>
      <c r="C494">
        <f t="shared" si="70"/>
        <v>-67.455163705065701</v>
      </c>
      <c r="D494" s="1"/>
    </row>
    <row r="495" spans="1:4" ht="18" x14ac:dyDescent="0.2">
      <c r="A495">
        <v>2001.366666666667</v>
      </c>
      <c r="B495">
        <v>-2.2799851195425247</v>
      </c>
      <c r="C495">
        <f t="shared" si="70"/>
        <v>-73.373032756961038</v>
      </c>
      <c r="D495" s="1"/>
    </row>
    <row r="496" spans="1:4" ht="18" x14ac:dyDescent="0.2">
      <c r="A496">
        <v>2001.5333333333338</v>
      </c>
      <c r="B496">
        <v>-2.2813084085158151</v>
      </c>
      <c r="C496">
        <f t="shared" si="70"/>
        <v>-73.423476532622857</v>
      </c>
      <c r="D496" s="1"/>
    </row>
    <row r="497" spans="1:4" ht="18" x14ac:dyDescent="0.2">
      <c r="A497">
        <v>2001.7</v>
      </c>
      <c r="B497">
        <v>-2.9135866596965494</v>
      </c>
      <c r="C497">
        <f t="shared" si="70"/>
        <v>-97.525923467632452</v>
      </c>
      <c r="D497" s="1"/>
    </row>
    <row r="498" spans="1:4" ht="18" x14ac:dyDescent="0.2">
      <c r="A498">
        <v>2001.8666666666668</v>
      </c>
      <c r="B498">
        <v>-2.7215357211350328</v>
      </c>
      <c r="C498">
        <f t="shared" si="70"/>
        <v>-90.204941689667436</v>
      </c>
      <c r="D498" s="1"/>
    </row>
    <row r="499" spans="1:4" ht="18" x14ac:dyDescent="0.2">
      <c r="A499">
        <v>2002.0333333333335</v>
      </c>
      <c r="B499">
        <v>-2.011163019615287</v>
      </c>
      <c r="C499">
        <f t="shared" si="70"/>
        <v>-63.125534307734732</v>
      </c>
      <c r="D499" s="1"/>
    </row>
    <row r="500" spans="1:4" ht="18" x14ac:dyDescent="0.2">
      <c r="A500">
        <v>2002.2000000000003</v>
      </c>
      <c r="B500">
        <v>-1.9310589532279532</v>
      </c>
      <c r="C500">
        <f t="shared" si="70"/>
        <v>-60.071967297049575</v>
      </c>
      <c r="D500" s="1"/>
    </row>
    <row r="501" spans="1:4" ht="18" x14ac:dyDescent="0.2">
      <c r="A501">
        <v>2002.366666666667</v>
      </c>
      <c r="B501">
        <v>-2.0353879726640054</v>
      </c>
      <c r="C501">
        <f t="shared" si="70"/>
        <v>-64.048989517951895</v>
      </c>
      <c r="D501" s="1"/>
    </row>
    <row r="502" spans="1:4" ht="18" x14ac:dyDescent="0.2">
      <c r="A502">
        <v>2002.5333333333338</v>
      </c>
      <c r="B502">
        <v>-2.3870277125222068</v>
      </c>
      <c r="C502">
        <f t="shared" si="70"/>
        <v>-77.453496401346513</v>
      </c>
      <c r="D502" s="1"/>
    </row>
    <row r="503" spans="1:4" ht="18" x14ac:dyDescent="0.2">
      <c r="A503">
        <v>2002.7</v>
      </c>
      <c r="B503">
        <v>-2.3211496322556098</v>
      </c>
      <c r="C503">
        <f t="shared" si="70"/>
        <v>-74.942223981583851</v>
      </c>
      <c r="D503" s="1"/>
    </row>
    <row r="504" spans="1:4" ht="18" x14ac:dyDescent="0.2">
      <c r="A504">
        <v>2002.8666666666668</v>
      </c>
      <c r="B504">
        <v>-2.4361324628013268</v>
      </c>
      <c r="C504">
        <f t="shared" si="70"/>
        <v>-79.32536948198657</v>
      </c>
      <c r="D504" s="1"/>
    </row>
    <row r="505" spans="1:4" ht="18" x14ac:dyDescent="0.2">
      <c r="A505">
        <v>2003.0333333333335</v>
      </c>
      <c r="B505">
        <v>-2.5185808713590792</v>
      </c>
      <c r="C505">
        <f t="shared" si="70"/>
        <v>-82.46830281620808</v>
      </c>
      <c r="D505" s="1"/>
    </row>
    <row r="506" spans="1:4" ht="18" x14ac:dyDescent="0.2">
      <c r="A506">
        <v>2003.2000000000003</v>
      </c>
      <c r="B506">
        <v>-2.6833255631339186</v>
      </c>
      <c r="C506">
        <f t="shared" si="70"/>
        <v>-88.748370466664966</v>
      </c>
      <c r="D506" s="1"/>
    </row>
    <row r="507" spans="1:4" ht="18" x14ac:dyDescent="0.2">
      <c r="A507">
        <v>2003.366666666667</v>
      </c>
      <c r="B507">
        <v>-2.3248182708519067</v>
      </c>
      <c r="C507">
        <f t="shared" si="70"/>
        <v>-75.082072484874686</v>
      </c>
      <c r="D507" s="1"/>
    </row>
    <row r="508" spans="1:4" ht="18" x14ac:dyDescent="0.2">
      <c r="A508">
        <v>2003.5333333333338</v>
      </c>
      <c r="B508">
        <v>-1.9832298854562227</v>
      </c>
      <c r="C508">
        <f t="shared" si="70"/>
        <v>-62.060723233591212</v>
      </c>
      <c r="D508" s="1"/>
    </row>
    <row r="509" spans="1:4" ht="18" x14ac:dyDescent="0.2">
      <c r="A509">
        <v>2003.7</v>
      </c>
      <c r="B509">
        <v>-1.6088866978191254</v>
      </c>
      <c r="C509">
        <f t="shared" si="70"/>
        <v>-47.790760920865054</v>
      </c>
      <c r="D509" s="1"/>
    </row>
    <row r="510" spans="1:4" ht="18" x14ac:dyDescent="0.2">
      <c r="A510">
        <v>2003.8666666666668</v>
      </c>
      <c r="B510">
        <v>-1.9221361975262496</v>
      </c>
      <c r="C510">
        <f t="shared" si="70"/>
        <v>-59.731831849700633</v>
      </c>
      <c r="D510" s="1"/>
    </row>
    <row r="511" spans="1:4" ht="18" x14ac:dyDescent="0.2">
      <c r="A511">
        <v>2004.0333333333335</v>
      </c>
      <c r="B511">
        <v>-2.0693826971771188</v>
      </c>
      <c r="C511">
        <f t="shared" si="70"/>
        <v>-65.344868416391762</v>
      </c>
      <c r="D511" s="1"/>
    </row>
    <row r="512" spans="1:4" ht="18" x14ac:dyDescent="0.2">
      <c r="A512">
        <v>2004.2000000000003</v>
      </c>
      <c r="B512">
        <v>-2.1637190462638589</v>
      </c>
      <c r="C512">
        <f t="shared" si="70"/>
        <v>-68.94097004357829</v>
      </c>
      <c r="D512" s="1"/>
    </row>
    <row r="513" spans="1:4" ht="18" x14ac:dyDescent="0.2">
      <c r="A513">
        <v>2004.366666666667</v>
      </c>
      <c r="B513">
        <v>-2.3352534647501484</v>
      </c>
      <c r="C513">
        <f t="shared" si="70"/>
        <v>-75.479862076275651</v>
      </c>
      <c r="D513" s="1"/>
    </row>
    <row r="514" spans="1:4" ht="18" x14ac:dyDescent="0.2">
      <c r="A514">
        <v>2004.5333333333338</v>
      </c>
      <c r="B514">
        <v>-2.3012970234353487</v>
      </c>
      <c r="C514">
        <f t="shared" ref="C514:C566" si="71">38.12*B514+13.54</f>
        <v>-74.185442533355484</v>
      </c>
      <c r="D514" s="1"/>
    </row>
    <row r="515" spans="1:4" ht="18" x14ac:dyDescent="0.2">
      <c r="A515">
        <v>2004.7</v>
      </c>
      <c r="B515">
        <v>-1.9486014732657599</v>
      </c>
      <c r="C515">
        <f t="shared" si="71"/>
        <v>-60.740688160890763</v>
      </c>
      <c r="D515" s="1"/>
    </row>
    <row r="516" spans="1:4" ht="18" x14ac:dyDescent="0.2">
      <c r="A516">
        <v>2004.8666666666668</v>
      </c>
      <c r="B516">
        <v>-2.0898788163374555</v>
      </c>
      <c r="C516">
        <f t="shared" si="71"/>
        <v>-66.126180478783795</v>
      </c>
      <c r="D516" s="1"/>
    </row>
    <row r="517" spans="1:4" ht="18" x14ac:dyDescent="0.2">
      <c r="A517">
        <v>2005.0333333333335</v>
      </c>
      <c r="B517">
        <v>-1.8554393101694036</v>
      </c>
      <c r="C517">
        <f t="shared" si="71"/>
        <v>-57.189346503657653</v>
      </c>
      <c r="D517" s="1"/>
    </row>
    <row r="518" spans="1:4" ht="18" x14ac:dyDescent="0.2">
      <c r="A518">
        <v>2005.2000000000003</v>
      </c>
      <c r="B518">
        <v>-1.8312047863211063</v>
      </c>
      <c r="C518">
        <f t="shared" si="71"/>
        <v>-56.265526454560565</v>
      </c>
      <c r="D518" s="1"/>
    </row>
    <row r="519" spans="1:4" ht="18" x14ac:dyDescent="0.2">
      <c r="A519">
        <v>2005.366666666667</v>
      </c>
      <c r="B519">
        <v>-2.1768375901281134</v>
      </c>
      <c r="C519">
        <f t="shared" si="71"/>
        <v>-69.441048935683682</v>
      </c>
      <c r="D519" s="1"/>
    </row>
    <row r="520" spans="1:4" ht="18" x14ac:dyDescent="0.2">
      <c r="A520">
        <v>2005.5333333333338</v>
      </c>
      <c r="B520">
        <v>-2.9958660680827993</v>
      </c>
      <c r="C520">
        <f t="shared" si="71"/>
        <v>-100.6624145153163</v>
      </c>
      <c r="D520" s="1"/>
    </row>
    <row r="521" spans="1:4" ht="18" x14ac:dyDescent="0.2">
      <c r="A521">
        <v>2005.7</v>
      </c>
      <c r="B521">
        <v>-2.7266568544989291</v>
      </c>
      <c r="C521">
        <f t="shared" si="71"/>
        <v>-90.400159293499172</v>
      </c>
      <c r="D521" s="1"/>
    </row>
    <row r="522" spans="1:4" ht="18" x14ac:dyDescent="0.2">
      <c r="A522">
        <v>2005.8666666666668</v>
      </c>
      <c r="B522">
        <v>-2.8618517025753913</v>
      </c>
      <c r="C522">
        <f t="shared" si="71"/>
        <v>-95.553786902173925</v>
      </c>
      <c r="D522" s="1"/>
    </row>
    <row r="523" spans="1:4" ht="18" x14ac:dyDescent="0.2">
      <c r="A523">
        <v>2006.0333333333335</v>
      </c>
      <c r="B523">
        <v>-2.1372255618519072</v>
      </c>
      <c r="C523">
        <f t="shared" si="71"/>
        <v>-67.931038417794696</v>
      </c>
      <c r="D523" s="1"/>
    </row>
    <row r="524" spans="1:4" ht="18" x14ac:dyDescent="0.2">
      <c r="A524">
        <v>2006.2000000000003</v>
      </c>
      <c r="B524">
        <v>-2.4131174603098375</v>
      </c>
      <c r="C524">
        <f t="shared" si="71"/>
        <v>-78.448037587011015</v>
      </c>
      <c r="D524" s="1"/>
    </row>
    <row r="525" spans="1:4" ht="18" x14ac:dyDescent="0.2">
      <c r="A525">
        <v>2006.366666666667</v>
      </c>
      <c r="B525">
        <v>-2.2878165522291418</v>
      </c>
      <c r="C525">
        <f t="shared" si="71"/>
        <v>-73.671566970974879</v>
      </c>
      <c r="D525" s="1"/>
    </row>
    <row r="526" spans="1:4" ht="18" x14ac:dyDescent="0.2">
      <c r="A526">
        <v>2006.5333333333338</v>
      </c>
      <c r="B526">
        <v>-2.8879255829847734</v>
      </c>
      <c r="C526">
        <f t="shared" si="71"/>
        <v>-96.547723223379563</v>
      </c>
      <c r="D526" s="1"/>
    </row>
    <row r="527" spans="1:4" ht="18" x14ac:dyDescent="0.2">
      <c r="A527">
        <v>2006.7</v>
      </c>
      <c r="B527">
        <v>-3.2412905853985583</v>
      </c>
      <c r="C527">
        <f t="shared" si="71"/>
        <v>-110.01799711539303</v>
      </c>
      <c r="D527" s="1"/>
    </row>
    <row r="528" spans="1:4" ht="18" x14ac:dyDescent="0.2">
      <c r="A528">
        <v>2006.8666666666668</v>
      </c>
      <c r="B528">
        <v>-2.7864960120946889</v>
      </c>
      <c r="C528">
        <f t="shared" si="71"/>
        <v>-92.681227981049545</v>
      </c>
      <c r="D528" s="1"/>
    </row>
    <row r="529" spans="1:4" ht="19" thickBot="1" x14ac:dyDescent="0.25">
      <c r="A529">
        <v>2007.0333333333335</v>
      </c>
      <c r="B529">
        <v>-2.5448532199281408</v>
      </c>
      <c r="C529">
        <f t="shared" si="71"/>
        <v>-83.469804743660717</v>
      </c>
      <c r="D529" s="2"/>
    </row>
    <row r="530" spans="1:4" x14ac:dyDescent="0.2">
      <c r="A530">
        <v>2007.2000000000003</v>
      </c>
      <c r="B530">
        <v>-1.8603909396355029</v>
      </c>
      <c r="C530">
        <f t="shared" si="71"/>
        <v>-57.378102618905366</v>
      </c>
    </row>
    <row r="531" spans="1:4" x14ac:dyDescent="0.2">
      <c r="A531">
        <v>2007.366666666667</v>
      </c>
      <c r="B531">
        <v>-2.4331602258059331</v>
      </c>
      <c r="C531">
        <f t="shared" si="71"/>
        <v>-79.21206780772215</v>
      </c>
    </row>
    <row r="532" spans="1:4" x14ac:dyDescent="0.2">
      <c r="A532">
        <v>2007.5333333333338</v>
      </c>
      <c r="B532">
        <v>-2.5851165663019735</v>
      </c>
      <c r="C532">
        <f t="shared" si="71"/>
        <v>-85.004643507431211</v>
      </c>
    </row>
    <row r="533" spans="1:4" x14ac:dyDescent="0.2">
      <c r="A533">
        <v>2007.7</v>
      </c>
      <c r="B533">
        <v>-2.695089335131533</v>
      </c>
      <c r="C533">
        <f t="shared" si="71"/>
        <v>-89.196805455214047</v>
      </c>
    </row>
    <row r="534" spans="1:4" x14ac:dyDescent="0.2">
      <c r="A534">
        <v>2007.1</v>
      </c>
      <c r="B534">
        <v>-2.1848087999999999</v>
      </c>
      <c r="C534">
        <f t="shared" si="71"/>
        <v>-69.744911455999983</v>
      </c>
    </row>
    <row r="535" spans="1:4" x14ac:dyDescent="0.2">
      <c r="A535">
        <v>2007.2</v>
      </c>
      <c r="B535">
        <v>-1.625956</v>
      </c>
      <c r="C535">
        <f t="shared" si="71"/>
        <v>-48.441442719999998</v>
      </c>
    </row>
    <row r="536" spans="1:4" x14ac:dyDescent="0.2">
      <c r="A536">
        <v>2007.4</v>
      </c>
      <c r="B536">
        <v>-0.90115040000000002</v>
      </c>
      <c r="C536">
        <f t="shared" si="71"/>
        <v>-20.811853247999998</v>
      </c>
    </row>
    <row r="537" spans="1:4" x14ac:dyDescent="0.2">
      <c r="A537">
        <v>2007.45</v>
      </c>
      <c r="B537">
        <v>-1.1010248</v>
      </c>
      <c r="C537">
        <f t="shared" si="71"/>
        <v>-28.431065375999999</v>
      </c>
    </row>
    <row r="538" spans="1:4" x14ac:dyDescent="0.2">
      <c r="A538">
        <v>2007.5</v>
      </c>
      <c r="B538">
        <v>-2.3102152</v>
      </c>
      <c r="C538">
        <f t="shared" si="71"/>
        <v>-74.52540342399999</v>
      </c>
    </row>
    <row r="539" spans="1:4" x14ac:dyDescent="0.2">
      <c r="A539">
        <v>2007.6666666666665</v>
      </c>
      <c r="B539">
        <v>-1.3197927999999999</v>
      </c>
      <c r="C539">
        <f t="shared" si="71"/>
        <v>-36.77050153599999</v>
      </c>
    </row>
    <row r="540" spans="1:4" x14ac:dyDescent="0.2">
      <c r="A540">
        <v>2007.8333333333333</v>
      </c>
      <c r="B540">
        <v>-1.6539112</v>
      </c>
      <c r="C540">
        <f t="shared" si="71"/>
        <v>-49.507094943999995</v>
      </c>
    </row>
    <row r="541" spans="1:4" x14ac:dyDescent="0.2">
      <c r="A541">
        <v>2008</v>
      </c>
      <c r="B541">
        <v>-2.5379328000000001</v>
      </c>
      <c r="C541">
        <f t="shared" si="71"/>
        <v>-83.205998335999993</v>
      </c>
    </row>
    <row r="542" spans="1:4" x14ac:dyDescent="0.2">
      <c r="A542">
        <v>2008.1999999999998</v>
      </c>
      <c r="B542">
        <v>-2.7626672000000001</v>
      </c>
      <c r="C542">
        <f t="shared" si="71"/>
        <v>-91.772873664000002</v>
      </c>
    </row>
    <row r="543" spans="1:4" x14ac:dyDescent="0.2">
      <c r="A543">
        <v>2008.3999999999999</v>
      </c>
      <c r="B543">
        <v>-2.7089696000000001</v>
      </c>
      <c r="C543">
        <f t="shared" si="71"/>
        <v>-89.725921151999984</v>
      </c>
    </row>
    <row r="544" spans="1:4" x14ac:dyDescent="0.2">
      <c r="A544">
        <v>2008.6</v>
      </c>
      <c r="B544">
        <v>-1.7652840000000001</v>
      </c>
      <c r="C544">
        <f t="shared" si="71"/>
        <v>-53.752626080000006</v>
      </c>
    </row>
    <row r="545" spans="1:3" x14ac:dyDescent="0.2">
      <c r="A545">
        <v>2008.8</v>
      </c>
      <c r="B545">
        <v>-1.4948072000000001</v>
      </c>
      <c r="C545">
        <f t="shared" si="71"/>
        <v>-43.442050464000005</v>
      </c>
    </row>
    <row r="546" spans="1:3" x14ac:dyDescent="0.2">
      <c r="A546">
        <v>2009</v>
      </c>
      <c r="B546">
        <v>-2.4553976</v>
      </c>
      <c r="C546">
        <f t="shared" si="71"/>
        <v>-80.059756512000007</v>
      </c>
    </row>
    <row r="547" spans="1:3" x14ac:dyDescent="0.2">
      <c r="A547">
        <v>2009.1111111111113</v>
      </c>
      <c r="B547">
        <v>-2.9317151999999997</v>
      </c>
      <c r="C547">
        <f t="shared" si="71"/>
        <v>-98.216983423999977</v>
      </c>
    </row>
    <row r="548" spans="1:3" x14ac:dyDescent="0.2">
      <c r="A548">
        <v>2009.2222222222224</v>
      </c>
      <c r="B548">
        <v>-2.6393616</v>
      </c>
      <c r="C548">
        <f t="shared" si="71"/>
        <v>-87.072464191999984</v>
      </c>
    </row>
    <row r="549" spans="1:3" x14ac:dyDescent="0.2">
      <c r="A549">
        <v>2009.3333333333335</v>
      </c>
      <c r="B549">
        <v>-2.5588151999999997</v>
      </c>
      <c r="C549">
        <f t="shared" si="71"/>
        <v>-84.002035423999985</v>
      </c>
    </row>
    <row r="550" spans="1:3" x14ac:dyDescent="0.2">
      <c r="A550">
        <v>2009.4444444444446</v>
      </c>
      <c r="B550">
        <v>-2.1063631999999997</v>
      </c>
      <c r="C550">
        <f t="shared" si="71"/>
        <v>-66.754565183999972</v>
      </c>
    </row>
    <row r="551" spans="1:3" x14ac:dyDescent="0.2">
      <c r="A551">
        <v>2009.5555555555557</v>
      </c>
      <c r="B551">
        <v>-1.9621751999999999</v>
      </c>
      <c r="C551">
        <f t="shared" si="71"/>
        <v>-61.258118623999998</v>
      </c>
    </row>
    <row r="552" spans="1:3" x14ac:dyDescent="0.2">
      <c r="A552">
        <v>2009.6666666666667</v>
      </c>
      <c r="B552">
        <v>-2.2187303999999997</v>
      </c>
      <c r="C552">
        <f t="shared" si="71"/>
        <v>-71.038002847999991</v>
      </c>
    </row>
    <row r="553" spans="1:3" x14ac:dyDescent="0.2">
      <c r="A553">
        <v>2009.7777777777778</v>
      </c>
      <c r="B553">
        <v>-3.2141248</v>
      </c>
      <c r="C553">
        <f t="shared" si="71"/>
        <v>-108.98243737599998</v>
      </c>
    </row>
    <row r="554" spans="1:3" x14ac:dyDescent="0.2">
      <c r="A554">
        <v>2009.8888888888889</v>
      </c>
      <c r="B554">
        <v>-2.9466312000000001</v>
      </c>
      <c r="C554">
        <f t="shared" si="71"/>
        <v>-98.785581344000008</v>
      </c>
    </row>
    <row r="555" spans="1:3" x14ac:dyDescent="0.2">
      <c r="A555">
        <v>2010</v>
      </c>
      <c r="B555">
        <v>-2.3847952000000001</v>
      </c>
      <c r="C555">
        <f t="shared" si="71"/>
        <v>-77.368393024</v>
      </c>
    </row>
    <row r="556" spans="1:3" x14ac:dyDescent="0.2">
      <c r="A556">
        <v>2010.25</v>
      </c>
      <c r="B556">
        <v>-2.5687592000000001</v>
      </c>
      <c r="C556">
        <f t="shared" si="71"/>
        <v>-84.381100704000005</v>
      </c>
    </row>
    <row r="557" spans="1:3" x14ac:dyDescent="0.2">
      <c r="A557">
        <v>2010.5</v>
      </c>
      <c r="B557">
        <v>-1.914444</v>
      </c>
      <c r="C557">
        <f t="shared" si="71"/>
        <v>-59.438605279999997</v>
      </c>
    </row>
    <row r="558" spans="1:3" x14ac:dyDescent="0.2">
      <c r="A558">
        <v>2010.75</v>
      </c>
      <c r="B558">
        <v>-1.6499336</v>
      </c>
      <c r="C558">
        <f t="shared" si="71"/>
        <v>-49.355468832</v>
      </c>
    </row>
    <row r="559" spans="1:3" x14ac:dyDescent="0.2">
      <c r="A559">
        <v>2011</v>
      </c>
      <c r="B559">
        <v>-1.5186728</v>
      </c>
      <c r="C559">
        <f t="shared" si="71"/>
        <v>-44.351807135999998</v>
      </c>
    </row>
    <row r="560" spans="1:3" x14ac:dyDescent="0.2">
      <c r="A560">
        <v>2011.1428571428573</v>
      </c>
      <c r="B560">
        <v>-1.9501303999999999</v>
      </c>
      <c r="C560">
        <f t="shared" si="71"/>
        <v>-60.798970847999989</v>
      </c>
    </row>
    <row r="561" spans="1:3" x14ac:dyDescent="0.2">
      <c r="A561">
        <v>2011.2857142857144</v>
      </c>
      <c r="B561">
        <v>-2.0457047999999998</v>
      </c>
      <c r="C561">
        <f t="shared" si="71"/>
        <v>-64.442266975999985</v>
      </c>
    </row>
    <row r="562" spans="1:3" x14ac:dyDescent="0.2">
      <c r="A562">
        <v>2011.4285714285716</v>
      </c>
      <c r="B562">
        <v>-2.2237024000000001</v>
      </c>
      <c r="C562">
        <f t="shared" si="71"/>
        <v>-71.227535488000001</v>
      </c>
    </row>
    <row r="563" spans="1:3" x14ac:dyDescent="0.2">
      <c r="A563">
        <v>2011.5714285714287</v>
      </c>
      <c r="B563">
        <v>-1.8537855999999999</v>
      </c>
      <c r="C563">
        <f t="shared" si="71"/>
        <v>-57.126307071999996</v>
      </c>
    </row>
    <row r="564" spans="1:3" x14ac:dyDescent="0.2">
      <c r="A564">
        <v>2011.7142857142858</v>
      </c>
      <c r="B564">
        <v>-2.4126384000000001</v>
      </c>
      <c r="C564">
        <f t="shared" si="71"/>
        <v>-78.429775807999988</v>
      </c>
    </row>
    <row r="565" spans="1:3" x14ac:dyDescent="0.2">
      <c r="A565">
        <v>2011.8571428571429</v>
      </c>
      <c r="B565">
        <v>-1.6936872000000001</v>
      </c>
      <c r="C565">
        <f t="shared" si="71"/>
        <v>-51.023356064000005</v>
      </c>
    </row>
    <row r="566" spans="1:3" x14ac:dyDescent="0.2">
      <c r="A566">
        <v>2012</v>
      </c>
      <c r="B566">
        <v>-1.4828744</v>
      </c>
      <c r="C566">
        <f t="shared" si="71"/>
        <v>-42.987172127999997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2025-04-23T21:02:33Z</dcterms:created>
  <dcterms:modified xsi:type="dcterms:W3CDTF">2025-04-26T01:17:46Z</dcterms:modified>
</cp:coreProperties>
</file>