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c2389\Box\Documents\Stable Isotope Lab\2025\Gasbench Carbonates\April\"/>
    </mc:Choice>
  </mc:AlternateContent>
  <xr:revisionPtr revIDLastSave="0" documentId="13_ncr:1_{06652F92-EA63-4FA3-ACB1-9D18EDE4A8AF}" xr6:coauthVersionLast="47" xr6:coauthVersionMax="47" xr10:uidLastSave="{00000000-0000-0000-0000-000000000000}"/>
  <bookViews>
    <workbookView xWindow="-120" yWindow="-120" windowWidth="29040" windowHeight="15720" xr2:uid="{71169EAB-FDF2-413B-957A-FE2A07162272}"/>
  </bookViews>
  <sheets>
    <sheet name="FINAL REPORTED" sheetId="5" r:id="rId1"/>
    <sheet name="3-Format-Final" sheetId="8" state="hidden" r:id="rId2"/>
    <sheet name="RAW_Corrected" sheetId="4" r:id="rId3"/>
    <sheet name="2-Full_Sorted" sheetId="7" state="hidden" r:id="rId4"/>
    <sheet name="Standards" sheetId="3" r:id="rId5"/>
    <sheet name="1-Sorted_standards" sheetId="2" r:id="rId6"/>
    <sheet name="Raw All" sheetId="1" r:id="rId7"/>
  </sheets>
  <definedNames>
    <definedName name="_xlnm._FilterDatabase" localSheetId="1" hidden="1">'3-Format-Final'!$A$2:$AK$279</definedName>
    <definedName name="_xlnm._FilterDatabase" localSheetId="6" hidden="1">'Raw All'!$A$2:$S$1200</definedName>
    <definedName name="gasbenchCO2template.wk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8" i="5" l="1"/>
  <c r="K137" i="5"/>
  <c r="J138" i="5"/>
  <c r="J137" i="5"/>
  <c r="AA388" i="4"/>
  <c r="Z388" i="4"/>
  <c r="AA387" i="4"/>
  <c r="Z387" i="4"/>
  <c r="Y386" i="4"/>
  <c r="X342" i="4"/>
  <c r="AA342" i="4" s="1"/>
  <c r="W342" i="4"/>
  <c r="T342" i="4"/>
  <c r="Z342" i="4" s="1"/>
  <c r="S342" i="4"/>
  <c r="X340" i="4"/>
  <c r="AA340" i="4" s="1"/>
  <c r="W340" i="4"/>
  <c r="S340" i="4"/>
  <c r="T340" i="4" s="1"/>
  <c r="Z340" i="4" s="1"/>
  <c r="X338" i="4"/>
  <c r="AA338" i="4" s="1"/>
  <c r="W338" i="4"/>
  <c r="T338" i="4"/>
  <c r="Z338" i="4" s="1"/>
  <c r="S338" i="4"/>
  <c r="X336" i="4"/>
  <c r="AA336" i="4" s="1"/>
  <c r="W336" i="4"/>
  <c r="T336" i="4"/>
  <c r="Z336" i="4" s="1"/>
  <c r="S336" i="4"/>
  <c r="W330" i="4"/>
  <c r="X330" i="4" s="1"/>
  <c r="AA330" i="4" s="1"/>
  <c r="S330" i="4"/>
  <c r="T330" i="4" s="1"/>
  <c r="Z330" i="4" s="1"/>
  <c r="X328" i="4"/>
  <c r="AA328" i="4" s="1"/>
  <c r="W328" i="4"/>
  <c r="T328" i="4"/>
  <c r="Z328" i="4" s="1"/>
  <c r="S328" i="4"/>
  <c r="W326" i="4"/>
  <c r="X326" i="4" s="1"/>
  <c r="AA326" i="4" s="1"/>
  <c r="T326" i="4"/>
  <c r="Z326" i="4" s="1"/>
  <c r="S326" i="4"/>
  <c r="X324" i="4"/>
  <c r="AA324" i="4" s="1"/>
  <c r="W324" i="4"/>
  <c r="T324" i="4"/>
  <c r="Z324" i="4" s="1"/>
  <c r="S324" i="4"/>
  <c r="W322" i="4"/>
  <c r="X322" i="4" s="1"/>
  <c r="AA322" i="4" s="1"/>
  <c r="S322" i="4"/>
  <c r="T322" i="4" s="1"/>
  <c r="Z322" i="4" s="1"/>
  <c r="W320" i="4"/>
  <c r="X320" i="4" s="1"/>
  <c r="AA320" i="4" s="1"/>
  <c r="T320" i="4"/>
  <c r="Z320" i="4" s="1"/>
  <c r="S320" i="4"/>
  <c r="X318" i="4"/>
  <c r="AA318" i="4" s="1"/>
  <c r="W318" i="4"/>
  <c r="S318" i="4"/>
  <c r="T318" i="4" s="1"/>
  <c r="Z318" i="4" s="1"/>
  <c r="X316" i="4"/>
  <c r="AA316" i="4" s="1"/>
  <c r="W316" i="4"/>
  <c r="S316" i="4"/>
  <c r="T316" i="4" s="1"/>
  <c r="Z316" i="4" s="1"/>
  <c r="W314" i="4"/>
  <c r="X314" i="4" s="1"/>
  <c r="AA314" i="4" s="1"/>
  <c r="T314" i="4"/>
  <c r="Z314" i="4" s="1"/>
  <c r="S314" i="4"/>
  <c r="X312" i="4"/>
  <c r="AA312" i="4" s="1"/>
  <c r="W312" i="4"/>
  <c r="T312" i="4"/>
  <c r="Z312" i="4" s="1"/>
  <c r="S312" i="4"/>
  <c r="X306" i="4"/>
  <c r="AA306" i="4" s="1"/>
  <c r="W306" i="4"/>
  <c r="T306" i="4"/>
  <c r="Z306" i="4" s="1"/>
  <c r="S306" i="4"/>
  <c r="W304" i="4"/>
  <c r="X304" i="4" s="1"/>
  <c r="AA304" i="4" s="1"/>
  <c r="S304" i="4"/>
  <c r="T304" i="4" s="1"/>
  <c r="Z304" i="4" s="1"/>
  <c r="X302" i="4"/>
  <c r="AA302" i="4" s="1"/>
  <c r="W302" i="4"/>
  <c r="T302" i="4"/>
  <c r="Z302" i="4" s="1"/>
  <c r="S302" i="4"/>
  <c r="W300" i="4"/>
  <c r="X300" i="4" s="1"/>
  <c r="AA300" i="4" s="1"/>
  <c r="T300" i="4"/>
  <c r="Z300" i="4" s="1"/>
  <c r="S300" i="4"/>
  <c r="W298" i="4"/>
  <c r="X298" i="4" s="1"/>
  <c r="AA298" i="4" s="1"/>
  <c r="S298" i="4"/>
  <c r="T298" i="4" s="1"/>
  <c r="Z298" i="4" s="1"/>
  <c r="X296" i="4"/>
  <c r="AA296" i="4" s="1"/>
  <c r="W296" i="4"/>
  <c r="T296" i="4"/>
  <c r="Z296" i="4" s="1"/>
  <c r="S296" i="4"/>
  <c r="W294" i="4"/>
  <c r="X294" i="4" s="1"/>
  <c r="AA294" i="4" s="1"/>
  <c r="S294" i="4"/>
  <c r="T294" i="4" s="1"/>
  <c r="Z294" i="4" s="1"/>
  <c r="W292" i="4"/>
  <c r="X292" i="4" s="1"/>
  <c r="AA292" i="4" s="1"/>
  <c r="S292" i="4"/>
  <c r="T292" i="4" s="1"/>
  <c r="Z292" i="4" s="1"/>
  <c r="W290" i="4"/>
  <c r="X290" i="4" s="1"/>
  <c r="AA290" i="4" s="1"/>
  <c r="S290" i="4"/>
  <c r="T290" i="4" s="1"/>
  <c r="Z290" i="4" s="1"/>
  <c r="X288" i="4"/>
  <c r="AA288" i="4" s="1"/>
  <c r="W288" i="4"/>
  <c r="S288" i="4"/>
  <c r="T288" i="4" s="1"/>
  <c r="Z288" i="4" s="1"/>
  <c r="W282" i="4"/>
  <c r="X282" i="4" s="1"/>
  <c r="AA282" i="4" s="1"/>
  <c r="S282" i="4"/>
  <c r="T282" i="4" s="1"/>
  <c r="Z282" i="4" s="1"/>
  <c r="X280" i="4"/>
  <c r="AA280" i="4" s="1"/>
  <c r="W280" i="4"/>
  <c r="S280" i="4"/>
  <c r="T280" i="4" s="1"/>
  <c r="Z280" i="4" s="1"/>
  <c r="W278" i="4"/>
  <c r="X278" i="4" s="1"/>
  <c r="AA278" i="4" s="1"/>
  <c r="T278" i="4"/>
  <c r="Z278" i="4" s="1"/>
  <c r="S278" i="4"/>
  <c r="X276" i="4"/>
  <c r="AA276" i="4" s="1"/>
  <c r="W276" i="4"/>
  <c r="S276" i="4"/>
  <c r="T276" i="4" s="1"/>
  <c r="Z276" i="4" s="1"/>
  <c r="W274" i="4"/>
  <c r="X274" i="4" s="1"/>
  <c r="AA274" i="4" s="1"/>
  <c r="T274" i="4"/>
  <c r="Z274" i="4" s="1"/>
  <c r="S274" i="4"/>
  <c r="W272" i="4"/>
  <c r="X272" i="4" s="1"/>
  <c r="AA272" i="4" s="1"/>
  <c r="S272" i="4"/>
  <c r="T272" i="4" s="1"/>
  <c r="Z272" i="4" s="1"/>
  <c r="X270" i="4"/>
  <c r="AA270" i="4" s="1"/>
  <c r="W270" i="4"/>
  <c r="T270" i="4"/>
  <c r="Z270" i="4" s="1"/>
  <c r="S270" i="4"/>
  <c r="W268" i="4"/>
  <c r="X268" i="4" s="1"/>
  <c r="AA268" i="4" s="1"/>
  <c r="T268" i="4"/>
  <c r="Z268" i="4" s="1"/>
  <c r="S268" i="4"/>
  <c r="X266" i="4"/>
  <c r="AA266" i="4" s="1"/>
  <c r="W266" i="4"/>
  <c r="T266" i="4"/>
  <c r="Z266" i="4" s="1"/>
  <c r="S266" i="4"/>
  <c r="W264" i="4"/>
  <c r="X264" i="4" s="1"/>
  <c r="AA264" i="4" s="1"/>
  <c r="T264" i="4"/>
  <c r="Z264" i="4" s="1"/>
  <c r="S264" i="4"/>
  <c r="X258" i="4"/>
  <c r="AA258" i="4" s="1"/>
  <c r="W258" i="4"/>
  <c r="T258" i="4"/>
  <c r="Z258" i="4" s="1"/>
  <c r="S258" i="4"/>
  <c r="W256" i="4"/>
  <c r="X256" i="4" s="1"/>
  <c r="AA256" i="4" s="1"/>
  <c r="T256" i="4"/>
  <c r="Z256" i="4" s="1"/>
  <c r="S256" i="4"/>
  <c r="W254" i="4"/>
  <c r="X254" i="4" s="1"/>
  <c r="AA254" i="4" s="1"/>
  <c r="T254" i="4"/>
  <c r="Z254" i="4" s="1"/>
  <c r="S254" i="4"/>
  <c r="X252" i="4"/>
  <c r="AA252" i="4" s="1"/>
  <c r="W252" i="4"/>
  <c r="S252" i="4"/>
  <c r="T252" i="4" s="1"/>
  <c r="Z252" i="4" s="1"/>
  <c r="X250" i="4"/>
  <c r="AA250" i="4" s="1"/>
  <c r="W250" i="4"/>
  <c r="S250" i="4"/>
  <c r="T250" i="4" s="1"/>
  <c r="Z250" i="4" s="1"/>
  <c r="W248" i="4"/>
  <c r="X248" i="4" s="1"/>
  <c r="AA248" i="4" s="1"/>
  <c r="T248" i="4"/>
  <c r="Z248" i="4" s="1"/>
  <c r="S248" i="4"/>
  <c r="X246" i="4"/>
  <c r="AA246" i="4" s="1"/>
  <c r="W246" i="4"/>
  <c r="S246" i="4"/>
  <c r="T246" i="4" s="1"/>
  <c r="Z246" i="4" s="1"/>
  <c r="X244" i="4"/>
  <c r="AA244" i="4" s="1"/>
  <c r="W244" i="4"/>
  <c r="T244" i="4"/>
  <c r="Z244" i="4" s="1"/>
  <c r="S244" i="4"/>
  <c r="W242" i="4"/>
  <c r="X242" i="4" s="1"/>
  <c r="AA242" i="4" s="1"/>
  <c r="T242" i="4"/>
  <c r="Z242" i="4" s="1"/>
  <c r="S242" i="4"/>
  <c r="X240" i="4"/>
  <c r="AA240" i="4" s="1"/>
  <c r="W240" i="4"/>
  <c r="T240" i="4"/>
  <c r="Z240" i="4" s="1"/>
  <c r="S240" i="4"/>
  <c r="W234" i="4"/>
  <c r="X234" i="4" s="1"/>
  <c r="AA234" i="4" s="1"/>
  <c r="T234" i="4"/>
  <c r="Z234" i="4" s="1"/>
  <c r="S234" i="4"/>
  <c r="X232" i="4"/>
  <c r="AA232" i="4" s="1"/>
  <c r="W232" i="4"/>
  <c r="T232" i="4"/>
  <c r="Z232" i="4" s="1"/>
  <c r="S232" i="4"/>
  <c r="X230" i="4"/>
  <c r="AA230" i="4" s="1"/>
  <c r="W230" i="4"/>
  <c r="S230" i="4"/>
  <c r="T230" i="4" s="1"/>
  <c r="Z230" i="4" s="1"/>
  <c r="X228" i="4"/>
  <c r="AA228" i="4" s="1"/>
  <c r="W228" i="4"/>
  <c r="T228" i="4"/>
  <c r="Z228" i="4" s="1"/>
  <c r="S228" i="4"/>
  <c r="W226" i="4"/>
  <c r="X226" i="4" s="1"/>
  <c r="AA226" i="4" s="1"/>
  <c r="S226" i="4"/>
  <c r="T226" i="4" s="1"/>
  <c r="Z226" i="4" s="1"/>
  <c r="W224" i="4"/>
  <c r="X224" i="4" s="1"/>
  <c r="AA224" i="4" s="1"/>
  <c r="S224" i="4"/>
  <c r="T224" i="4" s="1"/>
  <c r="Z224" i="4" s="1"/>
  <c r="X222" i="4"/>
  <c r="AA222" i="4" s="1"/>
  <c r="W222" i="4"/>
  <c r="T222" i="4"/>
  <c r="Z222" i="4" s="1"/>
  <c r="S222" i="4"/>
  <c r="X220" i="4"/>
  <c r="AA220" i="4" s="1"/>
  <c r="W220" i="4"/>
  <c r="S220" i="4"/>
  <c r="T220" i="4" s="1"/>
  <c r="Z220" i="4" s="1"/>
  <c r="X218" i="4"/>
  <c r="AA218" i="4" s="1"/>
  <c r="W218" i="4"/>
  <c r="T218" i="4"/>
  <c r="Z218" i="4" s="1"/>
  <c r="S218" i="4"/>
  <c r="W216" i="4"/>
  <c r="X216" i="4" s="1"/>
  <c r="AA216" i="4" s="1"/>
  <c r="T216" i="4"/>
  <c r="Z216" i="4" s="1"/>
  <c r="S216" i="4"/>
  <c r="W210" i="4"/>
  <c r="X210" i="4" s="1"/>
  <c r="AA210" i="4" s="1"/>
  <c r="T210" i="4"/>
  <c r="Z210" i="4" s="1"/>
  <c r="S210" i="4"/>
  <c r="W208" i="4"/>
  <c r="X208" i="4" s="1"/>
  <c r="AA208" i="4" s="1"/>
  <c r="T208" i="4"/>
  <c r="Z208" i="4" s="1"/>
  <c r="S208" i="4"/>
  <c r="W206" i="4"/>
  <c r="X206" i="4" s="1"/>
  <c r="AA206" i="4" s="1"/>
  <c r="T206" i="4"/>
  <c r="Z206" i="4" s="1"/>
  <c r="S206" i="4"/>
  <c r="W204" i="4"/>
  <c r="X204" i="4" s="1"/>
  <c r="AA204" i="4" s="1"/>
  <c r="S204" i="4"/>
  <c r="T204" i="4" s="1"/>
  <c r="Z204" i="4" s="1"/>
  <c r="W202" i="4"/>
  <c r="X202" i="4" s="1"/>
  <c r="AA202" i="4" s="1"/>
  <c r="T202" i="4"/>
  <c r="Z202" i="4" s="1"/>
  <c r="S202" i="4"/>
  <c r="AA200" i="4"/>
  <c r="X200" i="4"/>
  <c r="W200" i="4"/>
  <c r="T200" i="4"/>
  <c r="Z200" i="4" s="1"/>
  <c r="S200" i="4"/>
  <c r="W198" i="4"/>
  <c r="X198" i="4" s="1"/>
  <c r="AA198" i="4" s="1"/>
  <c r="S198" i="4"/>
  <c r="T198" i="4" s="1"/>
  <c r="Z198" i="4" s="1"/>
  <c r="S194" i="4"/>
  <c r="T194" i="4"/>
  <c r="W194" i="4"/>
  <c r="X194" i="4"/>
  <c r="Z194" i="4"/>
  <c r="AA194" i="4"/>
  <c r="W188" i="4"/>
  <c r="X188" i="4" s="1"/>
  <c r="AA188" i="4" s="1"/>
  <c r="S188" i="4"/>
  <c r="T188" i="4" s="1"/>
  <c r="Z188" i="4" s="1"/>
  <c r="X186" i="4"/>
  <c r="AA186" i="4" s="1"/>
  <c r="W186" i="4"/>
  <c r="S186" i="4"/>
  <c r="T186" i="4" s="1"/>
  <c r="Z186" i="4" s="1"/>
  <c r="X184" i="4"/>
  <c r="AA184" i="4" s="1"/>
  <c r="W184" i="4"/>
  <c r="S184" i="4"/>
  <c r="T184" i="4" s="1"/>
  <c r="Z184" i="4" s="1"/>
  <c r="W182" i="4"/>
  <c r="X182" i="4" s="1"/>
  <c r="AA182" i="4" s="1"/>
  <c r="T182" i="4"/>
  <c r="Z182" i="4" s="1"/>
  <c r="S182" i="4"/>
  <c r="W180" i="4"/>
  <c r="X180" i="4" s="1"/>
  <c r="AA180" i="4" s="1"/>
  <c r="T180" i="4"/>
  <c r="Z180" i="4" s="1"/>
  <c r="S180" i="4"/>
  <c r="X178" i="4"/>
  <c r="AA178" i="4" s="1"/>
  <c r="W178" i="4"/>
  <c r="T178" i="4"/>
  <c r="Z178" i="4" s="1"/>
  <c r="S178" i="4"/>
  <c r="W176" i="4"/>
  <c r="X176" i="4" s="1"/>
  <c r="AA176" i="4" s="1"/>
  <c r="T176" i="4"/>
  <c r="Z176" i="4" s="1"/>
  <c r="S176" i="4"/>
  <c r="W174" i="4"/>
  <c r="X174" i="4" s="1"/>
  <c r="AA174" i="4" s="1"/>
  <c r="T174" i="4"/>
  <c r="Z174" i="4" s="1"/>
  <c r="S174" i="4"/>
  <c r="W172" i="4"/>
  <c r="X172" i="4" s="1"/>
  <c r="AA172" i="4" s="1"/>
  <c r="T172" i="4"/>
  <c r="Z172" i="4" s="1"/>
  <c r="S172" i="4"/>
  <c r="W170" i="4"/>
  <c r="X170" i="4" s="1"/>
  <c r="AA170" i="4" s="1"/>
  <c r="T170" i="4"/>
  <c r="Z170" i="4" s="1"/>
  <c r="S170" i="4"/>
  <c r="X164" i="4"/>
  <c r="AA164" i="4" s="1"/>
  <c r="W164" i="4"/>
  <c r="S164" i="4"/>
  <c r="T164" i="4" s="1"/>
  <c r="Z164" i="4" s="1"/>
  <c r="X162" i="4"/>
  <c r="AA162" i="4" s="1"/>
  <c r="W162" i="4"/>
  <c r="T162" i="4"/>
  <c r="Z162" i="4" s="1"/>
  <c r="S162" i="4"/>
  <c r="X160" i="4"/>
  <c r="AA160" i="4" s="1"/>
  <c r="W160" i="4"/>
  <c r="S160" i="4"/>
  <c r="T160" i="4" s="1"/>
  <c r="Z160" i="4" s="1"/>
  <c r="W158" i="4"/>
  <c r="X158" i="4" s="1"/>
  <c r="AA158" i="4" s="1"/>
  <c r="T158" i="4"/>
  <c r="Z158" i="4" s="1"/>
  <c r="S158" i="4"/>
  <c r="W156" i="4"/>
  <c r="X156" i="4" s="1"/>
  <c r="AA156" i="4" s="1"/>
  <c r="S156" i="4"/>
  <c r="T156" i="4" s="1"/>
  <c r="Z156" i="4" s="1"/>
  <c r="W154" i="4"/>
  <c r="X154" i="4" s="1"/>
  <c r="AA154" i="4" s="1"/>
  <c r="T154" i="4"/>
  <c r="Z154" i="4" s="1"/>
  <c r="S154" i="4"/>
  <c r="W152" i="4"/>
  <c r="X152" i="4" s="1"/>
  <c r="AA152" i="4" s="1"/>
  <c r="S152" i="4"/>
  <c r="T152" i="4" s="1"/>
  <c r="Z152" i="4" s="1"/>
  <c r="X150" i="4"/>
  <c r="AA150" i="4" s="1"/>
  <c r="W150" i="4"/>
  <c r="S150" i="4"/>
  <c r="T150" i="4" s="1"/>
  <c r="Z150" i="4" s="1"/>
  <c r="W148" i="4"/>
  <c r="X148" i="4" s="1"/>
  <c r="AA148" i="4" s="1"/>
  <c r="S148" i="4"/>
  <c r="T148" i="4" s="1"/>
  <c r="Z148" i="4" s="1"/>
  <c r="W146" i="4"/>
  <c r="X146" i="4" s="1"/>
  <c r="AA146" i="4" s="1"/>
  <c r="S146" i="4"/>
  <c r="T146" i="4" s="1"/>
  <c r="Z146" i="4" s="1"/>
  <c r="W140" i="4"/>
  <c r="X140" i="4" s="1"/>
  <c r="AA140" i="4" s="1"/>
  <c r="T140" i="4"/>
  <c r="Z140" i="4" s="1"/>
  <c r="S140" i="4"/>
  <c r="X138" i="4"/>
  <c r="AA138" i="4" s="1"/>
  <c r="W138" i="4"/>
  <c r="S138" i="4"/>
  <c r="T138" i="4" s="1"/>
  <c r="Z138" i="4" s="1"/>
  <c r="W136" i="4"/>
  <c r="X136" i="4" s="1"/>
  <c r="AA136" i="4" s="1"/>
  <c r="T136" i="4"/>
  <c r="Z136" i="4" s="1"/>
  <c r="S136" i="4"/>
  <c r="X134" i="4"/>
  <c r="AA134" i="4" s="1"/>
  <c r="W134" i="4"/>
  <c r="T134" i="4"/>
  <c r="Z134" i="4" s="1"/>
  <c r="S134" i="4"/>
  <c r="X132" i="4"/>
  <c r="AA132" i="4" s="1"/>
  <c r="W132" i="4"/>
  <c r="S132" i="4"/>
  <c r="T132" i="4" s="1"/>
  <c r="Z132" i="4" s="1"/>
  <c r="W130" i="4"/>
  <c r="X130" i="4" s="1"/>
  <c r="AA130" i="4" s="1"/>
  <c r="T130" i="4"/>
  <c r="Z130" i="4" s="1"/>
  <c r="S130" i="4"/>
  <c r="W128" i="4"/>
  <c r="X128" i="4" s="1"/>
  <c r="AA128" i="4" s="1"/>
  <c r="S128" i="4"/>
  <c r="T128" i="4" s="1"/>
  <c r="Z128" i="4" s="1"/>
  <c r="W126" i="4"/>
  <c r="X126" i="4" s="1"/>
  <c r="AA126" i="4" s="1"/>
  <c r="S126" i="4"/>
  <c r="T126" i="4" s="1"/>
  <c r="Z126" i="4" s="1"/>
  <c r="W124" i="4"/>
  <c r="X124" i="4" s="1"/>
  <c r="AA124" i="4" s="1"/>
  <c r="T124" i="4"/>
  <c r="Z124" i="4" s="1"/>
  <c r="S124" i="4"/>
  <c r="W122" i="4"/>
  <c r="X122" i="4" s="1"/>
  <c r="AA122" i="4" s="1"/>
  <c r="T122" i="4"/>
  <c r="Z122" i="4" s="1"/>
  <c r="S122" i="4"/>
  <c r="W116" i="4"/>
  <c r="X116" i="4" s="1"/>
  <c r="AA116" i="4" s="1"/>
  <c r="T116" i="4"/>
  <c r="Z116" i="4" s="1"/>
  <c r="S116" i="4"/>
  <c r="W114" i="4"/>
  <c r="X114" i="4" s="1"/>
  <c r="AA114" i="4" s="1"/>
  <c r="S114" i="4"/>
  <c r="T114" i="4" s="1"/>
  <c r="Z114" i="4" s="1"/>
  <c r="W112" i="4"/>
  <c r="X112" i="4" s="1"/>
  <c r="AA112" i="4" s="1"/>
  <c r="S112" i="4"/>
  <c r="T112" i="4" s="1"/>
  <c r="Z112" i="4" s="1"/>
  <c r="X110" i="4"/>
  <c r="AA110" i="4" s="1"/>
  <c r="W110" i="4"/>
  <c r="T110" i="4"/>
  <c r="Z110" i="4" s="1"/>
  <c r="S110" i="4"/>
  <c r="W108" i="4"/>
  <c r="X108" i="4" s="1"/>
  <c r="AA108" i="4" s="1"/>
  <c r="S108" i="4"/>
  <c r="T108" i="4" s="1"/>
  <c r="Z108" i="4" s="1"/>
  <c r="W106" i="4"/>
  <c r="X106" i="4" s="1"/>
  <c r="AA106" i="4" s="1"/>
  <c r="T106" i="4"/>
  <c r="Z106" i="4" s="1"/>
  <c r="S106" i="4"/>
  <c r="X104" i="4"/>
  <c r="AA104" i="4" s="1"/>
  <c r="W104" i="4"/>
  <c r="S104" i="4"/>
  <c r="T104" i="4" s="1"/>
  <c r="Z104" i="4" s="1"/>
  <c r="W102" i="4"/>
  <c r="X102" i="4" s="1"/>
  <c r="AA102" i="4" s="1"/>
  <c r="T102" i="4"/>
  <c r="Z102" i="4" s="1"/>
  <c r="S102" i="4"/>
  <c r="W100" i="4"/>
  <c r="X100" i="4" s="1"/>
  <c r="AA100" i="4" s="1"/>
  <c r="T100" i="4"/>
  <c r="Z100" i="4" s="1"/>
  <c r="S100" i="4"/>
  <c r="X98" i="4"/>
  <c r="AA98" i="4" s="1"/>
  <c r="W98" i="4"/>
  <c r="S98" i="4"/>
  <c r="T98" i="4" s="1"/>
  <c r="Z98" i="4" s="1"/>
  <c r="X92" i="4"/>
  <c r="AA92" i="4" s="1"/>
  <c r="W92" i="4"/>
  <c r="S92" i="4"/>
  <c r="T92" i="4" s="1"/>
  <c r="Z92" i="4" s="1"/>
  <c r="W90" i="4"/>
  <c r="X90" i="4" s="1"/>
  <c r="AA90" i="4" s="1"/>
  <c r="T90" i="4"/>
  <c r="Z90" i="4" s="1"/>
  <c r="S90" i="4"/>
  <c r="W88" i="4"/>
  <c r="X88" i="4" s="1"/>
  <c r="AA88" i="4" s="1"/>
  <c r="T88" i="4"/>
  <c r="Z88" i="4" s="1"/>
  <c r="S88" i="4"/>
  <c r="W86" i="4"/>
  <c r="X86" i="4" s="1"/>
  <c r="AA86" i="4" s="1"/>
  <c r="S86" i="4"/>
  <c r="T86" i="4" s="1"/>
  <c r="Z86" i="4" s="1"/>
  <c r="W84" i="4"/>
  <c r="X84" i="4" s="1"/>
  <c r="AA84" i="4" s="1"/>
  <c r="S84" i="4"/>
  <c r="T84" i="4" s="1"/>
  <c r="Z84" i="4" s="1"/>
  <c r="X82" i="4"/>
  <c r="AA82" i="4" s="1"/>
  <c r="W82" i="4"/>
  <c r="S82" i="4"/>
  <c r="T82" i="4" s="1"/>
  <c r="Z82" i="4" s="1"/>
  <c r="W80" i="4"/>
  <c r="X80" i="4" s="1"/>
  <c r="AA80" i="4" s="1"/>
  <c r="S80" i="4"/>
  <c r="T80" i="4" s="1"/>
  <c r="Z80" i="4" s="1"/>
  <c r="X78" i="4"/>
  <c r="AA78" i="4" s="1"/>
  <c r="W78" i="4"/>
  <c r="S78" i="4"/>
  <c r="T78" i="4" s="1"/>
  <c r="Z78" i="4" s="1"/>
  <c r="Z76" i="4"/>
  <c r="W76" i="4"/>
  <c r="X76" i="4" s="1"/>
  <c r="AA76" i="4" s="1"/>
  <c r="T76" i="4"/>
  <c r="S76" i="4"/>
  <c r="X74" i="4"/>
  <c r="AA74" i="4" s="1"/>
  <c r="W74" i="4"/>
  <c r="S74" i="4"/>
  <c r="T74" i="4" s="1"/>
  <c r="Z74" i="4" s="1"/>
  <c r="W68" i="4"/>
  <c r="X68" i="4" s="1"/>
  <c r="AA68" i="4" s="1"/>
  <c r="T68" i="4"/>
  <c r="Z68" i="4" s="1"/>
  <c r="S68" i="4"/>
  <c r="X66" i="4"/>
  <c r="AA66" i="4" s="1"/>
  <c r="W66" i="4"/>
  <c r="S66" i="4"/>
  <c r="T66" i="4" s="1"/>
  <c r="Z66" i="4" s="1"/>
  <c r="W64" i="4"/>
  <c r="X64" i="4" s="1"/>
  <c r="AA64" i="4" s="1"/>
  <c r="S64" i="4"/>
  <c r="T64" i="4" s="1"/>
  <c r="Z64" i="4" s="1"/>
  <c r="W62" i="4"/>
  <c r="X62" i="4" s="1"/>
  <c r="AA62" i="4" s="1"/>
  <c r="S62" i="4"/>
  <c r="T62" i="4" s="1"/>
  <c r="Z62" i="4" s="1"/>
  <c r="W60" i="4"/>
  <c r="X60" i="4" s="1"/>
  <c r="AA60" i="4" s="1"/>
  <c r="T60" i="4"/>
  <c r="Z60" i="4" s="1"/>
  <c r="S60" i="4"/>
  <c r="AA58" i="4"/>
  <c r="X58" i="4"/>
  <c r="W58" i="4"/>
  <c r="T58" i="4"/>
  <c r="Z58" i="4" s="1"/>
  <c r="S58" i="4"/>
  <c r="W56" i="4"/>
  <c r="X56" i="4" s="1"/>
  <c r="AA56" i="4" s="1"/>
  <c r="T56" i="4"/>
  <c r="Z56" i="4" s="1"/>
  <c r="S56" i="4"/>
  <c r="W54" i="4"/>
  <c r="X54" i="4" s="1"/>
  <c r="AA54" i="4" s="1"/>
  <c r="S54" i="4"/>
  <c r="T54" i="4" s="1"/>
  <c r="Z54" i="4" s="1"/>
  <c r="X52" i="4"/>
  <c r="AA52" i="4" s="1"/>
  <c r="W52" i="4"/>
  <c r="S52" i="4"/>
  <c r="T52" i="4" s="1"/>
  <c r="Z52" i="4" s="1"/>
  <c r="X50" i="4"/>
  <c r="AA50" i="4" s="1"/>
  <c r="W50" i="4"/>
  <c r="S50" i="4"/>
  <c r="T50" i="4" s="1"/>
  <c r="Z50" i="4" s="1"/>
  <c r="W44" i="4"/>
  <c r="X44" i="4" s="1"/>
  <c r="AA44" i="4" s="1"/>
  <c r="T44" i="4"/>
  <c r="Z44" i="4" s="1"/>
  <c r="S44" i="4"/>
  <c r="X42" i="4"/>
  <c r="AA42" i="4" s="1"/>
  <c r="W42" i="4"/>
  <c r="T42" i="4"/>
  <c r="Z42" i="4" s="1"/>
  <c r="S42" i="4"/>
  <c r="W40" i="4"/>
  <c r="X40" i="4" s="1"/>
  <c r="AA40" i="4" s="1"/>
  <c r="S40" i="4"/>
  <c r="T40" i="4" s="1"/>
  <c r="Z40" i="4" s="1"/>
  <c r="W38" i="4"/>
  <c r="X38" i="4" s="1"/>
  <c r="AA38" i="4" s="1"/>
  <c r="S38" i="4"/>
  <c r="T38" i="4" s="1"/>
  <c r="Z38" i="4" s="1"/>
  <c r="W36" i="4"/>
  <c r="X36" i="4" s="1"/>
  <c r="AA36" i="4" s="1"/>
  <c r="S36" i="4"/>
  <c r="T36" i="4" s="1"/>
  <c r="Z36" i="4" s="1"/>
  <c r="X34" i="4"/>
  <c r="AA34" i="4" s="1"/>
  <c r="W34" i="4"/>
  <c r="S34" i="4"/>
  <c r="T34" i="4" s="1"/>
  <c r="Z34" i="4" s="1"/>
  <c r="X32" i="4"/>
  <c r="AA32" i="4" s="1"/>
  <c r="W32" i="4"/>
  <c r="T32" i="4"/>
  <c r="Z32" i="4" s="1"/>
  <c r="S32" i="4"/>
  <c r="W30" i="4"/>
  <c r="X30" i="4" s="1"/>
  <c r="AA30" i="4" s="1"/>
  <c r="S30" i="4"/>
  <c r="T30" i="4" s="1"/>
  <c r="Z30" i="4" s="1"/>
  <c r="X28" i="4"/>
  <c r="AA28" i="4" s="1"/>
  <c r="W28" i="4"/>
  <c r="T28" i="4"/>
  <c r="Z28" i="4" s="1"/>
  <c r="S28" i="4"/>
  <c r="W26" i="4"/>
  <c r="X26" i="4" s="1"/>
  <c r="AA26" i="4" s="1"/>
  <c r="S26" i="4"/>
  <c r="T26" i="4" s="1"/>
  <c r="Z26" i="4" s="1"/>
  <c r="Q334" i="4"/>
  <c r="P334" i="4"/>
  <c r="W334" i="4" s="1"/>
  <c r="X334" i="4" s="1"/>
  <c r="AA334" i="4" s="1"/>
  <c r="N334" i="4"/>
  <c r="M334" i="4"/>
  <c r="K334" i="4"/>
  <c r="J334" i="4"/>
  <c r="S334" i="4" s="1"/>
  <c r="T334" i="4" s="1"/>
  <c r="Z334" i="4" s="1"/>
  <c r="Q332" i="4"/>
  <c r="P332" i="4"/>
  <c r="W332" i="4" s="1"/>
  <c r="X332" i="4" s="1"/>
  <c r="AA332" i="4" s="1"/>
  <c r="N332" i="4"/>
  <c r="M332" i="4"/>
  <c r="K332" i="4"/>
  <c r="J332" i="4"/>
  <c r="S332" i="4" s="1"/>
  <c r="T332" i="4" s="1"/>
  <c r="Z332" i="4" s="1"/>
  <c r="X310" i="4"/>
  <c r="W310" i="4"/>
  <c r="S310" i="4"/>
  <c r="T310" i="4" s="1"/>
  <c r="X308" i="4"/>
  <c r="AA308" i="4" s="1"/>
  <c r="W308" i="4"/>
  <c r="T308" i="4"/>
  <c r="Z308" i="4" s="1"/>
  <c r="S308" i="4"/>
  <c r="Z286" i="4"/>
  <c r="X286" i="4"/>
  <c r="AA286" i="4" s="1"/>
  <c r="W286" i="4"/>
  <c r="T286" i="4"/>
  <c r="S286" i="4"/>
  <c r="W284" i="4"/>
  <c r="X284" i="4" s="1"/>
  <c r="T284" i="4"/>
  <c r="S284" i="4"/>
  <c r="X262" i="4"/>
  <c r="AA262" i="4" s="1"/>
  <c r="W262" i="4"/>
  <c r="S262" i="4"/>
  <c r="T262" i="4" s="1"/>
  <c r="Z262" i="4" s="1"/>
  <c r="X260" i="4"/>
  <c r="AA260" i="4" s="1"/>
  <c r="W260" i="4"/>
  <c r="S260" i="4"/>
  <c r="T260" i="4" s="1"/>
  <c r="Z260" i="4" s="1"/>
  <c r="X238" i="4"/>
  <c r="AA238" i="4" s="1"/>
  <c r="W238" i="4"/>
  <c r="S238" i="4"/>
  <c r="T238" i="4" s="1"/>
  <c r="Z238" i="4" s="1"/>
  <c r="W236" i="4"/>
  <c r="X236" i="4" s="1"/>
  <c r="AA236" i="4" s="1"/>
  <c r="T236" i="4"/>
  <c r="Z236" i="4" s="1"/>
  <c r="S236" i="4"/>
  <c r="Z214" i="4"/>
  <c r="X214" i="4"/>
  <c r="AA214" i="4" s="1"/>
  <c r="W214" i="4"/>
  <c r="T214" i="4"/>
  <c r="S214" i="4"/>
  <c r="W212" i="4"/>
  <c r="X212" i="4" s="1"/>
  <c r="AA212" i="4" s="1"/>
  <c r="S212" i="4"/>
  <c r="T212" i="4" s="1"/>
  <c r="Z212" i="4" s="1"/>
  <c r="X196" i="4"/>
  <c r="AA196" i="4" s="1"/>
  <c r="W196" i="4"/>
  <c r="S196" i="4"/>
  <c r="T196" i="4" s="1"/>
  <c r="Z196" i="4" s="1"/>
  <c r="W192" i="4"/>
  <c r="X192" i="4" s="1"/>
  <c r="AA192" i="4" s="1"/>
  <c r="T192" i="4"/>
  <c r="Z192" i="4" s="1"/>
  <c r="S192" i="4"/>
  <c r="X190" i="4"/>
  <c r="AA190" i="4" s="1"/>
  <c r="W190" i="4"/>
  <c r="S190" i="4"/>
  <c r="T190" i="4" s="1"/>
  <c r="Z190" i="4" s="1"/>
  <c r="X168" i="4"/>
  <c r="AA168" i="4" s="1"/>
  <c r="W168" i="4"/>
  <c r="S168" i="4"/>
  <c r="T168" i="4" s="1"/>
  <c r="Z168" i="4" s="1"/>
  <c r="W166" i="4"/>
  <c r="X166" i="4" s="1"/>
  <c r="AA166" i="4" s="1"/>
  <c r="S166" i="4"/>
  <c r="T166" i="4" s="1"/>
  <c r="Z166" i="4" s="1"/>
  <c r="X144" i="4"/>
  <c r="AA144" i="4" s="1"/>
  <c r="W144" i="4"/>
  <c r="S144" i="4"/>
  <c r="T144" i="4" s="1"/>
  <c r="Z144" i="4" s="1"/>
  <c r="W142" i="4"/>
  <c r="X142" i="4" s="1"/>
  <c r="AA142" i="4" s="1"/>
  <c r="T142" i="4"/>
  <c r="Z142" i="4" s="1"/>
  <c r="S142" i="4"/>
  <c r="Z120" i="4"/>
  <c r="W120" i="4"/>
  <c r="X120" i="4" s="1"/>
  <c r="AA120" i="4" s="1"/>
  <c r="T120" i="4"/>
  <c r="S120" i="4"/>
  <c r="W118" i="4"/>
  <c r="X118" i="4" s="1"/>
  <c r="AA118" i="4" s="1"/>
  <c r="T118" i="4"/>
  <c r="Z118" i="4" s="1"/>
  <c r="S118" i="4"/>
  <c r="W96" i="4"/>
  <c r="X96" i="4" s="1"/>
  <c r="AA96" i="4" s="1"/>
  <c r="T96" i="4"/>
  <c r="Z96" i="4" s="1"/>
  <c r="S96" i="4"/>
  <c r="W94" i="4"/>
  <c r="X94" i="4" s="1"/>
  <c r="AA94" i="4" s="1"/>
  <c r="T94" i="4"/>
  <c r="Z94" i="4" s="1"/>
  <c r="S94" i="4"/>
  <c r="W72" i="4"/>
  <c r="X72" i="4" s="1"/>
  <c r="AA72" i="4" s="1"/>
  <c r="T72" i="4"/>
  <c r="Z72" i="4" s="1"/>
  <c r="S72" i="4"/>
  <c r="W70" i="4"/>
  <c r="X70" i="4" s="1"/>
  <c r="AA70" i="4" s="1"/>
  <c r="S70" i="4"/>
  <c r="T70" i="4" s="1"/>
  <c r="Z70" i="4" s="1"/>
  <c r="W48" i="4"/>
  <c r="X48" i="4" s="1"/>
  <c r="AA48" i="4" s="1"/>
  <c r="T48" i="4"/>
  <c r="Z48" i="4" s="1"/>
  <c r="S48" i="4"/>
  <c r="W46" i="4"/>
  <c r="X46" i="4" s="1"/>
  <c r="AA46" i="4" s="1"/>
  <c r="S46" i="4"/>
  <c r="T46" i="4" s="1"/>
  <c r="Z46" i="4" s="1"/>
  <c r="W24" i="4"/>
  <c r="X24" i="4" s="1"/>
  <c r="AA24" i="4" s="1"/>
  <c r="T24" i="4"/>
  <c r="Z24" i="4" s="1"/>
  <c r="S24" i="4"/>
  <c r="W22" i="4"/>
  <c r="X22" i="4" s="1"/>
  <c r="AA22" i="4" s="1"/>
  <c r="S22" i="4"/>
  <c r="T22" i="4" s="1"/>
  <c r="Z22" i="4" s="1"/>
  <c r="X20" i="4"/>
  <c r="AA20" i="4" s="1"/>
  <c r="W20" i="4"/>
  <c r="T20" i="4"/>
  <c r="Z20" i="4" s="1"/>
  <c r="S20" i="4"/>
  <c r="Z18" i="4"/>
  <c r="X18" i="4"/>
  <c r="AA18" i="4" s="1"/>
  <c r="W18" i="4"/>
  <c r="T18" i="4"/>
  <c r="S18" i="4"/>
  <c r="W16" i="4"/>
  <c r="X16" i="4" s="1"/>
  <c r="AA16" i="4" s="1"/>
  <c r="T16" i="4"/>
  <c r="Z16" i="4" s="1"/>
  <c r="S16" i="4"/>
  <c r="X14" i="4"/>
  <c r="AA14" i="4" s="1"/>
  <c r="W14" i="4"/>
  <c r="T14" i="4"/>
  <c r="Z14" i="4" s="1"/>
  <c r="S14" i="4"/>
  <c r="X12" i="4"/>
  <c r="AA12" i="4" s="1"/>
  <c r="W12" i="4"/>
  <c r="T12" i="4"/>
  <c r="Z12" i="4" s="1"/>
  <c r="S12" i="4"/>
  <c r="X10" i="4"/>
  <c r="AA10" i="4" s="1"/>
  <c r="W10" i="4"/>
  <c r="S10" i="4"/>
  <c r="T10" i="4" s="1"/>
  <c r="Z10" i="4" s="1"/>
  <c r="W8" i="4"/>
  <c r="X8" i="4" s="1"/>
  <c r="AA8" i="4" s="1"/>
  <c r="S8" i="4"/>
  <c r="T8" i="4" s="1"/>
  <c r="Z8" i="4" s="1"/>
  <c r="X6" i="4"/>
  <c r="AA6" i="4" s="1"/>
  <c r="W6" i="4"/>
  <c r="S6" i="4"/>
  <c r="T6" i="4" s="1"/>
  <c r="Z6" i="4" s="1"/>
  <c r="AA4" i="4"/>
  <c r="A124" i="3"/>
  <c r="N124" i="3"/>
  <c r="W4" i="4" s="1"/>
  <c r="S4" i="4"/>
  <c r="J4" i="4"/>
  <c r="K4" i="4"/>
  <c r="M4" i="4"/>
  <c r="N4" i="4"/>
  <c r="P4" i="4"/>
  <c r="Q4" i="4"/>
  <c r="J6" i="4"/>
  <c r="K6" i="4"/>
  <c r="M6" i="4"/>
  <c r="N6" i="4"/>
  <c r="P6" i="4"/>
  <c r="Q6" i="4"/>
  <c r="J8" i="4"/>
  <c r="K8" i="4"/>
  <c r="M8" i="4"/>
  <c r="N8" i="4"/>
  <c r="P8" i="4"/>
  <c r="Q8" i="4"/>
  <c r="J10" i="4"/>
  <c r="K10" i="4"/>
  <c r="M10" i="4"/>
  <c r="N10" i="4"/>
  <c r="P10" i="4"/>
  <c r="Q10" i="4"/>
  <c r="J12" i="4"/>
  <c r="K12" i="4"/>
  <c r="M12" i="4"/>
  <c r="N12" i="4"/>
  <c r="P12" i="4"/>
  <c r="Q12" i="4"/>
  <c r="J14" i="4"/>
  <c r="K14" i="4"/>
  <c r="M14" i="4"/>
  <c r="N14" i="4"/>
  <c r="P14" i="4"/>
  <c r="Q14" i="4"/>
  <c r="J16" i="4"/>
  <c r="K16" i="4"/>
  <c r="M16" i="4"/>
  <c r="N16" i="4"/>
  <c r="P16" i="4"/>
  <c r="Q16" i="4"/>
  <c r="J18" i="4"/>
  <c r="K18" i="4"/>
  <c r="M18" i="4"/>
  <c r="N18" i="4"/>
  <c r="P18" i="4"/>
  <c r="Q18" i="4"/>
  <c r="J20" i="4"/>
  <c r="K20" i="4"/>
  <c r="M20" i="4"/>
  <c r="N20" i="4"/>
  <c r="P20" i="4"/>
  <c r="Q20" i="4"/>
  <c r="J22" i="4"/>
  <c r="K22" i="4"/>
  <c r="M22" i="4"/>
  <c r="N22" i="4"/>
  <c r="P22" i="4"/>
  <c r="Q22" i="4"/>
  <c r="J24" i="4"/>
  <c r="K24" i="4"/>
  <c r="M24" i="4"/>
  <c r="N24" i="4"/>
  <c r="P24" i="4"/>
  <c r="Q24" i="4"/>
  <c r="J26" i="4"/>
  <c r="K26" i="4"/>
  <c r="M26" i="4"/>
  <c r="N26" i="4"/>
  <c r="P26" i="4"/>
  <c r="Q26" i="4"/>
  <c r="J28" i="4"/>
  <c r="K28" i="4"/>
  <c r="M28" i="4"/>
  <c r="N28" i="4"/>
  <c r="P28" i="4"/>
  <c r="Q28" i="4"/>
  <c r="J30" i="4"/>
  <c r="K30" i="4"/>
  <c r="M30" i="4"/>
  <c r="N30" i="4"/>
  <c r="P30" i="4"/>
  <c r="Q30" i="4"/>
  <c r="J32" i="4"/>
  <c r="K32" i="4"/>
  <c r="M32" i="4"/>
  <c r="N32" i="4"/>
  <c r="P32" i="4"/>
  <c r="Q32" i="4"/>
  <c r="J34" i="4"/>
  <c r="K34" i="4"/>
  <c r="M34" i="4"/>
  <c r="N34" i="4"/>
  <c r="P34" i="4"/>
  <c r="Q34" i="4"/>
  <c r="J36" i="4"/>
  <c r="K36" i="4"/>
  <c r="M36" i="4"/>
  <c r="N36" i="4"/>
  <c r="P36" i="4"/>
  <c r="Q36" i="4"/>
  <c r="J38" i="4"/>
  <c r="K38" i="4"/>
  <c r="M38" i="4"/>
  <c r="N38" i="4"/>
  <c r="P38" i="4"/>
  <c r="Q38" i="4"/>
  <c r="J40" i="4"/>
  <c r="K40" i="4"/>
  <c r="M40" i="4"/>
  <c r="N40" i="4"/>
  <c r="P40" i="4"/>
  <c r="Q40" i="4"/>
  <c r="J42" i="4"/>
  <c r="K42" i="4"/>
  <c r="M42" i="4"/>
  <c r="N42" i="4"/>
  <c r="P42" i="4"/>
  <c r="Q42" i="4"/>
  <c r="J44" i="4"/>
  <c r="K44" i="4"/>
  <c r="M44" i="4"/>
  <c r="N44" i="4"/>
  <c r="P44" i="4"/>
  <c r="Q44" i="4"/>
  <c r="J46" i="4"/>
  <c r="K46" i="4"/>
  <c r="M46" i="4"/>
  <c r="N46" i="4"/>
  <c r="P46" i="4"/>
  <c r="Q46" i="4"/>
  <c r="J48" i="4"/>
  <c r="K48" i="4"/>
  <c r="M48" i="4"/>
  <c r="N48" i="4"/>
  <c r="P48" i="4"/>
  <c r="Q48" i="4"/>
  <c r="J50" i="4"/>
  <c r="K50" i="4"/>
  <c r="M50" i="4"/>
  <c r="N50" i="4"/>
  <c r="P50" i="4"/>
  <c r="Q50" i="4"/>
  <c r="J52" i="4"/>
  <c r="K52" i="4"/>
  <c r="M52" i="4"/>
  <c r="N52" i="4"/>
  <c r="P52" i="4"/>
  <c r="Q52" i="4"/>
  <c r="J54" i="4"/>
  <c r="K54" i="4"/>
  <c r="M54" i="4"/>
  <c r="N54" i="4"/>
  <c r="P54" i="4"/>
  <c r="Q54" i="4"/>
  <c r="J56" i="4"/>
  <c r="K56" i="4"/>
  <c r="M56" i="4"/>
  <c r="N56" i="4"/>
  <c r="P56" i="4"/>
  <c r="Q56" i="4"/>
  <c r="J58" i="4"/>
  <c r="K58" i="4"/>
  <c r="M58" i="4"/>
  <c r="N58" i="4"/>
  <c r="P58" i="4"/>
  <c r="Q58" i="4"/>
  <c r="J60" i="4"/>
  <c r="K60" i="4"/>
  <c r="M60" i="4"/>
  <c r="N60" i="4"/>
  <c r="P60" i="4"/>
  <c r="Q60" i="4"/>
  <c r="J62" i="4"/>
  <c r="K62" i="4"/>
  <c r="M62" i="4"/>
  <c r="N62" i="4"/>
  <c r="P62" i="4"/>
  <c r="Q62" i="4"/>
  <c r="J64" i="4"/>
  <c r="K64" i="4"/>
  <c r="M64" i="4"/>
  <c r="N64" i="4"/>
  <c r="P64" i="4"/>
  <c r="Q64" i="4"/>
  <c r="J66" i="4"/>
  <c r="K66" i="4"/>
  <c r="M66" i="4"/>
  <c r="N66" i="4"/>
  <c r="P66" i="4"/>
  <c r="Q66" i="4"/>
  <c r="J68" i="4"/>
  <c r="K68" i="4"/>
  <c r="M68" i="4"/>
  <c r="N68" i="4"/>
  <c r="P68" i="4"/>
  <c r="Q68" i="4"/>
  <c r="J70" i="4"/>
  <c r="K70" i="4"/>
  <c r="M70" i="4"/>
  <c r="N70" i="4"/>
  <c r="P70" i="4"/>
  <c r="Q70" i="4"/>
  <c r="J72" i="4"/>
  <c r="K72" i="4"/>
  <c r="M72" i="4"/>
  <c r="N72" i="4"/>
  <c r="P72" i="4"/>
  <c r="Q72" i="4"/>
  <c r="J74" i="4"/>
  <c r="K74" i="4"/>
  <c r="M74" i="4"/>
  <c r="N74" i="4"/>
  <c r="P74" i="4"/>
  <c r="Q74" i="4"/>
  <c r="J76" i="4"/>
  <c r="K76" i="4"/>
  <c r="M76" i="4"/>
  <c r="N76" i="4"/>
  <c r="P76" i="4"/>
  <c r="Q76" i="4"/>
  <c r="J78" i="4"/>
  <c r="K78" i="4"/>
  <c r="M78" i="4"/>
  <c r="N78" i="4"/>
  <c r="P78" i="4"/>
  <c r="Q78" i="4"/>
  <c r="J80" i="4"/>
  <c r="K80" i="4"/>
  <c r="M80" i="4"/>
  <c r="N80" i="4"/>
  <c r="P80" i="4"/>
  <c r="Q80" i="4"/>
  <c r="J82" i="4"/>
  <c r="K82" i="4"/>
  <c r="M82" i="4"/>
  <c r="N82" i="4"/>
  <c r="P82" i="4"/>
  <c r="Q82" i="4"/>
  <c r="J84" i="4"/>
  <c r="K84" i="4"/>
  <c r="M84" i="4"/>
  <c r="N84" i="4"/>
  <c r="P84" i="4"/>
  <c r="Q84" i="4"/>
  <c r="J86" i="4"/>
  <c r="K86" i="4"/>
  <c r="M86" i="4"/>
  <c r="N86" i="4"/>
  <c r="P86" i="4"/>
  <c r="Q86" i="4"/>
  <c r="J88" i="4"/>
  <c r="K88" i="4"/>
  <c r="M88" i="4"/>
  <c r="N88" i="4"/>
  <c r="P88" i="4"/>
  <c r="Q88" i="4"/>
  <c r="J90" i="4"/>
  <c r="K90" i="4"/>
  <c r="M90" i="4"/>
  <c r="N90" i="4"/>
  <c r="P90" i="4"/>
  <c r="Q90" i="4"/>
  <c r="J92" i="4"/>
  <c r="K92" i="4"/>
  <c r="M92" i="4"/>
  <c r="N92" i="4"/>
  <c r="P92" i="4"/>
  <c r="Q92" i="4"/>
  <c r="J94" i="4"/>
  <c r="K94" i="4"/>
  <c r="M94" i="4"/>
  <c r="N94" i="4"/>
  <c r="P94" i="4"/>
  <c r="Q94" i="4"/>
  <c r="J96" i="4"/>
  <c r="K96" i="4"/>
  <c r="M96" i="4"/>
  <c r="N96" i="4"/>
  <c r="P96" i="4"/>
  <c r="Q96" i="4"/>
  <c r="J98" i="4"/>
  <c r="K98" i="4"/>
  <c r="M98" i="4"/>
  <c r="N98" i="4"/>
  <c r="P98" i="4"/>
  <c r="Q98" i="4"/>
  <c r="J100" i="4"/>
  <c r="K100" i="4"/>
  <c r="M100" i="4"/>
  <c r="N100" i="4"/>
  <c r="P100" i="4"/>
  <c r="Q100" i="4"/>
  <c r="J102" i="4"/>
  <c r="K102" i="4"/>
  <c r="M102" i="4"/>
  <c r="N102" i="4"/>
  <c r="P102" i="4"/>
  <c r="Q102" i="4"/>
  <c r="J104" i="4"/>
  <c r="K104" i="4"/>
  <c r="M104" i="4"/>
  <c r="N104" i="4"/>
  <c r="P104" i="4"/>
  <c r="Q104" i="4"/>
  <c r="J106" i="4"/>
  <c r="K106" i="4"/>
  <c r="M106" i="4"/>
  <c r="N106" i="4"/>
  <c r="P106" i="4"/>
  <c r="Q106" i="4"/>
  <c r="J108" i="4"/>
  <c r="K108" i="4"/>
  <c r="M108" i="4"/>
  <c r="N108" i="4"/>
  <c r="P108" i="4"/>
  <c r="Q108" i="4"/>
  <c r="J110" i="4"/>
  <c r="K110" i="4"/>
  <c r="M110" i="4"/>
  <c r="N110" i="4"/>
  <c r="P110" i="4"/>
  <c r="Q110" i="4"/>
  <c r="J112" i="4"/>
  <c r="K112" i="4"/>
  <c r="M112" i="4"/>
  <c r="N112" i="4"/>
  <c r="P112" i="4"/>
  <c r="Q112" i="4"/>
  <c r="J114" i="4"/>
  <c r="K114" i="4"/>
  <c r="M114" i="4"/>
  <c r="N114" i="4"/>
  <c r="P114" i="4"/>
  <c r="Q114" i="4"/>
  <c r="J116" i="4"/>
  <c r="K116" i="4"/>
  <c r="M116" i="4"/>
  <c r="N116" i="4"/>
  <c r="P116" i="4"/>
  <c r="Q116" i="4"/>
  <c r="J118" i="4"/>
  <c r="K118" i="4"/>
  <c r="M118" i="4"/>
  <c r="N118" i="4"/>
  <c r="P118" i="4"/>
  <c r="Q118" i="4"/>
  <c r="J120" i="4"/>
  <c r="K120" i="4"/>
  <c r="M120" i="4"/>
  <c r="N120" i="4"/>
  <c r="P120" i="4"/>
  <c r="Q120" i="4"/>
  <c r="J122" i="4"/>
  <c r="K122" i="4"/>
  <c r="M122" i="4"/>
  <c r="N122" i="4"/>
  <c r="P122" i="4"/>
  <c r="Q122" i="4"/>
  <c r="J124" i="4"/>
  <c r="K124" i="4"/>
  <c r="M124" i="4"/>
  <c r="N124" i="4"/>
  <c r="P124" i="4"/>
  <c r="Q124" i="4"/>
  <c r="J126" i="4"/>
  <c r="K126" i="4"/>
  <c r="M126" i="4"/>
  <c r="N126" i="4"/>
  <c r="P126" i="4"/>
  <c r="Q126" i="4"/>
  <c r="J128" i="4"/>
  <c r="K128" i="4"/>
  <c r="M128" i="4"/>
  <c r="N128" i="4"/>
  <c r="P128" i="4"/>
  <c r="Q128" i="4"/>
  <c r="J130" i="4"/>
  <c r="K130" i="4"/>
  <c r="M130" i="4"/>
  <c r="N130" i="4"/>
  <c r="P130" i="4"/>
  <c r="Q130" i="4"/>
  <c r="J132" i="4"/>
  <c r="K132" i="4"/>
  <c r="M132" i="4"/>
  <c r="N132" i="4"/>
  <c r="P132" i="4"/>
  <c r="Q132" i="4"/>
  <c r="J134" i="4"/>
  <c r="K134" i="4"/>
  <c r="M134" i="4"/>
  <c r="N134" i="4"/>
  <c r="P134" i="4"/>
  <c r="Q134" i="4"/>
  <c r="J136" i="4"/>
  <c r="K136" i="4"/>
  <c r="M136" i="4"/>
  <c r="N136" i="4"/>
  <c r="P136" i="4"/>
  <c r="Q136" i="4"/>
  <c r="J138" i="4"/>
  <c r="K138" i="4"/>
  <c r="M138" i="4"/>
  <c r="N138" i="4"/>
  <c r="P138" i="4"/>
  <c r="Q138" i="4"/>
  <c r="J140" i="4"/>
  <c r="K140" i="4"/>
  <c r="M140" i="4"/>
  <c r="N140" i="4"/>
  <c r="P140" i="4"/>
  <c r="Q140" i="4"/>
  <c r="J142" i="4"/>
  <c r="K142" i="4"/>
  <c r="M142" i="4"/>
  <c r="N142" i="4"/>
  <c r="P142" i="4"/>
  <c r="Q142" i="4"/>
  <c r="J144" i="4"/>
  <c r="K144" i="4"/>
  <c r="M144" i="4"/>
  <c r="N144" i="4"/>
  <c r="P144" i="4"/>
  <c r="Q144" i="4"/>
  <c r="J146" i="4"/>
  <c r="K146" i="4"/>
  <c r="M146" i="4"/>
  <c r="N146" i="4"/>
  <c r="P146" i="4"/>
  <c r="Q146" i="4"/>
  <c r="J148" i="4"/>
  <c r="K148" i="4"/>
  <c r="M148" i="4"/>
  <c r="N148" i="4"/>
  <c r="P148" i="4"/>
  <c r="Q148" i="4"/>
  <c r="J150" i="4"/>
  <c r="K150" i="4"/>
  <c r="M150" i="4"/>
  <c r="N150" i="4"/>
  <c r="P150" i="4"/>
  <c r="Q150" i="4"/>
  <c r="J152" i="4"/>
  <c r="K152" i="4"/>
  <c r="M152" i="4"/>
  <c r="N152" i="4"/>
  <c r="P152" i="4"/>
  <c r="Q152" i="4"/>
  <c r="J154" i="4"/>
  <c r="K154" i="4"/>
  <c r="M154" i="4"/>
  <c r="N154" i="4"/>
  <c r="P154" i="4"/>
  <c r="Q154" i="4"/>
  <c r="J156" i="4"/>
  <c r="K156" i="4"/>
  <c r="M156" i="4"/>
  <c r="N156" i="4"/>
  <c r="P156" i="4"/>
  <c r="Q156" i="4"/>
  <c r="J158" i="4"/>
  <c r="K158" i="4"/>
  <c r="M158" i="4"/>
  <c r="N158" i="4"/>
  <c r="P158" i="4"/>
  <c r="Q158" i="4"/>
  <c r="J160" i="4"/>
  <c r="K160" i="4"/>
  <c r="M160" i="4"/>
  <c r="N160" i="4"/>
  <c r="P160" i="4"/>
  <c r="Q160" i="4"/>
  <c r="J162" i="4"/>
  <c r="K162" i="4"/>
  <c r="M162" i="4"/>
  <c r="N162" i="4"/>
  <c r="P162" i="4"/>
  <c r="Q162" i="4"/>
  <c r="J164" i="4"/>
  <c r="K164" i="4"/>
  <c r="M164" i="4"/>
  <c r="N164" i="4"/>
  <c r="P164" i="4"/>
  <c r="Q164" i="4"/>
  <c r="J166" i="4"/>
  <c r="K166" i="4"/>
  <c r="M166" i="4"/>
  <c r="N166" i="4"/>
  <c r="P166" i="4"/>
  <c r="Q166" i="4"/>
  <c r="J168" i="4"/>
  <c r="K168" i="4"/>
  <c r="M168" i="4"/>
  <c r="N168" i="4"/>
  <c r="P168" i="4"/>
  <c r="Q168" i="4"/>
  <c r="J170" i="4"/>
  <c r="K170" i="4"/>
  <c r="M170" i="4"/>
  <c r="N170" i="4"/>
  <c r="P170" i="4"/>
  <c r="Q170" i="4"/>
  <c r="J172" i="4"/>
  <c r="K172" i="4"/>
  <c r="M172" i="4"/>
  <c r="N172" i="4"/>
  <c r="P172" i="4"/>
  <c r="Q172" i="4"/>
  <c r="J174" i="4"/>
  <c r="K174" i="4"/>
  <c r="M174" i="4"/>
  <c r="N174" i="4"/>
  <c r="P174" i="4"/>
  <c r="Q174" i="4"/>
  <c r="J176" i="4"/>
  <c r="K176" i="4"/>
  <c r="M176" i="4"/>
  <c r="N176" i="4"/>
  <c r="P176" i="4"/>
  <c r="Q176" i="4"/>
  <c r="J178" i="4"/>
  <c r="K178" i="4"/>
  <c r="M178" i="4"/>
  <c r="N178" i="4"/>
  <c r="P178" i="4"/>
  <c r="Q178" i="4"/>
  <c r="J180" i="4"/>
  <c r="K180" i="4"/>
  <c r="M180" i="4"/>
  <c r="N180" i="4"/>
  <c r="P180" i="4"/>
  <c r="Q180" i="4"/>
  <c r="J182" i="4"/>
  <c r="K182" i="4"/>
  <c r="M182" i="4"/>
  <c r="N182" i="4"/>
  <c r="P182" i="4"/>
  <c r="Q182" i="4"/>
  <c r="J184" i="4"/>
  <c r="K184" i="4"/>
  <c r="M184" i="4"/>
  <c r="N184" i="4"/>
  <c r="P184" i="4"/>
  <c r="Q184" i="4"/>
  <c r="J186" i="4"/>
  <c r="K186" i="4"/>
  <c r="M186" i="4"/>
  <c r="N186" i="4"/>
  <c r="P186" i="4"/>
  <c r="Q186" i="4"/>
  <c r="J188" i="4"/>
  <c r="K188" i="4"/>
  <c r="M188" i="4"/>
  <c r="N188" i="4"/>
  <c r="P188" i="4"/>
  <c r="Q188" i="4"/>
  <c r="J190" i="4"/>
  <c r="K190" i="4"/>
  <c r="M190" i="4"/>
  <c r="N190" i="4"/>
  <c r="P190" i="4"/>
  <c r="Q190" i="4"/>
  <c r="J192" i="4"/>
  <c r="K192" i="4"/>
  <c r="M192" i="4"/>
  <c r="N192" i="4"/>
  <c r="P192" i="4"/>
  <c r="Q192" i="4"/>
  <c r="J194" i="4"/>
  <c r="K194" i="4"/>
  <c r="M194" i="4"/>
  <c r="N194" i="4"/>
  <c r="P194" i="4"/>
  <c r="Q194" i="4"/>
  <c r="J196" i="4"/>
  <c r="K196" i="4"/>
  <c r="M196" i="4"/>
  <c r="N196" i="4"/>
  <c r="P196" i="4"/>
  <c r="Q196" i="4"/>
  <c r="J198" i="4"/>
  <c r="K198" i="4"/>
  <c r="M198" i="4"/>
  <c r="N198" i="4"/>
  <c r="P198" i="4"/>
  <c r="Q198" i="4"/>
  <c r="J200" i="4"/>
  <c r="K200" i="4"/>
  <c r="M200" i="4"/>
  <c r="N200" i="4"/>
  <c r="P200" i="4"/>
  <c r="Q200" i="4"/>
  <c r="J202" i="4"/>
  <c r="K202" i="4"/>
  <c r="M202" i="4"/>
  <c r="N202" i="4"/>
  <c r="P202" i="4"/>
  <c r="Q202" i="4"/>
  <c r="J204" i="4"/>
  <c r="K204" i="4"/>
  <c r="M204" i="4"/>
  <c r="N204" i="4"/>
  <c r="P204" i="4"/>
  <c r="Q204" i="4"/>
  <c r="J206" i="4"/>
  <c r="K206" i="4"/>
  <c r="M206" i="4"/>
  <c r="N206" i="4"/>
  <c r="P206" i="4"/>
  <c r="Q206" i="4"/>
  <c r="J208" i="4"/>
  <c r="K208" i="4"/>
  <c r="M208" i="4"/>
  <c r="N208" i="4"/>
  <c r="P208" i="4"/>
  <c r="Q208" i="4"/>
  <c r="J210" i="4"/>
  <c r="K210" i="4"/>
  <c r="M210" i="4"/>
  <c r="N210" i="4"/>
  <c r="P210" i="4"/>
  <c r="Q210" i="4"/>
  <c r="J212" i="4"/>
  <c r="K212" i="4"/>
  <c r="M212" i="4"/>
  <c r="N212" i="4"/>
  <c r="P212" i="4"/>
  <c r="Q212" i="4"/>
  <c r="J214" i="4"/>
  <c r="K214" i="4"/>
  <c r="M214" i="4"/>
  <c r="N214" i="4"/>
  <c r="P214" i="4"/>
  <c r="Q214" i="4"/>
  <c r="J216" i="4"/>
  <c r="K216" i="4"/>
  <c r="M216" i="4"/>
  <c r="N216" i="4"/>
  <c r="P216" i="4"/>
  <c r="Q216" i="4"/>
  <c r="J218" i="4"/>
  <c r="K218" i="4"/>
  <c r="M218" i="4"/>
  <c r="N218" i="4"/>
  <c r="P218" i="4"/>
  <c r="Q218" i="4"/>
  <c r="J220" i="4"/>
  <c r="K220" i="4"/>
  <c r="M220" i="4"/>
  <c r="N220" i="4"/>
  <c r="P220" i="4"/>
  <c r="Q220" i="4"/>
  <c r="J222" i="4"/>
  <c r="K222" i="4"/>
  <c r="M222" i="4"/>
  <c r="N222" i="4"/>
  <c r="P222" i="4"/>
  <c r="Q222" i="4"/>
  <c r="J224" i="4"/>
  <c r="K224" i="4"/>
  <c r="M224" i="4"/>
  <c r="N224" i="4"/>
  <c r="P224" i="4"/>
  <c r="Q224" i="4"/>
  <c r="J226" i="4"/>
  <c r="K226" i="4"/>
  <c r="M226" i="4"/>
  <c r="N226" i="4"/>
  <c r="P226" i="4"/>
  <c r="Q226" i="4"/>
  <c r="J228" i="4"/>
  <c r="K228" i="4"/>
  <c r="M228" i="4"/>
  <c r="N228" i="4"/>
  <c r="P228" i="4"/>
  <c r="Q228" i="4"/>
  <c r="J230" i="4"/>
  <c r="K230" i="4"/>
  <c r="M230" i="4"/>
  <c r="N230" i="4"/>
  <c r="P230" i="4"/>
  <c r="Q230" i="4"/>
  <c r="J232" i="4"/>
  <c r="K232" i="4"/>
  <c r="M232" i="4"/>
  <c r="N232" i="4"/>
  <c r="P232" i="4"/>
  <c r="Q232" i="4"/>
  <c r="J234" i="4"/>
  <c r="K234" i="4"/>
  <c r="M234" i="4"/>
  <c r="N234" i="4"/>
  <c r="P234" i="4"/>
  <c r="Q234" i="4"/>
  <c r="J236" i="4"/>
  <c r="K236" i="4"/>
  <c r="M236" i="4"/>
  <c r="N236" i="4"/>
  <c r="P236" i="4"/>
  <c r="Q236" i="4"/>
  <c r="J238" i="4"/>
  <c r="K238" i="4"/>
  <c r="M238" i="4"/>
  <c r="N238" i="4"/>
  <c r="P238" i="4"/>
  <c r="Q238" i="4"/>
  <c r="J240" i="4"/>
  <c r="K240" i="4"/>
  <c r="M240" i="4"/>
  <c r="N240" i="4"/>
  <c r="P240" i="4"/>
  <c r="Q240" i="4"/>
  <c r="J242" i="4"/>
  <c r="K242" i="4"/>
  <c r="M242" i="4"/>
  <c r="N242" i="4"/>
  <c r="P242" i="4"/>
  <c r="Q242" i="4"/>
  <c r="J244" i="4"/>
  <c r="K244" i="4"/>
  <c r="M244" i="4"/>
  <c r="N244" i="4"/>
  <c r="P244" i="4"/>
  <c r="Q244" i="4"/>
  <c r="J246" i="4"/>
  <c r="K246" i="4"/>
  <c r="M246" i="4"/>
  <c r="N246" i="4"/>
  <c r="P246" i="4"/>
  <c r="Q246" i="4"/>
  <c r="J248" i="4"/>
  <c r="K248" i="4"/>
  <c r="M248" i="4"/>
  <c r="N248" i="4"/>
  <c r="P248" i="4"/>
  <c r="Q248" i="4"/>
  <c r="J250" i="4"/>
  <c r="K250" i="4"/>
  <c r="M250" i="4"/>
  <c r="N250" i="4"/>
  <c r="P250" i="4"/>
  <c r="Q250" i="4"/>
  <c r="J252" i="4"/>
  <c r="K252" i="4"/>
  <c r="M252" i="4"/>
  <c r="N252" i="4"/>
  <c r="P252" i="4"/>
  <c r="Q252" i="4"/>
  <c r="J254" i="4"/>
  <c r="K254" i="4"/>
  <c r="M254" i="4"/>
  <c r="N254" i="4"/>
  <c r="P254" i="4"/>
  <c r="Q254" i="4"/>
  <c r="J256" i="4"/>
  <c r="K256" i="4"/>
  <c r="M256" i="4"/>
  <c r="N256" i="4"/>
  <c r="P256" i="4"/>
  <c r="Q256" i="4"/>
  <c r="J258" i="4"/>
  <c r="K258" i="4"/>
  <c r="M258" i="4"/>
  <c r="N258" i="4"/>
  <c r="P258" i="4"/>
  <c r="Q258" i="4"/>
  <c r="J260" i="4"/>
  <c r="K260" i="4"/>
  <c r="M260" i="4"/>
  <c r="N260" i="4"/>
  <c r="P260" i="4"/>
  <c r="Q260" i="4"/>
  <c r="J262" i="4"/>
  <c r="K262" i="4"/>
  <c r="M262" i="4"/>
  <c r="N262" i="4"/>
  <c r="P262" i="4"/>
  <c r="Q262" i="4"/>
  <c r="J264" i="4"/>
  <c r="K264" i="4"/>
  <c r="M264" i="4"/>
  <c r="N264" i="4"/>
  <c r="P264" i="4"/>
  <c r="Q264" i="4"/>
  <c r="J266" i="4"/>
  <c r="K266" i="4"/>
  <c r="M266" i="4"/>
  <c r="N266" i="4"/>
  <c r="P266" i="4"/>
  <c r="Q266" i="4"/>
  <c r="J268" i="4"/>
  <c r="K268" i="4"/>
  <c r="M268" i="4"/>
  <c r="N268" i="4"/>
  <c r="P268" i="4"/>
  <c r="Q268" i="4"/>
  <c r="J270" i="4"/>
  <c r="K270" i="4"/>
  <c r="M270" i="4"/>
  <c r="N270" i="4"/>
  <c r="P270" i="4"/>
  <c r="Q270" i="4"/>
  <c r="J272" i="4"/>
  <c r="K272" i="4"/>
  <c r="M272" i="4"/>
  <c r="N272" i="4"/>
  <c r="P272" i="4"/>
  <c r="Q272" i="4"/>
  <c r="J274" i="4"/>
  <c r="K274" i="4"/>
  <c r="M274" i="4"/>
  <c r="N274" i="4"/>
  <c r="P274" i="4"/>
  <c r="Q274" i="4"/>
  <c r="J276" i="4"/>
  <c r="K276" i="4"/>
  <c r="M276" i="4"/>
  <c r="N276" i="4"/>
  <c r="P276" i="4"/>
  <c r="Q276" i="4"/>
  <c r="J278" i="4"/>
  <c r="K278" i="4"/>
  <c r="M278" i="4"/>
  <c r="N278" i="4"/>
  <c r="P278" i="4"/>
  <c r="Q278" i="4"/>
  <c r="J280" i="4"/>
  <c r="K280" i="4"/>
  <c r="M280" i="4"/>
  <c r="N280" i="4"/>
  <c r="P280" i="4"/>
  <c r="Q280" i="4"/>
  <c r="J282" i="4"/>
  <c r="K282" i="4"/>
  <c r="M282" i="4"/>
  <c r="N282" i="4"/>
  <c r="P282" i="4"/>
  <c r="Q282" i="4"/>
  <c r="J284" i="4"/>
  <c r="K284" i="4"/>
  <c r="M284" i="4"/>
  <c r="N284" i="4"/>
  <c r="P284" i="4"/>
  <c r="Q284" i="4"/>
  <c r="J286" i="4"/>
  <c r="K286" i="4"/>
  <c r="M286" i="4"/>
  <c r="N286" i="4"/>
  <c r="P286" i="4"/>
  <c r="Q286" i="4"/>
  <c r="J288" i="4"/>
  <c r="K288" i="4"/>
  <c r="M288" i="4"/>
  <c r="N288" i="4"/>
  <c r="P288" i="4"/>
  <c r="Q288" i="4"/>
  <c r="J290" i="4"/>
  <c r="K290" i="4"/>
  <c r="M290" i="4"/>
  <c r="N290" i="4"/>
  <c r="P290" i="4"/>
  <c r="Q290" i="4"/>
  <c r="J292" i="4"/>
  <c r="K292" i="4"/>
  <c r="M292" i="4"/>
  <c r="N292" i="4"/>
  <c r="P292" i="4"/>
  <c r="Q292" i="4"/>
  <c r="J294" i="4"/>
  <c r="K294" i="4"/>
  <c r="M294" i="4"/>
  <c r="N294" i="4"/>
  <c r="P294" i="4"/>
  <c r="Q294" i="4"/>
  <c r="J296" i="4"/>
  <c r="K296" i="4"/>
  <c r="M296" i="4"/>
  <c r="N296" i="4"/>
  <c r="P296" i="4"/>
  <c r="Q296" i="4"/>
  <c r="J298" i="4"/>
  <c r="K298" i="4"/>
  <c r="M298" i="4"/>
  <c r="N298" i="4"/>
  <c r="P298" i="4"/>
  <c r="Q298" i="4"/>
  <c r="J300" i="4"/>
  <c r="K300" i="4"/>
  <c r="M300" i="4"/>
  <c r="N300" i="4"/>
  <c r="P300" i="4"/>
  <c r="Q300" i="4"/>
  <c r="J302" i="4"/>
  <c r="K302" i="4"/>
  <c r="M302" i="4"/>
  <c r="N302" i="4"/>
  <c r="P302" i="4"/>
  <c r="Q302" i="4"/>
  <c r="J304" i="4"/>
  <c r="K304" i="4"/>
  <c r="M304" i="4"/>
  <c r="N304" i="4"/>
  <c r="P304" i="4"/>
  <c r="Q304" i="4"/>
  <c r="J306" i="4"/>
  <c r="K306" i="4"/>
  <c r="M306" i="4"/>
  <c r="N306" i="4"/>
  <c r="P306" i="4"/>
  <c r="Q306" i="4"/>
  <c r="J308" i="4"/>
  <c r="K308" i="4"/>
  <c r="M308" i="4"/>
  <c r="N308" i="4"/>
  <c r="P308" i="4"/>
  <c r="Q308" i="4"/>
  <c r="J310" i="4"/>
  <c r="K310" i="4"/>
  <c r="M310" i="4"/>
  <c r="N310" i="4"/>
  <c r="P310" i="4"/>
  <c r="Q310" i="4"/>
  <c r="J312" i="4"/>
  <c r="K312" i="4"/>
  <c r="M312" i="4"/>
  <c r="N312" i="4"/>
  <c r="P312" i="4"/>
  <c r="Q312" i="4"/>
  <c r="J314" i="4"/>
  <c r="K314" i="4"/>
  <c r="M314" i="4"/>
  <c r="N314" i="4"/>
  <c r="P314" i="4"/>
  <c r="Q314" i="4"/>
  <c r="J316" i="4"/>
  <c r="K316" i="4"/>
  <c r="M316" i="4"/>
  <c r="N316" i="4"/>
  <c r="P316" i="4"/>
  <c r="Q316" i="4"/>
  <c r="J318" i="4"/>
  <c r="K318" i="4"/>
  <c r="M318" i="4"/>
  <c r="N318" i="4"/>
  <c r="P318" i="4"/>
  <c r="Q318" i="4"/>
  <c r="J320" i="4"/>
  <c r="K320" i="4"/>
  <c r="M320" i="4"/>
  <c r="N320" i="4"/>
  <c r="P320" i="4"/>
  <c r="Q320" i="4"/>
  <c r="J322" i="4"/>
  <c r="K322" i="4"/>
  <c r="M322" i="4"/>
  <c r="N322" i="4"/>
  <c r="P322" i="4"/>
  <c r="Q322" i="4"/>
  <c r="J324" i="4"/>
  <c r="K324" i="4"/>
  <c r="M324" i="4"/>
  <c r="N324" i="4"/>
  <c r="P324" i="4"/>
  <c r="Q324" i="4"/>
  <c r="J326" i="4"/>
  <c r="K326" i="4"/>
  <c r="M326" i="4"/>
  <c r="N326" i="4"/>
  <c r="P326" i="4"/>
  <c r="Q326" i="4"/>
  <c r="J328" i="4"/>
  <c r="K328" i="4"/>
  <c r="M328" i="4"/>
  <c r="N328" i="4"/>
  <c r="P328" i="4"/>
  <c r="Q328" i="4"/>
  <c r="J330" i="4"/>
  <c r="K330" i="4"/>
  <c r="M330" i="4"/>
  <c r="N330" i="4"/>
  <c r="P330" i="4"/>
  <c r="Q330" i="4"/>
  <c r="J336" i="4"/>
  <c r="K336" i="4"/>
  <c r="M336" i="4"/>
  <c r="N336" i="4"/>
  <c r="P336" i="4"/>
  <c r="Q336" i="4"/>
  <c r="J338" i="4"/>
  <c r="K338" i="4"/>
  <c r="M338" i="4"/>
  <c r="N338" i="4"/>
  <c r="P338" i="4"/>
  <c r="Q338" i="4"/>
  <c r="J340" i="4"/>
  <c r="K340" i="4"/>
  <c r="M340" i="4"/>
  <c r="N340" i="4"/>
  <c r="P340" i="4"/>
  <c r="Q340" i="4"/>
  <c r="J342" i="4"/>
  <c r="K342" i="4"/>
  <c r="M342" i="4"/>
  <c r="N342" i="4"/>
  <c r="P342" i="4"/>
  <c r="Q342" i="4"/>
  <c r="Y91" i="3"/>
  <c r="X31" i="3"/>
  <c r="X25" i="3"/>
  <c r="X9" i="3"/>
  <c r="X7" i="3"/>
  <c r="X5" i="3"/>
  <c r="Y5" i="3" s="1"/>
  <c r="X3" i="3"/>
  <c r="X11" i="3"/>
  <c r="X109" i="3"/>
  <c r="X107" i="3"/>
  <c r="X103" i="3"/>
  <c r="X101" i="3"/>
  <c r="Y101" i="3" s="1"/>
  <c r="X97" i="3"/>
  <c r="X95" i="3"/>
  <c r="X93" i="3"/>
  <c r="X91" i="3"/>
  <c r="X89" i="3"/>
  <c r="X87" i="3"/>
  <c r="Y87" i="3" s="1"/>
  <c r="X85" i="3"/>
  <c r="X83" i="3"/>
  <c r="X81" i="3"/>
  <c r="X79" i="3"/>
  <c r="X77" i="3"/>
  <c r="X75" i="3"/>
  <c r="Y75" i="3" s="1"/>
  <c r="X73" i="3"/>
  <c r="X71" i="3"/>
  <c r="X69" i="3"/>
  <c r="X67" i="3"/>
  <c r="X65" i="3"/>
  <c r="X63" i="3"/>
  <c r="Y63" i="3" s="1"/>
  <c r="X61" i="3"/>
  <c r="X59" i="3"/>
  <c r="X57" i="3"/>
  <c r="X55" i="3"/>
  <c r="X53" i="3"/>
  <c r="X51" i="3"/>
  <c r="Y51" i="3" s="1"/>
  <c r="X49" i="3"/>
  <c r="Q109" i="3"/>
  <c r="P109" i="3"/>
  <c r="N109" i="3"/>
  <c r="L109" i="3"/>
  <c r="K109" i="3"/>
  <c r="Q107" i="3"/>
  <c r="P107" i="3"/>
  <c r="N107" i="3"/>
  <c r="L107" i="3"/>
  <c r="K107" i="3"/>
  <c r="Q103" i="3"/>
  <c r="P103" i="3"/>
  <c r="N103" i="3"/>
  <c r="L103" i="3"/>
  <c r="K103" i="3"/>
  <c r="Q101" i="3"/>
  <c r="P101" i="3"/>
  <c r="N101" i="3"/>
  <c r="L101" i="3"/>
  <c r="K101" i="3"/>
  <c r="Q97" i="3"/>
  <c r="P97" i="3"/>
  <c r="N97" i="3"/>
  <c r="L97" i="3"/>
  <c r="K97" i="3"/>
  <c r="Q95" i="3"/>
  <c r="P95" i="3"/>
  <c r="N95" i="3"/>
  <c r="L95" i="3"/>
  <c r="K95" i="3"/>
  <c r="Q93" i="3"/>
  <c r="P93" i="3"/>
  <c r="N93" i="3"/>
  <c r="L93" i="3"/>
  <c r="K93" i="3"/>
  <c r="Q91" i="3"/>
  <c r="P91" i="3"/>
  <c r="N91" i="3"/>
  <c r="L91" i="3"/>
  <c r="K91" i="3"/>
  <c r="Q89" i="3"/>
  <c r="P89" i="3"/>
  <c r="N89" i="3"/>
  <c r="L89" i="3"/>
  <c r="K89" i="3"/>
  <c r="Q87" i="3"/>
  <c r="P87" i="3"/>
  <c r="N87" i="3"/>
  <c r="L87" i="3"/>
  <c r="K87" i="3"/>
  <c r="Q85" i="3"/>
  <c r="P85" i="3"/>
  <c r="N85" i="3"/>
  <c r="L85" i="3"/>
  <c r="K85" i="3"/>
  <c r="Q83" i="3"/>
  <c r="P83" i="3"/>
  <c r="N83" i="3"/>
  <c r="L83" i="3"/>
  <c r="K83" i="3"/>
  <c r="Q81" i="3"/>
  <c r="P81" i="3"/>
  <c r="N81" i="3"/>
  <c r="L81" i="3"/>
  <c r="K81" i="3"/>
  <c r="Q79" i="3"/>
  <c r="P79" i="3"/>
  <c r="N79" i="3"/>
  <c r="L79" i="3"/>
  <c r="K79" i="3"/>
  <c r="Q77" i="3"/>
  <c r="P77" i="3"/>
  <c r="N77" i="3"/>
  <c r="L77" i="3"/>
  <c r="K77" i="3"/>
  <c r="Q75" i="3"/>
  <c r="P75" i="3"/>
  <c r="N75" i="3"/>
  <c r="L75" i="3"/>
  <c r="K75" i="3"/>
  <c r="Q73" i="3"/>
  <c r="P73" i="3"/>
  <c r="N73" i="3"/>
  <c r="L73" i="3"/>
  <c r="K73" i="3"/>
  <c r="Q71" i="3"/>
  <c r="P71" i="3"/>
  <c r="N71" i="3"/>
  <c r="L71" i="3"/>
  <c r="K71" i="3"/>
  <c r="Q69" i="3"/>
  <c r="P69" i="3"/>
  <c r="N69" i="3"/>
  <c r="L69" i="3"/>
  <c r="K69" i="3"/>
  <c r="Q67" i="3"/>
  <c r="P67" i="3"/>
  <c r="N67" i="3"/>
  <c r="L67" i="3"/>
  <c r="K67" i="3"/>
  <c r="Q65" i="3"/>
  <c r="P65" i="3"/>
  <c r="N65" i="3"/>
  <c r="L65" i="3"/>
  <c r="K65" i="3"/>
  <c r="Q63" i="3"/>
  <c r="P63" i="3"/>
  <c r="N63" i="3"/>
  <c r="L63" i="3"/>
  <c r="K63" i="3"/>
  <c r="Q61" i="3"/>
  <c r="P61" i="3"/>
  <c r="N61" i="3"/>
  <c r="L61" i="3"/>
  <c r="K61" i="3"/>
  <c r="Q59" i="3"/>
  <c r="P59" i="3"/>
  <c r="N59" i="3"/>
  <c r="L59" i="3"/>
  <c r="K59" i="3"/>
  <c r="Q57" i="3"/>
  <c r="P57" i="3"/>
  <c r="N57" i="3"/>
  <c r="L57" i="3"/>
  <c r="K57" i="3"/>
  <c r="Q55" i="3"/>
  <c r="P55" i="3"/>
  <c r="N55" i="3"/>
  <c r="L55" i="3"/>
  <c r="K55" i="3"/>
  <c r="Q53" i="3"/>
  <c r="P53" i="3"/>
  <c r="N53" i="3"/>
  <c r="L53" i="3"/>
  <c r="K53" i="3"/>
  <c r="Q51" i="3"/>
  <c r="P51" i="3"/>
  <c r="N51" i="3"/>
  <c r="L51" i="3"/>
  <c r="K51" i="3"/>
  <c r="K49" i="3"/>
  <c r="B110" i="3"/>
  <c r="B109" i="3"/>
  <c r="B108" i="3"/>
  <c r="B107" i="3"/>
  <c r="B104" i="3"/>
  <c r="B103" i="3"/>
  <c r="B102" i="3"/>
  <c r="B101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32" i="3"/>
  <c r="B31" i="3"/>
  <c r="B30" i="3"/>
  <c r="B29" i="3"/>
  <c r="B28" i="3"/>
  <c r="B27" i="3"/>
  <c r="B26" i="3"/>
  <c r="B25" i="3"/>
  <c r="B10" i="3"/>
  <c r="B9" i="3"/>
  <c r="B8" i="3"/>
  <c r="B7" i="3"/>
  <c r="B6" i="3"/>
  <c r="B5" i="3"/>
  <c r="B4" i="3"/>
  <c r="B3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3" i="2"/>
  <c r="K3" i="3"/>
  <c r="Q117" i="3"/>
  <c r="P117" i="3"/>
  <c r="N117" i="3"/>
  <c r="L117" i="3"/>
  <c r="K117" i="3"/>
  <c r="Y49" i="3" l="1"/>
  <c r="Y57" i="3"/>
  <c r="Y67" i="3"/>
  <c r="Y79" i="3"/>
  <c r="Y107" i="3"/>
  <c r="Y61" i="3"/>
  <c r="Y73" i="3"/>
  <c r="Y85" i="3"/>
  <c r="Y97" i="3"/>
  <c r="Y3" i="3"/>
  <c r="Y55" i="3"/>
  <c r="Y53" i="3"/>
  <c r="Y65" i="3"/>
  <c r="Y77" i="3"/>
  <c r="Y89" i="3"/>
  <c r="Y103" i="3"/>
  <c r="Y7" i="3"/>
  <c r="Y81" i="3"/>
  <c r="Y69" i="3"/>
  <c r="Y109" i="3"/>
  <c r="Y25" i="3"/>
  <c r="Y93" i="3"/>
  <c r="Y71" i="3"/>
  <c r="Y83" i="3"/>
  <c r="Y95" i="3"/>
  <c r="X4" i="4"/>
  <c r="T4" i="4"/>
  <c r="X22" i="3"/>
  <c r="X126" i="3"/>
  <c r="X27" i="3"/>
  <c r="Y27" i="3" s="1"/>
  <c r="X29" i="3"/>
  <c r="Y29" i="3" s="1"/>
  <c r="X43" i="3"/>
  <c r="Y31" i="3"/>
  <c r="X127" i="3"/>
  <c r="Y59" i="3"/>
  <c r="Y9" i="3"/>
  <c r="X21" i="3"/>
  <c r="K127" i="3"/>
  <c r="K126" i="3"/>
  <c r="Y117" i="3"/>
  <c r="T364" i="4"/>
  <c r="U117" i="3"/>
  <c r="Q380" i="4"/>
  <c r="P380" i="4"/>
  <c r="X380" i="4" s="1"/>
  <c r="N380" i="4"/>
  <c r="M380" i="4"/>
  <c r="K380" i="4"/>
  <c r="J380" i="4"/>
  <c r="T380" i="4" s="1"/>
  <c r="Q378" i="4"/>
  <c r="P378" i="4"/>
  <c r="X378" i="4" s="1"/>
  <c r="N378" i="4"/>
  <c r="M378" i="4"/>
  <c r="K378" i="4"/>
  <c r="J378" i="4"/>
  <c r="T378" i="4" s="1"/>
  <c r="Q356" i="4"/>
  <c r="P356" i="4"/>
  <c r="X356" i="4" s="1"/>
  <c r="N356" i="4"/>
  <c r="M356" i="4"/>
  <c r="K356" i="4"/>
  <c r="J356" i="4"/>
  <c r="T356" i="4" s="1"/>
  <c r="Q354" i="4"/>
  <c r="P354" i="4"/>
  <c r="X354" i="4" s="1"/>
  <c r="N354" i="4"/>
  <c r="M354" i="4"/>
  <c r="K354" i="4"/>
  <c r="J354" i="4"/>
  <c r="T354" i="4" s="1"/>
  <c r="Q382" i="4"/>
  <c r="P382" i="4"/>
  <c r="X382" i="4" s="1"/>
  <c r="N382" i="4"/>
  <c r="M382" i="4"/>
  <c r="K382" i="4"/>
  <c r="J382" i="4"/>
  <c r="T382" i="4" s="1"/>
  <c r="Q376" i="4"/>
  <c r="P376" i="4"/>
  <c r="X376" i="4" s="1"/>
  <c r="N376" i="4"/>
  <c r="M376" i="4"/>
  <c r="K376" i="4"/>
  <c r="J376" i="4"/>
  <c r="T376" i="4" s="1"/>
  <c r="Q374" i="4"/>
  <c r="P374" i="4"/>
  <c r="X374" i="4" s="1"/>
  <c r="N374" i="4"/>
  <c r="M374" i="4"/>
  <c r="K374" i="4"/>
  <c r="J374" i="4"/>
  <c r="T374" i="4" s="1"/>
  <c r="Q372" i="4"/>
  <c r="P372" i="4"/>
  <c r="X372" i="4" s="1"/>
  <c r="N372" i="4"/>
  <c r="M372" i="4"/>
  <c r="K372" i="4"/>
  <c r="J372" i="4"/>
  <c r="T372" i="4" s="1"/>
  <c r="Q370" i="4"/>
  <c r="P370" i="4"/>
  <c r="X370" i="4" s="1"/>
  <c r="N370" i="4"/>
  <c r="M370" i="4"/>
  <c r="K370" i="4"/>
  <c r="J370" i="4"/>
  <c r="T370" i="4" s="1"/>
  <c r="Q368" i="4"/>
  <c r="P368" i="4"/>
  <c r="X368" i="4" s="1"/>
  <c r="N368" i="4"/>
  <c r="M368" i="4"/>
  <c r="K368" i="4"/>
  <c r="J368" i="4"/>
  <c r="T368" i="4" s="1"/>
  <c r="Q366" i="4"/>
  <c r="P366" i="4"/>
  <c r="X366" i="4" s="1"/>
  <c r="N366" i="4"/>
  <c r="M366" i="4"/>
  <c r="K366" i="4"/>
  <c r="J366" i="4"/>
  <c r="T366" i="4" s="1"/>
  <c r="Q364" i="4"/>
  <c r="P364" i="4"/>
  <c r="X364" i="4" s="1"/>
  <c r="N364" i="4"/>
  <c r="M364" i="4"/>
  <c r="K364" i="4"/>
  <c r="J364" i="4"/>
  <c r="Q362" i="4"/>
  <c r="P362" i="4"/>
  <c r="X362" i="4" s="1"/>
  <c r="N362" i="4"/>
  <c r="M362" i="4"/>
  <c r="K362" i="4"/>
  <c r="J362" i="4"/>
  <c r="T362" i="4" s="1"/>
  <c r="Q360" i="4"/>
  <c r="P360" i="4"/>
  <c r="X360" i="4" s="1"/>
  <c r="N360" i="4"/>
  <c r="M360" i="4"/>
  <c r="K360" i="4"/>
  <c r="J360" i="4"/>
  <c r="T360" i="4" s="1"/>
  <c r="Q358" i="4"/>
  <c r="P358" i="4"/>
  <c r="X358" i="4" s="1"/>
  <c r="N358" i="4"/>
  <c r="M358" i="4"/>
  <c r="K358" i="4"/>
  <c r="J358" i="4"/>
  <c r="T358" i="4" s="1"/>
  <c r="Q352" i="4"/>
  <c r="P352" i="4"/>
  <c r="X352" i="4" s="1"/>
  <c r="N352" i="4"/>
  <c r="M352" i="4"/>
  <c r="K352" i="4"/>
  <c r="J352" i="4"/>
  <c r="T352" i="4" s="1"/>
  <c r="Q350" i="4"/>
  <c r="P350" i="4"/>
  <c r="X350" i="4" s="1"/>
  <c r="N350" i="4"/>
  <c r="M350" i="4"/>
  <c r="K350" i="4"/>
  <c r="J350" i="4"/>
  <c r="T350" i="4" s="1"/>
  <c r="Q348" i="4"/>
  <c r="P348" i="4"/>
  <c r="X348" i="4" s="1"/>
  <c r="N348" i="4"/>
  <c r="M348" i="4"/>
  <c r="K348" i="4"/>
  <c r="J348" i="4"/>
  <c r="T348" i="4" s="1"/>
  <c r="Q346" i="4"/>
  <c r="P346" i="4"/>
  <c r="X346" i="4" s="1"/>
  <c r="N346" i="4"/>
  <c r="M346" i="4"/>
  <c r="K346" i="4"/>
  <c r="J346" i="4"/>
  <c r="T346" i="4" s="1"/>
  <c r="Q344" i="4"/>
  <c r="P344" i="4"/>
  <c r="X344" i="4" s="1"/>
  <c r="N344" i="4"/>
  <c r="M344" i="4"/>
  <c r="K344" i="4"/>
  <c r="J344" i="4"/>
  <c r="T344" i="4" s="1"/>
  <c r="Y126" i="3" l="1"/>
  <c r="T138" i="3" s="1"/>
  <c r="Y22" i="3"/>
  <c r="Y21" i="3"/>
  <c r="T136" i="3" s="1"/>
  <c r="X44" i="3"/>
  <c r="Y43" i="3"/>
  <c r="T137" i="3" s="1"/>
  <c r="Y127" i="3"/>
  <c r="Y44" i="3"/>
  <c r="Q115" i="3"/>
  <c r="P115" i="3"/>
  <c r="Y115" i="3" s="1"/>
  <c r="N115" i="3"/>
  <c r="L115" i="3"/>
  <c r="K115" i="3"/>
  <c r="U115" i="3" s="1"/>
  <c r="Q113" i="3"/>
  <c r="P113" i="3"/>
  <c r="Y113" i="3" s="1"/>
  <c r="N113" i="3"/>
  <c r="L113" i="3"/>
  <c r="K113" i="3"/>
  <c r="U113" i="3" s="1"/>
  <c r="Q39" i="3"/>
  <c r="P39" i="3"/>
  <c r="N39" i="3"/>
  <c r="L39" i="3"/>
  <c r="K39" i="3"/>
  <c r="Q37" i="3"/>
  <c r="P37" i="3"/>
  <c r="N37" i="3"/>
  <c r="L37" i="3"/>
  <c r="K37" i="3"/>
  <c r="Q35" i="3"/>
  <c r="P35" i="3"/>
  <c r="N35" i="3"/>
  <c r="L35" i="3"/>
  <c r="K35" i="3"/>
  <c r="U35" i="3" s="1"/>
  <c r="Q33" i="3"/>
  <c r="P33" i="3"/>
  <c r="N33" i="3"/>
  <c r="L33" i="3"/>
  <c r="K33" i="3"/>
  <c r="Q31" i="3"/>
  <c r="P31" i="3"/>
  <c r="N31" i="3"/>
  <c r="L31" i="3"/>
  <c r="K31" i="3"/>
  <c r="Q29" i="3"/>
  <c r="P29" i="3"/>
  <c r="N29" i="3"/>
  <c r="L29" i="3"/>
  <c r="K29" i="3"/>
  <c r="Q27" i="3"/>
  <c r="P27" i="3"/>
  <c r="N27" i="3"/>
  <c r="L27" i="3"/>
  <c r="K27" i="3"/>
  <c r="Q17" i="3"/>
  <c r="P17" i="3"/>
  <c r="N17" i="3"/>
  <c r="L17" i="3"/>
  <c r="K17" i="3"/>
  <c r="Q15" i="3"/>
  <c r="P15" i="3"/>
  <c r="N15" i="3"/>
  <c r="L15" i="3"/>
  <c r="K15" i="3"/>
  <c r="U15" i="3" s="1"/>
  <c r="Q13" i="3"/>
  <c r="P13" i="3"/>
  <c r="Y13" i="3" s="1"/>
  <c r="N13" i="3"/>
  <c r="L13" i="3"/>
  <c r="K13" i="3"/>
  <c r="Q11" i="3"/>
  <c r="P11" i="3"/>
  <c r="N11" i="3"/>
  <c r="L11" i="3"/>
  <c r="K11" i="3"/>
  <c r="Q49" i="3"/>
  <c r="P49" i="3"/>
  <c r="N49" i="3"/>
  <c r="L49" i="3"/>
  <c r="Q9" i="3"/>
  <c r="P9" i="3"/>
  <c r="L9" i="3"/>
  <c r="K9" i="3"/>
  <c r="P7" i="3"/>
  <c r="K7" i="3"/>
  <c r="N9" i="3"/>
  <c r="Q7" i="3"/>
  <c r="N7" i="3"/>
  <c r="L7" i="3"/>
  <c r="Q3" i="3"/>
  <c r="P3" i="3"/>
  <c r="N3" i="3"/>
  <c r="L3" i="3"/>
  <c r="P25" i="3"/>
  <c r="N25" i="3"/>
  <c r="K25" i="3"/>
  <c r="T29" i="3" l="1"/>
  <c r="U29" i="3" s="1"/>
  <c r="T31" i="3"/>
  <c r="U31" i="3" s="1"/>
  <c r="T3" i="3"/>
  <c r="T7" i="3"/>
  <c r="U7" i="3" s="1"/>
  <c r="T27" i="3"/>
  <c r="U27" i="3" s="1"/>
  <c r="T49" i="3"/>
  <c r="T9" i="3"/>
  <c r="U9" i="3" s="1"/>
  <c r="K44" i="3"/>
  <c r="K43" i="3"/>
  <c r="P43" i="3"/>
  <c r="P44" i="3"/>
  <c r="P127" i="3"/>
  <c r="P126" i="3"/>
  <c r="U13" i="3"/>
  <c r="U33" i="3"/>
  <c r="Y39" i="3"/>
  <c r="U11" i="3"/>
  <c r="Y17" i="3"/>
  <c r="Y37" i="3"/>
  <c r="Y15" i="3"/>
  <c r="Y35" i="3"/>
  <c r="Y33" i="3"/>
  <c r="U39" i="3"/>
  <c r="Y11" i="3"/>
  <c r="U17" i="3"/>
  <c r="U37" i="3"/>
  <c r="Q25" i="3"/>
  <c r="L25" i="3"/>
  <c r="Q5" i="3"/>
  <c r="P5" i="3"/>
  <c r="P22" i="3" s="1"/>
  <c r="N5" i="3"/>
  <c r="L5" i="3"/>
  <c r="K5" i="3"/>
  <c r="T5" i="3" s="1"/>
  <c r="U5" i="3" s="1"/>
  <c r="U3" i="3" l="1"/>
  <c r="U21" i="3" s="1"/>
  <c r="S136" i="3" s="1"/>
  <c r="T21" i="3"/>
  <c r="U49" i="3"/>
  <c r="T85" i="3"/>
  <c r="U85" i="3" s="1"/>
  <c r="T77" i="3"/>
  <c r="U77" i="3" s="1"/>
  <c r="T103" i="3"/>
  <c r="U103" i="3" s="1"/>
  <c r="T65" i="3"/>
  <c r="U65" i="3" s="1"/>
  <c r="T89" i="3"/>
  <c r="U89" i="3" s="1"/>
  <c r="T53" i="3"/>
  <c r="U53" i="3" s="1"/>
  <c r="T55" i="3"/>
  <c r="U55" i="3" s="1"/>
  <c r="T109" i="3"/>
  <c r="U109" i="3" s="1"/>
  <c r="T61" i="3"/>
  <c r="U61" i="3" s="1"/>
  <c r="T83" i="3"/>
  <c r="U83" i="3" s="1"/>
  <c r="T75" i="3"/>
  <c r="U75" i="3" s="1"/>
  <c r="T67" i="3"/>
  <c r="U67" i="3" s="1"/>
  <c r="T51" i="3"/>
  <c r="U51" i="3" s="1"/>
  <c r="T73" i="3"/>
  <c r="U73" i="3" s="1"/>
  <c r="T101" i="3"/>
  <c r="U101" i="3" s="1"/>
  <c r="T79" i="3"/>
  <c r="U79" i="3" s="1"/>
  <c r="T63" i="3"/>
  <c r="U63" i="3" s="1"/>
  <c r="T87" i="3"/>
  <c r="U87" i="3" s="1"/>
  <c r="T57" i="3"/>
  <c r="U57" i="3" s="1"/>
  <c r="T95" i="3"/>
  <c r="U95" i="3" s="1"/>
  <c r="T69" i="3"/>
  <c r="U69" i="3" s="1"/>
  <c r="T91" i="3"/>
  <c r="U91" i="3" s="1"/>
  <c r="T59" i="3"/>
  <c r="U59" i="3" s="1"/>
  <c r="T81" i="3"/>
  <c r="U81" i="3" s="1"/>
  <c r="T93" i="3"/>
  <c r="U93" i="3" s="1"/>
  <c r="T107" i="3"/>
  <c r="U107" i="3" s="1"/>
  <c r="T71" i="3"/>
  <c r="U71" i="3" s="1"/>
  <c r="T97" i="3"/>
  <c r="U97" i="3" s="1"/>
  <c r="T25" i="3"/>
  <c r="K22" i="3"/>
  <c r="K21" i="3"/>
  <c r="P21" i="3"/>
  <c r="S352" i="4"/>
  <c r="S344" i="4"/>
  <c r="W362" i="4"/>
  <c r="S362" i="4"/>
  <c r="W366" i="4"/>
  <c r="W344" i="4"/>
  <c r="S354" i="4"/>
  <c r="S378" i="4"/>
  <c r="W382" i="4"/>
  <c r="W360" i="4"/>
  <c r="W368" i="4"/>
  <c r="W356" i="4"/>
  <c r="W346" i="4"/>
  <c r="S364" i="4"/>
  <c r="S366" i="4"/>
  <c r="W380" i="4"/>
  <c r="S360" i="4"/>
  <c r="W364" i="4"/>
  <c r="S358" i="4"/>
  <c r="S356" i="4"/>
  <c r="S380" i="4"/>
  <c r="S346" i="4"/>
  <c r="W358" i="4"/>
  <c r="S370" i="4"/>
  <c r="X115" i="3"/>
  <c r="W370" i="4"/>
  <c r="X117" i="3"/>
  <c r="X113" i="3"/>
  <c r="W350" i="4"/>
  <c r="W374" i="4"/>
  <c r="S374" i="4"/>
  <c r="S382" i="4"/>
  <c r="S350" i="4"/>
  <c r="W372" i="4"/>
  <c r="W376" i="4"/>
  <c r="W378" i="4"/>
  <c r="S372" i="4"/>
  <c r="W354" i="4"/>
  <c r="S348" i="4"/>
  <c r="S376" i="4"/>
  <c r="S368" i="4"/>
  <c r="W352" i="4"/>
  <c r="W348" i="4"/>
  <c r="T117" i="3"/>
  <c r="T113" i="3"/>
  <c r="T115" i="3"/>
  <c r="X33" i="3"/>
  <c r="T11" i="3"/>
  <c r="T35" i="3"/>
  <c r="X13" i="3"/>
  <c r="T37" i="3"/>
  <c r="T33" i="3"/>
  <c r="T15" i="3"/>
  <c r="X15" i="3"/>
  <c r="X17" i="3"/>
  <c r="X35" i="3"/>
  <c r="T39" i="3"/>
  <c r="X39" i="3"/>
  <c r="T17" i="3"/>
  <c r="X37" i="3"/>
  <c r="T13" i="3"/>
  <c r="U22" i="3" l="1"/>
  <c r="U25" i="3"/>
  <c r="T44" i="3"/>
  <c r="T43" i="3"/>
  <c r="T126" i="3"/>
  <c r="U127" i="3"/>
  <c r="U126" i="3"/>
  <c r="S138" i="3" s="1"/>
  <c r="T127" i="3"/>
  <c r="T22" i="3"/>
  <c r="U43" i="3" l="1"/>
  <c r="S137" i="3" s="1"/>
  <c r="O160" i="3" s="1"/>
  <c r="U44" i="3"/>
  <c r="O161" i="3" l="1"/>
  <c r="O159" i="3"/>
  <c r="U160" i="3"/>
  <c r="U159" i="3"/>
  <c r="U161" i="3"/>
  <c r="Z4" i="4" l="1"/>
  <c r="Z346" i="4"/>
  <c r="Z364" i="4"/>
  <c r="Z368" i="4"/>
  <c r="Z352" i="4"/>
  <c r="Z354" i="4"/>
  <c r="Z360" i="4"/>
  <c r="Z344" i="4"/>
  <c r="Z370" i="4"/>
  <c r="Z362" i="4"/>
  <c r="Z380" i="4"/>
  <c r="Z366" i="4"/>
  <c r="Z350" i="4"/>
  <c r="Z358" i="4"/>
  <c r="Z378" i="4"/>
  <c r="Z372" i="4"/>
  <c r="Z356" i="4"/>
  <c r="Z348" i="4"/>
  <c r="Z382" i="4"/>
  <c r="Z376" i="4"/>
  <c r="Z374" i="4"/>
  <c r="AA374" i="4"/>
  <c r="AA382" i="4"/>
  <c r="AA360" i="4"/>
  <c r="AA366" i="4"/>
  <c r="AA378" i="4"/>
  <c r="AA370" i="4"/>
  <c r="AA364" i="4"/>
  <c r="AA376" i="4"/>
  <c r="AA356" i="4"/>
  <c r="AA346" i="4"/>
  <c r="AA348" i="4"/>
  <c r="AA350" i="4"/>
  <c r="AA372" i="4"/>
  <c r="AA380" i="4"/>
  <c r="AA362" i="4"/>
  <c r="AA368" i="4"/>
  <c r="AA354" i="4"/>
  <c r="AA344" i="4"/>
  <c r="AA358" i="4"/>
  <c r="AA352" i="4"/>
</calcChain>
</file>

<file path=xl/sharedStrings.xml><?xml version="1.0" encoding="utf-8"?>
<sst xmlns="http://schemas.openxmlformats.org/spreadsheetml/2006/main" count="14622" uniqueCount="1489">
  <si>
    <t>UTM</t>
  </si>
  <si>
    <t>Row</t>
  </si>
  <si>
    <t>Identifier 1</t>
  </si>
  <si>
    <t>Identifier 2</t>
  </si>
  <si>
    <t>Peak Nr</t>
  </si>
  <si>
    <t>Ampl  44</t>
  </si>
  <si>
    <t>Area 44</t>
  </si>
  <si>
    <t>d 13C/12C</t>
  </si>
  <si>
    <t>d 18O/16O</t>
  </si>
  <si>
    <t>d 13C/12C ave</t>
  </si>
  <si>
    <t>stnd dev</t>
  </si>
  <si>
    <t>Ave Amp 44</t>
  </si>
  <si>
    <t>d 18O/16O ave</t>
  </si>
  <si>
    <t>d 13C/12C drift Corr</t>
  </si>
  <si>
    <t>d 13C/12C amp 44 Corr</t>
  </si>
  <si>
    <t>d 18O/16O drift Corr</t>
  </si>
  <si>
    <t>d 18O/16O amp 44 Corr</t>
  </si>
  <si>
    <t>Ave</t>
  </si>
  <si>
    <t>Std Dev</t>
  </si>
  <si>
    <t>Known d13C</t>
  </si>
  <si>
    <t>Measured d13C</t>
  </si>
  <si>
    <t>Known d18O</t>
  </si>
  <si>
    <t>Measured d18O</t>
  </si>
  <si>
    <t>NBS 18</t>
  </si>
  <si>
    <t>NBS 19</t>
  </si>
  <si>
    <t>Slope</t>
  </si>
  <si>
    <t>Intercept</t>
  </si>
  <si>
    <t>Ave ampl 44</t>
  </si>
  <si>
    <t>std dev amp 44</t>
  </si>
  <si>
    <t>.</t>
  </si>
  <si>
    <t>δ13C (PDB)</t>
  </si>
  <si>
    <t>δ18O (SMOW)</t>
  </si>
  <si>
    <t>Known</t>
  </si>
  <si>
    <t>Comment</t>
  </si>
  <si>
    <t>Ampl  45</t>
  </si>
  <si>
    <t>Ampl  46</t>
  </si>
  <si>
    <t>Information</t>
  </si>
  <si>
    <t>Date</t>
  </si>
  <si>
    <t>Time</t>
  </si>
  <si>
    <t>Time Code</t>
  </si>
  <si>
    <t>Area All</t>
  </si>
  <si>
    <t>BGD 44</t>
  </si>
  <si>
    <t>BGD 45</t>
  </si>
  <si>
    <t>BGD 46</t>
  </si>
  <si>
    <t>7.0</t>
  </si>
  <si>
    <t>9.4</t>
  </si>
  <si>
    <t>7.7</t>
  </si>
  <si>
    <t>8.0</t>
  </si>
  <si>
    <t>11.7</t>
  </si>
  <si>
    <t>14.1</t>
  </si>
  <si>
    <t>10.9</t>
  </si>
  <si>
    <t>9.2</t>
  </si>
  <si>
    <t>12.0</t>
  </si>
  <si>
    <t>12.3</t>
  </si>
  <si>
    <t>14.8</t>
  </si>
  <si>
    <t>11.0</t>
  </si>
  <si>
    <t>7.9</t>
  </si>
  <si>
    <t>12.8</t>
  </si>
  <si>
    <t>13.2</t>
  </si>
  <si>
    <t>12.9</t>
  </si>
  <si>
    <t>11.9</t>
  </si>
  <si>
    <t>13.0</t>
  </si>
  <si>
    <t>14.7</t>
  </si>
  <si>
    <t>12.5</t>
  </si>
  <si>
    <t>15.7</t>
  </si>
  <si>
    <t>13.4</t>
  </si>
  <si>
    <t>10.7</t>
  </si>
  <si>
    <t>13.7</t>
  </si>
  <si>
    <t>13.8</t>
  </si>
  <si>
    <t>12.6</t>
  </si>
  <si>
    <t>11.3</t>
  </si>
  <si>
    <t>13.9</t>
  </si>
  <si>
    <t>16.4</t>
  </si>
  <si>
    <t>14.2</t>
  </si>
  <si>
    <t>14.3</t>
  </si>
  <si>
    <t>12.1</t>
  </si>
  <si>
    <t>15.0</t>
  </si>
  <si>
    <t>11.4</t>
  </si>
  <si>
    <t>14.6</t>
  </si>
  <si>
    <t>19.4</t>
  </si>
  <si>
    <t>11.6</t>
  </si>
  <si>
    <t>19.2</t>
  </si>
  <si>
    <t>15.3</t>
  </si>
  <si>
    <t>9.7</t>
  </si>
  <si>
    <t>14.9</t>
  </si>
  <si>
    <t>14.5</t>
  </si>
  <si>
    <t>8.8</t>
  </si>
  <si>
    <t>7.8</t>
  </si>
  <si>
    <t>6.8</t>
  </si>
  <si>
    <t>7.6</t>
  </si>
  <si>
    <t>15.2</t>
  </si>
  <si>
    <t>8.1</t>
  </si>
  <si>
    <t>Line</t>
  </si>
  <si>
    <t>d 18O/16O Amp 44 Corr</t>
  </si>
  <si>
    <t>d 18O/16O Drift Corr</t>
  </si>
  <si>
    <t>Amp 44</t>
  </si>
  <si>
    <t>23.5</t>
  </si>
  <si>
    <r>
      <t>r</t>
    </r>
    <r>
      <rPr>
        <vertAlign val="superscript"/>
        <sz val="13"/>
        <color theme="1"/>
        <rFont val="Times New Roman"/>
        <family val="1"/>
      </rPr>
      <t>2</t>
    </r>
  </si>
  <si>
    <t>Mass (mg)</t>
  </si>
  <si>
    <t>11.5</t>
  </si>
  <si>
    <t>10.8</t>
  </si>
  <si>
    <t>7.3</t>
  </si>
  <si>
    <t>14.4</t>
  </si>
  <si>
    <t>6.5</t>
  </si>
  <si>
    <t>10.3</t>
  </si>
  <si>
    <t>23.0</t>
  </si>
  <si>
    <t>22.1</t>
  </si>
  <si>
    <t>6.9</t>
  </si>
  <si>
    <t>17.1</t>
  </si>
  <si>
    <t>17.4</t>
  </si>
  <si>
    <t>19.6</t>
  </si>
  <si>
    <t>18.9</t>
  </si>
  <si>
    <t>24.0</t>
  </si>
  <si>
    <t>21.9</t>
  </si>
  <si>
    <t>6.1</t>
  </si>
  <si>
    <t>17.3</t>
  </si>
  <si>
    <t>16.5</t>
  </si>
  <si>
    <t>19.1</t>
  </si>
  <si>
    <t>20.2</t>
  </si>
  <si>
    <t>23.4</t>
  </si>
  <si>
    <t>18.8</t>
  </si>
  <si>
    <t>16.3</t>
  </si>
  <si>
    <t>17.8</t>
  </si>
  <si>
    <t>19.7</t>
  </si>
  <si>
    <t>22.0</t>
  </si>
  <si>
    <t>20.4</t>
  </si>
  <si>
    <t>18.2</t>
  </si>
  <si>
    <t>17.0</t>
  </si>
  <si>
    <t>16.8</t>
  </si>
  <si>
    <t>17.7</t>
  </si>
  <si>
    <t>17.5</t>
  </si>
  <si>
    <t>18.4</t>
  </si>
  <si>
    <t>23.2</t>
  </si>
  <si>
    <t>18.0</t>
  </si>
  <si>
    <t>17.6</t>
  </si>
  <si>
    <t>21.2</t>
  </si>
  <si>
    <t>17.2</t>
  </si>
  <si>
    <t>24.2</t>
  </si>
  <si>
    <t>28.9</t>
  </si>
  <si>
    <t>21.3</t>
  </si>
  <si>
    <t>20.1</t>
  </si>
  <si>
    <t>15.6</t>
  </si>
  <si>
    <t>19.9</t>
  </si>
  <si>
    <t>24.7</t>
  </si>
  <si>
    <t>28.1</t>
  </si>
  <si>
    <t>18.1</t>
  </si>
  <si>
    <t>21.6</t>
  </si>
  <si>
    <t>22.3</t>
  </si>
  <si>
    <t>21.0</t>
  </si>
  <si>
    <t>23.8</t>
  </si>
  <si>
    <t>29.4</t>
  </si>
  <si>
    <t>5.8</t>
  </si>
  <si>
    <t>4.5</t>
  </si>
  <si>
    <t>6.3</t>
  </si>
  <si>
    <t>4.7</t>
  </si>
  <si>
    <t>4.3</t>
  </si>
  <si>
    <t>4.9</t>
  </si>
  <si>
    <t>4.8</t>
  </si>
  <si>
    <t>19.0</t>
  </si>
  <si>
    <t>21.1</t>
  </si>
  <si>
    <t>6.6</t>
  </si>
  <si>
    <t>4.1</t>
  </si>
  <si>
    <t>8.5</t>
  </si>
  <si>
    <t>20.6</t>
  </si>
  <si>
    <t>4.6</t>
  </si>
  <si>
    <t>4.4</t>
  </si>
  <si>
    <t>24.5</t>
  </si>
  <si>
    <t>5.1</t>
  </si>
  <si>
    <t>5.4</t>
  </si>
  <si>
    <t>5.3</t>
  </si>
  <si>
    <t>24.8</t>
  </si>
  <si>
    <t>5.0</t>
  </si>
  <si>
    <t>26.8</t>
  </si>
  <si>
    <t>3.9</t>
  </si>
  <si>
    <t>5.6</t>
  </si>
  <si>
    <t>5.5</t>
  </si>
  <si>
    <t>6.4</t>
  </si>
  <si>
    <t>27.4</t>
  </si>
  <si>
    <t>5.7</t>
  </si>
  <si>
    <t>25.9</t>
  </si>
  <si>
    <t>5.2</t>
  </si>
  <si>
    <t>5.9</t>
  </si>
  <si>
    <t>15.8</t>
  </si>
  <si>
    <t>31.5</t>
  </si>
  <si>
    <t>29.3</t>
  </si>
  <si>
    <t>6.7</t>
  </si>
  <si>
    <t>25.6</t>
  </si>
  <si>
    <t>29.8</t>
  </si>
  <si>
    <t>29.6</t>
  </si>
  <si>
    <t>27.6</t>
  </si>
  <si>
    <t>27.8</t>
  </si>
  <si>
    <t>25.8</t>
  </si>
  <si>
    <t>20.9</t>
  </si>
  <si>
    <t>26.2</t>
  </si>
  <si>
    <t>21.8</t>
  </si>
  <si>
    <t>21.4</t>
  </si>
  <si>
    <t>25.3</t>
  </si>
  <si>
    <t>26.5</t>
  </si>
  <si>
    <t>26.6</t>
  </si>
  <si>
    <t>0</t>
  </si>
  <si>
    <t>28.2</t>
  </si>
  <si>
    <t>28.3</t>
  </si>
  <si>
    <t>18.5</t>
  </si>
  <si>
    <t>19.5</t>
  </si>
  <si>
    <t>25.5</t>
  </si>
  <si>
    <t>30.6</t>
  </si>
  <si>
    <t>16.9</t>
  </si>
  <si>
    <t>18.3</t>
  </si>
  <si>
    <t>27.2</t>
  </si>
  <si>
    <t>22.2</t>
  </si>
  <si>
    <t>16.6</t>
  </si>
  <si>
    <t>15.9</t>
  </si>
  <si>
    <t>20.0</t>
  </si>
  <si>
    <t>15.1</t>
  </si>
  <si>
    <t>23.6</t>
  </si>
  <si>
    <t>26.4</t>
  </si>
  <si>
    <t>22.7</t>
  </si>
  <si>
    <t>20.3</t>
  </si>
  <si>
    <t>29.5</t>
  </si>
  <si>
    <t>21.7</t>
  </si>
  <si>
    <t>15.5</t>
  </si>
  <si>
    <t>0.266</t>
  </si>
  <si>
    <t>Run</t>
  </si>
  <si>
    <t>blank</t>
  </si>
  <si>
    <t>24.4</t>
  </si>
  <si>
    <t>16.0</t>
  </si>
  <si>
    <t>23.1</t>
  </si>
  <si>
    <t>0.222</t>
  </si>
  <si>
    <t>20.5</t>
  </si>
  <si>
    <t>0.248</t>
  </si>
  <si>
    <t>24.9</t>
  </si>
  <si>
    <t>15.4</t>
  </si>
  <si>
    <t>0.226</t>
  </si>
  <si>
    <t>23.3</t>
  </si>
  <si>
    <t>26.0</t>
  </si>
  <si>
    <t>27.7</t>
  </si>
  <si>
    <t>18.6</t>
  </si>
  <si>
    <t>18.7</t>
  </si>
  <si>
    <t>16.7</t>
  </si>
  <si>
    <t>25.0</t>
  </si>
  <si>
    <t>32.1</t>
  </si>
  <si>
    <t>28.0</t>
  </si>
  <si>
    <t>23.9</t>
  </si>
  <si>
    <t>27.0</t>
  </si>
  <si>
    <t>20.7</t>
  </si>
  <si>
    <t>21.5</t>
  </si>
  <si>
    <t>19.8</t>
  </si>
  <si>
    <t>24.6</t>
  </si>
  <si>
    <t>25.1</t>
  </si>
  <si>
    <t>17.9</t>
  </si>
  <si>
    <t>27.1</t>
  </si>
  <si>
    <t>0.27</t>
  </si>
  <si>
    <t>22.9</t>
  </si>
  <si>
    <t>27.3</t>
  </si>
  <si>
    <t>0.268</t>
  </si>
  <si>
    <t>22.8</t>
  </si>
  <si>
    <t>64.1</t>
  </si>
  <si>
    <t>30.0</t>
  </si>
  <si>
    <t>26.9</t>
  </si>
  <si>
    <t>24.3</t>
  </si>
  <si>
    <t>0.232</t>
  </si>
  <si>
    <t>29.7</t>
  </si>
  <si>
    <t>20.8</t>
  </si>
  <si>
    <t>26.1</t>
  </si>
  <si>
    <t>30.5</t>
  </si>
  <si>
    <t>31.0</t>
  </si>
  <si>
    <t>25.7</t>
  </si>
  <si>
    <t>0.284</t>
  </si>
  <si>
    <t>62.8</t>
  </si>
  <si>
    <t>0.236</t>
  </si>
  <si>
    <t>22.6</t>
  </si>
  <si>
    <t>60.8</t>
  </si>
  <si>
    <t>22.4</t>
  </si>
  <si>
    <t>0.208</t>
  </si>
  <si>
    <t>22.5</t>
  </si>
  <si>
    <t>58.8</t>
  </si>
  <si>
    <t>69.2</t>
  </si>
  <si>
    <t>19.3</t>
  </si>
  <si>
    <t>26.3</t>
  </si>
  <si>
    <t>25.4</t>
  </si>
  <si>
    <t>23.7</t>
  </si>
  <si>
    <t>24.1</t>
  </si>
  <si>
    <t>29.0</t>
  </si>
  <si>
    <t>0.244</t>
  </si>
  <si>
    <t>58.0</t>
  </si>
  <si>
    <t>64.9</t>
  </si>
  <si>
    <t>0.25</t>
  </si>
  <si>
    <t>0.228</t>
  </si>
  <si>
    <t>55.3</t>
  </si>
  <si>
    <t>0.252</t>
  </si>
  <si>
    <t>25.2</t>
  </si>
  <si>
    <t>1</t>
  </si>
  <si>
    <t>3</t>
  </si>
  <si>
    <t>30.2</t>
  </si>
  <si>
    <t>0.256</t>
  </si>
  <si>
    <t>2</t>
  </si>
  <si>
    <t>0.254</t>
  </si>
  <si>
    <t>0.246</t>
  </si>
  <si>
    <t>30.8</t>
  </si>
  <si>
    <t>0.216</t>
  </si>
  <si>
    <t>30.4</t>
  </si>
  <si>
    <t>4</t>
  </si>
  <si>
    <t>6.2</t>
  </si>
  <si>
    <t>27.9</t>
  </si>
  <si>
    <t>5</t>
  </si>
  <si>
    <t>56.0</t>
  </si>
  <si>
    <t>6</t>
  </si>
  <si>
    <t>7</t>
  </si>
  <si>
    <t>8</t>
  </si>
  <si>
    <t>9</t>
  </si>
  <si>
    <t>52.1</t>
  </si>
  <si>
    <t>10</t>
  </si>
  <si>
    <t>11</t>
  </si>
  <si>
    <t>67.7</t>
  </si>
  <si>
    <t>12</t>
  </si>
  <si>
    <t>13</t>
  </si>
  <si>
    <t>14</t>
  </si>
  <si>
    <t>72.6</t>
  </si>
  <si>
    <t>0.276</t>
  </si>
  <si>
    <t>15</t>
  </si>
  <si>
    <t>16</t>
  </si>
  <si>
    <t>57.1</t>
  </si>
  <si>
    <t>0.278</t>
  </si>
  <si>
    <t>17</t>
  </si>
  <si>
    <t>18</t>
  </si>
  <si>
    <t>68.9</t>
  </si>
  <si>
    <t>19</t>
  </si>
  <si>
    <t>20</t>
  </si>
  <si>
    <t>0.258</t>
  </si>
  <si>
    <t>21</t>
  </si>
  <si>
    <t>60.1</t>
  </si>
  <si>
    <t>69.9</t>
  </si>
  <si>
    <t>22</t>
  </si>
  <si>
    <t>23</t>
  </si>
  <si>
    <t>54.5</t>
  </si>
  <si>
    <t>0.224</t>
  </si>
  <si>
    <t>24</t>
  </si>
  <si>
    <t>25</t>
  </si>
  <si>
    <t>26</t>
  </si>
  <si>
    <t>0.234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</si>
  <si>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</si>
  <si>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</si>
  <si>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</si>
  <si>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</si>
  <si>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</si>
  <si>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</si>
  <si>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</si>
  <si>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</si>
  <si>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</si>
  <si>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65.6</t>
  </si>
  <si>
    <t>75.8</t>
  </si>
  <si>
    <t>36</t>
  </si>
  <si>
    <t>60.4</t>
  </si>
  <si>
    <t>37</t>
  </si>
  <si>
    <t>38</t>
  </si>
  <si>
    <t>29.1</t>
  </si>
  <si>
    <t>39</t>
  </si>
  <si>
    <t>40</t>
  </si>
  <si>
    <t>41</t>
  </si>
  <si>
    <t>42</t>
  </si>
  <si>
    <t>43</t>
  </si>
  <si>
    <t>56.2</t>
  </si>
  <si>
    <t>44</t>
  </si>
  <si>
    <t>45</t>
  </si>
  <si>
    <t>64.8</t>
  </si>
  <si>
    <t>46</t>
  </si>
  <si>
    <t>47</t>
  </si>
  <si>
    <t>48</t>
  </si>
  <si>
    <t>49</t>
  </si>
  <si>
    <t>50</t>
  </si>
  <si>
    <t>31.9</t>
  </si>
  <si>
    <t>63.0</t>
  </si>
  <si>
    <t>76.0</t>
  </si>
  <si>
    <t>51</t>
  </si>
  <si>
    <t>31.2</t>
  </si>
  <si>
    <t>52</t>
  </si>
  <si>
    <t>53</t>
  </si>
  <si>
    <t>54</t>
  </si>
  <si>
    <t>55</t>
  </si>
  <si>
    <t>26.7</t>
  </si>
  <si>
    <t>0.26</t>
  </si>
  <si>
    <t>56</t>
  </si>
  <si>
    <t>72.0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</si>
  <si>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</si>
  <si>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</si>
  <si>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</si>
  <si>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</si>
  <si>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</si>
  <si>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</si>
  <si>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</si>
  <si>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</si>
  <si>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</si>
  <si>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65.2</t>
  </si>
  <si>
    <t>66</t>
  </si>
  <si>
    <t>67</t>
  </si>
  <si>
    <t>68</t>
  </si>
  <si>
    <t>69</t>
  </si>
  <si>
    <t>70</t>
  </si>
  <si>
    <t>71</t>
  </si>
  <si>
    <t>6.0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</si>
  <si>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</si>
  <si>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</si>
  <si>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</si>
  <si>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</si>
  <si>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</si>
  <si>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</si>
  <si>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</si>
  <si>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</si>
  <si>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</si>
  <si>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71.1</t>
  </si>
  <si>
    <t>81</t>
  </si>
  <si>
    <t>82</t>
  </si>
  <si>
    <t>83</t>
  </si>
  <si>
    <t>84</t>
  </si>
  <si>
    <t>85</t>
  </si>
  <si>
    <t>86</t>
  </si>
  <si>
    <t>87</t>
  </si>
  <si>
    <t>64.6</t>
  </si>
  <si>
    <t>88</t>
  </si>
  <si>
    <t>89</t>
  </si>
  <si>
    <t>90</t>
  </si>
  <si>
    <t>74.2</t>
  </si>
  <si>
    <t>91</t>
  </si>
  <si>
    <t>92</t>
  </si>
  <si>
    <t>93</t>
  </si>
  <si>
    <t>94</t>
  </si>
  <si>
    <t>95</t>
  </si>
  <si>
    <t>96</t>
  </si>
  <si>
    <t>98</t>
  </si>
  <si>
    <t>99</t>
  </si>
  <si>
    <t>100</t>
  </si>
  <si>
    <t>101</t>
  </si>
  <si>
    <t>52.7</t>
  </si>
  <si>
    <t>102</t>
  </si>
  <si>
    <t>103</t>
  </si>
  <si>
    <t>104</t>
  </si>
  <si>
    <t>61.0</t>
  </si>
  <si>
    <t>105</t>
  </si>
  <si>
    <t>106</t>
  </si>
  <si>
    <t>107</t>
  </si>
  <si>
    <t>108</t>
  </si>
  <si>
    <t>71.9</t>
  </si>
  <si>
    <t>109</t>
  </si>
  <si>
    <t>110</t>
  </si>
  <si>
    <t>111</t>
  </si>
  <si>
    <t>61.3</t>
  </si>
  <si>
    <t>112</t>
  </si>
  <si>
    <t>69.3</t>
  </si>
  <si>
    <t>113</t>
  </si>
  <si>
    <t>114</t>
  </si>
  <si>
    <t>115</t>
  </si>
  <si>
    <t>116</t>
  </si>
  <si>
    <t>117</t>
  </si>
  <si>
    <t>118</t>
  </si>
  <si>
    <t>60.5</t>
  </si>
  <si>
    <t>119</t>
  </si>
  <si>
    <t>120</t>
  </si>
  <si>
    <t>121</t>
  </si>
  <si>
    <t>122</t>
  </si>
  <si>
    <t>123</t>
  </si>
  <si>
    <t>124</t>
  </si>
  <si>
    <t>125</t>
  </si>
  <si>
    <t>126</t>
  </si>
  <si>
    <t>70.8</t>
  </si>
  <si>
    <t>127</t>
  </si>
  <si>
    <t>128</t>
  </si>
  <si>
    <t>129</t>
  </si>
  <si>
    <t>69.7</t>
  </si>
  <si>
    <t>130</t>
  </si>
  <si>
    <t>131</t>
  </si>
  <si>
    <t>132</t>
  </si>
  <si>
    <t>133</t>
  </si>
  <si>
    <t>72.8</t>
  </si>
  <si>
    <t>134</t>
  </si>
  <si>
    <t>135</t>
  </si>
  <si>
    <t>57.4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</si>
  <si>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</si>
  <si>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</si>
  <si>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</si>
  <si>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</si>
  <si>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</si>
  <si>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</si>
  <si>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</si>
  <si>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</si>
  <si>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</si>
  <si>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</si>
  <si>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</si>
  <si>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</si>
  <si>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</si>
  <si>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58.3</t>
  </si>
  <si>
    <t>149</t>
  </si>
  <si>
    <t>150</t>
  </si>
  <si>
    <t>151</t>
  </si>
  <si>
    <t>152</t>
  </si>
  <si>
    <t>153</t>
  </si>
  <si>
    <t>154</t>
  </si>
  <si>
    <t>0.22</t>
  </si>
  <si>
    <t>155</t>
  </si>
  <si>
    <t>156</t>
  </si>
  <si>
    <t>157</t>
  </si>
  <si>
    <t>158</t>
  </si>
  <si>
    <t>159</t>
  </si>
  <si>
    <t>160</t>
  </si>
  <si>
    <t>55.5</t>
  </si>
  <si>
    <t>161</t>
  </si>
  <si>
    <t>0.23</t>
  </si>
  <si>
    <t>162</t>
  </si>
  <si>
    <t>163</t>
  </si>
  <si>
    <t>164</t>
  </si>
  <si>
    <t>165</t>
  </si>
  <si>
    <t>166</t>
  </si>
  <si>
    <t>167</t>
  </si>
  <si>
    <t>168</t>
  </si>
  <si>
    <t>0.242</t>
  </si>
  <si>
    <t>169</t>
  </si>
  <si>
    <t>170</t>
  </si>
  <si>
    <t>171</t>
  </si>
  <si>
    <t>172</t>
  </si>
  <si>
    <t>0.24</t>
  </si>
  <si>
    <t>28.4</t>
  </si>
  <si>
    <t>58.5</t>
  </si>
  <si>
    <t xml:space="preserve">C amp </t>
  </si>
  <si>
    <t>O drift</t>
  </si>
  <si>
    <t>O amp</t>
  </si>
  <si>
    <t>Ave corrected UTM all measurments</t>
  </si>
  <si>
    <t>N =</t>
  </si>
  <si>
    <t xml:space="preserve">Ave corrected UTM all measurments </t>
  </si>
  <si>
    <t>75.0</t>
  </si>
  <si>
    <t>28.5</t>
  </si>
  <si>
    <t>70.9</t>
  </si>
  <si>
    <t>62.4</t>
  </si>
  <si>
    <t>28.6</t>
  </si>
  <si>
    <t>71.5</t>
  </si>
  <si>
    <t>70.5</t>
  </si>
  <si>
    <t>76.9</t>
  </si>
  <si>
    <t>29.2</t>
  </si>
  <si>
    <t>80.1</t>
  </si>
  <si>
    <t>0.212</t>
  </si>
  <si>
    <t>66.5</t>
  </si>
  <si>
    <t>31.1</t>
  </si>
  <si>
    <t>63.2</t>
  </si>
  <si>
    <t>74.5</t>
  </si>
  <si>
    <t>83.3</t>
  </si>
  <si>
    <t>65.0</t>
  </si>
  <si>
    <t>57.8</t>
  </si>
  <si>
    <t>66.9</t>
  </si>
  <si>
    <t>75.4</t>
  </si>
  <si>
    <t>57.5</t>
  </si>
  <si>
    <t>8.9</t>
  </si>
  <si>
    <t>33.5</t>
  </si>
  <si>
    <t>32.5</t>
  </si>
  <si>
    <t>0.238</t>
  </si>
  <si>
    <t>52.6</t>
  </si>
  <si>
    <t>54.2</t>
  </si>
  <si>
    <t>68.2</t>
  </si>
  <si>
    <t>73.0</t>
  </si>
  <si>
    <t>81.6</t>
  </si>
  <si>
    <t>57.7</t>
  </si>
  <si>
    <t>74.9</t>
  </si>
  <si>
    <t>75.1</t>
  </si>
  <si>
    <t>79.1</t>
  </si>
  <si>
    <t>28.8</t>
  </si>
  <si>
    <t>81.1</t>
  </si>
  <si>
    <t>0.249</t>
  </si>
  <si>
    <t>Standards</t>
  </si>
  <si>
    <t>8.7</t>
  </si>
  <si>
    <t>9.8</t>
  </si>
  <si>
    <t>NBS18</t>
  </si>
  <si>
    <t>29.9</t>
  </si>
  <si>
    <t>34.2</t>
  </si>
  <si>
    <t>13.6</t>
  </si>
  <si>
    <t>7.2</t>
  </si>
  <si>
    <t>36.1</t>
  </si>
  <si>
    <t>31.7</t>
  </si>
  <si>
    <t>73.4</t>
  </si>
  <si>
    <t>85.1</t>
  </si>
  <si>
    <t>0.3</t>
  </si>
  <si>
    <t>32.2</t>
  </si>
  <si>
    <t>74.1</t>
  </si>
  <si>
    <t>71.8</t>
  </si>
  <si>
    <t>73.1</t>
  </si>
  <si>
    <t>84.9</t>
  </si>
  <si>
    <t>8.4</t>
  </si>
  <si>
    <t>65.8</t>
  </si>
  <si>
    <t>28.7</t>
  </si>
  <si>
    <t>27.5</t>
  </si>
  <si>
    <t>30.9</t>
  </si>
  <si>
    <t>60.0</t>
  </si>
  <si>
    <t>72.4</t>
  </si>
  <si>
    <t>31.3</t>
  </si>
  <si>
    <t>85.5</t>
  </si>
  <si>
    <t>33.3</t>
  </si>
  <si>
    <t>64.2</t>
  </si>
  <si>
    <t>66.3</t>
  </si>
  <si>
    <t>7.1</t>
  </si>
  <si>
    <t>31.6</t>
  </si>
  <si>
    <t>78.5</t>
  </si>
  <si>
    <t>59.3</t>
  </si>
  <si>
    <t>32.0</t>
  </si>
  <si>
    <t>62.5</t>
  </si>
  <si>
    <t>30.3</t>
  </si>
  <si>
    <t>8.2</t>
  </si>
  <si>
    <t>10.6</t>
  </si>
  <si>
    <t>7.5</t>
  </si>
  <si>
    <t>79.3</t>
  </si>
  <si>
    <t>9.0</t>
  </si>
  <si>
    <t>56.5</t>
  </si>
  <si>
    <t>79.5</t>
  </si>
  <si>
    <t>0.251</t>
  </si>
  <si>
    <t>76.3</t>
  </si>
  <si>
    <t>79.7</t>
  </si>
  <si>
    <t>7.4</t>
  </si>
  <si>
    <t>63.8</t>
  </si>
  <si>
    <t>33.8</t>
  </si>
  <si>
    <t>0.213</t>
  </si>
  <si>
    <t>79.0</t>
  </si>
  <si>
    <t>70.1</t>
  </si>
  <si>
    <t>80.6</t>
  </si>
  <si>
    <t>97</t>
  </si>
  <si>
    <t>9.1</t>
  </si>
  <si>
    <t>9.3</t>
  </si>
  <si>
    <t>75.2</t>
  </si>
  <si>
    <t>69.5</t>
  </si>
  <si>
    <t>30.1</t>
  </si>
  <si>
    <t>34.4</t>
  </si>
  <si>
    <t>32.8</t>
  </si>
  <si>
    <t>67.0</t>
  </si>
  <si>
    <t>57.6</t>
  </si>
  <si>
    <t>53.7</t>
  </si>
  <si>
    <t>51.6</t>
  </si>
  <si>
    <t>8.6</t>
  </si>
  <si>
    <t>33.7</t>
  </si>
  <si>
    <t>88.7</t>
  </si>
  <si>
    <t>32.7</t>
  </si>
  <si>
    <t>78.3</t>
  </si>
  <si>
    <t>0.264</t>
  </si>
  <si>
    <t>70.2</t>
  </si>
  <si>
    <t>69.4</t>
  </si>
  <si>
    <t>55.0</t>
  </si>
  <si>
    <t>34.0</t>
  </si>
  <si>
    <t>57.0</t>
  </si>
  <si>
    <t>66.0</t>
  </si>
  <si>
    <t>33.9</t>
  </si>
  <si>
    <t>67.3</t>
  </si>
  <si>
    <t>82.9</t>
  </si>
  <si>
    <t>31.4</t>
  </si>
  <si>
    <t>62.2</t>
  </si>
  <si>
    <t>88.4</t>
  </si>
  <si>
    <t>57.9</t>
  </si>
  <si>
    <t>14.0</t>
  </si>
  <si>
    <t>35.3</t>
  </si>
  <si>
    <t>Peak Center found at (61935);Inject Sample No 90</t>
  </si>
  <si>
    <t>55.4</t>
  </si>
  <si>
    <t>59.4</t>
  </si>
  <si>
    <t>70.0</t>
  </si>
  <si>
    <t>Peak Center found at (61935);Inject Sample No 85</t>
  </si>
  <si>
    <t>78.9</t>
  </si>
  <si>
    <t>54.4</t>
  </si>
  <si>
    <t>85.6</t>
  </si>
  <si>
    <t>73.8</t>
  </si>
  <si>
    <t>88.6</t>
  </si>
  <si>
    <t>56.7</t>
  </si>
  <si>
    <t>11.1</t>
  </si>
  <si>
    <t>58.9</t>
  </si>
  <si>
    <t>9.5</t>
  </si>
  <si>
    <t>73.3</t>
  </si>
  <si>
    <t>Peak Center found at (61935);Inject Sample No 73</t>
  </si>
  <si>
    <t>55.9</t>
  </si>
  <si>
    <t>82.5</t>
  </si>
  <si>
    <t>58.6</t>
  </si>
  <si>
    <t>0.204</t>
  </si>
  <si>
    <t>Peak Center found at (61935);Inject Sample No 66</t>
  </si>
  <si>
    <t>77.4</t>
  </si>
  <si>
    <t>Peak Center found at (61935);Inject Sample No 64</t>
  </si>
  <si>
    <t>Peak Center found at (61935);Inject Sample No 63</t>
  </si>
  <si>
    <t>Peak Center found at (61935);Inject Sample No 62</t>
  </si>
  <si>
    <t>76.5</t>
  </si>
  <si>
    <t>Peak Center found at (61935);Inject Sample No 61</t>
  </si>
  <si>
    <t>Peak Center found at (61935);Inject Sample No 60</t>
  </si>
  <si>
    <t>Peak Center found at (61935);Inject Sample No 59</t>
  </si>
  <si>
    <t>75.9</t>
  </si>
  <si>
    <t>53.9</t>
  </si>
  <si>
    <t>75.3</t>
  </si>
  <si>
    <t>Peak Center found at (61935);Inject Sample No 54</t>
  </si>
  <si>
    <t>87.6</t>
  </si>
  <si>
    <t>32.9</t>
  </si>
  <si>
    <t>72.5</t>
  </si>
  <si>
    <t>62.7</t>
  </si>
  <si>
    <t>0.314</t>
  </si>
  <si>
    <t>Peak Center found at (61935);Inject Sample No 46</t>
  </si>
  <si>
    <t>Peak Center found at (61935);Inject Sample No 45</t>
  </si>
  <si>
    <t>Peak Center found at (61935);Inject Sample No 42</t>
  </si>
  <si>
    <t>Peak Center found at (61935);Inject Sample No 41</t>
  </si>
  <si>
    <t>Peak Center found at (61935);Inject Sample No 38</t>
  </si>
  <si>
    <t>Peak Center found at (61935);Inject Sample No 37</t>
  </si>
  <si>
    <t>65.9</t>
  </si>
  <si>
    <t>61.2</t>
  </si>
  <si>
    <t>8.3</t>
  </si>
  <si>
    <t>Peak Center found at (61935);Inject Sample No 32</t>
  </si>
  <si>
    <t>Peak Center found at (61935);Inject Sample No 30</t>
  </si>
  <si>
    <t>54.0</t>
  </si>
  <si>
    <t>68.7</t>
  </si>
  <si>
    <t>Peak Center found at (61935);Inject Sample No 26</t>
  </si>
  <si>
    <t>81.2</t>
  </si>
  <si>
    <t>Peak Center found at (61935);Inject Sample No 22</t>
  </si>
  <si>
    <t>33.2</t>
  </si>
  <si>
    <t>Peak Center found at (61935);Inject Sample No 18</t>
  </si>
  <si>
    <t>Peak Center found at (61935);Inject Sample No 17</t>
  </si>
  <si>
    <t>68.0</t>
  </si>
  <si>
    <t>77.1</t>
  </si>
  <si>
    <t>60.6</t>
  </si>
  <si>
    <t>Peak Center found at (61935);Inject Sample No 11</t>
  </si>
  <si>
    <t>Peak Center found at (61935);Inject Sample No 10</t>
  </si>
  <si>
    <t>Peak Center found at (61935);Inject Sample No 7</t>
  </si>
  <si>
    <t>Peak Center found at (61935);Inject Sample No 6</t>
  </si>
  <si>
    <t>Peak Center found at (61935);Inject Sample No 5</t>
  </si>
  <si>
    <t>60.7</t>
  </si>
  <si>
    <t>Peak Center found at (61935);Inject Sample No 2</t>
  </si>
  <si>
    <t>55.7</t>
  </si>
  <si>
    <t>77.5</t>
  </si>
  <si>
    <t>80.3</t>
  </si>
  <si>
    <t>Peak Center found at (61935);Inject Sample No 91</t>
  </si>
  <si>
    <t>76.6</t>
  </si>
  <si>
    <t>76.4</t>
  </si>
  <si>
    <t>Peak Center found at (61925);Inject Sample No 79</t>
  </si>
  <si>
    <t>0.296</t>
  </si>
  <si>
    <t>35.4</t>
  </si>
  <si>
    <t>80.0</t>
  </si>
  <si>
    <t>60.3</t>
  </si>
  <si>
    <t>0.274</t>
  </si>
  <si>
    <t>Peak Center found at (61935);Inject Sample No 70</t>
  </si>
  <si>
    <t>67.5</t>
  </si>
  <si>
    <t>Peak Center found at (61935);Inject Sample No 67</t>
  </si>
  <si>
    <t>69.1</t>
  </si>
  <si>
    <t>62.9</t>
  </si>
  <si>
    <t>Peak Center found at (61925);Inject Sample No 61</t>
  </si>
  <si>
    <t>34.8</t>
  </si>
  <si>
    <t>0.282</t>
  </si>
  <si>
    <t>65.3</t>
  </si>
  <si>
    <t>51.9</t>
  </si>
  <si>
    <t>Peak Center found at (61925);Inject Sample No 51</t>
  </si>
  <si>
    <t>59.7</t>
  </si>
  <si>
    <t>79.4</t>
  </si>
  <si>
    <t>72.2</t>
  </si>
  <si>
    <t>62.1</t>
  </si>
  <si>
    <t>Peak Center found at (61935);Inject Sample No 40</t>
  </si>
  <si>
    <t>62.6</t>
  </si>
  <si>
    <t>35.9</t>
  </si>
  <si>
    <t>44.0</t>
  </si>
  <si>
    <t>60.9</t>
  </si>
  <si>
    <t>80.5</t>
  </si>
  <si>
    <t>Peak Center found at (61925);Inject Sample No 21</t>
  </si>
  <si>
    <t>0.304</t>
  </si>
  <si>
    <t>86.2</t>
  </si>
  <si>
    <t>Peak Center found at (61935);Inject Sample No 16</t>
  </si>
  <si>
    <t>37.7</t>
  </si>
  <si>
    <t>Peak Center found at (61925);Inject Sample No 15</t>
  </si>
  <si>
    <t>68.4</t>
  </si>
  <si>
    <t>84.6</t>
  </si>
  <si>
    <t>Peak Center found at (61935);Inject Sample No 9</t>
  </si>
  <si>
    <t>84.8</t>
  </si>
  <si>
    <t>Peak Center found at (61925);Inject Sample No 1</t>
  </si>
  <si>
    <t>04/23/25</t>
  </si>
  <si>
    <t>16:18:20</t>
  </si>
  <si>
    <t>2025/04/23 16:18:20</t>
  </si>
  <si>
    <t>Peak Center found at (61915);Inject Sample No 2</t>
  </si>
  <si>
    <t>16:32:47</t>
  </si>
  <si>
    <t>2025/04/23 16:32:47</t>
  </si>
  <si>
    <t>78.7</t>
  </si>
  <si>
    <t>Peak Center found at (61925);Inject Sample No 3</t>
  </si>
  <si>
    <t>16:47:13</t>
  </si>
  <si>
    <t>2025/04/23 16:47:13</t>
  </si>
  <si>
    <t>87.1</t>
  </si>
  <si>
    <t>Peak Center found at (61925);Inject Sample No 4</t>
  </si>
  <si>
    <t>17:01:38</t>
  </si>
  <si>
    <t>2025/04/23 17:01:38</t>
  </si>
  <si>
    <t>87.5</t>
  </si>
  <si>
    <t>17:16:04</t>
  </si>
  <si>
    <t>2025/04/23 17:16:04</t>
  </si>
  <si>
    <t>34.9</t>
  </si>
  <si>
    <t>17:30:29</t>
  </si>
  <si>
    <t>2025/04/23 17:30:29</t>
  </si>
  <si>
    <t>56.6</t>
  </si>
  <si>
    <t>0.286</t>
  </si>
  <si>
    <t>Peak Center found at (61925);Inject Sample No 7</t>
  </si>
  <si>
    <t>17:44:55</t>
  </si>
  <si>
    <t>2025/04/23 17:44:55</t>
  </si>
  <si>
    <t>40.0</t>
  </si>
  <si>
    <t>95.6</t>
  </si>
  <si>
    <t>111.8</t>
  </si>
  <si>
    <t>Peak Center found at (61925);Inject Sample No 8</t>
  </si>
  <si>
    <t>17:59:20</t>
  </si>
  <si>
    <t>2025/04/23 17:59:20</t>
  </si>
  <si>
    <t>35.1</t>
  </si>
  <si>
    <t>18:13:47</t>
  </si>
  <si>
    <t>2025/04/23 18:13:47</t>
  </si>
  <si>
    <t>52.3</t>
  </si>
  <si>
    <t>63.6</t>
  </si>
  <si>
    <t>74.3</t>
  </si>
  <si>
    <t>Peak Center found at (61925);Inject Sample No 10</t>
  </si>
  <si>
    <t>18:28:13</t>
  </si>
  <si>
    <t>2025/04/23 18:28:13</t>
  </si>
  <si>
    <t>31.8</t>
  </si>
  <si>
    <t>61.9</t>
  </si>
  <si>
    <t>18:42:38</t>
  </si>
  <si>
    <t>2025/04/23 18:42:38</t>
  </si>
  <si>
    <t>Peak Center found at (61935);Inject Sample No 12</t>
  </si>
  <si>
    <t>18:56:29</t>
  </si>
  <si>
    <t>2025/04/23 18:56:29</t>
  </si>
  <si>
    <t>12 SPL A Path O 3A</t>
  </si>
  <si>
    <t>Peak Center found at (61925);Inject Sample No 13</t>
  </si>
  <si>
    <t>19:10:19</t>
  </si>
  <si>
    <t>2025/04/23 19:10:19</t>
  </si>
  <si>
    <t>87.7</t>
  </si>
  <si>
    <t>12 SPL A Path O 4A</t>
  </si>
  <si>
    <t>Peak Center found at (61925);Inject Sample No 14</t>
  </si>
  <si>
    <t>19:24:10</t>
  </si>
  <si>
    <t>2025/04/23 19:24:10</t>
  </si>
  <si>
    <t>68.3</t>
  </si>
  <si>
    <t>79.8</t>
  </si>
  <si>
    <t>12 SPL A Path O 5A</t>
  </si>
  <si>
    <t>Peak Center found at (61935);Inject Sample No 15</t>
  </si>
  <si>
    <t>19:38:01</t>
  </si>
  <si>
    <t>2025/04/23 19:38:01</t>
  </si>
  <si>
    <t>30.7</t>
  </si>
  <si>
    <t>12 SPL A Path O 6A</t>
  </si>
  <si>
    <t>0.245</t>
  </si>
  <si>
    <t>19:51:52</t>
  </si>
  <si>
    <t>2025/04/23 19:51:52</t>
  </si>
  <si>
    <t>38.3</t>
  </si>
  <si>
    <t>45.0</t>
  </si>
  <si>
    <t>12 SPL A Path O 7A</t>
  </si>
  <si>
    <t>0.233</t>
  </si>
  <si>
    <t>20:05:42</t>
  </si>
  <si>
    <t>2025/04/23 20:05:42</t>
  </si>
  <si>
    <t>10.0</t>
  </si>
  <si>
    <t>33.1</t>
  </si>
  <si>
    <t>39.0</t>
  </si>
  <si>
    <t>91.5</t>
  </si>
  <si>
    <t>107.1</t>
  </si>
  <si>
    <t>12 SPL A Path O 8A</t>
  </si>
  <si>
    <t>Peak Center found at (61925);Inject Sample No 18</t>
  </si>
  <si>
    <t>20:19:33</t>
  </si>
  <si>
    <t>2025/04/23 20:19:33</t>
  </si>
  <si>
    <t>39.7</t>
  </si>
  <si>
    <t>73.6</t>
  </si>
  <si>
    <t>103.9</t>
  </si>
  <si>
    <t>12 SPL A Path O 9A</t>
  </si>
  <si>
    <t>Peak Center found at (61925);Inject Sample No 19</t>
  </si>
  <si>
    <t>20:33:24</t>
  </si>
  <si>
    <t>2025/04/23 20:33:24</t>
  </si>
  <si>
    <t>88.2</t>
  </si>
  <si>
    <t>12 SPL A Path O 10A</t>
  </si>
  <si>
    <t>Peak Center found at (61925);Inject Sample No 20</t>
  </si>
  <si>
    <t>20:47:14</t>
  </si>
  <si>
    <t>2025/04/23 20:47:14</t>
  </si>
  <si>
    <t>10.4</t>
  </si>
  <si>
    <t>12 SPL A Path O 11A</t>
  </si>
  <si>
    <t>21:01:05</t>
  </si>
  <si>
    <t>2025/04/23 21:01:05</t>
  </si>
  <si>
    <t>37.0</t>
  </si>
  <si>
    <t>87.4</t>
  </si>
  <si>
    <t>102.4</t>
  </si>
  <si>
    <t>12 SPL A Path O 12A</t>
  </si>
  <si>
    <t>0.2</t>
  </si>
  <si>
    <t>21:14:56</t>
  </si>
  <si>
    <t>2025/04/23 21:14:56</t>
  </si>
  <si>
    <t>80.4</t>
  </si>
  <si>
    <t>94.0</t>
  </si>
  <si>
    <t>Peak Center found at (61925);Inject Sample No 23</t>
  </si>
  <si>
    <t>21:28:47</t>
  </si>
  <si>
    <t>2025/04/23 21:28:47</t>
  </si>
  <si>
    <t>74.0</t>
  </si>
  <si>
    <t>Peak Center found at (61925);Inject Sample No 24</t>
  </si>
  <si>
    <t>21:42:37</t>
  </si>
  <si>
    <t>2025/04/23 21:42:37</t>
  </si>
  <si>
    <t>81.7</t>
  </si>
  <si>
    <t>21 SPL A Path O 13A</t>
  </si>
  <si>
    <t>Peak Center found at (61925);Inject Sample No 25</t>
  </si>
  <si>
    <t>21:56:28</t>
  </si>
  <si>
    <t>2025/04/23 21:56:28</t>
  </si>
  <si>
    <t>77.6</t>
  </si>
  <si>
    <t>90.8</t>
  </si>
  <si>
    <t>22 SPL A Path O 14A</t>
  </si>
  <si>
    <t>Peak Center found at (61925);Inject Sample No 26</t>
  </si>
  <si>
    <t>22:10:19</t>
  </si>
  <si>
    <t>2025/04/23 22:10:19</t>
  </si>
  <si>
    <t>9.6</t>
  </si>
  <si>
    <t>40.3</t>
  </si>
  <si>
    <t>23 SPL A Path O 15A</t>
  </si>
  <si>
    <t>0.201</t>
  </si>
  <si>
    <t>Peak Center found at (61925);Inject Sample No 27</t>
  </si>
  <si>
    <t>22:24:09</t>
  </si>
  <si>
    <t>2025/04/23 22:24:09</t>
  </si>
  <si>
    <t>33.4</t>
  </si>
  <si>
    <t>24 SPL A Path O 16A</t>
  </si>
  <si>
    <t>0.253</t>
  </si>
  <si>
    <t>Peak Center found at (61925);Inject Sample No 28</t>
  </si>
  <si>
    <t>22:38:00</t>
  </si>
  <si>
    <t>2025/04/23 22:38:00</t>
  </si>
  <si>
    <t>37.3</t>
  </si>
  <si>
    <t>43.9</t>
  </si>
  <si>
    <t>88.1</t>
  </si>
  <si>
    <t>106.2</t>
  </si>
  <si>
    <t>124.2</t>
  </si>
  <si>
    <t>25 SPL A Path O 17A</t>
  </si>
  <si>
    <t>Peak Center found at (61925);Inject Sample No 29</t>
  </si>
  <si>
    <t>22:51:51</t>
  </si>
  <si>
    <t>2025/04/23 22:51:51</t>
  </si>
  <si>
    <t>37.4</t>
  </si>
  <si>
    <t>102.3</t>
  </si>
  <si>
    <t>119.6</t>
  </si>
  <si>
    <t>26 SPL A Path O 18A</t>
  </si>
  <si>
    <t>23:05:43</t>
  </si>
  <si>
    <t>2025/04/23 23:05:43</t>
  </si>
  <si>
    <t>41.5</t>
  </si>
  <si>
    <t>27 SPL A Path O 19A</t>
  </si>
  <si>
    <t>Peak Center found at (61925);Inject Sample No 31</t>
  </si>
  <si>
    <t>23:19:34</t>
  </si>
  <si>
    <t>2025/04/23 23:19:34</t>
  </si>
  <si>
    <t>59.5</t>
  </si>
  <si>
    <t>84.2</t>
  </si>
  <si>
    <t>28 SPL A Path O 20A</t>
  </si>
  <si>
    <t>23:33:25</t>
  </si>
  <si>
    <t>2025/04/23 23:33:25</t>
  </si>
  <si>
    <t>78.2</t>
  </si>
  <si>
    <t>12 SPL A4 Path H 1A</t>
  </si>
  <si>
    <t>Peak Center found at (61925);Inject Sample No 33</t>
  </si>
  <si>
    <t>23:47:16</t>
  </si>
  <si>
    <t>2025/04/23 23:47:16</t>
  </si>
  <si>
    <t>56.4</t>
  </si>
  <si>
    <t>12 SPL A4 Path H 2A</t>
  </si>
  <si>
    <t>Peak Center found at (61925);Inject Sample No 34</t>
  </si>
  <si>
    <t>04/24/25</t>
  </si>
  <si>
    <t>00:01:07</t>
  </si>
  <si>
    <t>2025/04/24 00:01:07</t>
  </si>
  <si>
    <t>68.5</t>
  </si>
  <si>
    <t>Peak Center found at (61935);Inject Sample No 35</t>
  </si>
  <si>
    <t>00:14:58</t>
  </si>
  <si>
    <t>2025/04/24 00:14:58</t>
  </si>
  <si>
    <t>32.3</t>
  </si>
  <si>
    <t>85.9</t>
  </si>
  <si>
    <t>Peak Center found at (61925);Inject Sample No 36</t>
  </si>
  <si>
    <t>00:28:48</t>
  </si>
  <si>
    <t>2025/04/24 00:28:48</t>
  </si>
  <si>
    <t>37.2</t>
  </si>
  <si>
    <t>12 SPL A4 Path H 3A</t>
  </si>
  <si>
    <t>Peak Center found at (61925);Inject Sample No 37</t>
  </si>
  <si>
    <t>00:42:39</t>
  </si>
  <si>
    <t>2025/04/24 00:42:39</t>
  </si>
  <si>
    <t>10.5</t>
  </si>
  <si>
    <t>53.1</t>
  </si>
  <si>
    <t>12 SPL A4 Path H 4A</t>
  </si>
  <si>
    <t>00:56:30</t>
  </si>
  <si>
    <t>2025/04/24 00:56:30</t>
  </si>
  <si>
    <t>12 SPL A4 Path H 5A</t>
  </si>
  <si>
    <t>Peak Center found at (61935);Inject Sample No 39</t>
  </si>
  <si>
    <t>01:10:21</t>
  </si>
  <si>
    <t>2025/04/24 01:10:21</t>
  </si>
  <si>
    <t>12 SPL A4 Path H 6A</t>
  </si>
  <si>
    <t>01:24:12</t>
  </si>
  <si>
    <t>2025/04/24 01:24:12</t>
  </si>
  <si>
    <t>12 SPL A4 Path H 7A</t>
  </si>
  <si>
    <t>01:38:03</t>
  </si>
  <si>
    <t>2025/04/24 01:38:03</t>
  </si>
  <si>
    <t>12 SPL A4 Path H 8A</t>
  </si>
  <si>
    <t>01:51:54</t>
  </si>
  <si>
    <t>2025/04/24 01:51:54</t>
  </si>
  <si>
    <t>57.2</t>
  </si>
  <si>
    <t>80.9</t>
  </si>
  <si>
    <t>12 SPL A4 Path H 9A</t>
  </si>
  <si>
    <t>Peak Center found at (61925);Inject Sample No 43</t>
  </si>
  <si>
    <t>02:05:45</t>
  </si>
  <si>
    <t>2025/04/24 02:05:45</t>
  </si>
  <si>
    <t>12 SPL A4 Path H 10A</t>
  </si>
  <si>
    <t>Peak Center found at (61925);Inject Sample No 44</t>
  </si>
  <si>
    <t>02:19:36</t>
  </si>
  <si>
    <t>2025/04/24 02:19:36</t>
  </si>
  <si>
    <t>71.2</t>
  </si>
  <si>
    <t>83.2</t>
  </si>
  <si>
    <t>12 SPL A4 Path H 11A</t>
  </si>
  <si>
    <t>02:33:27</t>
  </si>
  <si>
    <t>2025/04/24 02:33:27</t>
  </si>
  <si>
    <t>32.4</t>
  </si>
  <si>
    <t>12 SPL A4 Path H 12A</t>
  </si>
  <si>
    <t>Peak Center found at (61915);Inject Sample No 46</t>
  </si>
  <si>
    <t>02:47:19</t>
  </si>
  <si>
    <t>2025/04/24 02:47:19</t>
  </si>
  <si>
    <t>38.6</t>
  </si>
  <si>
    <t>46.9</t>
  </si>
  <si>
    <t>54.9</t>
  </si>
  <si>
    <t>Peak Center found at (61925);Inject Sample No 47</t>
  </si>
  <si>
    <t>03:01:10</t>
  </si>
  <si>
    <t>2025/04/24 03:01:10</t>
  </si>
  <si>
    <t>73.7</t>
  </si>
  <si>
    <t>85.8</t>
  </si>
  <si>
    <t>Peak Center found at (61925);Inject Sample No 48</t>
  </si>
  <si>
    <t>03:15:01</t>
  </si>
  <si>
    <t>2025/04/24 03:15:01</t>
  </si>
  <si>
    <t>83.1</t>
  </si>
  <si>
    <t>21 SPL A4 Path H 13A</t>
  </si>
  <si>
    <t>Peak Center found at (61935);Inject Sample No 49</t>
  </si>
  <si>
    <t>03:28:53</t>
  </si>
  <si>
    <t>2025/04/24 03:28:53</t>
  </si>
  <si>
    <t>10.1</t>
  </si>
  <si>
    <t>68.6</t>
  </si>
  <si>
    <t>22 SPL A4 Path H 14A</t>
  </si>
  <si>
    <t>Peak Center found at (61935);Inject Sample No 50</t>
  </si>
  <si>
    <t>03:42:44</t>
  </si>
  <si>
    <t>2025/04/24 03:42:44</t>
  </si>
  <si>
    <t>62.0</t>
  </si>
  <si>
    <t>23 SPL A4 Path H 15A</t>
  </si>
  <si>
    <t>Peak Center found at (61935);Inject Sample No 51</t>
  </si>
  <si>
    <t>03:56:36</t>
  </si>
  <si>
    <t>2025/04/24 03:56:36</t>
  </si>
  <si>
    <t>24 SPL A4 Path H 16A</t>
  </si>
  <si>
    <t>Peak Center found at (61925);Inject Sample No 52</t>
  </si>
  <si>
    <t>04:10:27</t>
  </si>
  <si>
    <t>2025/04/24 04:10:27</t>
  </si>
  <si>
    <t>25 SPL A4 Path H 17A</t>
  </si>
  <si>
    <t>Peak Center found at (61935);Inject Sample No 53</t>
  </si>
  <si>
    <t>04:24:19</t>
  </si>
  <si>
    <t>2025/04/24 04:24:19</t>
  </si>
  <si>
    <t>9.9</t>
  </si>
  <si>
    <t>38.1</t>
  </si>
  <si>
    <t>26 SPL A4 Path H 18A</t>
  </si>
  <si>
    <t>04:38:10</t>
  </si>
  <si>
    <t>2025/04/24 04:38:10</t>
  </si>
  <si>
    <t>63.4</t>
  </si>
  <si>
    <t>89.4</t>
  </si>
  <si>
    <t>27 SPL A4 Path H 19A</t>
  </si>
  <si>
    <t>Peak Center found at (61935);Inject Sample No 55</t>
  </si>
  <si>
    <t>04:52:01</t>
  </si>
  <si>
    <t>2025/04/24 04:52:01</t>
  </si>
  <si>
    <t>28 SPL A4 Path H 20A</t>
  </si>
  <si>
    <t>Peak Center found at (61925);Inject Sample No 56</t>
  </si>
  <si>
    <t>05:05:53</t>
  </si>
  <si>
    <t>2025/04/24 05:05:53</t>
  </si>
  <si>
    <t>29 SPL A4 Path H 21A</t>
  </si>
  <si>
    <t>Peak Center found at (61925);Inject Sample No 57</t>
  </si>
  <si>
    <t>05:19:46</t>
  </si>
  <si>
    <t>2025/04/24 05:19:46</t>
  </si>
  <si>
    <t>30 SPL A4 Path H 22A</t>
  </si>
  <si>
    <t>0.308</t>
  </si>
  <si>
    <t>Peak Center found at (61925);Inject Sample No 58</t>
  </si>
  <si>
    <t>05:33:39</t>
  </si>
  <si>
    <t>2025/04/24 05:33:39</t>
  </si>
  <si>
    <t>32.6</t>
  </si>
  <si>
    <t>38.2</t>
  </si>
  <si>
    <t>106.1</t>
  </si>
  <si>
    <t>05:47:30</t>
  </si>
  <si>
    <t>2025/04/24 05:47:30</t>
  </si>
  <si>
    <t>71.6</t>
  </si>
  <si>
    <t>06:01:21</t>
  </si>
  <si>
    <t>2025/04/24 06:01:21</t>
  </si>
  <si>
    <t>34.6</t>
  </si>
  <si>
    <t>65.5</t>
  </si>
  <si>
    <t>92.4</t>
  </si>
  <si>
    <t>31 SPL A4 Path H 23A</t>
  </si>
  <si>
    <t>06:15:13</t>
  </si>
  <si>
    <t>2025/04/24 06:15:13</t>
  </si>
  <si>
    <t>32 SPL A4 Path H 24A</t>
  </si>
  <si>
    <t>Peak Center found at (61925);Inject Sample No 62</t>
  </si>
  <si>
    <t>06:29:04</t>
  </si>
  <si>
    <t>2025/04/24 06:29:04</t>
  </si>
  <si>
    <t>33 SPL A4 Path H 25A</t>
  </si>
  <si>
    <t>06:42:55</t>
  </si>
  <si>
    <t>2025/04/24 06:42:55</t>
  </si>
  <si>
    <t>34 SPL A4 Path H 26A</t>
  </si>
  <si>
    <t>Peak Center found at (61925);Inject Sample No 64</t>
  </si>
  <si>
    <t>06:56:47</t>
  </si>
  <si>
    <t>2025/04/24 06:56:47</t>
  </si>
  <si>
    <t>80.7</t>
  </si>
  <si>
    <t>35 SPL A4 Path H 27A</t>
  </si>
  <si>
    <t>Peak Center found at (61925);Inject Sample No 65</t>
  </si>
  <si>
    <t>07:10:38</t>
  </si>
  <si>
    <t>2025/04/24 07:10:38</t>
  </si>
  <si>
    <t>58.7</t>
  </si>
  <si>
    <t>36 SPL A4 Path H 28A</t>
  </si>
  <si>
    <t>07:24:30</t>
  </si>
  <si>
    <t>2025/04/24 07:24:30</t>
  </si>
  <si>
    <t>37 SPL A4 Path H 29A</t>
  </si>
  <si>
    <t>07:38:21</t>
  </si>
  <si>
    <t>2025/04/24 07:38:21</t>
  </si>
  <si>
    <t>38 SPL A4 Path H 30A</t>
  </si>
  <si>
    <t>Peak Center found at (61925);Inject Sample No 68</t>
  </si>
  <si>
    <t>07:52:13</t>
  </si>
  <si>
    <t>2025/04/24 07:52:13</t>
  </si>
  <si>
    <t>58.2</t>
  </si>
  <si>
    <t>70.3</t>
  </si>
  <si>
    <t>82.2</t>
  </si>
  <si>
    <t>39 SPL A4 Path H 31A</t>
  </si>
  <si>
    <t>Peak Center found at (61925);Inject Sample No 69</t>
  </si>
  <si>
    <t>08:06:04</t>
  </si>
  <si>
    <t>2025/04/24 08:06:04</t>
  </si>
  <si>
    <t>85.7</t>
  </si>
  <si>
    <t>40 SPL A4 Path H 32A</t>
  </si>
  <si>
    <t>08:19:55</t>
  </si>
  <si>
    <t>2025/04/24 08:19:55</t>
  </si>
  <si>
    <t>Peak Center found at (61925);Inject Sample No 71</t>
  </si>
  <si>
    <t>08:33:47</t>
  </si>
  <si>
    <t>2025/04/24 08:33:47</t>
  </si>
  <si>
    <t>Peak Center found at (61935);Inject Sample No 72</t>
  </si>
  <si>
    <t>08:47:39</t>
  </si>
  <si>
    <t>2025/04/24 08:47:39</t>
  </si>
  <si>
    <t>40 SPL A4 Path H 33A</t>
  </si>
  <si>
    <t>09:01:30</t>
  </si>
  <si>
    <t>2025/04/24 09:01:30</t>
  </si>
  <si>
    <t>33.6</t>
  </si>
  <si>
    <t>75.7</t>
  </si>
  <si>
    <t>88.3</t>
  </si>
  <si>
    <t>41 SPL A4 Path H 34A</t>
  </si>
  <si>
    <t>Peak Center found at (61925);Inject Sample No 74</t>
  </si>
  <si>
    <t>09:15:22</t>
  </si>
  <si>
    <t>2025/04/24 09:15:22</t>
  </si>
  <si>
    <t>42 SPL A4 Path H 35A</t>
  </si>
  <si>
    <t>Peak Center found at (61925);Inject Sample No 75</t>
  </si>
  <si>
    <t>09:29:14</t>
  </si>
  <si>
    <t>2025/04/24 09:29:14</t>
  </si>
  <si>
    <t>59.9</t>
  </si>
  <si>
    <t>84.5</t>
  </si>
  <si>
    <t>43 SPL A4 Path H 36A</t>
  </si>
  <si>
    <t>Peak Center found at (61925);Inject Sample No 76</t>
  </si>
  <si>
    <t>09:43:06</t>
  </si>
  <si>
    <t>2025/04/24 09:43:06</t>
  </si>
  <si>
    <t>86.1</t>
  </si>
  <si>
    <t>44 SPL A4 Path H 37A</t>
  </si>
  <si>
    <t>Peak Center found at (61925);Inject Sample No 77</t>
  </si>
  <si>
    <t>09:56:59</t>
  </si>
  <si>
    <t>2025/04/24 09:56:59</t>
  </si>
  <si>
    <t>78.1</t>
  </si>
  <si>
    <t>45 SPL A4 Path H 38A</t>
  </si>
  <si>
    <t>Peak Center found at (61935);Inject Sample No 78</t>
  </si>
  <si>
    <t>10:10:50</t>
  </si>
  <si>
    <t>2025/04/24 10:10:50</t>
  </si>
  <si>
    <t>46 SPL A4 Path H 39A</t>
  </si>
  <si>
    <t>10:24:42</t>
  </si>
  <si>
    <t>2025/04/24 10:24:42</t>
  </si>
  <si>
    <t>47 SPL A4 Path H 40A</t>
  </si>
  <si>
    <t>Peak Center found at (61925);Inject Sample No 80</t>
  </si>
  <si>
    <t>10:38:34</t>
  </si>
  <si>
    <t>2025/04/24 10:38:34</t>
  </si>
  <si>
    <t>48 SPL A4 Path H 41A</t>
  </si>
  <si>
    <t>Peak Center found at (61925);Inject Sample No 81</t>
  </si>
  <si>
    <t>10:52:26</t>
  </si>
  <si>
    <t>2025/04/24 10:52:26</t>
  </si>
  <si>
    <t>66.4</t>
  </si>
  <si>
    <t>49 SPL A4 Path H 42A</t>
  </si>
  <si>
    <t>Peak Center found at (61915);Inject Sample No 82</t>
  </si>
  <si>
    <t>11:06:18</t>
  </si>
  <si>
    <t>2025/04/24 11:06:18</t>
  </si>
  <si>
    <t>Peak Center found at (61925);Inject Sample No 83</t>
  </si>
  <si>
    <t>11:20:11</t>
  </si>
  <si>
    <t>2025/04/24 11:20:11</t>
  </si>
  <si>
    <t>Peak Center found at (61925);Inject Sample No 84</t>
  </si>
  <si>
    <t>11:34:02</t>
  </si>
  <si>
    <t>2025/04/24 11:34:02</t>
  </si>
  <si>
    <t>10.2</t>
  </si>
  <si>
    <t>49 SPL A4 Path H 43A</t>
  </si>
  <si>
    <t>11:59:31</t>
  </si>
  <si>
    <t>2025/04/24 11:59:31</t>
  </si>
  <si>
    <t>50 SPL A4 Path H 44A</t>
  </si>
  <si>
    <t>Peak Center found at (61925);Inject Sample No 86</t>
  </si>
  <si>
    <t>12:13:22</t>
  </si>
  <si>
    <t>2025/04/24 12:13:22</t>
  </si>
  <si>
    <t>51 SPL A4 Path H 45A</t>
  </si>
  <si>
    <t>Peak Center found at (61915);Inject Sample No 87</t>
  </si>
  <si>
    <t>12:27:12</t>
  </si>
  <si>
    <t>2025/04/24 12:27:12</t>
  </si>
  <si>
    <t>67.6</t>
  </si>
  <si>
    <t>52 SPL A4 Path H 46A</t>
  </si>
  <si>
    <t>Peak Center found at (61935);Inject Sample No 88</t>
  </si>
  <si>
    <t>12:41:03</t>
  </si>
  <si>
    <t>2025/04/24 12:41:03</t>
  </si>
  <si>
    <t>53 SPL A4 Path H 47A</t>
  </si>
  <si>
    <t>Peak Center found at (61934);Inject Sample No 89</t>
  </si>
  <si>
    <t>12:54:53</t>
  </si>
  <si>
    <t>2025/04/24 12:54:53</t>
  </si>
  <si>
    <t>51.5</t>
  </si>
  <si>
    <t>54 SPL A4 Path H 48A</t>
  </si>
  <si>
    <t>13:08:44</t>
  </si>
  <si>
    <t>2025/04/24 13:08:44</t>
  </si>
  <si>
    <t>55 SPL A4 Path H 49A</t>
  </si>
  <si>
    <t>13:22:34</t>
  </si>
  <si>
    <t>2025/04/24 13:22:34</t>
  </si>
  <si>
    <t>56 SPL A4 Path H 50A</t>
  </si>
  <si>
    <t>Peak Center found at (61935);Inject Sample No 92</t>
  </si>
  <si>
    <t>13:36:25</t>
  </si>
  <si>
    <t>2025/04/24 13:36:25</t>
  </si>
  <si>
    <t>89.3</t>
  </si>
  <si>
    <t>57 SPL A4 Path H 51A</t>
  </si>
  <si>
    <t>Peak Center found at (61925);Inject Sample No 93</t>
  </si>
  <si>
    <t>13:50:15</t>
  </si>
  <si>
    <t>2025/04/24 13:50:15</t>
  </si>
  <si>
    <t>57 SPL A4 Path H 52A</t>
  </si>
  <si>
    <t>Peak Center found at (61925);Inject Sample No 94</t>
  </si>
  <si>
    <t>14:04:06</t>
  </si>
  <si>
    <t>2025/04/24 14:04:06</t>
  </si>
  <si>
    <t>35.6</t>
  </si>
  <si>
    <t>Peak Center found at (61925);Inject Sample No 95</t>
  </si>
  <si>
    <t>14:17:56</t>
  </si>
  <si>
    <t>2025/04/24 14:17:56</t>
  </si>
  <si>
    <t>0.318</t>
  </si>
  <si>
    <t>Peak Center found at (61925);Inject Sample No 96</t>
  </si>
  <si>
    <t>14:31:47</t>
  </si>
  <si>
    <t>2025/04/24 14:31:47</t>
  </si>
  <si>
    <t>68.1</t>
  </si>
  <si>
    <t>82.7</t>
  </si>
  <si>
    <t>96.1</t>
  </si>
  <si>
    <t>16:29:25</t>
  </si>
  <si>
    <t>2025/04/24 16:29:25</t>
  </si>
  <si>
    <t>16:43:15</t>
  </si>
  <si>
    <t>2025/04/24 16:43:15</t>
  </si>
  <si>
    <t>16:57:06</t>
  </si>
  <si>
    <t>2025/04/24 16:57:06</t>
  </si>
  <si>
    <t>12 SPL A4 Path H 53A</t>
  </si>
  <si>
    <t>17:10:56</t>
  </si>
  <si>
    <t>2025/04/24 17:10:56</t>
  </si>
  <si>
    <t>63.7</t>
  </si>
  <si>
    <t>12 SPL A4 Path H 54A</t>
  </si>
  <si>
    <t>Peak Center found at (61944);Inject Sample No 5</t>
  </si>
  <si>
    <t>17:24:46</t>
  </si>
  <si>
    <t>2025/04/24 17:24:46</t>
  </si>
  <si>
    <t>12 SPL A4 Path H 55A</t>
  </si>
  <si>
    <t>Peak Center found at (61925);Inject Sample No 6</t>
  </si>
  <si>
    <t>17:38:37</t>
  </si>
  <si>
    <t>2025/04/24 17:38:37</t>
  </si>
  <si>
    <t>93.3</t>
  </si>
  <si>
    <t>12 SPL A4 Path H 56A</t>
  </si>
  <si>
    <t>17:52:27</t>
  </si>
  <si>
    <t>2025/04/24 17:52:27</t>
  </si>
  <si>
    <t>12 SPL A4 Path H 57A</t>
  </si>
  <si>
    <t>18:06:17</t>
  </si>
  <si>
    <t>2025/04/24 18:06:17</t>
  </si>
  <si>
    <t>12 SPL A4 Path H 58A</t>
  </si>
  <si>
    <t>Peak Center found at (61925);Inject Sample No 9</t>
  </si>
  <si>
    <t>18:20:07</t>
  </si>
  <si>
    <t>2025/04/24 18:20:07</t>
  </si>
  <si>
    <t>83.7</t>
  </si>
  <si>
    <t>12 SPL A4 Path H 59A</t>
  </si>
  <si>
    <t>18:33:59</t>
  </si>
  <si>
    <t>2025/04/24 18:33:59</t>
  </si>
  <si>
    <t>89.6</t>
  </si>
  <si>
    <t>18:47:49</t>
  </si>
  <si>
    <t>2025/04/24 18:47:49</t>
  </si>
  <si>
    <t>19:01:40</t>
  </si>
  <si>
    <t>2025/04/24 19:01:40</t>
  </si>
  <si>
    <t>83.6</t>
  </si>
  <si>
    <t>12 SPL A4 Path H 60A</t>
  </si>
  <si>
    <t>Peak Center found at (61944);Inject Sample No 13</t>
  </si>
  <si>
    <t>19:15:30</t>
  </si>
  <si>
    <t>2025/04/24 19:15:30</t>
  </si>
  <si>
    <t>12 SPL A4 Path H 61A</t>
  </si>
  <si>
    <t>19:29:21</t>
  </si>
  <si>
    <t>2025/04/24 19:29:21</t>
  </si>
  <si>
    <t>53.5</t>
  </si>
  <si>
    <t>75.6</t>
  </si>
  <si>
    <t>12 SPL A4 Path H 62A</t>
  </si>
  <si>
    <t>19:43:11</t>
  </si>
  <si>
    <t>2025/04/24 19:43:11</t>
  </si>
  <si>
    <t>76.7</t>
  </si>
  <si>
    <t>12 SPL A4 Path H 63A</t>
  </si>
  <si>
    <t>19:57:02</t>
  </si>
  <si>
    <t>2025/04/24 19:57:02</t>
  </si>
  <si>
    <t>12 SPL A4 Path H 64A</t>
  </si>
  <si>
    <t>Peak Center found at (61944);Inject Sample No 17</t>
  </si>
  <si>
    <t>20:10:53</t>
  </si>
  <si>
    <t>2025/04/24 20:10:53</t>
  </si>
  <si>
    <t>12 SPL A4 Path H 65A</t>
  </si>
  <si>
    <t>20:24:44</t>
  </si>
  <si>
    <t>2025/04/24 20:24:44</t>
  </si>
  <si>
    <t>103.4</t>
  </si>
  <si>
    <t>12 SPL A4 Path H 66A</t>
  </si>
  <si>
    <t>Peak Center found at (61935);Inject Sample No 19</t>
  </si>
  <si>
    <t>20:38:34</t>
  </si>
  <si>
    <t>2025/04/24 20:38:34</t>
  </si>
  <si>
    <t>85.0</t>
  </si>
  <si>
    <t>12 SPL A4 Path H 67A</t>
  </si>
  <si>
    <t>20:52:25</t>
  </si>
  <si>
    <t>2025/04/24 20:52:25</t>
  </si>
  <si>
    <t>12 SPL A4 Path H 68A</t>
  </si>
  <si>
    <t>21:06:16</t>
  </si>
  <si>
    <t>2025/04/24 21:06:16</t>
  </si>
  <si>
    <t>12 SPL A4 Path H 69A</t>
  </si>
  <si>
    <t>Peak Center found at (61925);Inject Sample No 22</t>
  </si>
  <si>
    <t>21:20:06</t>
  </si>
  <si>
    <t>2025/04/24 21:20:06</t>
  </si>
  <si>
    <t>86.3</t>
  </si>
  <si>
    <t>21:33:57</t>
  </si>
  <si>
    <t>2025/04/24 21:33:57</t>
  </si>
  <si>
    <t>87.3</t>
  </si>
  <si>
    <t>21:47:47</t>
  </si>
  <si>
    <t>2025/04/24 21:47:47</t>
  </si>
  <si>
    <t>88.8</t>
  </si>
  <si>
    <t>12 SPL A4 Path H 70A</t>
  </si>
  <si>
    <t>22:01:38</t>
  </si>
  <si>
    <t>2025/04/24 22:01:38</t>
  </si>
  <si>
    <t>72.9</t>
  </si>
  <si>
    <t>12 SPL A4 Path H 71A</t>
  </si>
  <si>
    <t>22:15:29</t>
  </si>
  <si>
    <t>2025/04/24 22:15:29</t>
  </si>
  <si>
    <t>81.5</t>
  </si>
  <si>
    <t>12 SPL A4 Path H 72A</t>
  </si>
  <si>
    <t>22:29:20</t>
  </si>
  <si>
    <t>2025/04/24 22:29:20</t>
  </si>
  <si>
    <t>92.0</t>
  </si>
  <si>
    <t>12 SPL A4 Path H 73A</t>
  </si>
  <si>
    <t>22:43:11</t>
  </si>
  <si>
    <t>2025/04/24 22:43:11</t>
  </si>
  <si>
    <t>70.4</t>
  </si>
  <si>
    <t>82.1</t>
  </si>
  <si>
    <t>12 SPL A4 Path H 74A</t>
  </si>
  <si>
    <t>22:57:02</t>
  </si>
  <si>
    <t>2025/04/24 22:57:02</t>
  </si>
  <si>
    <t>36.5</t>
  </si>
  <si>
    <t>12 SPL A4 Path H 75A</t>
  </si>
  <si>
    <t>Peak Center found at (61925);Inject Sample No 30</t>
  </si>
  <si>
    <t>23:10:53</t>
  </si>
  <si>
    <t>2025/04/24 23:10:53</t>
  </si>
  <si>
    <t>12 SPL A4 Path H 76A</t>
  </si>
  <si>
    <t>Peak Center found at (61915);Inject Sample No 31</t>
  </si>
  <si>
    <t>23:24:44</t>
  </si>
  <si>
    <t>2025/04/24 23:24:44</t>
  </si>
  <si>
    <t>84.1</t>
  </si>
  <si>
    <t>12 SPL A4 Path H 77A</t>
  </si>
  <si>
    <t>Peak Center found at (61925);Inject Sample No 32</t>
  </si>
  <si>
    <t>23:38:35</t>
  </si>
  <si>
    <t>2025/04/24 23:38:35</t>
  </si>
  <si>
    <t>12 SPL A4 Path H 78A</t>
  </si>
  <si>
    <t>23:52:26</t>
  </si>
  <si>
    <t>2025/04/24 23:52:26</t>
  </si>
  <si>
    <t>92.8</t>
  </si>
  <si>
    <t>12 SPL A4 Path H 79A</t>
  </si>
  <si>
    <t>04/25/25</t>
  </si>
  <si>
    <t>00:06:17</t>
  </si>
  <si>
    <t>2025/04/25 00:06:17</t>
  </si>
  <si>
    <t>Peak Center found at (61925);Inject Sample No 35</t>
  </si>
  <si>
    <t>00:20:09</t>
  </si>
  <si>
    <t>2025/04/25 00:20:09</t>
  </si>
  <si>
    <t>Peak Center found at (61935);Inject Sample No 36</t>
  </si>
  <si>
    <t>00:34:00</t>
  </si>
  <si>
    <t>2025/04/25 00:34:00</t>
  </si>
  <si>
    <t>38.9</t>
  </si>
  <si>
    <t>12 SPL A4 Path H 80A</t>
  </si>
  <si>
    <t>00:47:51</t>
  </si>
  <si>
    <t>2025/04/25 00:47:51</t>
  </si>
  <si>
    <t>12 SPL A4 Path H 81A</t>
  </si>
  <si>
    <t>0.31</t>
  </si>
  <si>
    <t>Peak Center found at (61925);Inject Sample No 38</t>
  </si>
  <si>
    <t>01:01:42</t>
  </si>
  <si>
    <t>2025/04/25 01:01:42</t>
  </si>
  <si>
    <t>37.6</t>
  </si>
  <si>
    <t>12 SPL A4 Path H 82A</t>
  </si>
  <si>
    <t>Peak Center found at (61934);Inject Sample No 39</t>
  </si>
  <si>
    <t>01:15:33</t>
  </si>
  <si>
    <t>2025/04/25 01:15:33</t>
  </si>
  <si>
    <t>69.8</t>
  </si>
  <si>
    <t>12 SPL A4 Path H 83A</t>
  </si>
  <si>
    <t>01:29:25</t>
  </si>
  <si>
    <t>2025/04/25 01:29:25</t>
  </si>
  <si>
    <t>12 SPL A4 Path H 84A</t>
  </si>
  <si>
    <t>Peak Center found at (61944);Inject Sample No 41</t>
  </si>
  <si>
    <t>01:43:17</t>
  </si>
  <si>
    <t>2025/04/25 01:43:17</t>
  </si>
  <si>
    <t>12 SPL A4 Path H 85A</t>
  </si>
  <si>
    <t>01:57:07</t>
  </si>
  <si>
    <t>2025/04/25 01:57:07</t>
  </si>
  <si>
    <t>90.3</t>
  </si>
  <si>
    <t>12 SPL A4 Path H 86A</t>
  </si>
  <si>
    <t>02:10:58</t>
  </si>
  <si>
    <t>2025/04/25 02:10:58</t>
  </si>
  <si>
    <t>12 SPL A4 Path H 87A</t>
  </si>
  <si>
    <t>02:24:49</t>
  </si>
  <si>
    <t>2025/04/25 02:24:49</t>
  </si>
  <si>
    <t>12 SPL A4 Path H 88A</t>
  </si>
  <si>
    <t>Peak Center found at (61925);Inject Sample No 45</t>
  </si>
  <si>
    <t>02:38:40</t>
  </si>
  <si>
    <t>2025/04/25 02:38:40</t>
  </si>
  <si>
    <t>12 SPL A4 Path H 89A</t>
  </si>
  <si>
    <t>02:52:31</t>
  </si>
  <si>
    <t>2025/04/25 02:52:31</t>
  </si>
  <si>
    <t>Peak Center found at (61944);Inject Sample No 47</t>
  </si>
  <si>
    <t>03:06:23</t>
  </si>
  <si>
    <t>2025/04/25 03:06:23</t>
  </si>
  <si>
    <t>39.1</t>
  </si>
  <si>
    <t>03:20:14</t>
  </si>
  <si>
    <t>2025/04/25 03:20:14</t>
  </si>
  <si>
    <t>36.2</t>
  </si>
  <si>
    <t>96.2</t>
  </si>
  <si>
    <t>12 SPL A4 Path H 90A</t>
  </si>
  <si>
    <t>Peak Center found at (61925);Inject Sample No 49</t>
  </si>
  <si>
    <t>03:34:05</t>
  </si>
  <si>
    <t>2025/04/25 03:34:05</t>
  </si>
  <si>
    <t>36.3</t>
  </si>
  <si>
    <t>12 SPL A4 Path H 91A</t>
  </si>
  <si>
    <t>Peak Center found at (61925);Inject Sample No 50</t>
  </si>
  <si>
    <t>03:47:56</t>
  </si>
  <si>
    <t>2025/04/25 03:47:56</t>
  </si>
  <si>
    <t>12 SPL A4 Path H 92A</t>
  </si>
  <si>
    <t>04:01:47</t>
  </si>
  <si>
    <t>2025/04/25 04:01:47</t>
  </si>
  <si>
    <t>55.8</t>
  </si>
  <si>
    <t>12 SPL A4 Path H 93A</t>
  </si>
  <si>
    <t>Peak Center found at (61944);Inject Sample No 52</t>
  </si>
  <si>
    <t>04:15:38</t>
  </si>
  <si>
    <t>2025/04/25 04:15:38</t>
  </si>
  <si>
    <t>12 SPL A4 Path H 94A</t>
  </si>
  <si>
    <t>04:29:29</t>
  </si>
  <si>
    <t>2025/04/25 04:29:29</t>
  </si>
  <si>
    <t>12 SPL A4 Path H 95A</t>
  </si>
  <si>
    <t>Peak Center found at (61925);Inject Sample No 54</t>
  </si>
  <si>
    <t>04:43:20</t>
  </si>
  <si>
    <t>2025/04/25 04:43:20</t>
  </si>
  <si>
    <t>12 SPL A4 Path H 96A</t>
  </si>
  <si>
    <t>04:57:12</t>
  </si>
  <si>
    <t>2025/04/25 04:57:12</t>
  </si>
  <si>
    <t>12 SPL A4 Path H 97A</t>
  </si>
  <si>
    <t>Peak Center found at (61935);Inject Sample No 56</t>
  </si>
  <si>
    <t>05:11:03</t>
  </si>
  <si>
    <t>2025/04/25 05:11:03</t>
  </si>
  <si>
    <t>90.2</t>
  </si>
  <si>
    <t>12 SPL A4 Path H 98A</t>
  </si>
  <si>
    <t>05:24:54</t>
  </si>
  <si>
    <t>2025/04/25 05:24:54</t>
  </si>
  <si>
    <t>12 SPL A4 Path H 99A</t>
  </si>
  <si>
    <t>05:38:45</t>
  </si>
  <si>
    <t>2025/04/25 05:38:45</t>
  </si>
  <si>
    <t>81.9</t>
  </si>
  <si>
    <t>Peak Center found at (61925);Inject Sample No 59</t>
  </si>
  <si>
    <t>05:52:36</t>
  </si>
  <si>
    <t>2025/04/25 05:52:36</t>
  </si>
  <si>
    <t>06:06:28</t>
  </si>
  <si>
    <t>2025/04/25 06:06:28</t>
  </si>
  <si>
    <t>12 SPL A4 Path H 100A</t>
  </si>
  <si>
    <t>06:20:19</t>
  </si>
  <si>
    <t>2025/04/25 06:20:19</t>
  </si>
  <si>
    <t>12 SPL A4 Path H 101A</t>
  </si>
  <si>
    <t>06:34:11</t>
  </si>
  <si>
    <t>2025/04/25 06:34:11</t>
  </si>
  <si>
    <t>12 SPL A4 Path H 102A</t>
  </si>
  <si>
    <t>Peak Center found at (61925);Inject Sample No 63</t>
  </si>
  <si>
    <t>06:48:03</t>
  </si>
  <si>
    <t>2025/04/25 06:48:03</t>
  </si>
  <si>
    <t>85.4</t>
  </si>
  <si>
    <t>12 SPL A4 Path H 103A</t>
  </si>
  <si>
    <t>07:01:55</t>
  </si>
  <si>
    <t>2025/04/25 07:01:55</t>
  </si>
  <si>
    <t>12 SPL A4 Path H 104A</t>
  </si>
  <si>
    <t>Peak Center found at (61944);Inject Sample No 65</t>
  </si>
  <si>
    <t>07:15:46</t>
  </si>
  <si>
    <t>2025/04/25 07:15:46</t>
  </si>
  <si>
    <t>78.0</t>
  </si>
  <si>
    <t>12 SPL A4 Path H 105A</t>
  </si>
  <si>
    <t>Peak Center found at (61925);Inject Sample No 66</t>
  </si>
  <si>
    <t>07:29:38</t>
  </si>
  <si>
    <t>2025/04/25 07:29:38</t>
  </si>
  <si>
    <t>12 SPL A4 Path H 106A</t>
  </si>
  <si>
    <t>07:43:29</t>
  </si>
  <si>
    <t>2025/04/25 07:43:29</t>
  </si>
  <si>
    <t>67.1</t>
  </si>
  <si>
    <t>12 SPL A4 Path H 107A</t>
  </si>
  <si>
    <t>07:57:21</t>
  </si>
  <si>
    <t>2025/04/25 07:57:21</t>
  </si>
  <si>
    <t>12 SPL A4 Path H 108A</t>
  </si>
  <si>
    <t>08:11:13</t>
  </si>
  <si>
    <t>2025/04/25 08:11:13</t>
  </si>
  <si>
    <t>12 SPL A4 Path H 109A</t>
  </si>
  <si>
    <t>08:25:05</t>
  </si>
  <si>
    <t>2025/04/25 08:25:05</t>
  </si>
  <si>
    <t>08:38:56</t>
  </si>
  <si>
    <t>2025/04/25 08:38:56</t>
  </si>
  <si>
    <t>49.1</t>
  </si>
  <si>
    <t>59.8</t>
  </si>
  <si>
    <t>08:52:48</t>
  </si>
  <si>
    <t>2025/04/25 08:52:48</t>
  </si>
  <si>
    <t>12 SPL A4 Path H 110A</t>
  </si>
  <si>
    <t>09:06:40</t>
  </si>
  <si>
    <t>2025/04/25 09:06:40</t>
  </si>
  <si>
    <t>12 SPL A4 Path H 111A</t>
  </si>
  <si>
    <t>09:20:31</t>
  </si>
  <si>
    <t>2025/04/25 09:20:31</t>
  </si>
  <si>
    <t>89.0</t>
  </si>
  <si>
    <t>12 SPL A4 Path H 112A</t>
  </si>
  <si>
    <t>09:34:22</t>
  </si>
  <si>
    <t>2025/04/25 09:34:22</t>
  </si>
  <si>
    <t>12 SPL A4 Path H 113A</t>
  </si>
  <si>
    <t>Peak Center found at (61935);Inject Sample No 76</t>
  </si>
  <si>
    <t>09:48:14</t>
  </si>
  <si>
    <t>2025/04/25 09:48:14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</si>
</sst>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"/>
    <numFmt numFmtId="166" formatCode="0.000000"/>
    <numFmt numFmtId="167" formatCode="\+0.0;\-0.0;0.0"/>
    <numFmt numFmtId="168" formatCode="\+0.00;\-0.00;0.00"/>
  </numFmts>
  <fonts count="42" x14ac:knownFonts="1">
    <font>
      <sz val="11"/>
      <color theme="1"/>
      <name val="Calibri"/>
      <family val="2"/>
      <scheme val="minor"/>
    </font>
    <font>
      <b/>
      <sz val="13"/>
      <name val="MS Sans Serif"/>
    </font>
    <font>
      <sz val="10"/>
      <color theme="1"/>
      <name val="Calibri Light"/>
      <family val="2"/>
    </font>
    <font>
      <sz val="11"/>
      <name val="MS Sans Serif"/>
    </font>
    <font>
      <sz val="13"/>
      <name val="Arial"/>
      <family val="2"/>
    </font>
    <font>
      <sz val="11"/>
      <name val="Calibri"/>
      <family val="2"/>
      <scheme val="minor"/>
    </font>
    <font>
      <sz val="10"/>
      <name val="MS Sans Serif"/>
    </font>
    <font>
      <i/>
      <strike/>
      <sz val="11"/>
      <color rgb="FFFF0000"/>
      <name val="Calibri"/>
      <family val="2"/>
      <scheme val="minor"/>
    </font>
    <font>
      <strike/>
      <sz val="10"/>
      <color rgb="FFFF0000"/>
      <name val="Calibri Light"/>
      <family val="2"/>
    </font>
    <font>
      <strike/>
      <sz val="13"/>
      <color rgb="FFFF0000"/>
      <name val="Calibri Light"/>
      <family val="2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name val="Calibri Light"/>
      <family val="2"/>
    </font>
    <font>
      <b/>
      <sz val="12"/>
      <name val="MS Sans Serif"/>
    </font>
    <font>
      <i/>
      <sz val="13"/>
      <name val="Arial"/>
      <family val="2"/>
    </font>
    <font>
      <sz val="13"/>
      <name val="Calibri Light"/>
      <family val="2"/>
    </font>
    <font>
      <i/>
      <sz val="13"/>
      <name val="Calibri Light"/>
      <family val="2"/>
    </font>
    <font>
      <strike/>
      <sz val="10"/>
      <color rgb="FFFF0000"/>
      <name val="MS Sans Serif"/>
    </font>
    <font>
      <strike/>
      <sz val="13"/>
      <color rgb="FFFF0000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i/>
      <sz val="10"/>
      <name val="Calibri Light"/>
      <family val="2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3"/>
      <color theme="1"/>
      <name val="Calibri Light"/>
      <family val="2"/>
    </font>
    <font>
      <sz val="10"/>
      <color theme="1"/>
      <name val="MS Sans Serif"/>
    </font>
    <font>
      <sz val="13"/>
      <color theme="1"/>
      <name val="Arial"/>
      <family val="2"/>
    </font>
    <font>
      <sz val="10"/>
      <color theme="1"/>
      <name val="Times New Roman"/>
      <family val="1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Times New Roman"/>
      <family val="1"/>
    </font>
    <font>
      <sz val="10"/>
      <color rgb="FFFF0000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230">
    <xf numFmtId="0" fontId="0" fillId="0" borderId="0" xfId="0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0" fontId="8" fillId="0" borderId="0" xfId="0" quotePrefix="1" applyFont="1" applyFill="1" applyAlignment="1">
      <alignment horizontal="center" vertical="center"/>
    </xf>
    <xf numFmtId="2" fontId="8" fillId="0" borderId="0" xfId="0" quotePrefix="1" applyNumberFormat="1" applyFont="1" applyFill="1" applyAlignment="1">
      <alignment horizontal="center" vertical="center"/>
    </xf>
    <xf numFmtId="1" fontId="8" fillId="0" borderId="0" xfId="0" quotePrefix="1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0" fontId="12" fillId="0" borderId="0" xfId="0" quotePrefix="1" applyFont="1" applyFill="1" applyAlignment="1">
      <alignment horizontal="center" vertical="center"/>
    </xf>
    <xf numFmtId="1" fontId="12" fillId="0" borderId="0" xfId="0" quotePrefix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12" fillId="0" borderId="0" xfId="0" quotePrefix="1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" fontId="14" fillId="0" borderId="11" xfId="0" applyNumberFormat="1" applyFont="1" applyFill="1" applyBorder="1" applyAlignment="1">
      <alignment horizontal="center" vertical="center"/>
    </xf>
    <xf numFmtId="2" fontId="14" fillId="0" borderId="3" xfId="0" applyNumberFormat="1" applyFont="1" applyFill="1" applyBorder="1" applyAlignment="1">
      <alignment horizontal="center" vertical="center"/>
    </xf>
    <xf numFmtId="2" fontId="15" fillId="0" borderId="11" xfId="0" applyNumberFormat="1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2" fontId="16" fillId="0" borderId="11" xfId="0" applyNumberFormat="1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2" fontId="9" fillId="0" borderId="1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23" fillId="0" borderId="0" xfId="0" quotePrefix="1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28" fillId="0" borderId="0" xfId="0" quotePrefix="1" applyFont="1" applyFill="1" applyBorder="1" applyAlignment="1">
      <alignment horizontal="center" vertical="center"/>
    </xf>
    <xf numFmtId="1" fontId="28" fillId="0" borderId="0" xfId="0" quotePrefix="1" applyNumberFormat="1" applyFont="1" applyFill="1" applyBorder="1" applyAlignment="1">
      <alignment horizontal="center" vertical="center"/>
    </xf>
    <xf numFmtId="2" fontId="18" fillId="0" borderId="11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12" fillId="2" borderId="0" xfId="0" quotePrefix="1" applyNumberFormat="1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12" fillId="2" borderId="0" xfId="0" quotePrefix="1" applyNumberFormat="1" applyFont="1" applyFill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" fontId="12" fillId="3" borderId="0" xfId="0" quotePrefix="1" applyNumberFormat="1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12" fillId="3" borderId="0" xfId="0" quotePrefix="1" applyNumberFormat="1" applyFont="1" applyFill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14" fillId="3" borderId="11" xfId="0" applyNumberFormat="1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167" fontId="20" fillId="0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 wrapText="1"/>
    </xf>
    <xf numFmtId="2" fontId="31" fillId="0" borderId="0" xfId="0" applyNumberFormat="1" applyFont="1" applyFill="1" applyAlignment="1">
      <alignment horizontal="center" vertical="center"/>
    </xf>
    <xf numFmtId="1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1" fontId="35" fillId="0" borderId="0" xfId="0" quotePrefix="1" applyNumberFormat="1" applyFont="1" applyFill="1" applyBorder="1" applyAlignment="1">
      <alignment horizontal="center" vertical="center"/>
    </xf>
    <xf numFmtId="167" fontId="19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6" fillId="0" borderId="0" xfId="0" quotePrefix="1" applyFont="1" applyBorder="1" applyAlignment="1">
      <alignment horizontal="center" vertical="center"/>
    </xf>
    <xf numFmtId="2" fontId="26" fillId="0" borderId="0" xfId="0" quotePrefix="1" applyNumberFormat="1" applyFont="1" applyBorder="1" applyAlignment="1">
      <alignment horizontal="center" vertical="center"/>
    </xf>
    <xf numFmtId="1" fontId="26" fillId="0" borderId="0" xfId="0" quotePrefix="1" applyNumberFormat="1" applyFont="1" applyBorder="1" applyAlignment="1">
      <alignment horizontal="center" vertical="center"/>
    </xf>
    <xf numFmtId="167" fontId="19" fillId="0" borderId="16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5" fillId="0" borderId="16" xfId="0" quotePrefix="1" applyFont="1" applyFill="1" applyBorder="1" applyAlignment="1">
      <alignment horizontal="center" vertical="center"/>
    </xf>
    <xf numFmtId="1" fontId="35" fillId="0" borderId="16" xfId="0" quotePrefix="1" applyNumberFormat="1" applyFont="1" applyFill="1" applyBorder="1" applyAlignment="1">
      <alignment horizontal="center" vertical="center"/>
    </xf>
    <xf numFmtId="167" fontId="19" fillId="0" borderId="16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2" fontId="38" fillId="0" borderId="17" xfId="0" applyNumberFormat="1" applyFont="1" applyBorder="1" applyAlignment="1">
      <alignment horizontal="center" vertical="center"/>
    </xf>
    <xf numFmtId="2" fontId="38" fillId="0" borderId="15" xfId="0" applyNumberFormat="1" applyFont="1" applyBorder="1" applyAlignment="1">
      <alignment horizontal="center" vertical="center"/>
    </xf>
    <xf numFmtId="2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33" fillId="0" borderId="0" xfId="0" applyNumberFormat="1" applyFont="1" applyFill="1" applyAlignment="1">
      <alignment horizontal="center" vertical="center"/>
    </xf>
    <xf numFmtId="2" fontId="34" fillId="0" borderId="11" xfId="0" applyNumberFormat="1" applyFont="1" applyFill="1" applyBorder="1" applyAlignment="1">
      <alignment horizontal="center" vertical="center"/>
    </xf>
    <xf numFmtId="2" fontId="34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2" fontId="24" fillId="0" borderId="11" xfId="0" applyNumberFormat="1" applyFont="1" applyFill="1" applyBorder="1" applyAlignment="1">
      <alignment horizontal="center" vertical="center"/>
    </xf>
    <xf numFmtId="2" fontId="24" fillId="0" borderId="3" xfId="0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2" fontId="39" fillId="0" borderId="5" xfId="0" applyNumberFormat="1" applyFont="1" applyFill="1" applyBorder="1" applyAlignment="1">
      <alignment horizontal="center" vertical="center"/>
    </xf>
    <xf numFmtId="1" fontId="39" fillId="0" borderId="6" xfId="0" applyNumberFormat="1" applyFont="1" applyFill="1" applyBorder="1" applyAlignment="1">
      <alignment horizontal="center" vertical="center"/>
    </xf>
    <xf numFmtId="2" fontId="39" fillId="0" borderId="9" xfId="0" applyNumberFormat="1" applyFont="1" applyFill="1" applyBorder="1" applyAlignment="1">
      <alignment horizontal="center" vertical="center"/>
    </xf>
    <xf numFmtId="2" fontId="39" fillId="0" borderId="11" xfId="0" applyNumberFormat="1" applyFont="1" applyFill="1" applyBorder="1" applyAlignment="1">
      <alignment horizontal="center" vertical="center"/>
    </xf>
    <xf numFmtId="2" fontId="39" fillId="0" borderId="6" xfId="0" applyNumberFormat="1" applyFont="1" applyFill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0" fontId="35" fillId="0" borderId="0" xfId="0" quotePrefix="1" applyFont="1" applyFill="1" applyBorder="1" applyAlignment="1">
      <alignment horizontal="center" vertical="center"/>
    </xf>
    <xf numFmtId="167" fontId="19" fillId="0" borderId="10" xfId="0" applyNumberFormat="1" applyFont="1" applyFill="1" applyBorder="1" applyAlignment="1">
      <alignment horizontal="center" vertical="center"/>
    </xf>
    <xf numFmtId="167" fontId="19" fillId="0" borderId="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2" fontId="39" fillId="0" borderId="17" xfId="0" applyNumberFormat="1" applyFont="1" applyFill="1" applyBorder="1" applyAlignment="1">
      <alignment horizontal="center" vertical="center"/>
    </xf>
    <xf numFmtId="2" fontId="39" fillId="0" borderId="20" xfId="0" applyNumberFormat="1" applyFont="1" applyFill="1" applyBorder="1" applyAlignment="1">
      <alignment horizontal="center" vertical="center"/>
    </xf>
    <xf numFmtId="2" fontId="39" fillId="0" borderId="15" xfId="0" applyNumberFormat="1" applyFont="1" applyFill="1" applyBorder="1" applyAlignment="1">
      <alignment horizontal="center" vertical="center"/>
    </xf>
    <xf numFmtId="167" fontId="19" fillId="0" borderId="0" xfId="0" applyNumberFormat="1" applyFont="1" applyBorder="1" applyAlignment="1">
      <alignment horizontal="center" vertical="center"/>
    </xf>
    <xf numFmtId="167" fontId="29" fillId="0" borderId="0" xfId="0" applyNumberFormat="1" applyFont="1" applyBorder="1" applyAlignment="1">
      <alignment horizontal="center" vertical="center"/>
    </xf>
    <xf numFmtId="0" fontId="35" fillId="0" borderId="0" xfId="0" quotePrefix="1" applyFont="1" applyAlignment="1">
      <alignment horizontal="center" vertical="center"/>
    </xf>
    <xf numFmtId="1" fontId="35" fillId="0" borderId="0" xfId="0" quotePrefix="1" applyNumberFormat="1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5" fillId="0" borderId="23" xfId="0" quotePrefix="1" applyFont="1" applyBorder="1" applyAlignment="1">
      <alignment horizontal="center" vertical="center"/>
    </xf>
    <xf numFmtId="1" fontId="12" fillId="4" borderId="0" xfId="0" quotePrefix="1" applyNumberFormat="1" applyFont="1" applyFill="1" applyAlignment="1">
      <alignment horizontal="center" vertical="center"/>
    </xf>
    <xf numFmtId="0" fontId="12" fillId="4" borderId="0" xfId="0" quotePrefix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12" fillId="4" borderId="0" xfId="0" quotePrefix="1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2" fillId="4" borderId="0" xfId="0" quotePrefix="1" applyNumberFormat="1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2" fontId="2" fillId="4" borderId="0" xfId="0" quotePrefix="1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32" fillId="4" borderId="11" xfId="0" applyNumberFormat="1" applyFont="1" applyFill="1" applyBorder="1" applyAlignment="1">
      <alignment horizontal="center" vertical="center"/>
    </xf>
    <xf numFmtId="2" fontId="32" fillId="4" borderId="3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35" fillId="0" borderId="0" xfId="0" quotePrefix="1" applyFont="1" applyBorder="1" applyAlignment="1">
      <alignment horizontal="center" vertical="center"/>
    </xf>
    <xf numFmtId="0" fontId="0" fillId="0" borderId="0" xfId="0" quotePrefix="1"/>
    <xf numFmtId="0" fontId="25" fillId="0" borderId="0" xfId="0" quotePrefix="1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5" fillId="0" borderId="5" xfId="0" quotePrefix="1" applyFont="1" applyFill="1" applyBorder="1" applyAlignment="1">
      <alignment horizontal="center" vertical="center"/>
    </xf>
    <xf numFmtId="1" fontId="35" fillId="0" borderId="5" xfId="0" quotePrefix="1" applyNumberFormat="1" applyFont="1" applyFill="1" applyBorder="1" applyAlignment="1">
      <alignment horizontal="center" vertical="center"/>
    </xf>
    <xf numFmtId="167" fontId="19" fillId="0" borderId="5" xfId="0" applyNumberFormat="1" applyFont="1" applyFill="1" applyBorder="1" applyAlignment="1">
      <alignment horizontal="center" vertical="center"/>
    </xf>
    <xf numFmtId="167" fontId="19" fillId="0" borderId="6" xfId="0" applyNumberFormat="1" applyFont="1" applyFill="1" applyBorder="1" applyAlignment="1">
      <alignment horizontal="center" vertical="center"/>
    </xf>
    <xf numFmtId="0" fontId="40" fillId="0" borderId="0" xfId="0" quotePrefix="1" applyFont="1" applyFill="1" applyBorder="1" applyAlignment="1">
      <alignment horizontal="center" vertical="center"/>
    </xf>
    <xf numFmtId="1" fontId="40" fillId="0" borderId="0" xfId="0" quotePrefix="1" applyNumberFormat="1" applyFont="1" applyFill="1" applyBorder="1" applyAlignment="1">
      <alignment horizontal="center" vertical="center"/>
    </xf>
    <xf numFmtId="167" fontId="41" fillId="0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6EFD3D7-B17E-4DB7-B4ED-77412B76D35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A8F2"/>
      <color rgb="FF800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drift </a:t>
            </a:r>
          </a:p>
        </c:rich>
      </c:tx>
      <c:layout>
        <c:manualLayout>
          <c:xMode val="edge"/>
          <c:yMode val="edge"/>
          <c:x val="0.24041408886389196"/>
          <c:y val="0.10658545869813475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004850956130483"/>
                  <c:y val="-9.7571653942952599E-2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Standards!$A$49:$A$110</c:f>
              <c:numCache>
                <c:formatCode>General</c:formatCode>
                <c:ptCount val="62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95</c:v>
                </c:pt>
                <c:pt idx="31">
                  <c:v>95</c:v>
                </c:pt>
                <c:pt idx="32">
                  <c:v>96</c:v>
                </c:pt>
                <c:pt idx="33">
                  <c:v>96</c:v>
                </c:pt>
                <c:pt idx="34">
                  <c:v>98</c:v>
                </c:pt>
                <c:pt idx="35">
                  <c:v>98</c:v>
                </c:pt>
                <c:pt idx="36">
                  <c:v>99</c:v>
                </c:pt>
                <c:pt idx="37">
                  <c:v>99</c:v>
                </c:pt>
                <c:pt idx="38">
                  <c:v>107</c:v>
                </c:pt>
                <c:pt idx="39">
                  <c:v>107</c:v>
                </c:pt>
                <c:pt idx="40">
                  <c:v>108</c:v>
                </c:pt>
                <c:pt idx="41">
                  <c:v>108</c:v>
                </c:pt>
                <c:pt idx="42">
                  <c:v>119</c:v>
                </c:pt>
                <c:pt idx="43">
                  <c:v>119</c:v>
                </c:pt>
                <c:pt idx="44">
                  <c:v>120</c:v>
                </c:pt>
                <c:pt idx="45">
                  <c:v>120</c:v>
                </c:pt>
                <c:pt idx="46">
                  <c:v>131</c:v>
                </c:pt>
                <c:pt idx="47">
                  <c:v>131</c:v>
                </c:pt>
                <c:pt idx="48">
                  <c:v>132</c:v>
                </c:pt>
                <c:pt idx="49">
                  <c:v>132</c:v>
                </c:pt>
                <c:pt idx="52">
                  <c:v>144</c:v>
                </c:pt>
                <c:pt idx="53">
                  <c:v>144</c:v>
                </c:pt>
                <c:pt idx="54">
                  <c:v>155</c:v>
                </c:pt>
                <c:pt idx="55">
                  <c:v>155</c:v>
                </c:pt>
                <c:pt idx="58">
                  <c:v>167</c:v>
                </c:pt>
                <c:pt idx="59">
                  <c:v>167</c:v>
                </c:pt>
                <c:pt idx="60">
                  <c:v>168</c:v>
                </c:pt>
                <c:pt idx="61">
                  <c:v>168</c:v>
                </c:pt>
              </c:numCache>
            </c:numRef>
          </c:xVal>
          <c:yVal>
            <c:numRef>
              <c:f>Standards!$T$49:$T$110</c:f>
              <c:numCache>
                <c:formatCode>0.00</c:formatCode>
                <c:ptCount val="62"/>
                <c:pt idx="0">
                  <c:v>4.6734532327586207</c:v>
                </c:pt>
                <c:pt idx="2">
                  <c:v>4.7883094827586206</c:v>
                </c:pt>
                <c:pt idx="4">
                  <c:v>4.7100532327586206</c:v>
                </c:pt>
                <c:pt idx="6">
                  <c:v>4.7400782327586208</c:v>
                </c:pt>
                <c:pt idx="8">
                  <c:v>4.7774782327586207</c:v>
                </c:pt>
                <c:pt idx="10">
                  <c:v>4.7807657327586206</c:v>
                </c:pt>
                <c:pt idx="12">
                  <c:v>4.6632594827586207</c:v>
                </c:pt>
                <c:pt idx="14">
                  <c:v>4.7303219827586203</c:v>
                </c:pt>
                <c:pt idx="16">
                  <c:v>4.7501532327586213</c:v>
                </c:pt>
                <c:pt idx="18">
                  <c:v>4.7659657327586196</c:v>
                </c:pt>
                <c:pt idx="20">
                  <c:v>4.73368448275862</c:v>
                </c:pt>
                <c:pt idx="22">
                  <c:v>4.7079469827586209</c:v>
                </c:pt>
                <c:pt idx="24">
                  <c:v>4.7057594827586202</c:v>
                </c:pt>
                <c:pt idx="26">
                  <c:v>4.7444532327586204</c:v>
                </c:pt>
                <c:pt idx="28">
                  <c:v>4.6934907327586206</c:v>
                </c:pt>
                <c:pt idx="30">
                  <c:v>4.7185907327586207</c:v>
                </c:pt>
                <c:pt idx="32">
                  <c:v>4.7646782327586203</c:v>
                </c:pt>
                <c:pt idx="34">
                  <c:v>4.7974844827586214</c:v>
                </c:pt>
                <c:pt idx="36">
                  <c:v>4.6834532327586205</c:v>
                </c:pt>
                <c:pt idx="38">
                  <c:v>4.7571032327586211</c:v>
                </c:pt>
                <c:pt idx="40">
                  <c:v>4.7051532327586205</c:v>
                </c:pt>
                <c:pt idx="42">
                  <c:v>4.7661469827586203</c:v>
                </c:pt>
                <c:pt idx="44">
                  <c:v>4.8066532327586211</c:v>
                </c:pt>
                <c:pt idx="46">
                  <c:v>4.7781844827586202</c:v>
                </c:pt>
                <c:pt idx="48">
                  <c:v>4.7639032327586204</c:v>
                </c:pt>
                <c:pt idx="52">
                  <c:v>4.7907094827586203</c:v>
                </c:pt>
                <c:pt idx="54">
                  <c:v>4.7879594827586205</c:v>
                </c:pt>
                <c:pt idx="58">
                  <c:v>4.7754094827586213</c:v>
                </c:pt>
                <c:pt idx="60">
                  <c:v>4.8398969827586216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B-46B8-B2D3-CEE95F7D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7247"/>
        <c:axId val="1"/>
      </c:scatterChart>
      <c:valAx>
        <c:axId val="12288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72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731563180382078"/>
                  <c:y val="-0.33270189052455401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Standards!$B$49:$B$110</c:f>
              <c:numCache>
                <c:formatCode>General</c:formatCode>
                <c:ptCount val="62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95</c:v>
                </c:pt>
                <c:pt idx="31">
                  <c:v>95</c:v>
                </c:pt>
                <c:pt idx="32">
                  <c:v>96</c:v>
                </c:pt>
                <c:pt idx="33">
                  <c:v>96</c:v>
                </c:pt>
                <c:pt idx="34">
                  <c:v>98</c:v>
                </c:pt>
                <c:pt idx="35">
                  <c:v>98</c:v>
                </c:pt>
                <c:pt idx="36">
                  <c:v>99</c:v>
                </c:pt>
                <c:pt idx="37">
                  <c:v>99</c:v>
                </c:pt>
                <c:pt idx="38">
                  <c:v>107</c:v>
                </c:pt>
                <c:pt idx="39">
                  <c:v>107</c:v>
                </c:pt>
                <c:pt idx="40">
                  <c:v>108</c:v>
                </c:pt>
                <c:pt idx="41">
                  <c:v>108</c:v>
                </c:pt>
                <c:pt idx="42">
                  <c:v>119</c:v>
                </c:pt>
                <c:pt idx="43">
                  <c:v>119</c:v>
                </c:pt>
                <c:pt idx="44">
                  <c:v>120</c:v>
                </c:pt>
                <c:pt idx="45">
                  <c:v>120</c:v>
                </c:pt>
                <c:pt idx="46">
                  <c:v>131</c:v>
                </c:pt>
                <c:pt idx="47">
                  <c:v>131</c:v>
                </c:pt>
                <c:pt idx="48">
                  <c:v>132</c:v>
                </c:pt>
                <c:pt idx="49">
                  <c:v>132</c:v>
                </c:pt>
                <c:pt idx="50">
                  <c:v>143</c:v>
                </c:pt>
                <c:pt idx="51">
                  <c:v>143</c:v>
                </c:pt>
                <c:pt idx="52">
                  <c:v>144</c:v>
                </c:pt>
                <c:pt idx="53">
                  <c:v>144</c:v>
                </c:pt>
                <c:pt idx="54">
                  <c:v>155</c:v>
                </c:pt>
                <c:pt idx="55">
                  <c:v>155</c:v>
                </c:pt>
                <c:pt idx="56">
                  <c:v>156</c:v>
                </c:pt>
                <c:pt idx="57">
                  <c:v>156</c:v>
                </c:pt>
                <c:pt idx="58">
                  <c:v>167</c:v>
                </c:pt>
                <c:pt idx="59">
                  <c:v>167</c:v>
                </c:pt>
                <c:pt idx="60">
                  <c:v>168</c:v>
                </c:pt>
                <c:pt idx="61">
                  <c:v>168</c:v>
                </c:pt>
              </c:numCache>
            </c:numRef>
          </c:xVal>
          <c:yVal>
            <c:numRef>
              <c:f>Standards!$X$49:$X$110</c:f>
              <c:numCache>
                <c:formatCode>0.00</c:formatCode>
                <c:ptCount val="62"/>
                <c:pt idx="0">
                  <c:v>37.014056120689652</c:v>
                </c:pt>
                <c:pt idx="2">
                  <c:v>37.089628620689659</c:v>
                </c:pt>
                <c:pt idx="4">
                  <c:v>36.976736120689651</c:v>
                </c:pt>
                <c:pt idx="6">
                  <c:v>37.028606120689659</c:v>
                </c:pt>
                <c:pt idx="8">
                  <c:v>36.994426120689653</c:v>
                </c:pt>
                <c:pt idx="10">
                  <c:v>36.999481120689659</c:v>
                </c:pt>
                <c:pt idx="12">
                  <c:v>36.99518862068966</c:v>
                </c:pt>
                <c:pt idx="14">
                  <c:v>37.039113620689662</c:v>
                </c:pt>
                <c:pt idx="16">
                  <c:v>36.880716120689655</c:v>
                </c:pt>
                <c:pt idx="18">
                  <c:v>37.007241120689656</c:v>
                </c:pt>
                <c:pt idx="20">
                  <c:v>36.985878620689654</c:v>
                </c:pt>
                <c:pt idx="22">
                  <c:v>36.991963620689653</c:v>
                </c:pt>
                <c:pt idx="24">
                  <c:v>37.042688620689653</c:v>
                </c:pt>
                <c:pt idx="26">
                  <c:v>37.006656120689655</c:v>
                </c:pt>
                <c:pt idx="28">
                  <c:v>37.042611120689656</c:v>
                </c:pt>
                <c:pt idx="30">
                  <c:v>36.88149112068966</c:v>
                </c:pt>
                <c:pt idx="32">
                  <c:v>37.129086120689649</c:v>
                </c:pt>
                <c:pt idx="34">
                  <c:v>37.059718620689651</c:v>
                </c:pt>
                <c:pt idx="36">
                  <c:v>37.046256120689655</c:v>
                </c:pt>
                <c:pt idx="38">
                  <c:v>36.985976120689656</c:v>
                </c:pt>
                <c:pt idx="40">
                  <c:v>37.028316120689652</c:v>
                </c:pt>
                <c:pt idx="42">
                  <c:v>36.886323620689652</c:v>
                </c:pt>
                <c:pt idx="44">
                  <c:v>37.023616120689653</c:v>
                </c:pt>
                <c:pt idx="46">
                  <c:v>37.025778620689657</c:v>
                </c:pt>
                <c:pt idx="48">
                  <c:v>36.944716120689655</c:v>
                </c:pt>
                <c:pt idx="52">
                  <c:v>37.006848620689659</c:v>
                </c:pt>
                <c:pt idx="54">
                  <c:v>37.064348620689657</c:v>
                </c:pt>
                <c:pt idx="58">
                  <c:v>37.026208620689658</c:v>
                </c:pt>
                <c:pt idx="60">
                  <c:v>37.037323620689655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4-4ED3-9D17-447C22D2C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amp 44</a:t>
            </a:r>
          </a:p>
        </c:rich>
      </c:tx>
      <c:layout>
        <c:manualLayout>
          <c:xMode val="edge"/>
          <c:yMode val="edge"/>
          <c:x val="0.36520298487384428"/>
          <c:y val="2.556950255695025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395959000975844"/>
                  <c:y val="9.5095304509530451E-2"/>
                </c:manualLayout>
              </c:layout>
              <c:numFmt formatCode="#,##0.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Standards!$N$49:$N$110</c:f>
              <c:numCache>
                <c:formatCode>0</c:formatCode>
                <c:ptCount val="62"/>
                <c:pt idx="0">
                  <c:v>14533.5</c:v>
                </c:pt>
                <c:pt idx="2">
                  <c:v>11505</c:v>
                </c:pt>
                <c:pt idx="4">
                  <c:v>12445.5</c:v>
                </c:pt>
                <c:pt idx="6">
                  <c:v>13803.5</c:v>
                </c:pt>
                <c:pt idx="8">
                  <c:v>13291.5</c:v>
                </c:pt>
                <c:pt idx="10">
                  <c:v>14228.5</c:v>
                </c:pt>
                <c:pt idx="12">
                  <c:v>17109</c:v>
                </c:pt>
                <c:pt idx="14">
                  <c:v>13704</c:v>
                </c:pt>
                <c:pt idx="16">
                  <c:v>13677.5</c:v>
                </c:pt>
                <c:pt idx="18">
                  <c:v>13612.5</c:v>
                </c:pt>
                <c:pt idx="20">
                  <c:v>15155</c:v>
                </c:pt>
                <c:pt idx="22">
                  <c:v>13494</c:v>
                </c:pt>
                <c:pt idx="24">
                  <c:v>13109</c:v>
                </c:pt>
                <c:pt idx="26">
                  <c:v>12773.5</c:v>
                </c:pt>
                <c:pt idx="28">
                  <c:v>12370.5</c:v>
                </c:pt>
                <c:pt idx="30">
                  <c:v>11762.5</c:v>
                </c:pt>
                <c:pt idx="32">
                  <c:v>16035.5</c:v>
                </c:pt>
                <c:pt idx="34">
                  <c:v>14211</c:v>
                </c:pt>
                <c:pt idx="36">
                  <c:v>14413.5</c:v>
                </c:pt>
                <c:pt idx="38">
                  <c:v>14561.5</c:v>
                </c:pt>
                <c:pt idx="40">
                  <c:v>13517.5</c:v>
                </c:pt>
                <c:pt idx="42">
                  <c:v>14518</c:v>
                </c:pt>
                <c:pt idx="44">
                  <c:v>14637.5</c:v>
                </c:pt>
                <c:pt idx="46">
                  <c:v>15915</c:v>
                </c:pt>
                <c:pt idx="48">
                  <c:v>19377.5</c:v>
                </c:pt>
                <c:pt idx="52">
                  <c:v>16553</c:v>
                </c:pt>
                <c:pt idx="54">
                  <c:v>17453</c:v>
                </c:pt>
                <c:pt idx="58">
                  <c:v>10377</c:v>
                </c:pt>
                <c:pt idx="60">
                  <c:v>11618</c:v>
                </c:pt>
              </c:numCache>
            </c:numRef>
          </c:xVal>
          <c:yVal>
            <c:numRef>
              <c:f>Standards!$K$49:$K$110</c:f>
              <c:numCache>
                <c:formatCode>0.00</c:formatCode>
                <c:ptCount val="62"/>
                <c:pt idx="0">
                  <c:v>4.6784999999999997</c:v>
                </c:pt>
                <c:pt idx="2">
                  <c:v>4.7554999999999996</c:v>
                </c:pt>
                <c:pt idx="4">
                  <c:v>4.6890000000000001</c:v>
                </c:pt>
                <c:pt idx="6">
                  <c:v>4.7359999999999998</c:v>
                </c:pt>
                <c:pt idx="8">
                  <c:v>4.7670000000000003</c:v>
                </c:pt>
                <c:pt idx="10">
                  <c:v>4.782</c:v>
                </c:pt>
                <c:pt idx="12">
                  <c:v>4.7004999999999999</c:v>
                </c:pt>
                <c:pt idx="14">
                  <c:v>4.7249999999999996</c:v>
                </c:pt>
                <c:pt idx="16">
                  <c:v>4.7445000000000004</c:v>
                </c:pt>
                <c:pt idx="18">
                  <c:v>4.7594999999999992</c:v>
                </c:pt>
                <c:pt idx="20">
                  <c:v>4.7464999999999993</c:v>
                </c:pt>
                <c:pt idx="22">
                  <c:v>4.7</c:v>
                </c:pt>
                <c:pt idx="24">
                  <c:v>4.6929999999999996</c:v>
                </c:pt>
                <c:pt idx="26">
                  <c:v>4.7275</c:v>
                </c:pt>
                <c:pt idx="28">
                  <c:v>4.6715</c:v>
                </c:pt>
                <c:pt idx="30">
                  <c:v>4.6890000000000001</c:v>
                </c:pt>
                <c:pt idx="32">
                  <c:v>4.7885</c:v>
                </c:pt>
                <c:pt idx="34">
                  <c:v>4.7985000000000007</c:v>
                </c:pt>
                <c:pt idx="36">
                  <c:v>4.6869999999999994</c:v>
                </c:pt>
                <c:pt idx="38">
                  <c:v>4.7625000000000002</c:v>
                </c:pt>
                <c:pt idx="40">
                  <c:v>4.6974999999999998</c:v>
                </c:pt>
                <c:pt idx="42">
                  <c:v>4.7709999999999999</c:v>
                </c:pt>
                <c:pt idx="44">
                  <c:v>4.8130000000000006</c:v>
                </c:pt>
                <c:pt idx="46">
                  <c:v>4.8004999999999995</c:v>
                </c:pt>
                <c:pt idx="48">
                  <c:v>4.8294999999999995</c:v>
                </c:pt>
                <c:pt idx="52">
                  <c:v>4.8209999999999997</c:v>
                </c:pt>
                <c:pt idx="54">
                  <c:v>4.8294999999999995</c:v>
                </c:pt>
                <c:pt idx="58">
                  <c:v>4.7285000000000004</c:v>
                </c:pt>
                <c:pt idx="60">
                  <c:v>4.8085000000000004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6-41E1-87F3-3D2DDB2E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4335"/>
        <c:axId val="1"/>
      </c:scatterChart>
      <c:valAx>
        <c:axId val="12288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43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d13C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Standards!$S$136:$S$138</c:f>
              <c:numCache>
                <c:formatCode>0.00</c:formatCode>
                <c:ptCount val="3"/>
                <c:pt idx="0">
                  <c:v>-4.6657347521551724</c:v>
                </c:pt>
                <c:pt idx="1">
                  <c:v>2.2984346853448274</c:v>
                </c:pt>
                <c:pt idx="2">
                  <c:v>4.7482931034482752</c:v>
                </c:pt>
              </c:numCache>
            </c:numRef>
          </c:xVal>
          <c:yVal>
            <c:numRef>
              <c:f>Standards!$R$136:$R$138</c:f>
              <c:numCache>
                <c:formatCode>General</c:formatCode>
                <c:ptCount val="3"/>
                <c:pt idx="0">
                  <c:v>-5.0140000000000002</c:v>
                </c:pt>
                <c:pt idx="1">
                  <c:v>1.95</c:v>
                </c:pt>
                <c:pt idx="2">
                  <c:v>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7-4EE0-AABB-08C92075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07263"/>
        <c:axId val="1"/>
      </c:scatterChart>
      <c:valAx>
        <c:axId val="1228807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0726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d18O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Standards!$T$136:$T$138</c:f>
              <c:numCache>
                <c:formatCode>0.00</c:formatCode>
                <c:ptCount val="3"/>
                <c:pt idx="0">
                  <c:v>17.307636012931034</c:v>
                </c:pt>
                <c:pt idx="1">
                  <c:v>39.135238887931031</c:v>
                </c:pt>
                <c:pt idx="2">
                  <c:v>37.008310344827578</c:v>
                </c:pt>
              </c:numCache>
            </c:numRef>
          </c:xVal>
          <c:yVal>
            <c:numRef>
              <c:f>Standards!$U$136:$U$138</c:f>
              <c:numCache>
                <c:formatCode>General</c:formatCode>
                <c:ptCount val="3"/>
                <c:pt idx="0">
                  <c:v>7.2</c:v>
                </c:pt>
                <c:pt idx="1">
                  <c:v>28.6</c:v>
                </c:pt>
                <c:pt idx="2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6-46C6-96DA-B914E7D1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3087"/>
        <c:axId val="1"/>
      </c:scatterChart>
      <c:valAx>
        <c:axId val="12288130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3087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amp 44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02049818730189"/>
                  <c:y val="-0.51024478589440114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Standards!$N$49:$N$110</c:f>
              <c:numCache>
                <c:formatCode>0</c:formatCode>
                <c:ptCount val="62"/>
                <c:pt idx="0">
                  <c:v>14533.5</c:v>
                </c:pt>
                <c:pt idx="2">
                  <c:v>11505</c:v>
                </c:pt>
                <c:pt idx="4">
                  <c:v>12445.5</c:v>
                </c:pt>
                <c:pt idx="6">
                  <c:v>13803.5</c:v>
                </c:pt>
                <c:pt idx="8">
                  <c:v>13291.5</c:v>
                </c:pt>
                <c:pt idx="10">
                  <c:v>14228.5</c:v>
                </c:pt>
                <c:pt idx="12">
                  <c:v>17109</c:v>
                </c:pt>
                <c:pt idx="14">
                  <c:v>13704</c:v>
                </c:pt>
                <c:pt idx="16">
                  <c:v>13677.5</c:v>
                </c:pt>
                <c:pt idx="18">
                  <c:v>13612.5</c:v>
                </c:pt>
                <c:pt idx="20">
                  <c:v>15155</c:v>
                </c:pt>
                <c:pt idx="22">
                  <c:v>13494</c:v>
                </c:pt>
                <c:pt idx="24">
                  <c:v>13109</c:v>
                </c:pt>
                <c:pt idx="26">
                  <c:v>12773.5</c:v>
                </c:pt>
                <c:pt idx="28">
                  <c:v>12370.5</c:v>
                </c:pt>
                <c:pt idx="30">
                  <c:v>11762.5</c:v>
                </c:pt>
                <c:pt idx="32">
                  <c:v>16035.5</c:v>
                </c:pt>
                <c:pt idx="34">
                  <c:v>14211</c:v>
                </c:pt>
                <c:pt idx="36">
                  <c:v>14413.5</c:v>
                </c:pt>
                <c:pt idx="38">
                  <c:v>14561.5</c:v>
                </c:pt>
                <c:pt idx="40">
                  <c:v>13517.5</c:v>
                </c:pt>
                <c:pt idx="42">
                  <c:v>14518</c:v>
                </c:pt>
                <c:pt idx="44">
                  <c:v>14637.5</c:v>
                </c:pt>
                <c:pt idx="46">
                  <c:v>15915</c:v>
                </c:pt>
                <c:pt idx="48">
                  <c:v>19377.5</c:v>
                </c:pt>
                <c:pt idx="52">
                  <c:v>16553</c:v>
                </c:pt>
                <c:pt idx="54">
                  <c:v>17453</c:v>
                </c:pt>
                <c:pt idx="58">
                  <c:v>10377</c:v>
                </c:pt>
                <c:pt idx="60">
                  <c:v>11618</c:v>
                </c:pt>
              </c:numCache>
            </c:numRef>
          </c:xVal>
          <c:yVal>
            <c:numRef>
              <c:f>Standards!$P$49:$P$110</c:f>
              <c:numCache>
                <c:formatCode>0.00</c:formatCode>
                <c:ptCount val="62"/>
                <c:pt idx="0">
                  <c:v>37.007999999999996</c:v>
                </c:pt>
                <c:pt idx="2">
                  <c:v>37.129000000000005</c:v>
                </c:pt>
                <c:pt idx="4">
                  <c:v>37.001999999999995</c:v>
                </c:pt>
                <c:pt idx="6">
                  <c:v>37.033500000000004</c:v>
                </c:pt>
                <c:pt idx="8">
                  <c:v>37.006999999999998</c:v>
                </c:pt>
                <c:pt idx="10">
                  <c:v>36.998000000000005</c:v>
                </c:pt>
                <c:pt idx="12">
                  <c:v>36.950500000000005</c:v>
                </c:pt>
                <c:pt idx="14">
                  <c:v>37.045500000000004</c:v>
                </c:pt>
                <c:pt idx="16">
                  <c:v>36.887500000000003</c:v>
                </c:pt>
                <c:pt idx="18">
                  <c:v>37.015000000000001</c:v>
                </c:pt>
                <c:pt idx="20">
                  <c:v>36.970500000000001</c:v>
                </c:pt>
                <c:pt idx="22">
                  <c:v>37.0015</c:v>
                </c:pt>
                <c:pt idx="24">
                  <c:v>37.058</c:v>
                </c:pt>
                <c:pt idx="26">
                  <c:v>37.027000000000001</c:v>
                </c:pt>
                <c:pt idx="28">
                  <c:v>37.069000000000003</c:v>
                </c:pt>
                <c:pt idx="30">
                  <c:v>36.917000000000002</c:v>
                </c:pt>
                <c:pt idx="32">
                  <c:v>37.100499999999997</c:v>
                </c:pt>
                <c:pt idx="34">
                  <c:v>37.058499999999995</c:v>
                </c:pt>
                <c:pt idx="36">
                  <c:v>37.042000000000002</c:v>
                </c:pt>
                <c:pt idx="38">
                  <c:v>36.979500000000002</c:v>
                </c:pt>
                <c:pt idx="40">
                  <c:v>37.037499999999994</c:v>
                </c:pt>
                <c:pt idx="42">
                  <c:v>36.880499999999998</c:v>
                </c:pt>
                <c:pt idx="44">
                  <c:v>37.015999999999998</c:v>
                </c:pt>
                <c:pt idx="46">
                  <c:v>36.999000000000002</c:v>
                </c:pt>
                <c:pt idx="48">
                  <c:v>36.866</c:v>
                </c:pt>
                <c:pt idx="52">
                  <c:v>36.970500000000001</c:v>
                </c:pt>
                <c:pt idx="54">
                  <c:v>37.014499999999998</c:v>
                </c:pt>
                <c:pt idx="58">
                  <c:v>37.082500000000003</c:v>
                </c:pt>
                <c:pt idx="60">
                  <c:v>37.075000000000003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B-4417-BBC9-A358E3C2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441960</xdr:colOff>
      <xdr:row>0</xdr:row>
      <xdr:rowOff>53340</xdr:rowOff>
    </xdr:from>
    <xdr:to>
      <xdr:col>35</xdr:col>
      <xdr:colOff>581025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3FD5-28E5-4241-A2AC-0973EA0C5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76199</xdr:colOff>
      <xdr:row>0</xdr:row>
      <xdr:rowOff>83820</xdr:rowOff>
    </xdr:from>
    <xdr:to>
      <xdr:col>45</xdr:col>
      <xdr:colOff>390524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450BF-2AB0-4663-BE9C-D9394FA9F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114300</xdr:colOff>
      <xdr:row>48</xdr:row>
      <xdr:rowOff>121920</xdr:rowOff>
    </xdr:from>
    <xdr:to>
      <xdr:col>36</xdr:col>
      <xdr:colOff>419100</xdr:colOff>
      <xdr:row>70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C4E7E-CF66-4781-947A-1BED0007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437254</xdr:colOff>
      <xdr:row>139</xdr:row>
      <xdr:rowOff>106568</xdr:rowOff>
    </xdr:from>
    <xdr:to>
      <xdr:col>16</xdr:col>
      <xdr:colOff>415963</xdr:colOff>
      <xdr:row>156</xdr:row>
      <xdr:rowOff>107913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03CB983-8750-4993-9F6D-6337CCB5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535081</xdr:colOff>
      <xdr:row>139</xdr:row>
      <xdr:rowOff>95699</xdr:rowOff>
    </xdr:from>
    <xdr:to>
      <xdr:col>25</xdr:col>
      <xdr:colOff>32161</xdr:colOff>
      <xdr:row>156</xdr:row>
      <xdr:rowOff>97044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DDDBB1-78B4-429B-8A78-5711E943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598171</xdr:colOff>
      <xdr:row>48</xdr:row>
      <xdr:rowOff>57150</xdr:rowOff>
    </xdr:from>
    <xdr:to>
      <xdr:col>48</xdr:col>
      <xdr:colOff>57150</xdr:colOff>
      <xdr:row>70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2A3CB8-5882-4D9D-BB5A-D98EBBA1A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A0EE-E251-46CF-814F-585450B78442}">
  <sheetPr>
    <tabColor rgb="FF00B050"/>
  </sheetPr>
  <dimension ref="A1:K217"/>
  <sheetViews>
    <sheetView tabSelected="1" zoomScaleNormal="100" workbookViewId="0">
      <selection activeCell="I9" sqref="I9"/>
    </sheetView>
  </sheetViews>
  <sheetFormatPr defaultColWidth="8.85546875" defaultRowHeight="18.75" x14ac:dyDescent="0.25"/>
  <cols>
    <col min="1" max="1" width="8.85546875" style="119"/>
    <col min="2" max="3" width="28.140625" style="119" customWidth="1"/>
    <col min="4" max="5" width="8.85546875" style="133"/>
    <col min="6" max="6" width="15.7109375" style="114" bestFit="1" customWidth="1"/>
    <col min="7" max="7" width="19.42578125" style="114" bestFit="1" customWidth="1"/>
    <col min="8" max="8" width="12.42578125" style="119" bestFit="1" customWidth="1"/>
    <col min="9" max="9" width="40.7109375" style="119" bestFit="1" customWidth="1"/>
    <col min="10" max="10" width="14" style="119" customWidth="1"/>
    <col min="11" max="11" width="17.42578125" style="119" customWidth="1"/>
    <col min="12" max="16384" width="8.85546875" style="119"/>
  </cols>
  <sheetData>
    <row r="1" spans="1:9" ht="30" customHeight="1" thickBot="1" x14ac:dyDescent="0.3">
      <c r="A1" s="134" t="s">
        <v>222</v>
      </c>
      <c r="B1" s="134" t="s">
        <v>2</v>
      </c>
      <c r="C1" s="135" t="s">
        <v>98</v>
      </c>
      <c r="D1" s="136" t="s">
        <v>95</v>
      </c>
      <c r="E1" s="136" t="s">
        <v>6</v>
      </c>
      <c r="F1" s="137" t="s">
        <v>30</v>
      </c>
      <c r="G1" s="137" t="s">
        <v>31</v>
      </c>
      <c r="H1" s="144"/>
      <c r="I1" s="144"/>
    </row>
    <row r="2" spans="1:9" ht="26.1" customHeight="1" x14ac:dyDescent="0.25">
      <c r="A2" s="138">
        <v>13</v>
      </c>
      <c r="B2" s="139" t="s">
        <v>809</v>
      </c>
      <c r="C2" s="139" t="s">
        <v>273</v>
      </c>
      <c r="D2" s="140">
        <v>14281</v>
      </c>
      <c r="E2" s="140">
        <v>180.81</v>
      </c>
      <c r="F2" s="141">
        <v>-0.80182139909458849</v>
      </c>
      <c r="G2" s="172">
        <v>25.582640002529171</v>
      </c>
      <c r="H2" s="144"/>
      <c r="I2" s="144"/>
    </row>
    <row r="3" spans="1:9" s="130" customFormat="1" ht="26.1" customHeight="1" x14ac:dyDescent="0.25">
      <c r="A3" s="142">
        <v>14</v>
      </c>
      <c r="B3" s="127" t="s">
        <v>814</v>
      </c>
      <c r="C3" s="171" t="s">
        <v>608</v>
      </c>
      <c r="D3" s="128">
        <v>12052</v>
      </c>
      <c r="E3" s="128">
        <v>146.34100000000001</v>
      </c>
      <c r="F3" s="129">
        <v>-1.1867007777517944</v>
      </c>
      <c r="G3" s="173">
        <v>25.639262541607163</v>
      </c>
      <c r="H3" s="143"/>
      <c r="I3" s="143"/>
    </row>
    <row r="4" spans="1:9" ht="26.1" customHeight="1" x14ac:dyDescent="0.25">
      <c r="A4" s="142">
        <v>15</v>
      </c>
      <c r="B4" s="127" t="s">
        <v>820</v>
      </c>
      <c r="C4" s="171" t="s">
        <v>563</v>
      </c>
      <c r="D4" s="128">
        <v>16673</v>
      </c>
      <c r="E4" s="128">
        <v>212.04900000000001</v>
      </c>
      <c r="F4" s="129">
        <v>-1.2440825066242212</v>
      </c>
      <c r="G4" s="173">
        <v>25.769501291276011</v>
      </c>
      <c r="H4" s="170"/>
      <c r="I4" s="170"/>
    </row>
    <row r="5" spans="1:9" ht="26.1" customHeight="1" x14ac:dyDescent="0.25">
      <c r="A5" s="142">
        <v>16</v>
      </c>
      <c r="B5" s="127" t="s">
        <v>825</v>
      </c>
      <c r="C5" s="171" t="s">
        <v>826</v>
      </c>
      <c r="D5" s="128">
        <v>21957</v>
      </c>
      <c r="E5" s="128">
        <v>270.774</v>
      </c>
      <c r="F5" s="129">
        <v>-1.0228972985565492</v>
      </c>
      <c r="G5" s="173">
        <v>25.758694576617852</v>
      </c>
      <c r="H5" s="170"/>
      <c r="I5" s="170"/>
    </row>
    <row r="6" spans="1:9" ht="26.1" customHeight="1" x14ac:dyDescent="0.25">
      <c r="A6" s="142">
        <v>17</v>
      </c>
      <c r="B6" s="127" t="s">
        <v>831</v>
      </c>
      <c r="C6" s="171" t="s">
        <v>832</v>
      </c>
      <c r="D6" s="128">
        <v>18377</v>
      </c>
      <c r="E6" s="128">
        <v>227.75899999999999</v>
      </c>
      <c r="F6" s="129">
        <v>-0.98722818784350574</v>
      </c>
      <c r="G6" s="173">
        <v>25.752761468765218</v>
      </c>
      <c r="H6" s="144"/>
      <c r="I6" s="144"/>
    </row>
    <row r="7" spans="1:9" ht="26.1" customHeight="1" x14ac:dyDescent="0.25">
      <c r="A7" s="142">
        <v>18</v>
      </c>
      <c r="B7" s="127" t="s">
        <v>840</v>
      </c>
      <c r="C7" s="171" t="s">
        <v>297</v>
      </c>
      <c r="D7" s="128">
        <v>17131</v>
      </c>
      <c r="E7" s="128">
        <v>215.102</v>
      </c>
      <c r="F7" s="129">
        <v>-1.1064108363621219</v>
      </c>
      <c r="G7" s="173">
        <v>25.806073679640978</v>
      </c>
      <c r="H7" s="144"/>
      <c r="I7" s="144"/>
    </row>
    <row r="8" spans="1:9" ht="26.1" customHeight="1" x14ac:dyDescent="0.25">
      <c r="A8" s="142">
        <v>19</v>
      </c>
      <c r="B8" s="127" t="s">
        <v>847</v>
      </c>
      <c r="C8" s="171" t="s">
        <v>614</v>
      </c>
      <c r="D8" s="128">
        <v>14001</v>
      </c>
      <c r="E8" s="128">
        <v>171</v>
      </c>
      <c r="F8" s="129">
        <v>-1.1170656549243732</v>
      </c>
      <c r="G8" s="173">
        <v>25.667999424772173</v>
      </c>
      <c r="H8" s="144"/>
      <c r="I8" s="144"/>
    </row>
    <row r="9" spans="1:9" ht="26.1" customHeight="1" x14ac:dyDescent="0.25">
      <c r="A9" s="142">
        <v>20</v>
      </c>
      <c r="B9" s="127" t="s">
        <v>852</v>
      </c>
      <c r="C9" s="171" t="s">
        <v>229</v>
      </c>
      <c r="D9" s="128">
        <v>14981</v>
      </c>
      <c r="E9" s="128">
        <v>191.732</v>
      </c>
      <c r="F9" s="129">
        <v>-0.86863515095154975</v>
      </c>
      <c r="G9" s="173">
        <v>25.673999180239246</v>
      </c>
      <c r="H9" s="144"/>
      <c r="I9" s="144"/>
    </row>
    <row r="10" spans="1:9" ht="26.1" customHeight="1" x14ac:dyDescent="0.25">
      <c r="A10" s="142">
        <v>21</v>
      </c>
      <c r="B10" s="127" t="s">
        <v>857</v>
      </c>
      <c r="C10" s="171" t="s">
        <v>551</v>
      </c>
      <c r="D10" s="128">
        <v>16921</v>
      </c>
      <c r="E10" s="128">
        <v>204.08699999999999</v>
      </c>
      <c r="F10" s="129">
        <v>-1.1474360687550262</v>
      </c>
      <c r="G10" s="173">
        <v>25.562873104177466</v>
      </c>
      <c r="H10" s="144"/>
      <c r="I10" s="144"/>
    </row>
    <row r="11" spans="1:9" ht="26.1" customHeight="1" x14ac:dyDescent="0.25">
      <c r="A11" s="142">
        <v>22</v>
      </c>
      <c r="B11" s="127" t="s">
        <v>863</v>
      </c>
      <c r="C11" s="171" t="s">
        <v>864</v>
      </c>
      <c r="D11" s="128">
        <v>15359</v>
      </c>
      <c r="E11" s="128">
        <v>194.73500000000001</v>
      </c>
      <c r="F11" s="129">
        <v>-0.95675148776490304</v>
      </c>
      <c r="G11" s="173">
        <v>25.559348621508253</v>
      </c>
      <c r="H11" s="170"/>
      <c r="I11" s="170"/>
    </row>
    <row r="12" spans="1:9" ht="26.1" customHeight="1" x14ac:dyDescent="0.25">
      <c r="A12" s="142">
        <v>25</v>
      </c>
      <c r="B12" s="127" t="s">
        <v>877</v>
      </c>
      <c r="C12" s="171" t="s">
        <v>505</v>
      </c>
      <c r="D12" s="128">
        <v>14146</v>
      </c>
      <c r="E12" s="128">
        <v>171.922</v>
      </c>
      <c r="F12" s="129">
        <v>-0.83316526398762569</v>
      </c>
      <c r="G12" s="173">
        <v>25.636083548409839</v>
      </c>
      <c r="H12" s="170"/>
      <c r="I12" s="170"/>
    </row>
    <row r="13" spans="1:9" ht="26.1" customHeight="1" x14ac:dyDescent="0.25">
      <c r="A13" s="142">
        <v>26</v>
      </c>
      <c r="B13" s="127" t="s">
        <v>883</v>
      </c>
      <c r="C13" s="171" t="s">
        <v>537</v>
      </c>
      <c r="D13" s="128">
        <v>19518</v>
      </c>
      <c r="E13" s="128">
        <v>247.16900000000001</v>
      </c>
      <c r="F13" s="129">
        <v>-0.84528088880132035</v>
      </c>
      <c r="G13" s="173">
        <v>25.661923220570895</v>
      </c>
      <c r="H13" s="144"/>
      <c r="I13" s="144"/>
    </row>
    <row r="14" spans="1:9" ht="26.1" customHeight="1" x14ac:dyDescent="0.25">
      <c r="A14" s="142">
        <v>27</v>
      </c>
      <c r="B14" s="127" t="s">
        <v>889</v>
      </c>
      <c r="C14" s="171" t="s">
        <v>890</v>
      </c>
      <c r="D14" s="128">
        <v>13351</v>
      </c>
      <c r="E14" s="128">
        <v>167.66300000000001</v>
      </c>
      <c r="F14" s="129">
        <v>-1.0616512290916056</v>
      </c>
      <c r="G14" s="173">
        <v>25.807917270269673</v>
      </c>
      <c r="H14" s="144"/>
      <c r="I14" s="144"/>
    </row>
    <row r="15" spans="1:9" ht="26.1" customHeight="1" x14ac:dyDescent="0.25">
      <c r="A15" s="142">
        <v>28</v>
      </c>
      <c r="B15" s="127" t="s">
        <v>895</v>
      </c>
      <c r="C15" s="171" t="s">
        <v>896</v>
      </c>
      <c r="D15" s="128">
        <v>22622</v>
      </c>
      <c r="E15" s="128">
        <v>279.78699999999998</v>
      </c>
      <c r="F15" s="129">
        <v>-0.92298898107313998</v>
      </c>
      <c r="G15" s="173">
        <v>25.881101251478665</v>
      </c>
      <c r="H15" s="144"/>
      <c r="I15" s="144"/>
    </row>
    <row r="16" spans="1:9" ht="26.1" customHeight="1" x14ac:dyDescent="0.25">
      <c r="A16" s="142">
        <v>29</v>
      </c>
      <c r="B16" s="171" t="s">
        <v>905</v>
      </c>
      <c r="C16" s="171" t="s">
        <v>670</v>
      </c>
      <c r="D16" s="128">
        <v>20546</v>
      </c>
      <c r="E16" s="128">
        <v>256.60300000000001</v>
      </c>
      <c r="F16" s="129">
        <v>-0.97916176684092404</v>
      </c>
      <c r="G16" s="173">
        <v>25.991698557128867</v>
      </c>
      <c r="H16" s="144"/>
      <c r="I16" s="144"/>
    </row>
    <row r="17" spans="1:9" s="130" customFormat="1" ht="26.1" customHeight="1" x14ac:dyDescent="0.25">
      <c r="A17" s="142">
        <v>30</v>
      </c>
      <c r="B17" s="127" t="s">
        <v>912</v>
      </c>
      <c r="C17" s="171" t="s">
        <v>335</v>
      </c>
      <c r="D17" s="128">
        <v>20318</v>
      </c>
      <c r="E17" s="128">
        <v>250.738</v>
      </c>
      <c r="F17" s="129">
        <v>-0.70754726020510805</v>
      </c>
      <c r="G17" s="173">
        <v>25.694927021227681</v>
      </c>
      <c r="H17" s="143"/>
      <c r="I17" s="143"/>
    </row>
    <row r="18" spans="1:9" s="130" customFormat="1" ht="26.1" customHeight="1" x14ac:dyDescent="0.25">
      <c r="A18" s="142">
        <v>31</v>
      </c>
      <c r="B18" s="127" t="s">
        <v>916</v>
      </c>
      <c r="C18" s="171" t="s">
        <v>518</v>
      </c>
      <c r="D18" s="128">
        <v>12821</v>
      </c>
      <c r="E18" s="128">
        <v>162.798</v>
      </c>
      <c r="F18" s="129">
        <v>-0.54730034050583365</v>
      </c>
      <c r="G18" s="173">
        <v>25.783488959355463</v>
      </c>
      <c r="H18" s="143"/>
      <c r="I18" s="143"/>
    </row>
    <row r="19" spans="1:9" ht="26.1" customHeight="1" x14ac:dyDescent="0.25">
      <c r="A19" s="142">
        <v>32</v>
      </c>
      <c r="B19" s="127" t="s">
        <v>922</v>
      </c>
      <c r="C19" s="171" t="s">
        <v>339</v>
      </c>
      <c r="D19" s="128">
        <v>11872</v>
      </c>
      <c r="E19" s="128">
        <v>145.22399999999999</v>
      </c>
      <c r="F19" s="129">
        <v>-0.95953835348425143</v>
      </c>
      <c r="G19" s="173">
        <v>25.520386720143417</v>
      </c>
      <c r="H19" s="144"/>
      <c r="I19" s="144"/>
    </row>
    <row r="20" spans="1:9" s="130" customFormat="1" ht="26.1" customHeight="1" x14ac:dyDescent="0.25">
      <c r="A20" s="142">
        <v>33</v>
      </c>
      <c r="B20" s="127" t="s">
        <v>926</v>
      </c>
      <c r="C20" s="171" t="s">
        <v>505</v>
      </c>
      <c r="D20" s="128">
        <v>12325</v>
      </c>
      <c r="E20" s="128">
        <v>156.80799999999999</v>
      </c>
      <c r="F20" s="129">
        <v>-1.4905046538644569</v>
      </c>
      <c r="G20" s="173">
        <v>25.454110568148177</v>
      </c>
      <c r="H20" s="143"/>
      <c r="I20" s="143"/>
    </row>
    <row r="21" spans="1:9" ht="26.1" customHeight="1" x14ac:dyDescent="0.25">
      <c r="A21" s="142">
        <v>34</v>
      </c>
      <c r="B21" s="127" t="s">
        <v>931</v>
      </c>
      <c r="C21" s="171" t="s">
        <v>232</v>
      </c>
      <c r="D21" s="128">
        <v>12115</v>
      </c>
      <c r="E21" s="128">
        <v>147.048</v>
      </c>
      <c r="F21" s="129">
        <v>-1.6730560701180961</v>
      </c>
      <c r="G21" s="173">
        <v>25.564445693844529</v>
      </c>
      <c r="H21" s="144"/>
      <c r="I21" s="144"/>
    </row>
    <row r="22" spans="1:9" ht="26.1" customHeight="1" x14ac:dyDescent="0.25">
      <c r="A22" s="142">
        <v>37</v>
      </c>
      <c r="B22" s="127" t="s">
        <v>946</v>
      </c>
      <c r="C22" s="171" t="s">
        <v>287</v>
      </c>
      <c r="D22" s="128">
        <v>11458</v>
      </c>
      <c r="E22" s="128">
        <v>145.16399999999999</v>
      </c>
      <c r="F22" s="129">
        <v>-1.8017107878615881</v>
      </c>
      <c r="G22" s="173">
        <v>25.646424219822958</v>
      </c>
      <c r="H22" s="144"/>
      <c r="I22" s="144"/>
    </row>
    <row r="23" spans="1:9" ht="26.1" customHeight="1" x14ac:dyDescent="0.25">
      <c r="A23" s="142">
        <v>38</v>
      </c>
      <c r="B23" s="127" t="s">
        <v>952</v>
      </c>
      <c r="C23" s="171" t="s">
        <v>289</v>
      </c>
      <c r="D23" s="128">
        <v>14114</v>
      </c>
      <c r="E23" s="128">
        <v>175.803</v>
      </c>
      <c r="F23" s="129">
        <v>-1.538369985598171</v>
      </c>
      <c r="G23" s="173">
        <v>25.704899170537448</v>
      </c>
      <c r="H23" s="144"/>
      <c r="I23" s="144"/>
    </row>
    <row r="24" spans="1:9" ht="26.1" customHeight="1" x14ac:dyDescent="0.25">
      <c r="A24" s="142">
        <v>39</v>
      </c>
      <c r="B24" s="127" t="s">
        <v>955</v>
      </c>
      <c r="C24" s="171" t="s">
        <v>296</v>
      </c>
      <c r="D24" s="128">
        <v>13381</v>
      </c>
      <c r="E24" s="128">
        <v>169.84399999999999</v>
      </c>
      <c r="F24" s="129">
        <v>-1.5354934565985618</v>
      </c>
      <c r="G24" s="173">
        <v>25.361376293334398</v>
      </c>
      <c r="H24" s="144"/>
      <c r="I24" s="144"/>
    </row>
    <row r="25" spans="1:9" ht="26.1" customHeight="1" x14ac:dyDescent="0.25">
      <c r="A25" s="142">
        <v>40</v>
      </c>
      <c r="B25" s="127" t="s">
        <v>959</v>
      </c>
      <c r="C25" s="171" t="s">
        <v>318</v>
      </c>
      <c r="D25" s="128">
        <v>14655</v>
      </c>
      <c r="E25" s="128">
        <v>185.49600000000001</v>
      </c>
      <c r="F25" s="129">
        <v>-1.6674077871879467</v>
      </c>
      <c r="G25" s="173">
        <v>25.353495212927509</v>
      </c>
      <c r="H25" s="144"/>
      <c r="I25" s="144"/>
    </row>
    <row r="26" spans="1:9" s="131" customFormat="1" ht="26.1" customHeight="1" x14ac:dyDescent="0.25">
      <c r="A26" s="142">
        <v>41</v>
      </c>
      <c r="B26" s="127" t="s">
        <v>962</v>
      </c>
      <c r="C26" s="171" t="s">
        <v>221</v>
      </c>
      <c r="D26" s="128">
        <v>13481</v>
      </c>
      <c r="E26" s="128">
        <v>166.42699999999999</v>
      </c>
      <c r="F26" s="129">
        <v>-1.297031444112958</v>
      </c>
      <c r="G26" s="173">
        <v>25.275153882495662</v>
      </c>
      <c r="H26" s="145"/>
      <c r="I26" s="145"/>
    </row>
    <row r="27" spans="1:9" ht="26.1" customHeight="1" x14ac:dyDescent="0.25">
      <c r="A27" s="142">
        <v>42</v>
      </c>
      <c r="B27" s="127" t="s">
        <v>965</v>
      </c>
      <c r="C27" s="171" t="s">
        <v>518</v>
      </c>
      <c r="D27" s="128">
        <v>12374</v>
      </c>
      <c r="E27" s="128">
        <v>157.02099999999999</v>
      </c>
      <c r="F27" s="129">
        <v>-1.5370517338878169</v>
      </c>
      <c r="G27" s="173">
        <v>25.412003487449216</v>
      </c>
      <c r="H27" s="144"/>
      <c r="I27" s="144"/>
    </row>
    <row r="28" spans="1:9" ht="26.1" customHeight="1" x14ac:dyDescent="0.25">
      <c r="A28" s="142">
        <v>43</v>
      </c>
      <c r="B28" s="127" t="s">
        <v>970</v>
      </c>
      <c r="C28" s="171" t="s">
        <v>232</v>
      </c>
      <c r="D28" s="128">
        <v>12500</v>
      </c>
      <c r="E28" s="128">
        <v>152.38499999999999</v>
      </c>
      <c r="F28" s="129">
        <v>-1.8392570346077362</v>
      </c>
      <c r="G28" s="173">
        <v>25.569896096548501</v>
      </c>
      <c r="H28" s="144"/>
      <c r="I28" s="144"/>
    </row>
    <row r="29" spans="1:9" ht="26.1" customHeight="1" x14ac:dyDescent="0.25">
      <c r="A29" s="142">
        <v>44</v>
      </c>
      <c r="B29" s="127" t="s">
        <v>974</v>
      </c>
      <c r="C29" s="171" t="s">
        <v>229</v>
      </c>
      <c r="D29" s="128">
        <v>13153</v>
      </c>
      <c r="E29" s="128">
        <v>166.976</v>
      </c>
      <c r="F29" s="129">
        <v>-1.1432846085063124</v>
      </c>
      <c r="G29" s="173">
        <v>25.826238503455318</v>
      </c>
      <c r="H29" s="144"/>
      <c r="I29" s="144"/>
    </row>
    <row r="30" spans="1:9" ht="26.1" customHeight="1" x14ac:dyDescent="0.25">
      <c r="A30" s="142">
        <v>45</v>
      </c>
      <c r="B30" s="127" t="s">
        <v>980</v>
      </c>
      <c r="C30" s="171" t="s">
        <v>296</v>
      </c>
      <c r="D30" s="128">
        <v>13658</v>
      </c>
      <c r="E30" s="128">
        <v>166.95699999999999</v>
      </c>
      <c r="F30" s="129">
        <v>-0.76181369381475861</v>
      </c>
      <c r="G30" s="173">
        <v>25.79345767827331</v>
      </c>
      <c r="H30" s="144"/>
      <c r="I30" s="144"/>
    </row>
    <row r="31" spans="1:9" ht="26.1" customHeight="1" x14ac:dyDescent="0.25">
      <c r="A31" s="142">
        <v>46</v>
      </c>
      <c r="B31" s="127" t="s">
        <v>984</v>
      </c>
      <c r="C31" s="171" t="s">
        <v>513</v>
      </c>
      <c r="D31" s="128">
        <v>7455</v>
      </c>
      <c r="E31" s="128">
        <v>95.177999999999997</v>
      </c>
      <c r="F31" s="129">
        <v>-1.0424972886405692</v>
      </c>
      <c r="G31" s="173">
        <v>25.576031107468399</v>
      </c>
      <c r="H31" s="144"/>
      <c r="I31" s="144"/>
    </row>
    <row r="32" spans="1:9" ht="26.1" customHeight="1" x14ac:dyDescent="0.25">
      <c r="A32" s="142">
        <v>49</v>
      </c>
      <c r="B32" s="127" t="s">
        <v>1000</v>
      </c>
      <c r="C32" s="171" t="s">
        <v>221</v>
      </c>
      <c r="D32" s="128">
        <v>12031</v>
      </c>
      <c r="E32" s="128">
        <v>148.47300000000001</v>
      </c>
      <c r="F32" s="129">
        <v>-1.0840577302204246</v>
      </c>
      <c r="G32" s="173">
        <v>25.576327101285447</v>
      </c>
      <c r="H32" s="144"/>
      <c r="I32" s="144"/>
    </row>
    <row r="33" spans="1:9" ht="26.1" customHeight="1" x14ac:dyDescent="0.25">
      <c r="A33" s="142">
        <v>50</v>
      </c>
      <c r="B33" s="127" t="s">
        <v>1006</v>
      </c>
      <c r="C33" s="171" t="s">
        <v>294</v>
      </c>
      <c r="D33" s="128">
        <v>14165</v>
      </c>
      <c r="E33" s="128">
        <v>177.92</v>
      </c>
      <c r="F33" s="129">
        <v>-1.0716481811144141</v>
      </c>
      <c r="G33" s="173">
        <v>25.862080218341443</v>
      </c>
      <c r="H33" s="144"/>
      <c r="I33" s="144"/>
    </row>
    <row r="34" spans="1:9" ht="26.1" customHeight="1" x14ac:dyDescent="0.25">
      <c r="A34" s="142">
        <v>51</v>
      </c>
      <c r="B34" s="127" t="s">
        <v>1011</v>
      </c>
      <c r="C34" s="171" t="s">
        <v>267</v>
      </c>
      <c r="D34" s="128">
        <v>15244</v>
      </c>
      <c r="E34" s="128">
        <v>192.48599999999999</v>
      </c>
      <c r="F34" s="129">
        <v>-1.2564033999025581</v>
      </c>
      <c r="G34" s="173">
        <v>25.882073522559825</v>
      </c>
      <c r="H34" s="144"/>
      <c r="I34" s="144"/>
    </row>
    <row r="35" spans="1:9" ht="26.1" customHeight="1" x14ac:dyDescent="0.25">
      <c r="A35" s="142">
        <v>52</v>
      </c>
      <c r="B35" s="127" t="s">
        <v>1015</v>
      </c>
      <c r="C35" s="171" t="s">
        <v>286</v>
      </c>
      <c r="D35" s="128">
        <v>13394</v>
      </c>
      <c r="E35" s="128">
        <v>166.98599999999999</v>
      </c>
      <c r="F35" s="129">
        <v>-1.956735073348806</v>
      </c>
      <c r="G35" s="173">
        <v>25.845823100979306</v>
      </c>
      <c r="H35" s="144"/>
      <c r="I35" s="144"/>
    </row>
    <row r="36" spans="1:9" ht="26.1" customHeight="1" x14ac:dyDescent="0.25">
      <c r="A36" s="142">
        <v>53</v>
      </c>
      <c r="B36" s="127" t="s">
        <v>1019</v>
      </c>
      <c r="C36" s="171" t="s">
        <v>688</v>
      </c>
      <c r="D36" s="128">
        <v>17109</v>
      </c>
      <c r="E36" s="128">
        <v>218.13200000000001</v>
      </c>
      <c r="F36" s="129">
        <v>-1.6105627786813519</v>
      </c>
      <c r="G36" s="173">
        <v>25.619220231789942</v>
      </c>
      <c r="H36" s="144"/>
      <c r="I36" s="144"/>
    </row>
    <row r="37" spans="1:9" ht="26.1" customHeight="1" x14ac:dyDescent="0.25">
      <c r="A37" s="142">
        <v>54</v>
      </c>
      <c r="B37" s="127" t="s">
        <v>1025</v>
      </c>
      <c r="C37" s="171" t="s">
        <v>251</v>
      </c>
      <c r="D37" s="128">
        <v>14168</v>
      </c>
      <c r="E37" s="128">
        <v>172.40299999999999</v>
      </c>
      <c r="F37" s="129">
        <v>-1.7283601798925647</v>
      </c>
      <c r="G37" s="173">
        <v>25.419908580599536</v>
      </c>
      <c r="H37" s="144"/>
      <c r="I37" s="144"/>
    </row>
    <row r="38" spans="1:9" ht="26.1" customHeight="1" x14ac:dyDescent="0.25">
      <c r="A38" s="142">
        <v>55</v>
      </c>
      <c r="B38" s="127" t="s">
        <v>1030</v>
      </c>
      <c r="C38" s="171" t="s">
        <v>294</v>
      </c>
      <c r="D38" s="128">
        <v>13610</v>
      </c>
      <c r="E38" s="128">
        <v>172.738</v>
      </c>
      <c r="F38" s="129">
        <v>-1.1408841008541561</v>
      </c>
      <c r="G38" s="173">
        <v>25.496922349358567</v>
      </c>
      <c r="H38" s="144"/>
      <c r="I38" s="144"/>
    </row>
    <row r="39" spans="1:9" ht="26.1" customHeight="1" x14ac:dyDescent="0.25">
      <c r="A39" s="142">
        <v>56</v>
      </c>
      <c r="B39" s="127" t="s">
        <v>1034</v>
      </c>
      <c r="C39" s="171" t="s">
        <v>260</v>
      </c>
      <c r="D39" s="128">
        <v>12696</v>
      </c>
      <c r="E39" s="128">
        <v>153.80000000000001</v>
      </c>
      <c r="F39" s="129">
        <v>-1.9198852282035619</v>
      </c>
      <c r="G39" s="173">
        <v>25.611908106385695</v>
      </c>
      <c r="H39" s="144"/>
      <c r="I39" s="144"/>
    </row>
    <row r="40" spans="1:9" ht="26.1" customHeight="1" x14ac:dyDescent="0.25">
      <c r="A40" s="142">
        <v>57</v>
      </c>
      <c r="B40" s="127" t="s">
        <v>1038</v>
      </c>
      <c r="C40" s="171" t="s">
        <v>505</v>
      </c>
      <c r="D40" s="128">
        <v>11967</v>
      </c>
      <c r="E40" s="128">
        <v>151.98400000000001</v>
      </c>
      <c r="F40" s="129">
        <v>-1.6063984734121513</v>
      </c>
      <c r="G40" s="173">
        <v>25.794729863619427</v>
      </c>
      <c r="H40" s="144"/>
      <c r="I40" s="144"/>
    </row>
    <row r="41" spans="1:9" ht="26.1" customHeight="1" x14ac:dyDescent="0.25">
      <c r="A41" s="142">
        <v>58</v>
      </c>
      <c r="B41" s="127" t="s">
        <v>1042</v>
      </c>
      <c r="C41" s="171" t="s">
        <v>1043</v>
      </c>
      <c r="D41" s="128">
        <v>17679</v>
      </c>
      <c r="E41" s="128">
        <v>213.08199999999999</v>
      </c>
      <c r="F41" s="129">
        <v>-1.4644871907999579</v>
      </c>
      <c r="G41" s="173">
        <v>25.93831528813477</v>
      </c>
      <c r="H41" s="144"/>
      <c r="I41" s="144"/>
    </row>
    <row r="42" spans="1:9" ht="26.1" customHeight="1" x14ac:dyDescent="0.25">
      <c r="A42" s="142">
        <v>61</v>
      </c>
      <c r="B42" s="127" t="s">
        <v>1058</v>
      </c>
      <c r="C42" s="171" t="s">
        <v>335</v>
      </c>
      <c r="D42" s="128">
        <v>11776</v>
      </c>
      <c r="E42" s="128">
        <v>147.62299999999999</v>
      </c>
      <c r="F42" s="129">
        <v>-1.5541723831547321</v>
      </c>
      <c r="G42" s="173">
        <v>25.840426114378072</v>
      </c>
      <c r="H42" s="144"/>
      <c r="I42" s="144"/>
    </row>
    <row r="43" spans="1:9" ht="26.1" customHeight="1" x14ac:dyDescent="0.25">
      <c r="A43" s="142">
        <v>62</v>
      </c>
      <c r="B43" s="127" t="s">
        <v>1061</v>
      </c>
      <c r="C43" s="171" t="s">
        <v>322</v>
      </c>
      <c r="D43" s="128">
        <v>16012</v>
      </c>
      <c r="E43" s="128">
        <v>203.15100000000001</v>
      </c>
      <c r="F43" s="129">
        <v>-1.7266303838003387</v>
      </c>
      <c r="G43" s="173">
        <v>25.553695825681036</v>
      </c>
      <c r="H43" s="144"/>
      <c r="I43" s="144"/>
    </row>
    <row r="44" spans="1:9" ht="26.1" customHeight="1" x14ac:dyDescent="0.25">
      <c r="A44" s="142">
        <v>63</v>
      </c>
      <c r="B44" s="127" t="s">
        <v>1065</v>
      </c>
      <c r="C44" s="171" t="s">
        <v>513</v>
      </c>
      <c r="D44" s="128">
        <v>13652</v>
      </c>
      <c r="E44" s="128">
        <v>168.47399999999999</v>
      </c>
      <c r="F44" s="129">
        <v>-2.0218968548259024</v>
      </c>
      <c r="G44" s="173">
        <v>25.267141957139845</v>
      </c>
      <c r="H44" s="144"/>
      <c r="I44" s="144"/>
    </row>
    <row r="45" spans="1:9" ht="26.1" customHeight="1" x14ac:dyDescent="0.25">
      <c r="A45" s="142">
        <v>64</v>
      </c>
      <c r="B45" s="127" t="s">
        <v>1068</v>
      </c>
      <c r="C45" s="171" t="s">
        <v>269</v>
      </c>
      <c r="D45" s="128">
        <v>12313</v>
      </c>
      <c r="E45" s="128">
        <v>156.42400000000001</v>
      </c>
      <c r="F45" s="129">
        <v>-1.6864602267908224</v>
      </c>
      <c r="G45" s="173">
        <v>25.279772170131178</v>
      </c>
      <c r="H45" s="144"/>
      <c r="I45" s="144"/>
    </row>
    <row r="46" spans="1:9" ht="26.1" customHeight="1" x14ac:dyDescent="0.25">
      <c r="A46" s="142">
        <v>65</v>
      </c>
      <c r="B46" s="127" t="s">
        <v>1073</v>
      </c>
      <c r="C46" s="171" t="s">
        <v>518</v>
      </c>
      <c r="D46" s="128">
        <v>12903</v>
      </c>
      <c r="E46" s="128">
        <v>157.03</v>
      </c>
      <c r="F46" s="129">
        <v>-1.9077481950223889</v>
      </c>
      <c r="G46" s="173">
        <v>25.386520085991794</v>
      </c>
      <c r="H46" s="144"/>
      <c r="I46" s="144"/>
    </row>
    <row r="47" spans="1:9" ht="26.1" customHeight="1" x14ac:dyDescent="0.25">
      <c r="A47" s="142">
        <v>66</v>
      </c>
      <c r="B47" s="127" t="s">
        <v>1078</v>
      </c>
      <c r="C47" s="171" t="s">
        <v>551</v>
      </c>
      <c r="D47" s="128">
        <v>12547</v>
      </c>
      <c r="E47" s="128">
        <v>159.626</v>
      </c>
      <c r="F47" s="129">
        <v>-2.0979688440961057</v>
      </c>
      <c r="G47" s="173">
        <v>25.587059817489351</v>
      </c>
      <c r="H47" s="144"/>
      <c r="I47" s="144"/>
    </row>
    <row r="48" spans="1:9" ht="26.1" customHeight="1" x14ac:dyDescent="0.25">
      <c r="A48" s="142">
        <v>67</v>
      </c>
      <c r="B48" s="127" t="s">
        <v>1081</v>
      </c>
      <c r="C48" s="171" t="s">
        <v>269</v>
      </c>
      <c r="D48" s="128">
        <v>13339</v>
      </c>
      <c r="E48" s="128">
        <v>161.63300000000001</v>
      </c>
      <c r="F48" s="129">
        <v>-1.9230508960956978</v>
      </c>
      <c r="G48" s="173">
        <v>25.65996446678491</v>
      </c>
      <c r="H48" s="144"/>
      <c r="I48" s="144"/>
    </row>
    <row r="49" spans="1:9" ht="26.1" customHeight="1" x14ac:dyDescent="0.25">
      <c r="A49" s="142">
        <v>68</v>
      </c>
      <c r="B49" s="127" t="s">
        <v>1084</v>
      </c>
      <c r="C49" s="171" t="s">
        <v>229</v>
      </c>
      <c r="D49" s="128">
        <v>12928</v>
      </c>
      <c r="E49" s="128">
        <v>163.90100000000001</v>
      </c>
      <c r="F49" s="129">
        <v>-1.7094404721680532</v>
      </c>
      <c r="G49" s="173">
        <v>25.579101798292275</v>
      </c>
      <c r="H49" s="144"/>
      <c r="I49" s="144"/>
    </row>
    <row r="50" spans="1:9" ht="26.1" customHeight="1" x14ac:dyDescent="0.25">
      <c r="A50" s="142">
        <v>69</v>
      </c>
      <c r="B50" s="127" t="s">
        <v>1091</v>
      </c>
      <c r="C50" s="171" t="s">
        <v>283</v>
      </c>
      <c r="D50" s="128">
        <v>13124</v>
      </c>
      <c r="E50" s="128">
        <v>160.71700000000001</v>
      </c>
      <c r="F50" s="129">
        <v>-1.8559628652718712</v>
      </c>
      <c r="G50" s="173">
        <v>25.544855705704681</v>
      </c>
      <c r="H50" s="144"/>
      <c r="I50" s="144"/>
    </row>
    <row r="51" spans="1:9" ht="26.1" customHeight="1" x14ac:dyDescent="0.25">
      <c r="A51" s="142">
        <v>70</v>
      </c>
      <c r="B51" s="127" t="s">
        <v>1096</v>
      </c>
      <c r="C51" s="171" t="s">
        <v>283</v>
      </c>
      <c r="D51" s="128">
        <v>11840</v>
      </c>
      <c r="E51" s="128">
        <v>149.66200000000001</v>
      </c>
      <c r="F51" s="129">
        <v>-1.4903782185647629</v>
      </c>
      <c r="G51" s="173">
        <v>25.290689637442735</v>
      </c>
      <c r="H51" s="144"/>
      <c r="I51" s="144"/>
    </row>
    <row r="52" spans="1:9" ht="26.1" customHeight="1" x14ac:dyDescent="0.25">
      <c r="A52" s="142">
        <v>73</v>
      </c>
      <c r="B52" s="127" t="s">
        <v>1105</v>
      </c>
      <c r="C52" s="171" t="s">
        <v>729</v>
      </c>
      <c r="D52" s="128">
        <v>13820</v>
      </c>
      <c r="E52" s="128">
        <v>174.65799999999999</v>
      </c>
      <c r="F52" s="129">
        <v>-1.7228383322621093</v>
      </c>
      <c r="G52" s="173">
        <v>25.234418468508483</v>
      </c>
      <c r="H52" s="144"/>
      <c r="I52" s="144"/>
    </row>
    <row r="53" spans="1:9" ht="26.1" customHeight="1" x14ac:dyDescent="0.25">
      <c r="A53" s="142">
        <v>74</v>
      </c>
      <c r="B53" s="171" t="s">
        <v>1111</v>
      </c>
      <c r="C53" s="171" t="s">
        <v>518</v>
      </c>
      <c r="D53" s="128">
        <v>12953</v>
      </c>
      <c r="E53" s="128">
        <v>159.03</v>
      </c>
      <c r="F53" s="129">
        <v>-1.9318416755084782</v>
      </c>
      <c r="G53" s="173">
        <v>25.463158471863647</v>
      </c>
      <c r="H53" s="144"/>
      <c r="I53" s="144"/>
    </row>
    <row r="54" spans="1:9" ht="26.1" customHeight="1" x14ac:dyDescent="0.25">
      <c r="A54" s="142">
        <v>75</v>
      </c>
      <c r="B54" s="127" t="s">
        <v>1115</v>
      </c>
      <c r="C54" s="171" t="s">
        <v>635</v>
      </c>
      <c r="D54" s="128">
        <v>13142</v>
      </c>
      <c r="E54" s="128">
        <v>167.089</v>
      </c>
      <c r="F54" s="129">
        <v>-1.7870717461800989</v>
      </c>
      <c r="G54" s="173">
        <v>25.601936447131916</v>
      </c>
      <c r="H54" s="144"/>
      <c r="I54" s="144"/>
    </row>
    <row r="55" spans="1:9" ht="26.1" customHeight="1" x14ac:dyDescent="0.25">
      <c r="A55" s="142">
        <v>76</v>
      </c>
      <c r="B55" s="127" t="s">
        <v>1121</v>
      </c>
      <c r="C55" s="171" t="s">
        <v>267</v>
      </c>
      <c r="D55" s="128">
        <v>13483</v>
      </c>
      <c r="E55" s="128">
        <v>163.94</v>
      </c>
      <c r="F55" s="129">
        <v>-1.7528823314545088</v>
      </c>
      <c r="G55" s="173">
        <v>25.547255019824323</v>
      </c>
      <c r="H55" s="144"/>
      <c r="I55" s="144"/>
    </row>
    <row r="56" spans="1:9" ht="26.1" customHeight="1" x14ac:dyDescent="0.25">
      <c r="A56" s="142">
        <v>77</v>
      </c>
      <c r="B56" s="127" t="s">
        <v>1126</v>
      </c>
      <c r="C56" s="171" t="s">
        <v>286</v>
      </c>
      <c r="D56" s="128">
        <v>12003</v>
      </c>
      <c r="E56" s="128">
        <v>152.78800000000001</v>
      </c>
      <c r="F56" s="129">
        <v>-1.7872374721306934</v>
      </c>
      <c r="G56" s="173">
        <v>25.468310920526623</v>
      </c>
      <c r="H56" s="144"/>
      <c r="I56" s="144"/>
    </row>
    <row r="57" spans="1:9" ht="26.1" customHeight="1" x14ac:dyDescent="0.25">
      <c r="A57" s="142">
        <v>78</v>
      </c>
      <c r="B57" s="127" t="s">
        <v>1131</v>
      </c>
      <c r="C57" s="171" t="s">
        <v>289</v>
      </c>
      <c r="D57" s="128">
        <v>13384</v>
      </c>
      <c r="E57" s="128">
        <v>161.65700000000001</v>
      </c>
      <c r="F57" s="129">
        <v>-1.4891080727154478</v>
      </c>
      <c r="G57" s="173">
        <v>25.317397198759412</v>
      </c>
      <c r="H57" s="144"/>
      <c r="I57" s="144"/>
    </row>
    <row r="58" spans="1:9" ht="26.1" customHeight="1" x14ac:dyDescent="0.25">
      <c r="A58" s="142">
        <v>79</v>
      </c>
      <c r="B58" s="127" t="s">
        <v>1135</v>
      </c>
      <c r="C58" s="171" t="s">
        <v>505</v>
      </c>
      <c r="D58" s="128">
        <v>11774</v>
      </c>
      <c r="E58" s="128">
        <v>149.68899999999999</v>
      </c>
      <c r="F58" s="129">
        <v>-1.5453816037419521</v>
      </c>
      <c r="G58" s="173">
        <v>25.357936100295202</v>
      </c>
      <c r="H58" s="144"/>
      <c r="I58" s="144"/>
    </row>
    <row r="59" spans="1:9" ht="26.1" customHeight="1" x14ac:dyDescent="0.25">
      <c r="A59" s="142">
        <v>80</v>
      </c>
      <c r="B59" s="127" t="s">
        <v>1138</v>
      </c>
      <c r="C59" s="171" t="s">
        <v>328</v>
      </c>
      <c r="D59" s="128">
        <v>15144</v>
      </c>
      <c r="E59" s="128">
        <v>185.51900000000001</v>
      </c>
      <c r="F59" s="129">
        <v>-1.9807532467540019</v>
      </c>
      <c r="G59" s="173">
        <v>25.485756423660856</v>
      </c>
      <c r="H59" s="144"/>
      <c r="I59" s="144"/>
    </row>
    <row r="60" spans="1:9" ht="26.1" customHeight="1" x14ac:dyDescent="0.25">
      <c r="A60" s="142">
        <v>81</v>
      </c>
      <c r="B60" s="127" t="s">
        <v>1142</v>
      </c>
      <c r="C60" s="171" t="s">
        <v>232</v>
      </c>
      <c r="D60" s="128">
        <v>12009</v>
      </c>
      <c r="E60" s="128">
        <v>152.071</v>
      </c>
      <c r="F60" s="129">
        <v>-1.676673580495593</v>
      </c>
      <c r="G60" s="173">
        <v>25.665152689535045</v>
      </c>
      <c r="H60" s="144"/>
      <c r="I60" s="144"/>
    </row>
    <row r="61" spans="1:9" ht="26.1" customHeight="1" x14ac:dyDescent="0.25">
      <c r="A61" s="142">
        <v>82</v>
      </c>
      <c r="B61" s="127" t="s">
        <v>1147</v>
      </c>
      <c r="C61" s="171" t="s">
        <v>227</v>
      </c>
      <c r="D61" s="128">
        <v>12284</v>
      </c>
      <c r="E61" s="128">
        <v>151.84700000000001</v>
      </c>
      <c r="F61" s="129">
        <v>-1.4925248481649442</v>
      </c>
      <c r="G61" s="173">
        <v>25.712775350384444</v>
      </c>
      <c r="H61" s="144"/>
      <c r="I61" s="144"/>
    </row>
    <row r="62" spans="1:9" ht="26.1" customHeight="1" x14ac:dyDescent="0.25">
      <c r="A62" s="142">
        <v>85</v>
      </c>
      <c r="B62" s="127" t="s">
        <v>1158</v>
      </c>
      <c r="C62" s="171" t="s">
        <v>260</v>
      </c>
      <c r="D62" s="128">
        <v>12754</v>
      </c>
      <c r="E62" s="128">
        <v>161.33600000000001</v>
      </c>
      <c r="F62" s="129">
        <v>-1.4372565029573212</v>
      </c>
      <c r="G62" s="173">
        <v>25.652858164895829</v>
      </c>
      <c r="H62" s="144"/>
      <c r="I62" s="144"/>
    </row>
    <row r="63" spans="1:9" ht="26.1" customHeight="1" x14ac:dyDescent="0.25">
      <c r="A63" s="142">
        <v>86</v>
      </c>
      <c r="B63" s="127" t="s">
        <v>1161</v>
      </c>
      <c r="C63" s="171" t="s">
        <v>518</v>
      </c>
      <c r="D63" s="128">
        <v>12608</v>
      </c>
      <c r="E63" s="128">
        <v>154.32499999999999</v>
      </c>
      <c r="F63" s="129">
        <v>-1.4061713015160482</v>
      </c>
      <c r="G63" s="173">
        <v>25.522509642685559</v>
      </c>
      <c r="H63" s="144"/>
      <c r="I63" s="144"/>
    </row>
    <row r="64" spans="1:9" ht="26.1" customHeight="1" x14ac:dyDescent="0.25">
      <c r="A64" s="142">
        <v>87</v>
      </c>
      <c r="B64" s="127" t="s">
        <v>1165</v>
      </c>
      <c r="C64" s="171" t="s">
        <v>269</v>
      </c>
      <c r="D64" s="128">
        <v>12180</v>
      </c>
      <c r="E64" s="128">
        <v>154.971</v>
      </c>
      <c r="F64" s="129">
        <v>-1.4428183968281181</v>
      </c>
      <c r="G64" s="173">
        <v>25.608743814868024</v>
      </c>
      <c r="H64" s="144"/>
      <c r="I64" s="144"/>
    </row>
    <row r="65" spans="1:9" ht="26.1" customHeight="1" x14ac:dyDescent="0.25">
      <c r="A65" s="142">
        <v>88</v>
      </c>
      <c r="B65" s="127" t="s">
        <v>1170</v>
      </c>
      <c r="C65" s="171" t="s">
        <v>229</v>
      </c>
      <c r="D65" s="128">
        <v>14921</v>
      </c>
      <c r="E65" s="128">
        <v>182.52500000000001</v>
      </c>
      <c r="F65" s="129">
        <v>-1.9615063688017957</v>
      </c>
      <c r="G65" s="173">
        <v>25.664369090009455</v>
      </c>
      <c r="H65" s="144"/>
      <c r="I65" s="144"/>
    </row>
    <row r="66" spans="1:9" ht="26.1" customHeight="1" x14ac:dyDescent="0.25">
      <c r="A66" s="142">
        <v>89</v>
      </c>
      <c r="B66" s="127" t="s">
        <v>1174</v>
      </c>
      <c r="C66" s="171" t="s">
        <v>537</v>
      </c>
      <c r="D66" s="128">
        <v>10989</v>
      </c>
      <c r="E66" s="128">
        <v>139.714</v>
      </c>
      <c r="F66" s="129">
        <v>-2.3302161334344049</v>
      </c>
      <c r="G66" s="173">
        <v>25.786404302430991</v>
      </c>
      <c r="H66" s="144"/>
      <c r="I66" s="144"/>
    </row>
    <row r="67" spans="1:9" ht="26.1" customHeight="1" x14ac:dyDescent="0.25">
      <c r="A67" s="142">
        <v>90</v>
      </c>
      <c r="B67" s="127" t="s">
        <v>1179</v>
      </c>
      <c r="C67" s="171" t="s">
        <v>339</v>
      </c>
      <c r="D67" s="128">
        <v>14418</v>
      </c>
      <c r="E67" s="128">
        <v>174.16200000000001</v>
      </c>
      <c r="F67" s="129">
        <v>-2.0531613828276973</v>
      </c>
      <c r="G67" s="173">
        <v>25.971083371861088</v>
      </c>
      <c r="H67" s="144"/>
      <c r="I67" s="144"/>
    </row>
    <row r="68" spans="1:9" ht="26.1" customHeight="1" x14ac:dyDescent="0.25">
      <c r="A68" s="142">
        <v>91</v>
      </c>
      <c r="B68" s="127" t="s">
        <v>1182</v>
      </c>
      <c r="C68" s="171" t="s">
        <v>296</v>
      </c>
      <c r="D68" s="128">
        <v>13675</v>
      </c>
      <c r="E68" s="128">
        <v>172.95699999999999</v>
      </c>
      <c r="F68" s="129">
        <v>-1.734014003811944</v>
      </c>
      <c r="G68" s="173">
        <v>25.986558359865601</v>
      </c>
      <c r="H68" s="144"/>
      <c r="I68" s="144"/>
    </row>
    <row r="69" spans="1:9" ht="26.1" customHeight="1" x14ac:dyDescent="0.25">
      <c r="A69" s="142">
        <v>92</v>
      </c>
      <c r="B69" s="127" t="s">
        <v>1185</v>
      </c>
      <c r="C69" s="171" t="s">
        <v>229</v>
      </c>
      <c r="D69" s="128">
        <v>13809</v>
      </c>
      <c r="E69" s="128">
        <v>168.69499999999999</v>
      </c>
      <c r="F69" s="129">
        <v>-1.6035184183284867</v>
      </c>
      <c r="G69" s="173">
        <v>25.818465725421898</v>
      </c>
      <c r="H69" s="144"/>
      <c r="I69" s="144"/>
    </row>
    <row r="70" spans="1:9" ht="26.1" customHeight="1" x14ac:dyDescent="0.25">
      <c r="A70" s="142">
        <v>93</v>
      </c>
      <c r="B70" s="127" t="s">
        <v>1190</v>
      </c>
      <c r="C70" s="171" t="s">
        <v>635</v>
      </c>
      <c r="D70" s="128">
        <v>12613</v>
      </c>
      <c r="E70" s="128">
        <v>159.559</v>
      </c>
      <c r="F70" s="129">
        <v>-1.5022515510312355</v>
      </c>
      <c r="G70" s="173">
        <v>25.490825562805778</v>
      </c>
      <c r="H70" s="144"/>
      <c r="I70" s="144"/>
    </row>
    <row r="71" spans="1:9" ht="26.1" customHeight="1" x14ac:dyDescent="0.25">
      <c r="A71" s="142">
        <v>94</v>
      </c>
      <c r="B71" s="127" t="s">
        <v>1194</v>
      </c>
      <c r="C71" s="171" t="s">
        <v>296</v>
      </c>
      <c r="D71" s="128">
        <v>13957</v>
      </c>
      <c r="E71" s="128">
        <v>173.42500000000001</v>
      </c>
      <c r="F71" s="129">
        <v>-1.615005392727767</v>
      </c>
      <c r="G71" s="173">
        <v>25.558587074502139</v>
      </c>
      <c r="H71" s="144"/>
      <c r="I71" s="144"/>
    </row>
    <row r="72" spans="1:9" ht="26.1" customHeight="1" x14ac:dyDescent="0.25">
      <c r="A72" s="142">
        <v>100</v>
      </c>
      <c r="B72" s="127" t="s">
        <v>1215</v>
      </c>
      <c r="C72" s="171" t="s">
        <v>537</v>
      </c>
      <c r="D72" s="128">
        <v>11454</v>
      </c>
      <c r="E72" s="128">
        <v>145.48400000000001</v>
      </c>
      <c r="F72" s="129">
        <v>-1.4156239772786203</v>
      </c>
      <c r="G72" s="173">
        <v>25.58260863894591</v>
      </c>
      <c r="H72" s="144"/>
      <c r="I72" s="144"/>
    </row>
    <row r="73" spans="1:9" ht="26.1" customHeight="1" x14ac:dyDescent="0.25">
      <c r="A73" s="142">
        <v>101</v>
      </c>
      <c r="B73" s="127" t="s">
        <v>1219</v>
      </c>
      <c r="C73" s="171" t="s">
        <v>297</v>
      </c>
      <c r="D73" s="128">
        <v>14726</v>
      </c>
      <c r="E73" s="128">
        <v>180.03700000000001</v>
      </c>
      <c r="F73" s="129">
        <v>-1.9237399936653443</v>
      </c>
      <c r="G73" s="173">
        <v>25.542778358369471</v>
      </c>
      <c r="H73" s="144"/>
      <c r="I73" s="144"/>
    </row>
    <row r="74" spans="1:9" ht="26.1" customHeight="1" x14ac:dyDescent="0.25">
      <c r="A74" s="142">
        <v>102</v>
      </c>
      <c r="B74" s="127" t="s">
        <v>1223</v>
      </c>
      <c r="C74" s="171" t="s">
        <v>752</v>
      </c>
      <c r="D74" s="128">
        <v>15545</v>
      </c>
      <c r="E74" s="128">
        <v>196.21899999999999</v>
      </c>
      <c r="F74" s="129">
        <v>-1.7224330844589071</v>
      </c>
      <c r="G74" s="173">
        <v>25.646034625312101</v>
      </c>
      <c r="H74" s="144"/>
      <c r="I74" s="144"/>
    </row>
    <row r="75" spans="1:9" ht="26.1" customHeight="1" x14ac:dyDescent="0.25">
      <c r="A75" s="142">
        <v>103</v>
      </c>
      <c r="B75" s="127" t="s">
        <v>1228</v>
      </c>
      <c r="C75" s="171" t="s">
        <v>254</v>
      </c>
      <c r="D75" s="128">
        <v>13823</v>
      </c>
      <c r="E75" s="128">
        <v>170.726</v>
      </c>
      <c r="F75" s="129">
        <v>-1.5863083576444572</v>
      </c>
      <c r="G75" s="173">
        <v>25.481465493425635</v>
      </c>
      <c r="H75" s="144"/>
      <c r="I75" s="144"/>
    </row>
    <row r="76" spans="1:9" ht="26.1" customHeight="1" x14ac:dyDescent="0.25">
      <c r="A76" s="142">
        <v>104</v>
      </c>
      <c r="B76" s="127" t="s">
        <v>1231</v>
      </c>
      <c r="C76" s="171" t="s">
        <v>227</v>
      </c>
      <c r="D76" s="128">
        <v>11897</v>
      </c>
      <c r="E76" s="128">
        <v>149.19300000000001</v>
      </c>
      <c r="F76" s="129">
        <v>-1.5189611596425725</v>
      </c>
      <c r="G76" s="173">
        <v>25.365237934523687</v>
      </c>
      <c r="H76" s="144"/>
      <c r="I76" s="144"/>
    </row>
    <row r="77" spans="1:9" ht="26.1" customHeight="1" x14ac:dyDescent="0.25">
      <c r="A77" s="142">
        <v>105</v>
      </c>
      <c r="B77" s="127" t="s">
        <v>1234</v>
      </c>
      <c r="C77" s="171" t="s">
        <v>286</v>
      </c>
      <c r="D77" s="128">
        <v>12932</v>
      </c>
      <c r="E77" s="128">
        <v>162.941</v>
      </c>
      <c r="F77" s="129">
        <v>-1.6734865042359786</v>
      </c>
      <c r="G77" s="173">
        <v>25.4277607477031</v>
      </c>
      <c r="H77" s="144"/>
      <c r="I77" s="144"/>
    </row>
    <row r="78" spans="1:9" ht="26.1" customHeight="1" x14ac:dyDescent="0.25">
      <c r="A78" s="142">
        <v>106</v>
      </c>
      <c r="B78" s="127" t="s">
        <v>1239</v>
      </c>
      <c r="C78" s="171" t="s">
        <v>635</v>
      </c>
      <c r="D78" s="128">
        <v>14677</v>
      </c>
      <c r="E78" s="128">
        <v>180.739</v>
      </c>
      <c r="F78" s="129">
        <v>-1.6401219413161601</v>
      </c>
      <c r="G78" s="173">
        <v>25.432260931845402</v>
      </c>
      <c r="H78" s="144"/>
      <c r="I78" s="144"/>
    </row>
    <row r="79" spans="1:9" ht="26.1" customHeight="1" x14ac:dyDescent="0.25">
      <c r="A79" s="142">
        <v>109</v>
      </c>
      <c r="B79" s="127" t="s">
        <v>1248</v>
      </c>
      <c r="C79" s="171" t="s">
        <v>513</v>
      </c>
      <c r="D79" s="128">
        <v>13436</v>
      </c>
      <c r="E79" s="128">
        <v>172.32499999999999</v>
      </c>
      <c r="F79" s="129">
        <v>-1.9938667533553203</v>
      </c>
      <c r="G79" s="173">
        <v>25.399086101648638</v>
      </c>
      <c r="H79" s="144"/>
      <c r="I79" s="144"/>
    </row>
    <row r="80" spans="1:9" ht="26.1" customHeight="1" x14ac:dyDescent="0.25">
      <c r="A80" s="142">
        <v>110</v>
      </c>
      <c r="B80" s="127" t="s">
        <v>1252</v>
      </c>
      <c r="C80" s="171" t="s">
        <v>551</v>
      </c>
      <c r="D80" s="128">
        <v>11335</v>
      </c>
      <c r="E80" s="128">
        <v>137.703</v>
      </c>
      <c r="F80" s="129">
        <v>-1.9965060272706432</v>
      </c>
      <c r="G80" s="173">
        <v>25.570680676186083</v>
      </c>
      <c r="H80" s="144"/>
      <c r="I80" s="144"/>
    </row>
    <row r="81" spans="1:9" ht="26.1" customHeight="1" x14ac:dyDescent="0.25">
      <c r="A81" s="142">
        <v>111</v>
      </c>
      <c r="B81" s="127" t="s">
        <v>1257</v>
      </c>
      <c r="C81" s="171" t="s">
        <v>518</v>
      </c>
      <c r="D81" s="128">
        <v>11824</v>
      </c>
      <c r="E81" s="128">
        <v>150.43</v>
      </c>
      <c r="F81" s="129">
        <v>-1.5063435715773041</v>
      </c>
      <c r="G81" s="173">
        <v>25.62594821045592</v>
      </c>
      <c r="H81" s="144"/>
      <c r="I81" s="144"/>
    </row>
    <row r="82" spans="1:9" ht="26.1" customHeight="1" x14ac:dyDescent="0.25">
      <c r="A82" s="142">
        <v>112</v>
      </c>
      <c r="B82" s="127" t="s">
        <v>1261</v>
      </c>
      <c r="C82" s="171" t="s">
        <v>783</v>
      </c>
      <c r="D82" s="128">
        <v>16081</v>
      </c>
      <c r="E82" s="128">
        <v>195.679</v>
      </c>
      <c r="F82" s="129">
        <v>-1.6448693097702041</v>
      </c>
      <c r="G82" s="173">
        <v>25.650876378478376</v>
      </c>
      <c r="H82" s="144"/>
      <c r="I82" s="144"/>
    </row>
    <row r="83" spans="1:9" ht="26.1" customHeight="1" x14ac:dyDescent="0.25">
      <c r="A83" s="142">
        <v>113</v>
      </c>
      <c r="B83" s="127" t="s">
        <v>1264</v>
      </c>
      <c r="C83" s="171" t="s">
        <v>227</v>
      </c>
      <c r="D83" s="128">
        <v>11384</v>
      </c>
      <c r="E83" s="128">
        <v>144.583</v>
      </c>
      <c r="F83" s="129">
        <v>-1.3996563574977581</v>
      </c>
      <c r="G83" s="173">
        <v>25.349054815615805</v>
      </c>
      <c r="H83" s="144"/>
      <c r="I83" s="144"/>
    </row>
    <row r="84" spans="1:9" ht="26.1" customHeight="1" x14ac:dyDescent="0.25">
      <c r="A84" s="142">
        <v>114</v>
      </c>
      <c r="B84" s="127" t="s">
        <v>1268</v>
      </c>
      <c r="C84" s="171" t="s">
        <v>328</v>
      </c>
      <c r="D84" s="128">
        <v>17056</v>
      </c>
      <c r="E84" s="128">
        <v>208.03399999999999</v>
      </c>
      <c r="F84" s="129">
        <v>-1.5750989364329508</v>
      </c>
      <c r="G84" s="173">
        <v>25.470203026698176</v>
      </c>
      <c r="H84" s="144"/>
      <c r="I84" s="144"/>
    </row>
    <row r="85" spans="1:9" ht="26.1" customHeight="1" x14ac:dyDescent="0.25">
      <c r="A85" s="142">
        <v>115</v>
      </c>
      <c r="B85" s="127" t="s">
        <v>1272</v>
      </c>
      <c r="C85" s="171" t="s">
        <v>518</v>
      </c>
      <c r="D85" s="128">
        <v>13663</v>
      </c>
      <c r="E85" s="128">
        <v>172.2</v>
      </c>
      <c r="F85" s="129">
        <v>-2.0373443772086217</v>
      </c>
      <c r="G85" s="173">
        <v>25.306841882823345</v>
      </c>
      <c r="H85" s="144"/>
      <c r="I85" s="144"/>
    </row>
    <row r="86" spans="1:9" ht="26.1" customHeight="1" x14ac:dyDescent="0.25">
      <c r="A86" s="142">
        <v>116</v>
      </c>
      <c r="B86" s="127" t="s">
        <v>1277</v>
      </c>
      <c r="C86" s="171" t="s">
        <v>229</v>
      </c>
      <c r="D86" s="128">
        <v>13582</v>
      </c>
      <c r="E86" s="128">
        <v>170.23099999999999</v>
      </c>
      <c r="F86" s="129">
        <v>-2.2686564986828506</v>
      </c>
      <c r="G86" s="173">
        <v>25.482824908737708</v>
      </c>
      <c r="H86" s="144"/>
      <c r="I86" s="144"/>
    </row>
    <row r="87" spans="1:9" ht="26.1" customHeight="1" x14ac:dyDescent="0.25">
      <c r="A87" s="142">
        <v>117</v>
      </c>
      <c r="B87" s="127" t="s">
        <v>1280</v>
      </c>
      <c r="C87" s="171" t="s">
        <v>286</v>
      </c>
      <c r="D87" s="128">
        <v>14261</v>
      </c>
      <c r="E87" s="128">
        <v>176.89099999999999</v>
      </c>
      <c r="F87" s="129">
        <v>-2.311543503456905</v>
      </c>
      <c r="G87" s="173">
        <v>25.642599332832798</v>
      </c>
      <c r="H87" s="144"/>
      <c r="I87" s="144"/>
    </row>
    <row r="88" spans="1:9" ht="26.1" customHeight="1" x14ac:dyDescent="0.25">
      <c r="A88" s="142">
        <v>118</v>
      </c>
      <c r="B88" s="127" t="s">
        <v>1283</v>
      </c>
      <c r="C88" s="171" t="s">
        <v>296</v>
      </c>
      <c r="D88" s="128">
        <v>13419</v>
      </c>
      <c r="E88" s="128">
        <v>169.81700000000001</v>
      </c>
      <c r="F88" s="129">
        <v>-1.642564510113832</v>
      </c>
      <c r="G88" s="173">
        <v>25.565265067457286</v>
      </c>
      <c r="H88" s="144"/>
      <c r="I88" s="144"/>
    </row>
    <row r="89" spans="1:9" ht="26.1" customHeight="1" x14ac:dyDescent="0.25">
      <c r="A89" s="142">
        <v>121</v>
      </c>
      <c r="B89" s="127" t="s">
        <v>1294</v>
      </c>
      <c r="C89" s="171" t="s">
        <v>513</v>
      </c>
      <c r="D89" s="128">
        <v>13433</v>
      </c>
      <c r="E89" s="128">
        <v>163.215</v>
      </c>
      <c r="F89" s="129">
        <v>-1.8414827492360129</v>
      </c>
      <c r="G89" s="173">
        <v>25.421908499088556</v>
      </c>
      <c r="H89" s="144"/>
      <c r="I89" s="144"/>
    </row>
    <row r="90" spans="1:9" ht="26.1" customHeight="1" x14ac:dyDescent="0.25">
      <c r="A90" s="142">
        <v>122</v>
      </c>
      <c r="B90" s="127" t="s">
        <v>1298</v>
      </c>
      <c r="C90" s="171" t="s">
        <v>260</v>
      </c>
      <c r="D90" s="128">
        <v>12830</v>
      </c>
      <c r="E90" s="128">
        <v>163.13200000000001</v>
      </c>
      <c r="F90" s="129">
        <v>-1.9997419649807373</v>
      </c>
      <c r="G90" s="173">
        <v>25.329522164026603</v>
      </c>
      <c r="H90" s="144"/>
      <c r="I90" s="144"/>
    </row>
    <row r="91" spans="1:9" ht="26.1" customHeight="1" x14ac:dyDescent="0.25">
      <c r="A91" s="142">
        <v>123</v>
      </c>
      <c r="B91" s="127" t="s">
        <v>1302</v>
      </c>
      <c r="C91" s="171" t="s">
        <v>283</v>
      </c>
      <c r="D91" s="128">
        <v>14676</v>
      </c>
      <c r="E91" s="128">
        <v>177.41200000000001</v>
      </c>
      <c r="F91" s="129">
        <v>-2.1549851195425247</v>
      </c>
      <c r="G91" s="173">
        <v>25.226459959255418</v>
      </c>
      <c r="H91" s="144"/>
      <c r="I91" s="144"/>
    </row>
    <row r="92" spans="1:9" ht="26.1" customHeight="1" x14ac:dyDescent="0.25">
      <c r="A92" s="142">
        <v>124</v>
      </c>
      <c r="B92" s="127" t="s">
        <v>1306</v>
      </c>
      <c r="C92" s="171" t="s">
        <v>294</v>
      </c>
      <c r="D92" s="128">
        <v>13030</v>
      </c>
      <c r="E92" s="128">
        <v>165.059</v>
      </c>
      <c r="F92" s="129">
        <v>-2.1563084085158151</v>
      </c>
      <c r="G92" s="173">
        <v>25.216765671691125</v>
      </c>
      <c r="H92" s="144"/>
      <c r="I92" s="144"/>
    </row>
    <row r="93" spans="1:9" ht="26.1" customHeight="1" x14ac:dyDescent="0.25">
      <c r="A93" s="142">
        <v>125</v>
      </c>
      <c r="B93" s="127" t="s">
        <v>1311</v>
      </c>
      <c r="C93" s="171" t="s">
        <v>221</v>
      </c>
      <c r="D93" s="128">
        <v>16137</v>
      </c>
      <c r="E93" s="128">
        <v>199.00700000000001</v>
      </c>
      <c r="F93" s="129">
        <v>-2.7885866596965494</v>
      </c>
      <c r="G93" s="173">
        <v>25.469981521391386</v>
      </c>
      <c r="H93" s="144"/>
      <c r="I93" s="144"/>
    </row>
    <row r="94" spans="1:9" ht="26.1" customHeight="1" x14ac:dyDescent="0.25">
      <c r="A94" s="142">
        <v>126</v>
      </c>
      <c r="B94" s="127" t="s">
        <v>1315</v>
      </c>
      <c r="C94" s="171" t="s">
        <v>339</v>
      </c>
      <c r="D94" s="128">
        <v>12033</v>
      </c>
      <c r="E94" s="128">
        <v>152.15600000000001</v>
      </c>
      <c r="F94" s="129">
        <v>-2.5965357211350328</v>
      </c>
      <c r="G94" s="173">
        <v>25.526902994622372</v>
      </c>
      <c r="H94" s="144"/>
      <c r="I94" s="144"/>
    </row>
    <row r="95" spans="1:9" ht="26.1" customHeight="1" x14ac:dyDescent="0.25">
      <c r="A95" s="142">
        <v>127</v>
      </c>
      <c r="B95" s="127" t="s">
        <v>1319</v>
      </c>
      <c r="C95" s="171" t="s">
        <v>260</v>
      </c>
      <c r="D95" s="128">
        <v>12849</v>
      </c>
      <c r="E95" s="128">
        <v>159.28</v>
      </c>
      <c r="F95" s="129">
        <v>-1.8861630196152868</v>
      </c>
      <c r="G95" s="173">
        <v>25.739284929081766</v>
      </c>
      <c r="H95" s="144"/>
      <c r="I95" s="144"/>
    </row>
    <row r="96" spans="1:9" ht="26.1" customHeight="1" x14ac:dyDescent="0.25">
      <c r="A96" s="142">
        <v>128</v>
      </c>
      <c r="B96" s="127" t="s">
        <v>1324</v>
      </c>
      <c r="C96" s="171" t="s">
        <v>513</v>
      </c>
      <c r="D96" s="128">
        <v>11704</v>
      </c>
      <c r="E96" s="128">
        <v>147.48099999999999</v>
      </c>
      <c r="F96" s="129">
        <v>-1.8060589532279532</v>
      </c>
      <c r="G96" s="173">
        <v>25.541614965452798</v>
      </c>
      <c r="H96" s="144"/>
      <c r="I96" s="144"/>
    </row>
    <row r="97" spans="1:9" ht="26.1" customHeight="1" x14ac:dyDescent="0.25">
      <c r="A97" s="142">
        <v>129</v>
      </c>
      <c r="B97" s="127" t="s">
        <v>1328</v>
      </c>
      <c r="C97" s="171" t="s">
        <v>729</v>
      </c>
      <c r="D97" s="128">
        <v>14766</v>
      </c>
      <c r="E97" s="128">
        <v>184.24299999999999</v>
      </c>
      <c r="F97" s="129">
        <v>-1.9103879726640056</v>
      </c>
      <c r="G97" s="173">
        <v>25.413417789032007</v>
      </c>
      <c r="H97" s="144"/>
      <c r="I97" s="144"/>
    </row>
    <row r="98" spans="1:9" ht="26.1" customHeight="1" x14ac:dyDescent="0.25">
      <c r="A98" s="142">
        <v>130</v>
      </c>
      <c r="B98" s="127" t="s">
        <v>1332</v>
      </c>
      <c r="C98" s="171" t="s">
        <v>551</v>
      </c>
      <c r="D98" s="128">
        <v>12152</v>
      </c>
      <c r="E98" s="128">
        <v>151.32499999999999</v>
      </c>
      <c r="F98" s="129">
        <v>-2.2620277125222068</v>
      </c>
      <c r="G98" s="173">
        <v>25.285002537696325</v>
      </c>
      <c r="H98" s="144"/>
      <c r="I98" s="144"/>
    </row>
    <row r="99" spans="1:9" ht="26.1" customHeight="1" x14ac:dyDescent="0.25">
      <c r="A99" s="142">
        <v>133</v>
      </c>
      <c r="B99" s="127" t="s">
        <v>1343</v>
      </c>
      <c r="C99" s="171" t="s">
        <v>518</v>
      </c>
      <c r="D99" s="128">
        <v>12307</v>
      </c>
      <c r="E99" s="128">
        <v>156.52500000000001</v>
      </c>
      <c r="F99" s="129">
        <v>-2.1961496322556098</v>
      </c>
      <c r="G99" s="173">
        <v>25.234751706580656</v>
      </c>
      <c r="H99" s="144"/>
      <c r="I99" s="144"/>
    </row>
    <row r="100" spans="1:9" ht="26.1" customHeight="1" x14ac:dyDescent="0.25">
      <c r="A100" s="142">
        <v>134</v>
      </c>
      <c r="B100" s="127" t="s">
        <v>1346</v>
      </c>
      <c r="C100" s="171" t="s">
        <v>1347</v>
      </c>
      <c r="D100" s="128">
        <v>17582</v>
      </c>
      <c r="E100" s="128">
        <v>213.834</v>
      </c>
      <c r="F100" s="129">
        <v>-2.3111324628013268</v>
      </c>
      <c r="G100" s="173">
        <v>25.25934418625101</v>
      </c>
      <c r="H100" s="144"/>
      <c r="I100" s="144"/>
    </row>
    <row r="101" spans="1:9" ht="26.1" customHeight="1" x14ac:dyDescent="0.25">
      <c r="A101" s="142">
        <v>135</v>
      </c>
      <c r="B101" s="127" t="s">
        <v>1352</v>
      </c>
      <c r="C101" s="171" t="s">
        <v>229</v>
      </c>
      <c r="D101" s="128">
        <v>12742</v>
      </c>
      <c r="E101" s="128">
        <v>161.67500000000001</v>
      </c>
      <c r="F101" s="129">
        <v>-2.3935808713590792</v>
      </c>
      <c r="G101" s="173">
        <v>25.411299767049751</v>
      </c>
      <c r="H101" s="144"/>
      <c r="I101" s="144"/>
    </row>
    <row r="102" spans="1:9" ht="26.1" customHeight="1" x14ac:dyDescent="0.25">
      <c r="A102" s="142">
        <v>136</v>
      </c>
      <c r="B102" s="127" t="s">
        <v>1357</v>
      </c>
      <c r="C102" s="171" t="s">
        <v>296</v>
      </c>
      <c r="D102" s="128">
        <v>13101</v>
      </c>
      <c r="E102" s="128">
        <v>160.53200000000001</v>
      </c>
      <c r="F102" s="129">
        <v>-2.5583255631339186</v>
      </c>
      <c r="G102" s="173">
        <v>25.626399061965319</v>
      </c>
      <c r="H102" s="144"/>
      <c r="I102" s="144"/>
    </row>
    <row r="103" spans="1:9" ht="26.1" customHeight="1" x14ac:dyDescent="0.25">
      <c r="A103" s="142">
        <v>137</v>
      </c>
      <c r="B103" s="127" t="s">
        <v>1360</v>
      </c>
      <c r="C103" s="171" t="s">
        <v>322</v>
      </c>
      <c r="D103" s="128">
        <v>14160</v>
      </c>
      <c r="E103" s="128">
        <v>179.01300000000001</v>
      </c>
      <c r="F103" s="129">
        <v>-2.1998182708519067</v>
      </c>
      <c r="G103" s="173">
        <v>25.592983614278207</v>
      </c>
      <c r="H103" s="144"/>
      <c r="I103" s="144"/>
    </row>
    <row r="104" spans="1:9" ht="26.1" customHeight="1" x14ac:dyDescent="0.25">
      <c r="A104" s="142">
        <v>138</v>
      </c>
      <c r="B104" s="127" t="s">
        <v>1364</v>
      </c>
      <c r="C104" s="171" t="s">
        <v>229</v>
      </c>
      <c r="D104" s="128">
        <v>14165</v>
      </c>
      <c r="E104" s="128">
        <v>173.40100000000001</v>
      </c>
      <c r="F104" s="129">
        <v>-1.8582298854562227</v>
      </c>
      <c r="G104" s="173">
        <v>25.698991545596211</v>
      </c>
      <c r="H104" s="144"/>
      <c r="I104" s="144"/>
    </row>
    <row r="105" spans="1:9" ht="26.1" customHeight="1" x14ac:dyDescent="0.25">
      <c r="A105" s="142">
        <v>139</v>
      </c>
      <c r="B105" s="127" t="s">
        <v>1368</v>
      </c>
      <c r="C105" s="171" t="s">
        <v>269</v>
      </c>
      <c r="D105" s="128">
        <v>12778</v>
      </c>
      <c r="E105" s="128">
        <v>160.911</v>
      </c>
      <c r="F105" s="129">
        <v>-1.4838866978191254</v>
      </c>
      <c r="G105" s="173">
        <v>25.600141372046085</v>
      </c>
      <c r="H105" s="144"/>
      <c r="I105" s="144"/>
    </row>
    <row r="106" spans="1:9" ht="26.1" customHeight="1" x14ac:dyDescent="0.25">
      <c r="A106" s="142">
        <v>140</v>
      </c>
      <c r="B106" s="127" t="s">
        <v>1371</v>
      </c>
      <c r="C106" s="171" t="s">
        <v>496</v>
      </c>
      <c r="D106" s="128">
        <v>12284</v>
      </c>
      <c r="E106" s="128">
        <v>153.66800000000001</v>
      </c>
      <c r="F106" s="129">
        <v>-1.7971361975262494</v>
      </c>
      <c r="G106" s="173">
        <v>25.425535893515363</v>
      </c>
      <c r="H106" s="144"/>
      <c r="I106" s="144"/>
    </row>
    <row r="107" spans="1:9" ht="26.1" customHeight="1" x14ac:dyDescent="0.25">
      <c r="A107" s="142">
        <v>141</v>
      </c>
      <c r="B107" s="127" t="s">
        <v>1374</v>
      </c>
      <c r="C107" s="171" t="s">
        <v>260</v>
      </c>
      <c r="D107" s="128">
        <v>11661</v>
      </c>
      <c r="E107" s="128">
        <v>144.44</v>
      </c>
      <c r="F107" s="129">
        <v>-1.9443826971771188</v>
      </c>
      <c r="G107" s="173">
        <v>25.337052854401723</v>
      </c>
      <c r="H107" s="144"/>
      <c r="I107" s="144"/>
    </row>
    <row r="108" spans="1:9" ht="26.1" customHeight="1" x14ac:dyDescent="0.25">
      <c r="A108" s="142">
        <v>142</v>
      </c>
      <c r="B108" s="127" t="s">
        <v>1378</v>
      </c>
      <c r="C108" s="171" t="s">
        <v>297</v>
      </c>
      <c r="D108" s="128">
        <v>12864</v>
      </c>
      <c r="E108" s="128">
        <v>163.21</v>
      </c>
      <c r="F108" s="129">
        <v>-2.0387190462638589</v>
      </c>
      <c r="G108" s="173">
        <v>25.402719376747296</v>
      </c>
      <c r="H108" s="144"/>
      <c r="I108" s="144"/>
    </row>
    <row r="109" spans="1:9" ht="26.1" customHeight="1" x14ac:dyDescent="0.25">
      <c r="A109" s="142">
        <v>145</v>
      </c>
      <c r="B109" s="127" t="s">
        <v>1389</v>
      </c>
      <c r="C109" s="171" t="s">
        <v>576</v>
      </c>
      <c r="D109" s="128">
        <v>16637</v>
      </c>
      <c r="E109" s="128">
        <v>202.18</v>
      </c>
      <c r="F109" s="129">
        <v>-2.2102534647501484</v>
      </c>
      <c r="G109" s="173">
        <v>25.405970408174934</v>
      </c>
      <c r="H109" s="144"/>
      <c r="I109" s="144"/>
    </row>
    <row r="110" spans="1:9" ht="26.1" customHeight="1" x14ac:dyDescent="0.25">
      <c r="A110" s="142">
        <v>146</v>
      </c>
      <c r="B110" s="127" t="s">
        <v>1394</v>
      </c>
      <c r="C110" s="171" t="s">
        <v>328</v>
      </c>
      <c r="D110" s="128">
        <v>12725</v>
      </c>
      <c r="E110" s="128">
        <v>161.41999999999999</v>
      </c>
      <c r="F110" s="129">
        <v>-2.1762970234353487</v>
      </c>
      <c r="G110" s="173">
        <v>25.551405794046818</v>
      </c>
      <c r="H110" s="144"/>
      <c r="I110" s="144"/>
    </row>
    <row r="111" spans="1:9" ht="26.1" customHeight="1" x14ac:dyDescent="0.25">
      <c r="A111" s="142">
        <v>147</v>
      </c>
      <c r="B111" s="127" t="s">
        <v>1398</v>
      </c>
      <c r="C111" s="171" t="s">
        <v>496</v>
      </c>
      <c r="D111" s="128">
        <v>11841</v>
      </c>
      <c r="E111" s="128">
        <v>143.44499999999999</v>
      </c>
      <c r="F111" s="129">
        <v>-1.8236014732657597</v>
      </c>
      <c r="G111" s="173">
        <v>25.712760648704791</v>
      </c>
      <c r="H111" s="144"/>
      <c r="I111" s="144"/>
    </row>
    <row r="112" spans="1:9" ht="26.1" customHeight="1" x14ac:dyDescent="0.25">
      <c r="A112" s="142">
        <v>148</v>
      </c>
      <c r="B112" s="127" t="s">
        <v>1402</v>
      </c>
      <c r="C112" s="171" t="s">
        <v>297</v>
      </c>
      <c r="D112" s="128">
        <v>12504</v>
      </c>
      <c r="E112" s="128">
        <v>158.499</v>
      </c>
      <c r="F112" s="129">
        <v>-1.9648788163374555</v>
      </c>
      <c r="G112" s="173">
        <v>25.374633287935001</v>
      </c>
      <c r="H112" s="144"/>
      <c r="I112" s="144"/>
    </row>
    <row r="113" spans="1:9" ht="26.1" customHeight="1" x14ac:dyDescent="0.25">
      <c r="A113" s="142">
        <v>149</v>
      </c>
      <c r="B113" s="127" t="s">
        <v>1406</v>
      </c>
      <c r="C113" s="171" t="s">
        <v>339</v>
      </c>
      <c r="D113" s="128">
        <v>13363</v>
      </c>
      <c r="E113" s="128">
        <v>163.714</v>
      </c>
      <c r="F113" s="129">
        <v>-1.7304393101694036</v>
      </c>
      <c r="G113" s="173">
        <v>25.234170010122323</v>
      </c>
      <c r="H113" s="144"/>
      <c r="I113" s="144"/>
    </row>
    <row r="114" spans="1:9" ht="26.1" customHeight="1" x14ac:dyDescent="0.25">
      <c r="A114" s="142">
        <v>150</v>
      </c>
      <c r="B114" s="127" t="s">
        <v>1409</v>
      </c>
      <c r="C114" s="171" t="s">
        <v>335</v>
      </c>
      <c r="D114" s="128">
        <v>11782</v>
      </c>
      <c r="E114" s="128">
        <v>148.613</v>
      </c>
      <c r="F114" s="129">
        <v>-1.7062047863211063</v>
      </c>
      <c r="G114" s="173">
        <v>25.142202672930527</v>
      </c>
      <c r="H114" s="144"/>
      <c r="I114" s="144"/>
    </row>
    <row r="115" spans="1:9" ht="26.1" customHeight="1" x14ac:dyDescent="0.25">
      <c r="A115" s="142">
        <v>151</v>
      </c>
      <c r="B115" s="127" t="s">
        <v>1413</v>
      </c>
      <c r="C115" s="171" t="s">
        <v>513</v>
      </c>
      <c r="D115" s="128">
        <v>13063</v>
      </c>
      <c r="E115" s="128">
        <v>163.77699999999999</v>
      </c>
      <c r="F115" s="129">
        <v>-2.0518375901281134</v>
      </c>
      <c r="G115" s="173">
        <v>25.408914664553773</v>
      </c>
      <c r="H115" s="144"/>
      <c r="I115" s="144"/>
    </row>
    <row r="116" spans="1:9" ht="26.1" customHeight="1" x14ac:dyDescent="0.25">
      <c r="A116" s="142">
        <v>152</v>
      </c>
      <c r="B116" s="127" t="s">
        <v>1416</v>
      </c>
      <c r="C116" s="171" t="s">
        <v>737</v>
      </c>
      <c r="D116" s="128">
        <v>14788</v>
      </c>
      <c r="E116" s="128">
        <v>182.358</v>
      </c>
      <c r="F116" s="129">
        <v>-2.8708660680827993</v>
      </c>
      <c r="G116" s="173">
        <v>25.538874082309174</v>
      </c>
      <c r="H116" s="144"/>
      <c r="I116" s="144"/>
    </row>
    <row r="117" spans="1:9" ht="26.1" customHeight="1" x14ac:dyDescent="0.25">
      <c r="A117" s="142">
        <v>153</v>
      </c>
      <c r="B117" s="127" t="s">
        <v>1421</v>
      </c>
      <c r="C117" s="171" t="s">
        <v>729</v>
      </c>
      <c r="D117" s="128">
        <v>13168</v>
      </c>
      <c r="E117" s="128">
        <v>166.89400000000001</v>
      </c>
      <c r="F117" s="129">
        <v>-2.6016568544989291</v>
      </c>
      <c r="G117" s="173">
        <v>25.787696580072623</v>
      </c>
      <c r="H117" s="144"/>
      <c r="I117" s="144"/>
    </row>
    <row r="118" spans="1:9" ht="26.1" customHeight="1" x14ac:dyDescent="0.25">
      <c r="A118" s="142">
        <v>154</v>
      </c>
      <c r="B118" s="127" t="s">
        <v>1424</v>
      </c>
      <c r="C118" s="171" t="s">
        <v>269</v>
      </c>
      <c r="D118" s="128">
        <v>12711</v>
      </c>
      <c r="E118" s="128">
        <v>155.28399999999999</v>
      </c>
      <c r="F118" s="129">
        <v>-2.7368517025753913</v>
      </c>
      <c r="G118" s="173">
        <v>25.746793076881406</v>
      </c>
      <c r="H118" s="144"/>
      <c r="I118" s="144"/>
    </row>
    <row r="119" spans="1:9" ht="26.1" customHeight="1" x14ac:dyDescent="0.25">
      <c r="A119" s="142">
        <v>157</v>
      </c>
      <c r="B119" s="127" t="s">
        <v>1433</v>
      </c>
      <c r="C119" s="171" t="s">
        <v>339</v>
      </c>
      <c r="D119" s="128">
        <v>12170</v>
      </c>
      <c r="E119" s="128">
        <v>154.74199999999999</v>
      </c>
      <c r="F119" s="129">
        <v>-2.0122255618519072</v>
      </c>
      <c r="G119" s="173">
        <v>25.494982217700151</v>
      </c>
      <c r="H119" s="144"/>
      <c r="I119" s="144"/>
    </row>
    <row r="120" spans="1:9" ht="26.1" customHeight="1" x14ac:dyDescent="0.25">
      <c r="A120" s="142">
        <v>158</v>
      </c>
      <c r="B120" s="127" t="s">
        <v>1436</v>
      </c>
      <c r="C120" s="171" t="s">
        <v>221</v>
      </c>
      <c r="D120" s="128">
        <v>15548</v>
      </c>
      <c r="E120" s="128">
        <v>187.45400000000001</v>
      </c>
      <c r="F120" s="129">
        <v>-2.2881174603098375</v>
      </c>
      <c r="G120" s="173">
        <v>25.239715973744051</v>
      </c>
      <c r="H120" s="144"/>
      <c r="I120" s="144"/>
    </row>
    <row r="121" spans="1:9" ht="26.1" customHeight="1" x14ac:dyDescent="0.25">
      <c r="A121" s="142">
        <v>159</v>
      </c>
      <c r="B121" s="127" t="s">
        <v>1439</v>
      </c>
      <c r="C121" s="171" t="s">
        <v>221</v>
      </c>
      <c r="D121" s="128">
        <v>13696</v>
      </c>
      <c r="E121" s="128">
        <v>173.43199999999999</v>
      </c>
      <c r="F121" s="129">
        <v>-2.1628165522291418</v>
      </c>
      <c r="G121" s="173">
        <v>25.33173280659069</v>
      </c>
      <c r="H121" s="144"/>
      <c r="I121" s="144"/>
    </row>
    <row r="122" spans="1:9" ht="26.1" customHeight="1" x14ac:dyDescent="0.25">
      <c r="A122" s="142">
        <v>160</v>
      </c>
      <c r="B122" s="127" t="s">
        <v>1444</v>
      </c>
      <c r="C122" s="171" t="s">
        <v>294</v>
      </c>
      <c r="D122" s="128">
        <v>14177</v>
      </c>
      <c r="E122" s="128">
        <v>175.42099999999999</v>
      </c>
      <c r="F122" s="129">
        <v>-2.7629255829847734</v>
      </c>
      <c r="G122" s="173">
        <v>25.36852277981453</v>
      </c>
      <c r="H122" s="144"/>
      <c r="I122" s="144"/>
    </row>
    <row r="123" spans="1:9" ht="26.1" customHeight="1" x14ac:dyDescent="0.25">
      <c r="A123" s="142">
        <v>161</v>
      </c>
      <c r="B123" s="127" t="s">
        <v>1447</v>
      </c>
      <c r="C123" s="171" t="s">
        <v>737</v>
      </c>
      <c r="D123" s="128">
        <v>14884</v>
      </c>
      <c r="E123" s="128">
        <v>187.47300000000001</v>
      </c>
      <c r="F123" s="129">
        <v>-3.1162905853985583</v>
      </c>
      <c r="G123" s="173">
        <v>25.38080750333398</v>
      </c>
      <c r="H123" s="144"/>
      <c r="I123" s="144"/>
    </row>
    <row r="124" spans="1:9" ht="26.1" customHeight="1" x14ac:dyDescent="0.25">
      <c r="A124" s="142">
        <v>162</v>
      </c>
      <c r="B124" s="127" t="s">
        <v>1452</v>
      </c>
      <c r="C124" s="171" t="s">
        <v>227</v>
      </c>
      <c r="D124" s="128">
        <v>11774</v>
      </c>
      <c r="E124" s="128">
        <v>149.34899999999999</v>
      </c>
      <c r="F124" s="129">
        <v>-2.6614960120946889</v>
      </c>
      <c r="G124" s="173">
        <v>25.685736511219549</v>
      </c>
      <c r="H124" s="144"/>
      <c r="I124" s="144"/>
    </row>
    <row r="125" spans="1:9" ht="26.1" customHeight="1" x14ac:dyDescent="0.25">
      <c r="A125" s="142">
        <v>163</v>
      </c>
      <c r="B125" s="127" t="s">
        <v>1456</v>
      </c>
      <c r="C125" s="171" t="s">
        <v>269</v>
      </c>
      <c r="D125" s="128">
        <v>12225</v>
      </c>
      <c r="E125" s="128">
        <v>152.72200000000001</v>
      </c>
      <c r="F125" s="129">
        <v>-2.4198532199281408</v>
      </c>
      <c r="G125" s="173">
        <v>25.453554354601234</v>
      </c>
      <c r="H125" s="144"/>
      <c r="I125" s="144"/>
    </row>
    <row r="126" spans="1:9" ht="26.1" customHeight="1" x14ac:dyDescent="0.25">
      <c r="A126" s="142">
        <v>164</v>
      </c>
      <c r="B126" s="127" t="s">
        <v>1460</v>
      </c>
      <c r="C126" s="171" t="s">
        <v>260</v>
      </c>
      <c r="D126" s="128">
        <v>11706</v>
      </c>
      <c r="E126" s="128">
        <v>148.191</v>
      </c>
      <c r="F126" s="129">
        <v>-1.7353909396355029</v>
      </c>
      <c r="G126" s="173">
        <v>25.354027903786996</v>
      </c>
      <c r="H126" s="144"/>
      <c r="I126" s="144"/>
    </row>
    <row r="127" spans="1:9" ht="26.1" customHeight="1" x14ac:dyDescent="0.25">
      <c r="A127" s="142">
        <v>165</v>
      </c>
      <c r="B127" s="127" t="s">
        <v>1463</v>
      </c>
      <c r="C127" s="171" t="s">
        <v>513</v>
      </c>
      <c r="D127" s="128">
        <v>12944</v>
      </c>
      <c r="E127" s="128">
        <v>160.738</v>
      </c>
      <c r="F127" s="129">
        <v>-2.3081602258059331</v>
      </c>
      <c r="G127" s="173">
        <v>25.183950542589916</v>
      </c>
      <c r="H127" s="144"/>
      <c r="I127" s="144"/>
    </row>
    <row r="128" spans="1:9" ht="26.1" customHeight="1" x14ac:dyDescent="0.25">
      <c r="A128" s="142">
        <v>166</v>
      </c>
      <c r="B128" s="127" t="s">
        <v>1466</v>
      </c>
      <c r="C128" s="171" t="s">
        <v>297</v>
      </c>
      <c r="D128" s="128">
        <v>12144</v>
      </c>
      <c r="E128" s="128">
        <v>154.27500000000001</v>
      </c>
      <c r="F128" s="129">
        <v>-2.4601165663019735</v>
      </c>
      <c r="G128" s="173">
        <v>25.200643319725824</v>
      </c>
      <c r="H128" s="144"/>
      <c r="I128" s="144"/>
    </row>
    <row r="129" spans="1:11" ht="26.1" customHeight="1" x14ac:dyDescent="0.25">
      <c r="A129" s="142">
        <v>169</v>
      </c>
      <c r="B129" s="127" t="s">
        <v>1475</v>
      </c>
      <c r="C129" s="171" t="s">
        <v>518</v>
      </c>
      <c r="D129" s="128">
        <v>12574</v>
      </c>
      <c r="E129" s="128">
        <v>152.69499999999999</v>
      </c>
      <c r="F129" s="129">
        <v>-2.570089335131533</v>
      </c>
      <c r="G129" s="173">
        <v>25.228860253487039</v>
      </c>
      <c r="H129" s="144"/>
      <c r="I129" s="144"/>
    </row>
    <row r="130" spans="1:11" ht="26.1" customHeight="1" x14ac:dyDescent="0.25">
      <c r="A130" s="142">
        <v>170</v>
      </c>
      <c r="B130" s="127" t="s">
        <v>1478</v>
      </c>
      <c r="C130" s="171" t="s">
        <v>737</v>
      </c>
      <c r="D130" s="128">
        <v>14484</v>
      </c>
      <c r="E130" s="128">
        <v>183.01</v>
      </c>
      <c r="F130" s="129">
        <v>-2.434808349858864</v>
      </c>
      <c r="G130" s="173">
        <v>25.392241489657405</v>
      </c>
      <c r="H130" s="144"/>
      <c r="I130" s="144"/>
    </row>
    <row r="131" spans="1:11" ht="26.1" customHeight="1" x14ac:dyDescent="0.25">
      <c r="A131" s="142">
        <v>171</v>
      </c>
      <c r="B131" s="127" t="s">
        <v>1482</v>
      </c>
      <c r="C131" s="171" t="s">
        <v>339</v>
      </c>
      <c r="D131" s="128">
        <v>12889</v>
      </c>
      <c r="E131" s="128">
        <v>160.07900000000001</v>
      </c>
      <c r="F131" s="129">
        <v>-2.7791125755664989</v>
      </c>
      <c r="G131" s="173">
        <v>25.554686718889752</v>
      </c>
      <c r="H131" s="144"/>
      <c r="I131" s="144"/>
    </row>
    <row r="132" spans="1:11" ht="26.1" customHeight="1" thickBot="1" x14ac:dyDescent="0.3">
      <c r="A132" s="222">
        <v>172</v>
      </c>
      <c r="B132" s="223" t="s">
        <v>1485</v>
      </c>
      <c r="C132" s="223" t="s">
        <v>283</v>
      </c>
      <c r="D132" s="224">
        <v>12325</v>
      </c>
      <c r="E132" s="224">
        <v>155.76900000000001</v>
      </c>
      <c r="F132" s="225">
        <v>-3.0280110412660783</v>
      </c>
      <c r="G132" s="226">
        <v>25.598793228021737</v>
      </c>
      <c r="H132" s="144"/>
      <c r="I132" s="144"/>
    </row>
    <row r="133" spans="1:11" ht="27.95" customHeight="1" x14ac:dyDescent="0.25">
      <c r="A133" s="186"/>
      <c r="B133" s="184"/>
      <c r="C133" s="184"/>
      <c r="D133" s="185"/>
      <c r="E133" s="185"/>
      <c r="G133" s="182"/>
      <c r="H133" s="132"/>
      <c r="I133" s="120"/>
      <c r="J133" s="132"/>
      <c r="K133" s="132"/>
    </row>
    <row r="134" spans="1:11" ht="27.95" customHeight="1" thickBot="1" x14ac:dyDescent="0.3">
      <c r="A134" s="186"/>
      <c r="B134" s="187" t="s">
        <v>564</v>
      </c>
      <c r="C134" s="219"/>
      <c r="D134" s="185"/>
      <c r="E134" s="185"/>
      <c r="G134" s="182"/>
      <c r="I134" s="120"/>
      <c r="J134" s="132"/>
      <c r="K134" s="132"/>
    </row>
    <row r="135" spans="1:11" ht="27.95" customHeight="1" thickTop="1" x14ac:dyDescent="0.25">
      <c r="B135" s="59"/>
      <c r="C135" s="59"/>
      <c r="D135" s="60"/>
      <c r="E135" s="60"/>
      <c r="F135" s="113"/>
      <c r="G135" s="113"/>
      <c r="I135" s="120"/>
      <c r="J135" s="132"/>
      <c r="K135" s="132"/>
    </row>
    <row r="136" spans="1:11" ht="27.95" customHeight="1" x14ac:dyDescent="0.25">
      <c r="A136" s="119">
        <v>2</v>
      </c>
      <c r="B136" s="59" t="s">
        <v>23</v>
      </c>
      <c r="C136" s="59" t="s">
        <v>505</v>
      </c>
      <c r="D136" s="60">
        <v>12410</v>
      </c>
      <c r="E136" s="60">
        <v>157.446</v>
      </c>
      <c r="F136" s="113">
        <v>-5.006149233500679</v>
      </c>
      <c r="G136" s="113">
        <v>7.2640639004430625</v>
      </c>
      <c r="I136" s="119" t="s">
        <v>29</v>
      </c>
      <c r="J136" s="120" t="s">
        <v>30</v>
      </c>
      <c r="K136" s="120" t="s">
        <v>31</v>
      </c>
    </row>
    <row r="137" spans="1:11" ht="27.95" customHeight="1" x14ac:dyDescent="0.25">
      <c r="A137" s="119">
        <v>3</v>
      </c>
      <c r="B137" s="59" t="s">
        <v>567</v>
      </c>
      <c r="C137" s="59" t="s">
        <v>229</v>
      </c>
      <c r="D137" s="60">
        <v>14309</v>
      </c>
      <c r="E137" s="60">
        <v>173.64500000000001</v>
      </c>
      <c r="F137" s="113">
        <v>-5.035536373606222</v>
      </c>
      <c r="G137" s="113">
        <v>7.2168582772398686</v>
      </c>
      <c r="I137" s="121" t="s">
        <v>526</v>
      </c>
      <c r="J137" s="118">
        <f>AVERAGE(F144:F174)</f>
        <v>4.4594343069065197</v>
      </c>
      <c r="K137" s="118">
        <f>AVERAGE(G144:G174)</f>
        <v>26.508079575989473</v>
      </c>
    </row>
    <row r="138" spans="1:11" ht="27.95" customHeight="1" x14ac:dyDescent="0.25">
      <c r="A138" s="119">
        <v>4</v>
      </c>
      <c r="B138" s="59" t="s">
        <v>567</v>
      </c>
      <c r="C138" s="59" t="s">
        <v>328</v>
      </c>
      <c r="D138" s="60">
        <v>14585</v>
      </c>
      <c r="E138" s="60">
        <v>184.82599999999999</v>
      </c>
      <c r="F138" s="113">
        <v>-4.9751028189840136</v>
      </c>
      <c r="G138" s="113">
        <v>7.1619220208182561</v>
      </c>
      <c r="I138" s="120" t="s">
        <v>18</v>
      </c>
      <c r="J138" s="122">
        <f>STDEV((F144:F174))</f>
        <v>3.8412004926602537E-2</v>
      </c>
      <c r="K138" s="120">
        <f>STDEV((G144:G174))</f>
        <v>5.4971270522076544E-2</v>
      </c>
    </row>
    <row r="139" spans="1:11" ht="27.95" customHeight="1" x14ac:dyDescent="0.25">
      <c r="A139" s="119">
        <v>5</v>
      </c>
      <c r="B139" s="59" t="s">
        <v>567</v>
      </c>
      <c r="C139" s="59" t="s">
        <v>297</v>
      </c>
      <c r="D139" s="60">
        <v>16186</v>
      </c>
      <c r="E139" s="60">
        <v>197.149</v>
      </c>
      <c r="F139" s="113">
        <v>-5.0822212227708814</v>
      </c>
      <c r="G139" s="113">
        <v>7.1540066364921806</v>
      </c>
      <c r="I139" s="120" t="s">
        <v>32</v>
      </c>
      <c r="J139" s="118">
        <v>4.49</v>
      </c>
      <c r="K139" s="118">
        <v>26.5</v>
      </c>
    </row>
    <row r="140" spans="1:11" ht="27.95" customHeight="1" x14ac:dyDescent="0.25">
      <c r="A140" s="119">
        <v>6</v>
      </c>
      <c r="B140" s="59" t="s">
        <v>24</v>
      </c>
      <c r="C140" s="59" t="s">
        <v>496</v>
      </c>
      <c r="D140" s="60">
        <v>12673</v>
      </c>
      <c r="E140" s="60">
        <v>160.447</v>
      </c>
      <c r="F140" s="113">
        <v>1.9766580330546835</v>
      </c>
      <c r="G140" s="113">
        <v>28.545772847992641</v>
      </c>
    </row>
    <row r="141" spans="1:11" ht="27.95" customHeight="1" x14ac:dyDescent="0.25">
      <c r="A141" s="119">
        <v>7</v>
      </c>
      <c r="B141" s="59" t="s">
        <v>24</v>
      </c>
      <c r="C141" s="59" t="s">
        <v>783</v>
      </c>
      <c r="D141" s="60">
        <v>18792</v>
      </c>
      <c r="E141" s="60">
        <v>230.56800000000001</v>
      </c>
      <c r="F141" s="113">
        <v>2.016866976988807</v>
      </c>
      <c r="G141" s="113">
        <v>28.601873477442904</v>
      </c>
    </row>
    <row r="142" spans="1:11" ht="27.95" customHeight="1" x14ac:dyDescent="0.25">
      <c r="A142" s="119">
        <v>8</v>
      </c>
      <c r="B142" s="59" t="s">
        <v>24</v>
      </c>
      <c r="C142" s="59" t="s">
        <v>783</v>
      </c>
      <c r="D142" s="60">
        <v>16128</v>
      </c>
      <c r="E142" s="60">
        <v>203.08799999999999</v>
      </c>
      <c r="F142" s="113">
        <v>1.9767945428802491</v>
      </c>
      <c r="G142" s="113">
        <v>28.560183434390165</v>
      </c>
    </row>
    <row r="143" spans="1:11" ht="27.95" customHeight="1" x14ac:dyDescent="0.25">
      <c r="A143" s="119">
        <v>9</v>
      </c>
      <c r="B143" s="59" t="s">
        <v>24</v>
      </c>
      <c r="C143" s="59" t="s">
        <v>299</v>
      </c>
      <c r="D143" s="60">
        <v>10987</v>
      </c>
      <c r="E143" s="60">
        <v>139.30000000000001</v>
      </c>
      <c r="F143" s="113">
        <v>1.9949528683119828</v>
      </c>
      <c r="G143" s="113">
        <v>28.663001101223092</v>
      </c>
    </row>
    <row r="144" spans="1:11" ht="27.95" customHeight="1" x14ac:dyDescent="0.25">
      <c r="A144" s="119">
        <v>10</v>
      </c>
      <c r="B144" s="59" t="s">
        <v>0</v>
      </c>
      <c r="C144" s="59" t="s">
        <v>254</v>
      </c>
      <c r="D144" s="60">
        <v>14114</v>
      </c>
      <c r="E144" s="60">
        <v>171.81700000000001</v>
      </c>
      <c r="F144" s="113">
        <v>4.4154700400289189</v>
      </c>
      <c r="G144" s="113">
        <v>26.517731025900975</v>
      </c>
    </row>
    <row r="145" spans="1:7" ht="27.95" customHeight="1" x14ac:dyDescent="0.25">
      <c r="A145" s="119">
        <v>11</v>
      </c>
      <c r="B145" s="59" t="s">
        <v>0</v>
      </c>
      <c r="C145" s="59" t="s">
        <v>335</v>
      </c>
      <c r="D145" s="60">
        <v>11107</v>
      </c>
      <c r="E145" s="60">
        <v>141.435</v>
      </c>
      <c r="F145" s="113">
        <v>4.5307530914456215</v>
      </c>
      <c r="G145" s="113">
        <v>26.591745652010463</v>
      </c>
    </row>
    <row r="146" spans="1:7" ht="27.95" customHeight="1" x14ac:dyDescent="0.25">
      <c r="A146" s="119">
        <v>12</v>
      </c>
      <c r="B146" s="59" t="s">
        <v>0</v>
      </c>
      <c r="C146" s="59" t="s">
        <v>496</v>
      </c>
      <c r="D146" s="60">
        <v>12045</v>
      </c>
      <c r="E146" s="60">
        <v>145.94499999999999</v>
      </c>
      <c r="F146" s="113">
        <v>4.4514844551162254</v>
      </c>
      <c r="G146" s="113">
        <v>26.481043474378719</v>
      </c>
    </row>
    <row r="147" spans="1:7" ht="27.95" customHeight="1" x14ac:dyDescent="0.25">
      <c r="A147" s="119">
        <v>23</v>
      </c>
      <c r="B147" s="59" t="s">
        <v>0</v>
      </c>
      <c r="C147" s="59" t="s">
        <v>513</v>
      </c>
      <c r="D147" s="60">
        <v>13358</v>
      </c>
      <c r="E147" s="60">
        <v>161.71700000000001</v>
      </c>
      <c r="F147" s="113">
        <v>4.4770122962233447</v>
      </c>
      <c r="G147" s="113">
        <v>26.531278133646776</v>
      </c>
    </row>
    <row r="148" spans="1:7" ht="27.95" customHeight="1" x14ac:dyDescent="0.25">
      <c r="A148" s="119">
        <v>24</v>
      </c>
      <c r="B148" s="59" t="s">
        <v>0</v>
      </c>
      <c r="C148" s="59" t="s">
        <v>286</v>
      </c>
      <c r="D148" s="60">
        <v>12838</v>
      </c>
      <c r="E148" s="60">
        <v>162.93299999999999</v>
      </c>
      <c r="F148" s="113">
        <v>4.5142618481825618</v>
      </c>
      <c r="G148" s="113">
        <v>26.497723020002933</v>
      </c>
    </row>
    <row r="149" spans="1:7" ht="27.95" customHeight="1" x14ac:dyDescent="0.25">
      <c r="A149" s="119">
        <v>35</v>
      </c>
      <c r="B149" s="59" t="s">
        <v>0</v>
      </c>
      <c r="C149" s="59" t="s">
        <v>729</v>
      </c>
      <c r="D149" s="60">
        <v>13732</v>
      </c>
      <c r="E149" s="60">
        <v>173.92599999999999</v>
      </c>
      <c r="F149" s="113">
        <v>4.5128529257393586</v>
      </c>
      <c r="G149" s="113">
        <v>26.502073737068745</v>
      </c>
    </row>
    <row r="150" spans="1:7" ht="27.95" customHeight="1" x14ac:dyDescent="0.25">
      <c r="A150" s="119">
        <v>36</v>
      </c>
      <c r="B150" s="59" t="s">
        <v>0</v>
      </c>
      <c r="C150" s="59" t="s">
        <v>725</v>
      </c>
      <c r="D150" s="60">
        <v>16472</v>
      </c>
      <c r="E150" s="60">
        <v>201.999</v>
      </c>
      <c r="F150" s="113">
        <v>4.3940417753622736</v>
      </c>
      <c r="G150" s="113">
        <v>26.497811720136855</v>
      </c>
    </row>
    <row r="151" spans="1:7" ht="27.95" customHeight="1" x14ac:dyDescent="0.25">
      <c r="A151" s="119">
        <v>47</v>
      </c>
      <c r="B151" s="59" t="s">
        <v>0</v>
      </c>
      <c r="C151" s="59" t="s">
        <v>513</v>
      </c>
      <c r="D151" s="60">
        <v>13205</v>
      </c>
      <c r="E151" s="60">
        <v>160.077</v>
      </c>
      <c r="F151" s="113">
        <v>4.4568831416678956</v>
      </c>
      <c r="G151" s="113">
        <v>26.540259389747821</v>
      </c>
    </row>
    <row r="152" spans="1:7" ht="27.95" customHeight="1" x14ac:dyDescent="0.25">
      <c r="A152" s="119">
        <v>48</v>
      </c>
      <c r="B152" s="59" t="s">
        <v>0</v>
      </c>
      <c r="C152" s="59" t="s">
        <v>380</v>
      </c>
      <c r="D152" s="60">
        <v>13202</v>
      </c>
      <c r="E152" s="60">
        <v>167.017</v>
      </c>
      <c r="F152" s="113">
        <v>4.476433010985704</v>
      </c>
      <c r="G152" s="113">
        <v>26.384957216603677</v>
      </c>
    </row>
    <row r="153" spans="1:7" ht="27.95" customHeight="1" x14ac:dyDescent="0.25">
      <c r="A153" s="119">
        <v>59</v>
      </c>
      <c r="B153" s="59" t="s">
        <v>0</v>
      </c>
      <c r="C153" s="59" t="s">
        <v>289</v>
      </c>
      <c r="D153" s="60">
        <v>13137</v>
      </c>
      <c r="E153" s="60">
        <v>166.16300000000001</v>
      </c>
      <c r="F153" s="113">
        <v>4.4876424321972079</v>
      </c>
      <c r="G153" s="113">
        <v>26.508362135513043</v>
      </c>
    </row>
    <row r="154" spans="1:7" ht="27.95" customHeight="1" x14ac:dyDescent="0.25">
      <c r="A154" s="119">
        <v>60</v>
      </c>
      <c r="B154" s="59" t="s">
        <v>0</v>
      </c>
      <c r="C154" s="59" t="s">
        <v>380</v>
      </c>
      <c r="D154" s="60">
        <v>14551</v>
      </c>
      <c r="E154" s="60">
        <v>179.70099999999999</v>
      </c>
      <c r="F154" s="113">
        <v>4.4546914285644368</v>
      </c>
      <c r="G154" s="113">
        <v>26.487369607134131</v>
      </c>
    </row>
    <row r="155" spans="1:7" ht="27.95" customHeight="1" x14ac:dyDescent="0.25">
      <c r="A155" s="119">
        <v>71</v>
      </c>
      <c r="B155" s="59" t="s">
        <v>0</v>
      </c>
      <c r="C155" s="59" t="s">
        <v>518</v>
      </c>
      <c r="D155" s="60">
        <v>12984</v>
      </c>
      <c r="E155" s="60">
        <v>164.16800000000001</v>
      </c>
      <c r="F155" s="113">
        <v>4.4240411947776899</v>
      </c>
      <c r="G155" s="113">
        <v>26.492729839536221</v>
      </c>
    </row>
    <row r="156" spans="1:7" ht="27.95" customHeight="1" x14ac:dyDescent="0.25">
      <c r="A156" s="119">
        <v>72</v>
      </c>
      <c r="B156" s="59" t="s">
        <v>0</v>
      </c>
      <c r="C156" s="59" t="s">
        <v>576</v>
      </c>
      <c r="D156" s="60">
        <v>12719</v>
      </c>
      <c r="E156" s="60">
        <v>158.21299999999999</v>
      </c>
      <c r="F156" s="113">
        <v>4.4214082174410354</v>
      </c>
      <c r="G156" s="113">
        <v>26.542391133297738</v>
      </c>
    </row>
    <row r="157" spans="1:7" ht="27.95" customHeight="1" x14ac:dyDescent="0.25">
      <c r="A157" s="119">
        <v>83</v>
      </c>
      <c r="B157" s="59" t="s">
        <v>0</v>
      </c>
      <c r="C157" s="59" t="s">
        <v>518</v>
      </c>
      <c r="D157" s="60">
        <v>12366</v>
      </c>
      <c r="E157" s="60">
        <v>154.828</v>
      </c>
      <c r="F157" s="113">
        <v>4.4556694131634638</v>
      </c>
      <c r="G157" s="113">
        <v>26.506471499509448</v>
      </c>
    </row>
    <row r="158" spans="1:7" ht="27.95" customHeight="1" x14ac:dyDescent="0.25">
      <c r="A158" s="119">
        <v>84</v>
      </c>
      <c r="B158" s="59" t="s">
        <v>0</v>
      </c>
      <c r="C158" s="59" t="s">
        <v>269</v>
      </c>
      <c r="D158" s="60">
        <v>11911</v>
      </c>
      <c r="E158" s="60">
        <v>151.83500000000001</v>
      </c>
      <c r="F158" s="113">
        <v>4.40389793588602</v>
      </c>
      <c r="G158" s="113">
        <v>26.541656539370994</v>
      </c>
    </row>
    <row r="159" spans="1:7" ht="27.95" customHeight="1" x14ac:dyDescent="0.25">
      <c r="A159" s="119">
        <v>95</v>
      </c>
      <c r="B159" s="59" t="s">
        <v>0</v>
      </c>
      <c r="C159" s="59" t="s">
        <v>513</v>
      </c>
      <c r="D159" s="60">
        <v>11396</v>
      </c>
      <c r="E159" s="60">
        <v>142.67400000000001</v>
      </c>
      <c r="F159" s="113">
        <v>4.4244640730011673</v>
      </c>
      <c r="G159" s="113">
        <v>26.383137148662431</v>
      </c>
    </row>
    <row r="160" spans="1:7" ht="27.95" customHeight="1" x14ac:dyDescent="0.25">
      <c r="A160" s="119">
        <v>96</v>
      </c>
      <c r="B160" s="59" t="s">
        <v>0</v>
      </c>
      <c r="C160" s="59" t="s">
        <v>1202</v>
      </c>
      <c r="D160" s="60">
        <v>15435</v>
      </c>
      <c r="E160" s="60">
        <v>194.173</v>
      </c>
      <c r="F160" s="113">
        <v>4.4704658693117043</v>
      </c>
      <c r="G160" s="113">
        <v>26.625753087331663</v>
      </c>
    </row>
    <row r="161" spans="1:7" ht="27.95" customHeight="1" x14ac:dyDescent="0.25">
      <c r="A161" s="119">
        <v>98</v>
      </c>
      <c r="B161" s="59" t="s">
        <v>0</v>
      </c>
      <c r="C161" s="59" t="s">
        <v>299</v>
      </c>
      <c r="D161" s="60">
        <v>13705</v>
      </c>
      <c r="E161" s="60">
        <v>173.839</v>
      </c>
      <c r="F161" s="113">
        <v>4.5026582611463128</v>
      </c>
      <c r="G161" s="113">
        <v>26.557655397227197</v>
      </c>
    </row>
    <row r="162" spans="1:7" ht="27.95" customHeight="1" x14ac:dyDescent="0.25">
      <c r="A162" s="119">
        <v>99</v>
      </c>
      <c r="B162" s="59" t="s">
        <v>0</v>
      </c>
      <c r="C162" s="59" t="s">
        <v>286</v>
      </c>
      <c r="D162" s="60">
        <v>13984</v>
      </c>
      <c r="E162" s="60">
        <v>170.92</v>
      </c>
      <c r="F162" s="113">
        <v>4.3873480085097549</v>
      </c>
      <c r="G162" s="113">
        <v>26.544405753466418</v>
      </c>
    </row>
    <row r="163" spans="1:7" ht="27.95" customHeight="1" x14ac:dyDescent="0.25">
      <c r="A163" s="119">
        <v>107</v>
      </c>
      <c r="B163" s="59" t="s">
        <v>0</v>
      </c>
      <c r="C163" s="59" t="s">
        <v>737</v>
      </c>
      <c r="D163" s="60">
        <v>14029</v>
      </c>
      <c r="E163" s="60">
        <v>177.77500000000001</v>
      </c>
      <c r="F163" s="113">
        <v>4.4581134931400168</v>
      </c>
      <c r="G163" s="113">
        <v>26.484885513328482</v>
      </c>
    </row>
    <row r="164" spans="1:7" ht="27.95" customHeight="1" x14ac:dyDescent="0.25">
      <c r="A164" s="119">
        <v>108</v>
      </c>
      <c r="B164" s="59" t="s">
        <v>0</v>
      </c>
      <c r="C164" s="59" t="s">
        <v>229</v>
      </c>
      <c r="D164" s="60">
        <v>13110</v>
      </c>
      <c r="E164" s="60">
        <v>160.28</v>
      </c>
      <c r="F164" s="113">
        <v>4.4053471564327102</v>
      </c>
      <c r="G164" s="113">
        <v>26.526328568163027</v>
      </c>
    </row>
    <row r="165" spans="1:7" ht="27.95" customHeight="1" x14ac:dyDescent="0.25">
      <c r="A165" s="119">
        <v>119</v>
      </c>
      <c r="B165" s="59" t="s">
        <v>0</v>
      </c>
      <c r="C165" s="59"/>
      <c r="D165" s="60">
        <v>14087</v>
      </c>
      <c r="E165" s="60">
        <v>172.649</v>
      </c>
      <c r="F165" s="113">
        <v>4.4620745448497496</v>
      </c>
      <c r="G165" s="113">
        <v>26.386556269294115</v>
      </c>
    </row>
    <row r="166" spans="1:7" ht="27.95" customHeight="1" x14ac:dyDescent="0.25">
      <c r="A166" s="119">
        <v>120</v>
      </c>
      <c r="B166" s="59" t="s">
        <v>0</v>
      </c>
      <c r="C166" s="59"/>
      <c r="D166" s="60">
        <v>14089</v>
      </c>
      <c r="E166" s="60">
        <v>178.97200000000001</v>
      </c>
      <c r="F166" s="113">
        <v>4.5024534964079637</v>
      </c>
      <c r="G166" s="113">
        <v>26.521063406622698</v>
      </c>
    </row>
    <row r="167" spans="1:7" ht="27.95" customHeight="1" x14ac:dyDescent="0.25">
      <c r="A167" s="119">
        <v>131</v>
      </c>
      <c r="B167" s="59" t="s">
        <v>0</v>
      </c>
      <c r="C167" s="59"/>
      <c r="D167" s="60">
        <v>15325</v>
      </c>
      <c r="E167" s="60">
        <v>195.23400000000001</v>
      </c>
      <c r="F167" s="113">
        <v>4.4690516577424182</v>
      </c>
      <c r="G167" s="113">
        <v>26.522579149795103</v>
      </c>
    </row>
    <row r="168" spans="1:7" ht="27.95" customHeight="1" x14ac:dyDescent="0.25">
      <c r="A168" s="119">
        <v>132</v>
      </c>
      <c r="B168" s="59" t="s">
        <v>0</v>
      </c>
      <c r="C168" s="59"/>
      <c r="D168" s="60">
        <v>18790</v>
      </c>
      <c r="E168" s="60">
        <v>230.37799999999999</v>
      </c>
      <c r="F168" s="113">
        <v>4.4542348006792878</v>
      </c>
      <c r="G168" s="113">
        <v>26.443073936390579</v>
      </c>
    </row>
    <row r="169" spans="1:7" s="130" customFormat="1" ht="27.95" customHeight="1" x14ac:dyDescent="0.25">
      <c r="A169" s="130">
        <v>143</v>
      </c>
      <c r="B169" s="227" t="s">
        <v>0</v>
      </c>
      <c r="C169" s="227"/>
      <c r="D169" s="228">
        <v>19128</v>
      </c>
      <c r="E169" s="228">
        <v>233.26599999999999</v>
      </c>
      <c r="F169" s="229"/>
      <c r="G169" s="229"/>
    </row>
    <row r="170" spans="1:7" ht="27.95" customHeight="1" x14ac:dyDescent="0.25">
      <c r="A170" s="119">
        <v>144</v>
      </c>
      <c r="B170" s="59" t="s">
        <v>0</v>
      </c>
      <c r="C170" s="59"/>
      <c r="D170" s="60">
        <v>15969</v>
      </c>
      <c r="E170" s="60">
        <v>202.16900000000001</v>
      </c>
      <c r="F170" s="113">
        <v>4.4760907289692007</v>
      </c>
      <c r="G170" s="113">
        <v>26.503312108551658</v>
      </c>
    </row>
    <row r="171" spans="1:7" ht="27.95" customHeight="1" x14ac:dyDescent="0.25">
      <c r="A171" s="119">
        <v>155</v>
      </c>
      <c r="B171" s="59" t="s">
        <v>0</v>
      </c>
      <c r="C171" s="59"/>
      <c r="D171" s="60">
        <v>16831</v>
      </c>
      <c r="E171" s="60">
        <v>215.10900000000001</v>
      </c>
      <c r="F171" s="113">
        <v>4.468599311530765</v>
      </c>
      <c r="G171" s="113">
        <v>26.559064798250102</v>
      </c>
    </row>
    <row r="172" spans="1:7" s="130" customFormat="1" ht="27.95" customHeight="1" x14ac:dyDescent="0.25">
      <c r="A172" s="130">
        <v>156</v>
      </c>
      <c r="B172" s="227" t="s">
        <v>0</v>
      </c>
      <c r="C172" s="227"/>
      <c r="D172" s="228">
        <v>10807</v>
      </c>
      <c r="E172" s="228">
        <v>131.25</v>
      </c>
      <c r="F172" s="229"/>
      <c r="G172" s="229"/>
    </row>
    <row r="173" spans="1:7" ht="27.95" customHeight="1" x14ac:dyDescent="0.25">
      <c r="A173" s="119">
        <v>167</v>
      </c>
      <c r="B173" s="59" t="s">
        <v>0</v>
      </c>
      <c r="C173" s="59"/>
      <c r="D173" s="60">
        <v>10055</v>
      </c>
      <c r="E173" s="60">
        <v>122.65</v>
      </c>
      <c r="F173" s="113">
        <v>4.4508056839355996</v>
      </c>
      <c r="G173" s="113">
        <v>26.521024692199614</v>
      </c>
    </row>
    <row r="174" spans="1:7" ht="27.95" customHeight="1" x14ac:dyDescent="0.25">
      <c r="A174" s="119">
        <v>168</v>
      </c>
      <c r="B174" s="59" t="s">
        <v>0</v>
      </c>
      <c r="C174" s="59"/>
      <c r="D174" s="60">
        <v>11208</v>
      </c>
      <c r="E174" s="60">
        <v>142.459</v>
      </c>
      <c r="F174" s="113">
        <v>4.5153446078506576</v>
      </c>
      <c r="G174" s="113">
        <v>26.531863750553018</v>
      </c>
    </row>
    <row r="175" spans="1:7" ht="27.95" customHeight="1" x14ac:dyDescent="0.25">
      <c r="G175" s="182"/>
    </row>
    <row r="176" spans="1:7" x14ac:dyDescent="0.25">
      <c r="G176" s="182"/>
    </row>
    <row r="177" spans="1:7" ht="15.75" x14ac:dyDescent="0.25">
      <c r="A177" s="116"/>
      <c r="B177" s="116"/>
      <c r="C177" s="116"/>
      <c r="D177" s="117"/>
      <c r="E177" s="117"/>
      <c r="F177" s="115"/>
      <c r="G177" s="183"/>
    </row>
    <row r="178" spans="1:7" ht="15.75" x14ac:dyDescent="0.25">
      <c r="A178" s="116"/>
      <c r="B178" s="116"/>
      <c r="C178" s="116"/>
      <c r="D178" s="117"/>
      <c r="E178" s="117"/>
      <c r="F178" s="115"/>
      <c r="G178" s="183"/>
    </row>
    <row r="179" spans="1:7" ht="15.75" x14ac:dyDescent="0.25">
      <c r="A179" s="116"/>
      <c r="B179" s="116"/>
      <c r="C179" s="116"/>
      <c r="D179" s="117"/>
      <c r="E179" s="117"/>
      <c r="F179" s="115"/>
      <c r="G179" s="183"/>
    </row>
    <row r="180" spans="1:7" ht="15.75" x14ac:dyDescent="0.25">
      <c r="A180" s="116"/>
      <c r="B180" s="116"/>
      <c r="C180" s="116"/>
      <c r="D180" s="117"/>
      <c r="E180" s="117"/>
      <c r="F180" s="115"/>
      <c r="G180" s="183"/>
    </row>
    <row r="181" spans="1:7" ht="15.75" x14ac:dyDescent="0.25">
      <c r="A181" s="116"/>
      <c r="B181" s="116"/>
      <c r="C181" s="116"/>
      <c r="D181" s="117"/>
      <c r="E181" s="117"/>
      <c r="F181" s="115"/>
      <c r="G181" s="183"/>
    </row>
    <row r="182" spans="1:7" ht="15.75" x14ac:dyDescent="0.25">
      <c r="A182" s="116"/>
      <c r="B182" s="116"/>
      <c r="C182" s="116"/>
      <c r="D182" s="117"/>
      <c r="E182" s="117"/>
      <c r="F182" s="115"/>
      <c r="G182" s="183"/>
    </row>
    <row r="183" spans="1:7" ht="15.75" x14ac:dyDescent="0.25">
      <c r="A183" s="116"/>
      <c r="B183" s="116"/>
      <c r="C183" s="116"/>
      <c r="D183" s="117"/>
      <c r="E183" s="117"/>
      <c r="F183" s="115"/>
      <c r="G183" s="183"/>
    </row>
    <row r="184" spans="1:7" ht="15.75" x14ac:dyDescent="0.25">
      <c r="A184" s="116"/>
      <c r="B184" s="116"/>
      <c r="C184" s="116"/>
      <c r="D184" s="117"/>
      <c r="E184" s="117"/>
      <c r="F184" s="115"/>
      <c r="G184" s="183"/>
    </row>
    <row r="185" spans="1:7" ht="15.75" x14ac:dyDescent="0.25">
      <c r="A185" s="116"/>
      <c r="B185" s="116"/>
      <c r="C185" s="116"/>
      <c r="D185" s="117"/>
      <c r="E185" s="117"/>
      <c r="F185" s="115"/>
      <c r="G185" s="183"/>
    </row>
    <row r="186" spans="1:7" ht="15.75" x14ac:dyDescent="0.25">
      <c r="A186" s="116"/>
      <c r="B186" s="116"/>
      <c r="C186" s="116"/>
      <c r="D186" s="117"/>
      <c r="E186" s="117"/>
      <c r="F186" s="115"/>
      <c r="G186" s="183"/>
    </row>
    <row r="187" spans="1:7" ht="15.75" x14ac:dyDescent="0.25">
      <c r="A187" s="116"/>
      <c r="B187" s="116"/>
      <c r="C187" s="116"/>
      <c r="D187" s="117"/>
      <c r="E187" s="117"/>
      <c r="F187" s="115"/>
      <c r="G187" s="183"/>
    </row>
    <row r="188" spans="1:7" ht="15.75" x14ac:dyDescent="0.25">
      <c r="A188" s="116"/>
      <c r="B188" s="116"/>
      <c r="C188" s="116"/>
      <c r="D188" s="117"/>
      <c r="E188" s="117"/>
      <c r="F188" s="115"/>
      <c r="G188" s="183"/>
    </row>
    <row r="189" spans="1:7" ht="15.75" x14ac:dyDescent="0.25">
      <c r="A189" s="116"/>
      <c r="B189" s="116"/>
      <c r="C189" s="116"/>
      <c r="D189" s="117"/>
      <c r="E189" s="117"/>
      <c r="F189" s="115"/>
      <c r="G189" s="183"/>
    </row>
    <row r="190" spans="1:7" ht="15.75" x14ac:dyDescent="0.25">
      <c r="A190" s="116"/>
      <c r="B190" s="116"/>
      <c r="C190" s="116"/>
      <c r="D190" s="117"/>
      <c r="E190" s="117"/>
      <c r="F190" s="115"/>
      <c r="G190" s="183"/>
    </row>
    <row r="191" spans="1:7" ht="15.75" x14ac:dyDescent="0.25">
      <c r="A191" s="116"/>
      <c r="B191" s="116"/>
      <c r="C191" s="116"/>
      <c r="D191" s="117"/>
      <c r="E191" s="117"/>
      <c r="F191" s="115"/>
      <c r="G191" s="183"/>
    </row>
    <row r="192" spans="1:7" ht="15.75" x14ac:dyDescent="0.25">
      <c r="A192" s="116"/>
      <c r="B192" s="116"/>
      <c r="C192" s="116"/>
      <c r="D192" s="117"/>
      <c r="E192" s="117"/>
      <c r="F192" s="115"/>
      <c r="G192" s="183"/>
    </row>
    <row r="193" spans="1:7" ht="15.75" x14ac:dyDescent="0.25">
      <c r="A193" s="116"/>
      <c r="B193" s="116"/>
      <c r="C193" s="116"/>
      <c r="D193" s="117"/>
      <c r="E193" s="117"/>
      <c r="F193" s="115"/>
      <c r="G193" s="183"/>
    </row>
    <row r="194" spans="1:7" ht="15.75" x14ac:dyDescent="0.25">
      <c r="A194" s="116"/>
      <c r="B194" s="116"/>
      <c r="C194" s="116"/>
      <c r="D194" s="117"/>
      <c r="E194" s="117"/>
      <c r="F194" s="115"/>
      <c r="G194" s="183"/>
    </row>
    <row r="195" spans="1:7" ht="15.75" x14ac:dyDescent="0.25">
      <c r="A195" s="116"/>
      <c r="B195" s="116"/>
      <c r="C195" s="116"/>
      <c r="D195" s="117"/>
      <c r="E195" s="117"/>
      <c r="F195" s="115"/>
      <c r="G195" s="183"/>
    </row>
    <row r="196" spans="1:7" ht="15.75" x14ac:dyDescent="0.25">
      <c r="A196" s="116"/>
      <c r="B196" s="116"/>
      <c r="C196" s="116"/>
      <c r="D196" s="117"/>
      <c r="E196" s="117"/>
      <c r="F196" s="115"/>
      <c r="G196" s="183"/>
    </row>
    <row r="197" spans="1:7" ht="15.75" x14ac:dyDescent="0.25">
      <c r="A197" s="116"/>
      <c r="B197" s="116"/>
      <c r="C197" s="116"/>
      <c r="D197" s="117"/>
      <c r="E197" s="117"/>
      <c r="F197" s="115"/>
      <c r="G197" s="183"/>
    </row>
    <row r="198" spans="1:7" ht="15.75" x14ac:dyDescent="0.25">
      <c r="A198" s="116"/>
      <c r="B198" s="116"/>
      <c r="C198" s="116"/>
      <c r="D198" s="117"/>
      <c r="E198" s="117"/>
      <c r="F198" s="115"/>
      <c r="G198" s="183"/>
    </row>
    <row r="199" spans="1:7" ht="15.75" x14ac:dyDescent="0.25">
      <c r="A199" s="116"/>
      <c r="B199" s="116"/>
      <c r="C199" s="116"/>
      <c r="D199" s="117"/>
      <c r="E199" s="117"/>
      <c r="F199" s="115"/>
      <c r="G199" s="183"/>
    </row>
    <row r="200" spans="1:7" ht="15.75" x14ac:dyDescent="0.25">
      <c r="A200" s="116"/>
      <c r="B200" s="116"/>
      <c r="C200" s="116"/>
      <c r="D200" s="117"/>
      <c r="E200" s="117"/>
      <c r="F200" s="115"/>
      <c r="G200" s="183"/>
    </row>
    <row r="201" spans="1:7" ht="15.75" x14ac:dyDescent="0.25">
      <c r="A201" s="116"/>
      <c r="B201" s="116"/>
      <c r="C201" s="116"/>
      <c r="D201" s="117"/>
      <c r="E201" s="117"/>
      <c r="F201" s="115"/>
      <c r="G201" s="183"/>
    </row>
    <row r="202" spans="1:7" ht="15.75" x14ac:dyDescent="0.25">
      <c r="A202" s="116"/>
      <c r="B202" s="116"/>
      <c r="C202" s="116"/>
      <c r="D202" s="117"/>
      <c r="E202" s="117"/>
      <c r="F202" s="115"/>
      <c r="G202" s="183"/>
    </row>
    <row r="203" spans="1:7" ht="15.75" x14ac:dyDescent="0.25">
      <c r="A203" s="116"/>
      <c r="B203" s="116"/>
      <c r="C203" s="116"/>
      <c r="D203" s="117"/>
      <c r="E203" s="117"/>
      <c r="F203" s="115"/>
      <c r="G203" s="183"/>
    </row>
    <row r="204" spans="1:7" ht="15.75" x14ac:dyDescent="0.25">
      <c r="A204" s="116"/>
      <c r="B204" s="116"/>
      <c r="C204" s="116"/>
      <c r="D204" s="117"/>
      <c r="E204" s="117"/>
      <c r="F204" s="115"/>
      <c r="G204" s="183"/>
    </row>
    <row r="205" spans="1:7" ht="15.75" x14ac:dyDescent="0.25">
      <c r="A205" s="116"/>
      <c r="B205" s="116"/>
      <c r="C205" s="116"/>
      <c r="D205" s="117"/>
      <c r="E205" s="117"/>
      <c r="F205" s="115"/>
      <c r="G205" s="115"/>
    </row>
    <row r="206" spans="1:7" ht="15.75" x14ac:dyDescent="0.25">
      <c r="A206" s="116"/>
      <c r="B206" s="116"/>
      <c r="C206" s="116"/>
      <c r="D206" s="117"/>
      <c r="E206" s="117"/>
      <c r="F206" s="115"/>
      <c r="G206" s="115"/>
    </row>
    <row r="207" spans="1:7" ht="15.75" x14ac:dyDescent="0.25">
      <c r="A207" s="116"/>
      <c r="B207" s="116"/>
      <c r="C207" s="116"/>
      <c r="D207" s="117"/>
      <c r="E207" s="117"/>
      <c r="F207" s="115"/>
      <c r="G207" s="115"/>
    </row>
    <row r="208" spans="1:7" ht="15.75" x14ac:dyDescent="0.25">
      <c r="A208" s="116"/>
      <c r="B208" s="116"/>
      <c r="C208" s="116"/>
      <c r="D208" s="117"/>
      <c r="E208" s="117"/>
      <c r="F208" s="115"/>
      <c r="G208" s="115"/>
    </row>
    <row r="209" spans="1:7" ht="15.75" x14ac:dyDescent="0.25">
      <c r="A209" s="116"/>
      <c r="B209" s="116"/>
      <c r="C209" s="116"/>
      <c r="D209" s="117"/>
      <c r="E209" s="117"/>
      <c r="F209" s="115"/>
      <c r="G209" s="115"/>
    </row>
    <row r="210" spans="1:7" ht="15.75" x14ac:dyDescent="0.25">
      <c r="A210" s="116"/>
      <c r="B210" s="116"/>
      <c r="C210" s="116"/>
      <c r="D210" s="117"/>
      <c r="E210" s="117"/>
      <c r="F210" s="115"/>
      <c r="G210" s="115"/>
    </row>
    <row r="211" spans="1:7" ht="15.75" x14ac:dyDescent="0.25">
      <c r="A211" s="116"/>
      <c r="B211" s="116"/>
      <c r="C211" s="116"/>
      <c r="D211" s="117"/>
      <c r="E211" s="117"/>
      <c r="F211" s="115"/>
      <c r="G211" s="115"/>
    </row>
    <row r="212" spans="1:7" ht="15.75" x14ac:dyDescent="0.25">
      <c r="A212" s="116"/>
      <c r="B212" s="116"/>
      <c r="C212" s="116"/>
      <c r="D212" s="117"/>
      <c r="E212" s="117"/>
      <c r="F212" s="115"/>
      <c r="G212" s="115"/>
    </row>
    <row r="214" spans="1:7" x14ac:dyDescent="0.25">
      <c r="G214" s="119"/>
    </row>
    <row r="215" spans="1:7" x14ac:dyDescent="0.25">
      <c r="G215" s="119"/>
    </row>
    <row r="216" spans="1:7" x14ac:dyDescent="0.25">
      <c r="G216" s="119"/>
    </row>
    <row r="217" spans="1:7" x14ac:dyDescent="0.25">
      <c r="G217" s="1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961C-9F3E-4075-A68C-8320FBC9CBDF}">
  <sheetPr filterMode="1"/>
  <dimension ref="A1:H346"/>
  <sheetViews>
    <sheetView topLeftCell="A297" zoomScaleNormal="100" workbookViewId="0">
      <selection activeCell="E284" sqref="E284:H346"/>
    </sheetView>
  </sheetViews>
  <sheetFormatPr defaultRowHeight="15" x14ac:dyDescent="0.25"/>
  <cols>
    <col min="2" max="2" width="20.28515625" bestFit="1" customWidth="1"/>
  </cols>
  <sheetData>
    <row r="1" spans="1:8" ht="16.5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74" t="s">
        <v>30</v>
      </c>
      <c r="H1" s="75" t="s">
        <v>31</v>
      </c>
    </row>
    <row r="2" spans="1:8" x14ac:dyDescent="0.25">
      <c r="A2" s="63"/>
      <c r="B2" s="47"/>
      <c r="C2" s="47"/>
      <c r="D2" s="47"/>
      <c r="E2" s="47"/>
      <c r="F2" s="47"/>
      <c r="G2" s="76"/>
      <c r="H2" s="77"/>
    </row>
    <row r="3" spans="1:8" hidden="1" x14ac:dyDescent="0.25">
      <c r="A3" s="78">
        <v>2</v>
      </c>
      <c r="B3" s="79" t="s">
        <v>23</v>
      </c>
      <c r="C3" s="79" t="s">
        <v>505</v>
      </c>
      <c r="D3" s="79">
        <v>6</v>
      </c>
      <c r="E3" s="79">
        <v>13350</v>
      </c>
      <c r="F3" s="79">
        <v>169.452</v>
      </c>
      <c r="G3" s="82"/>
      <c r="H3" s="83"/>
    </row>
    <row r="4" spans="1:8" hidden="1" x14ac:dyDescent="0.25">
      <c r="A4" s="91">
        <v>6</v>
      </c>
      <c r="B4" s="92" t="s">
        <v>24</v>
      </c>
      <c r="C4" s="92" t="s">
        <v>496</v>
      </c>
      <c r="D4" s="92">
        <v>6</v>
      </c>
      <c r="E4" s="92">
        <v>13590</v>
      </c>
      <c r="F4" s="92">
        <v>172.613</v>
      </c>
      <c r="G4" s="95"/>
      <c r="H4" s="96"/>
    </row>
    <row r="5" spans="1:8" ht="16.5" hidden="1" x14ac:dyDescent="0.25">
      <c r="A5" s="27">
        <v>13</v>
      </c>
      <c r="B5" s="26" t="s">
        <v>809</v>
      </c>
      <c r="C5" s="26" t="s">
        <v>273</v>
      </c>
      <c r="D5" s="26">
        <v>6</v>
      </c>
      <c r="E5" s="26">
        <v>15333</v>
      </c>
      <c r="F5" s="26">
        <v>194.65199999999999</v>
      </c>
      <c r="G5" s="19"/>
      <c r="H5" s="20"/>
    </row>
    <row r="6" spans="1:8" ht="16.5" x14ac:dyDescent="0.25">
      <c r="A6" s="27">
        <v>13</v>
      </c>
      <c r="B6" s="26" t="s">
        <v>809</v>
      </c>
      <c r="C6" s="26" t="s">
        <v>273</v>
      </c>
      <c r="D6" s="26">
        <v>7</v>
      </c>
      <c r="E6" s="26">
        <v>14281</v>
      </c>
      <c r="F6" s="26">
        <v>180.81</v>
      </c>
      <c r="G6" s="19">
        <v>-0.80182139909458849</v>
      </c>
      <c r="H6" s="20">
        <v>25.582640002529171</v>
      </c>
    </row>
    <row r="7" spans="1:8" hidden="1" x14ac:dyDescent="0.25">
      <c r="A7" s="27">
        <v>14</v>
      </c>
      <c r="B7" s="26" t="s">
        <v>814</v>
      </c>
      <c r="C7" s="26" t="s">
        <v>608</v>
      </c>
      <c r="D7" s="26">
        <v>6</v>
      </c>
      <c r="E7" s="26">
        <v>12939</v>
      </c>
      <c r="F7" s="26">
        <v>157.22300000000001</v>
      </c>
      <c r="G7" s="157"/>
      <c r="H7" s="107"/>
    </row>
    <row r="8" spans="1:8" ht="16.5" x14ac:dyDescent="0.25">
      <c r="A8" s="27">
        <v>14</v>
      </c>
      <c r="B8" s="26" t="s">
        <v>814</v>
      </c>
      <c r="C8" s="26" t="s">
        <v>608</v>
      </c>
      <c r="D8" s="26">
        <v>7</v>
      </c>
      <c r="E8" s="26">
        <v>12052</v>
      </c>
      <c r="F8" s="26">
        <v>146.34100000000001</v>
      </c>
      <c r="G8" s="19">
        <v>-1.1867007777517944</v>
      </c>
      <c r="H8" s="20">
        <v>25.639262541607163</v>
      </c>
    </row>
    <row r="9" spans="1:8" ht="16.5" hidden="1" x14ac:dyDescent="0.25">
      <c r="A9" s="27">
        <v>15</v>
      </c>
      <c r="B9" s="26" t="s">
        <v>820</v>
      </c>
      <c r="C9" s="26" t="s">
        <v>563</v>
      </c>
      <c r="D9" s="26">
        <v>6</v>
      </c>
      <c r="E9" s="26">
        <v>17843</v>
      </c>
      <c r="F9" s="26">
        <v>225.33099999999999</v>
      </c>
      <c r="G9" s="19"/>
      <c r="H9" s="20"/>
    </row>
    <row r="10" spans="1:8" ht="16.5" x14ac:dyDescent="0.25">
      <c r="A10" s="27">
        <v>15</v>
      </c>
      <c r="B10" s="26" t="s">
        <v>820</v>
      </c>
      <c r="C10" s="26" t="s">
        <v>563</v>
      </c>
      <c r="D10" s="26">
        <v>7</v>
      </c>
      <c r="E10" s="26">
        <v>16673</v>
      </c>
      <c r="F10" s="26">
        <v>212.04900000000001</v>
      </c>
      <c r="G10" s="19">
        <v>-1.2440825066242212</v>
      </c>
      <c r="H10" s="20">
        <v>25.769501291276011</v>
      </c>
    </row>
    <row r="11" spans="1:8" ht="16.5" hidden="1" x14ac:dyDescent="0.25">
      <c r="A11" s="27">
        <v>16</v>
      </c>
      <c r="B11" s="26" t="s">
        <v>825</v>
      </c>
      <c r="C11" s="26" t="s">
        <v>826</v>
      </c>
      <c r="D11" s="26">
        <v>6</v>
      </c>
      <c r="E11" s="26">
        <v>23763</v>
      </c>
      <c r="F11" s="26">
        <v>288.93700000000001</v>
      </c>
      <c r="G11" s="19"/>
      <c r="H11" s="20"/>
    </row>
    <row r="12" spans="1:8" ht="16.5" x14ac:dyDescent="0.25">
      <c r="A12" s="27">
        <v>16</v>
      </c>
      <c r="B12" s="26" t="s">
        <v>825</v>
      </c>
      <c r="C12" s="26" t="s">
        <v>826</v>
      </c>
      <c r="D12" s="26">
        <v>7</v>
      </c>
      <c r="E12" s="26">
        <v>21957</v>
      </c>
      <c r="F12" s="26">
        <v>270.774</v>
      </c>
      <c r="G12" s="19">
        <v>-1.0228972985565492</v>
      </c>
      <c r="H12" s="20">
        <v>25.758694576617852</v>
      </c>
    </row>
    <row r="13" spans="1:8" ht="16.5" hidden="1" x14ac:dyDescent="0.25">
      <c r="A13" s="27">
        <v>17</v>
      </c>
      <c r="B13" s="26" t="s">
        <v>831</v>
      </c>
      <c r="C13" s="26" t="s">
        <v>832</v>
      </c>
      <c r="D13" s="26">
        <v>6</v>
      </c>
      <c r="E13" s="26">
        <v>19610</v>
      </c>
      <c r="F13" s="26">
        <v>244.941</v>
      </c>
      <c r="G13" s="19"/>
      <c r="H13" s="20"/>
    </row>
    <row r="14" spans="1:8" ht="16.5" x14ac:dyDescent="0.25">
      <c r="A14" s="27">
        <v>17</v>
      </c>
      <c r="B14" s="26" t="s">
        <v>831</v>
      </c>
      <c r="C14" s="26" t="s">
        <v>832</v>
      </c>
      <c r="D14" s="26">
        <v>7</v>
      </c>
      <c r="E14" s="26">
        <v>18377</v>
      </c>
      <c r="F14" s="26">
        <v>227.75899999999999</v>
      </c>
      <c r="G14" s="19">
        <v>-0.98722818784350574</v>
      </c>
      <c r="H14" s="20">
        <v>25.752761468765218</v>
      </c>
    </row>
    <row r="15" spans="1:8" ht="16.5" hidden="1" x14ac:dyDescent="0.25">
      <c r="A15" s="27">
        <v>18</v>
      </c>
      <c r="B15" s="26" t="s">
        <v>840</v>
      </c>
      <c r="C15" s="26" t="s">
        <v>297</v>
      </c>
      <c r="D15" s="26">
        <v>6</v>
      </c>
      <c r="E15" s="26">
        <v>18516</v>
      </c>
      <c r="F15" s="26">
        <v>232.02</v>
      </c>
      <c r="G15" s="19"/>
      <c r="H15" s="20"/>
    </row>
    <row r="16" spans="1:8" ht="16.5" x14ac:dyDescent="0.25">
      <c r="A16" s="27">
        <v>18</v>
      </c>
      <c r="B16" s="26" t="s">
        <v>840</v>
      </c>
      <c r="C16" s="26" t="s">
        <v>297</v>
      </c>
      <c r="D16" s="26">
        <v>7</v>
      </c>
      <c r="E16" s="26">
        <v>17131</v>
      </c>
      <c r="F16" s="26">
        <v>215.102</v>
      </c>
      <c r="G16" s="19">
        <v>-1.1064108363621219</v>
      </c>
      <c r="H16" s="20">
        <v>25.806073679640978</v>
      </c>
    </row>
    <row r="17" spans="1:8" ht="16.5" hidden="1" x14ac:dyDescent="0.25">
      <c r="A17" s="27">
        <v>19</v>
      </c>
      <c r="B17" s="26" t="s">
        <v>847</v>
      </c>
      <c r="C17" s="26" t="s">
        <v>614</v>
      </c>
      <c r="D17" s="26">
        <v>6</v>
      </c>
      <c r="E17" s="26">
        <v>14870</v>
      </c>
      <c r="F17" s="26">
        <v>182.82900000000001</v>
      </c>
      <c r="G17" s="19"/>
      <c r="H17" s="20"/>
    </row>
    <row r="18" spans="1:8" ht="16.5" x14ac:dyDescent="0.25">
      <c r="A18" s="27">
        <v>19</v>
      </c>
      <c r="B18" s="26" t="s">
        <v>847</v>
      </c>
      <c r="C18" s="26" t="s">
        <v>614</v>
      </c>
      <c r="D18" s="26">
        <v>7</v>
      </c>
      <c r="E18" s="26">
        <v>14001</v>
      </c>
      <c r="F18" s="26">
        <v>171</v>
      </c>
      <c r="G18" s="19">
        <v>-1.1170656549243732</v>
      </c>
      <c r="H18" s="20">
        <v>25.667999424772173</v>
      </c>
    </row>
    <row r="19" spans="1:8" ht="16.5" hidden="1" x14ac:dyDescent="0.25">
      <c r="A19" s="27">
        <v>20</v>
      </c>
      <c r="B19" s="26" t="s">
        <v>852</v>
      </c>
      <c r="C19" s="26" t="s">
        <v>229</v>
      </c>
      <c r="D19" s="26">
        <v>6</v>
      </c>
      <c r="E19" s="26">
        <v>16047</v>
      </c>
      <c r="F19" s="26">
        <v>203.691</v>
      </c>
      <c r="G19" s="19"/>
      <c r="H19" s="20"/>
    </row>
    <row r="20" spans="1:8" ht="16.5" x14ac:dyDescent="0.25">
      <c r="A20" s="27">
        <v>20</v>
      </c>
      <c r="B20" s="26" t="s">
        <v>852</v>
      </c>
      <c r="C20" s="26" t="s">
        <v>229</v>
      </c>
      <c r="D20" s="26">
        <v>7</v>
      </c>
      <c r="E20" s="26">
        <v>14981</v>
      </c>
      <c r="F20" s="26">
        <v>191.732</v>
      </c>
      <c r="G20" s="19">
        <v>-0.86863515095154975</v>
      </c>
      <c r="H20" s="20">
        <v>25.673999180239246</v>
      </c>
    </row>
    <row r="21" spans="1:8" ht="16.5" hidden="1" x14ac:dyDescent="0.25">
      <c r="A21" s="27">
        <v>21</v>
      </c>
      <c r="B21" s="26" t="s">
        <v>857</v>
      </c>
      <c r="C21" s="26" t="s">
        <v>551</v>
      </c>
      <c r="D21" s="26">
        <v>6</v>
      </c>
      <c r="E21" s="26">
        <v>17997</v>
      </c>
      <c r="F21" s="26">
        <v>218.108</v>
      </c>
      <c r="G21" s="19"/>
      <c r="H21" s="20"/>
    </row>
    <row r="22" spans="1:8" ht="16.5" x14ac:dyDescent="0.25">
      <c r="A22" s="27">
        <v>21</v>
      </c>
      <c r="B22" s="26" t="s">
        <v>857</v>
      </c>
      <c r="C22" s="26" t="s">
        <v>551</v>
      </c>
      <c r="D22" s="26">
        <v>7</v>
      </c>
      <c r="E22" s="26">
        <v>16921</v>
      </c>
      <c r="F22" s="26">
        <v>204.08699999999999</v>
      </c>
      <c r="G22" s="19">
        <v>-1.1474360687550262</v>
      </c>
      <c r="H22" s="20">
        <v>25.562873104177466</v>
      </c>
    </row>
    <row r="23" spans="1:8" ht="16.5" hidden="1" x14ac:dyDescent="0.25">
      <c r="A23" s="27">
        <v>22</v>
      </c>
      <c r="B23" s="26" t="s">
        <v>863</v>
      </c>
      <c r="C23" s="26" t="s">
        <v>864</v>
      </c>
      <c r="D23" s="26">
        <v>6</v>
      </c>
      <c r="E23" s="26">
        <v>16487</v>
      </c>
      <c r="F23" s="26">
        <v>209.572</v>
      </c>
      <c r="G23" s="61"/>
      <c r="H23" s="62"/>
    </row>
    <row r="24" spans="1:8" ht="16.5" x14ac:dyDescent="0.25">
      <c r="A24" s="27">
        <v>22</v>
      </c>
      <c r="B24" s="26" t="s">
        <v>863</v>
      </c>
      <c r="C24" s="26" t="s">
        <v>864</v>
      </c>
      <c r="D24" s="26">
        <v>7</v>
      </c>
      <c r="E24" s="26">
        <v>15359</v>
      </c>
      <c r="F24" s="26">
        <v>194.73500000000001</v>
      </c>
      <c r="G24" s="19">
        <v>-0.95675148776490304</v>
      </c>
      <c r="H24" s="20">
        <v>25.559348621508253</v>
      </c>
    </row>
    <row r="25" spans="1:8" ht="16.5" hidden="1" x14ac:dyDescent="0.25">
      <c r="A25" s="188">
        <v>23</v>
      </c>
      <c r="B25" s="189" t="s">
        <v>0</v>
      </c>
      <c r="C25" s="189" t="s">
        <v>513</v>
      </c>
      <c r="D25" s="189">
        <v>6</v>
      </c>
      <c r="E25" s="189">
        <v>14249</v>
      </c>
      <c r="F25" s="189">
        <v>172.76499999999999</v>
      </c>
      <c r="G25" s="198"/>
      <c r="H25" s="199"/>
    </row>
    <row r="26" spans="1:8" ht="16.5" hidden="1" x14ac:dyDescent="0.25">
      <c r="A26" s="27">
        <v>25</v>
      </c>
      <c r="B26" s="26" t="s">
        <v>877</v>
      </c>
      <c r="C26" s="26" t="s">
        <v>505</v>
      </c>
      <c r="D26" s="26">
        <v>6</v>
      </c>
      <c r="E26" s="26">
        <v>15228</v>
      </c>
      <c r="F26" s="26">
        <v>185.047</v>
      </c>
      <c r="G26" s="19"/>
      <c r="H26" s="20"/>
    </row>
    <row r="27" spans="1:8" ht="16.5" x14ac:dyDescent="0.25">
      <c r="A27" s="27">
        <v>25</v>
      </c>
      <c r="B27" s="26" t="s">
        <v>877</v>
      </c>
      <c r="C27" s="26" t="s">
        <v>505</v>
      </c>
      <c r="D27" s="26">
        <v>7</v>
      </c>
      <c r="E27" s="26">
        <v>14146</v>
      </c>
      <c r="F27" s="26">
        <v>171.922</v>
      </c>
      <c r="G27" s="19">
        <v>-0.83316526398762569</v>
      </c>
      <c r="H27" s="20">
        <v>25.636083548409839</v>
      </c>
    </row>
    <row r="28" spans="1:8" ht="16.5" hidden="1" x14ac:dyDescent="0.25">
      <c r="A28" s="27">
        <v>26</v>
      </c>
      <c r="B28" s="26" t="s">
        <v>883</v>
      </c>
      <c r="C28" s="26" t="s">
        <v>537</v>
      </c>
      <c r="D28" s="26">
        <v>6</v>
      </c>
      <c r="E28" s="26">
        <v>20912</v>
      </c>
      <c r="F28" s="26">
        <v>263.15699999999998</v>
      </c>
      <c r="G28" s="19"/>
      <c r="H28" s="20"/>
    </row>
    <row r="29" spans="1:8" ht="16.5" x14ac:dyDescent="0.25">
      <c r="A29" s="27">
        <v>26</v>
      </c>
      <c r="B29" s="26" t="s">
        <v>883</v>
      </c>
      <c r="C29" s="26" t="s">
        <v>537</v>
      </c>
      <c r="D29" s="26">
        <v>7</v>
      </c>
      <c r="E29" s="26">
        <v>19518</v>
      </c>
      <c r="F29" s="26">
        <v>247.16900000000001</v>
      </c>
      <c r="G29" s="19">
        <v>-0.84528088880132035</v>
      </c>
      <c r="H29" s="20">
        <v>25.661923220570895</v>
      </c>
    </row>
    <row r="30" spans="1:8" ht="16.5" hidden="1" x14ac:dyDescent="0.25">
      <c r="A30" s="27">
        <v>27</v>
      </c>
      <c r="B30" s="26" t="s">
        <v>889</v>
      </c>
      <c r="C30" s="26" t="s">
        <v>890</v>
      </c>
      <c r="D30" s="26">
        <v>6</v>
      </c>
      <c r="E30" s="26">
        <v>14414</v>
      </c>
      <c r="F30" s="26">
        <v>178.495</v>
      </c>
      <c r="G30" s="19"/>
      <c r="H30" s="20"/>
    </row>
    <row r="31" spans="1:8" ht="16.5" x14ac:dyDescent="0.25">
      <c r="A31" s="27">
        <v>27</v>
      </c>
      <c r="B31" s="26" t="s">
        <v>889</v>
      </c>
      <c r="C31" s="26" t="s">
        <v>890</v>
      </c>
      <c r="D31" s="26">
        <v>7</v>
      </c>
      <c r="E31" s="26">
        <v>13351</v>
      </c>
      <c r="F31" s="26">
        <v>167.66300000000001</v>
      </c>
      <c r="G31" s="19">
        <v>-1.0616512290916056</v>
      </c>
      <c r="H31" s="20">
        <v>25.807917270269673</v>
      </c>
    </row>
    <row r="32" spans="1:8" ht="16.5" hidden="1" x14ac:dyDescent="0.25">
      <c r="A32" s="27">
        <v>28</v>
      </c>
      <c r="B32" s="26" t="s">
        <v>895</v>
      </c>
      <c r="C32" s="26" t="s">
        <v>896</v>
      </c>
      <c r="D32" s="26">
        <v>6</v>
      </c>
      <c r="E32" s="26">
        <v>24173</v>
      </c>
      <c r="F32" s="26">
        <v>300.87799999999999</v>
      </c>
      <c r="G32" s="19"/>
      <c r="H32" s="20"/>
    </row>
    <row r="33" spans="1:8" ht="16.5" x14ac:dyDescent="0.25">
      <c r="A33" s="27">
        <v>28</v>
      </c>
      <c r="B33" s="26" t="s">
        <v>895</v>
      </c>
      <c r="C33" s="26" t="s">
        <v>896</v>
      </c>
      <c r="D33" s="26">
        <v>7</v>
      </c>
      <c r="E33" s="26">
        <v>22622</v>
      </c>
      <c r="F33" s="26">
        <v>279.78699999999998</v>
      </c>
      <c r="G33" s="19">
        <v>-0.92298898107313998</v>
      </c>
      <c r="H33" s="20">
        <v>25.881101251478665</v>
      </c>
    </row>
    <row r="34" spans="1:8" ht="17.25" hidden="1" x14ac:dyDescent="0.25">
      <c r="A34" s="26">
        <v>29</v>
      </c>
      <c r="B34" s="26" t="s">
        <v>905</v>
      </c>
      <c r="C34" s="26" t="s">
        <v>670</v>
      </c>
      <c r="D34" s="26">
        <v>6</v>
      </c>
      <c r="E34" s="26">
        <v>22302</v>
      </c>
      <c r="F34" s="26">
        <v>277.30500000000001</v>
      </c>
      <c r="G34" s="48"/>
      <c r="H34" s="49"/>
    </row>
    <row r="35" spans="1:8" ht="16.5" x14ac:dyDescent="0.25">
      <c r="A35" s="26">
        <v>29</v>
      </c>
      <c r="B35" s="26" t="s">
        <v>905</v>
      </c>
      <c r="C35" s="26" t="s">
        <v>670</v>
      </c>
      <c r="D35" s="26">
        <v>7</v>
      </c>
      <c r="E35" s="26">
        <v>20546</v>
      </c>
      <c r="F35" s="26">
        <v>256.60300000000001</v>
      </c>
      <c r="G35" s="19">
        <v>-0.97916176684092404</v>
      </c>
      <c r="H35" s="20">
        <v>25.991698557128867</v>
      </c>
    </row>
    <row r="36" spans="1:8" ht="16.5" hidden="1" x14ac:dyDescent="0.25">
      <c r="A36" s="27">
        <v>30</v>
      </c>
      <c r="B36" s="26" t="s">
        <v>912</v>
      </c>
      <c r="C36" s="26" t="s">
        <v>335</v>
      </c>
      <c r="D36" s="26">
        <v>6</v>
      </c>
      <c r="E36" s="26">
        <v>21565</v>
      </c>
      <c r="F36" s="26">
        <v>265.62099999999998</v>
      </c>
      <c r="G36" s="19"/>
      <c r="H36" s="20"/>
    </row>
    <row r="37" spans="1:8" ht="16.5" x14ac:dyDescent="0.25">
      <c r="A37" s="27">
        <v>30</v>
      </c>
      <c r="B37" s="26" t="s">
        <v>912</v>
      </c>
      <c r="C37" s="26" t="s">
        <v>335</v>
      </c>
      <c r="D37" s="26">
        <v>7</v>
      </c>
      <c r="E37" s="26">
        <v>20318</v>
      </c>
      <c r="F37" s="26">
        <v>250.738</v>
      </c>
      <c r="G37" s="19">
        <v>-0.70754726020510805</v>
      </c>
      <c r="H37" s="20">
        <v>25.694927021227681</v>
      </c>
    </row>
    <row r="38" spans="1:8" ht="17.25" hidden="1" x14ac:dyDescent="0.25">
      <c r="A38" s="27">
        <v>31</v>
      </c>
      <c r="B38" s="26" t="s">
        <v>916</v>
      </c>
      <c r="C38" s="26" t="s">
        <v>518</v>
      </c>
      <c r="D38" s="26">
        <v>6</v>
      </c>
      <c r="E38" s="26">
        <v>13784</v>
      </c>
      <c r="F38" s="26">
        <v>175.05500000000001</v>
      </c>
      <c r="G38" s="37"/>
      <c r="H38" s="38"/>
    </row>
    <row r="39" spans="1:8" ht="16.5" x14ac:dyDescent="0.25">
      <c r="A39" s="27">
        <v>31</v>
      </c>
      <c r="B39" s="26" t="s">
        <v>916</v>
      </c>
      <c r="C39" s="26" t="s">
        <v>518</v>
      </c>
      <c r="D39" s="26">
        <v>7</v>
      </c>
      <c r="E39" s="26">
        <v>12821</v>
      </c>
      <c r="F39" s="26">
        <v>162.798</v>
      </c>
      <c r="G39" s="19">
        <v>-0.54730034050583365</v>
      </c>
      <c r="H39" s="20">
        <v>25.783488959355463</v>
      </c>
    </row>
    <row r="40" spans="1:8" ht="16.5" hidden="1" x14ac:dyDescent="0.25">
      <c r="A40" s="27">
        <v>32</v>
      </c>
      <c r="B40" s="26" t="s">
        <v>922</v>
      </c>
      <c r="C40" s="26" t="s">
        <v>339</v>
      </c>
      <c r="D40" s="26">
        <v>6</v>
      </c>
      <c r="E40" s="26">
        <v>12615</v>
      </c>
      <c r="F40" s="26">
        <v>155.08500000000001</v>
      </c>
      <c r="G40" s="19"/>
      <c r="H40" s="20"/>
    </row>
    <row r="41" spans="1:8" ht="16.5" x14ac:dyDescent="0.25">
      <c r="A41" s="27">
        <v>32</v>
      </c>
      <c r="B41" s="26" t="s">
        <v>922</v>
      </c>
      <c r="C41" s="26" t="s">
        <v>339</v>
      </c>
      <c r="D41" s="26">
        <v>7</v>
      </c>
      <c r="E41" s="26">
        <v>11872</v>
      </c>
      <c r="F41" s="26">
        <v>145.22399999999999</v>
      </c>
      <c r="G41" s="19">
        <v>-0.95953835348425143</v>
      </c>
      <c r="H41" s="20">
        <v>25.520386720143417</v>
      </c>
    </row>
    <row r="42" spans="1:8" ht="16.5" hidden="1" x14ac:dyDescent="0.25">
      <c r="A42" s="27">
        <v>33</v>
      </c>
      <c r="B42" s="26" t="s">
        <v>926</v>
      </c>
      <c r="C42" s="26" t="s">
        <v>505</v>
      </c>
      <c r="D42" s="26">
        <v>6</v>
      </c>
      <c r="E42" s="26">
        <v>13220</v>
      </c>
      <c r="F42" s="26">
        <v>168.738</v>
      </c>
      <c r="G42" s="19"/>
      <c r="H42" s="20"/>
    </row>
    <row r="43" spans="1:8" ht="16.5" x14ac:dyDescent="0.25">
      <c r="A43" s="27">
        <v>33</v>
      </c>
      <c r="B43" s="26" t="s">
        <v>926</v>
      </c>
      <c r="C43" s="26" t="s">
        <v>505</v>
      </c>
      <c r="D43" s="26">
        <v>7</v>
      </c>
      <c r="E43" s="26">
        <v>12325</v>
      </c>
      <c r="F43" s="26">
        <v>156.80799999999999</v>
      </c>
      <c r="G43" s="19">
        <v>-1.4905046538644569</v>
      </c>
      <c r="H43" s="20">
        <v>25.454110568148177</v>
      </c>
    </row>
    <row r="44" spans="1:8" ht="16.5" hidden="1" x14ac:dyDescent="0.25">
      <c r="A44" s="27">
        <v>34</v>
      </c>
      <c r="B44" s="26" t="s">
        <v>931</v>
      </c>
      <c r="C44" s="26" t="s">
        <v>232</v>
      </c>
      <c r="D44" s="26">
        <v>6</v>
      </c>
      <c r="E44" s="26">
        <v>12914</v>
      </c>
      <c r="F44" s="26">
        <v>157.36600000000001</v>
      </c>
      <c r="G44" s="19"/>
      <c r="H44" s="20"/>
    </row>
    <row r="45" spans="1:8" ht="16.5" x14ac:dyDescent="0.25">
      <c r="A45" s="27">
        <v>34</v>
      </c>
      <c r="B45" s="26" t="s">
        <v>931</v>
      </c>
      <c r="C45" s="26" t="s">
        <v>232</v>
      </c>
      <c r="D45" s="26">
        <v>7</v>
      </c>
      <c r="E45" s="26">
        <v>12115</v>
      </c>
      <c r="F45" s="26">
        <v>147.048</v>
      </c>
      <c r="G45" s="19">
        <v>-1.6730560701180961</v>
      </c>
      <c r="H45" s="20">
        <v>25.564445693844529</v>
      </c>
    </row>
    <row r="46" spans="1:8" ht="16.5" hidden="1" x14ac:dyDescent="0.25">
      <c r="A46" s="188">
        <v>35</v>
      </c>
      <c r="B46" s="189" t="s">
        <v>0</v>
      </c>
      <c r="C46" s="189" t="s">
        <v>729</v>
      </c>
      <c r="D46" s="189">
        <v>6</v>
      </c>
      <c r="E46" s="189">
        <v>14725</v>
      </c>
      <c r="F46" s="189">
        <v>187.21799999999999</v>
      </c>
      <c r="G46" s="198"/>
      <c r="H46" s="199"/>
    </row>
    <row r="47" spans="1:8" ht="16.5" hidden="1" x14ac:dyDescent="0.25">
      <c r="A47" s="27">
        <v>37</v>
      </c>
      <c r="B47" s="26" t="s">
        <v>946</v>
      </c>
      <c r="C47" s="26" t="s">
        <v>287</v>
      </c>
      <c r="D47" s="26">
        <v>6</v>
      </c>
      <c r="E47" s="26">
        <v>12279</v>
      </c>
      <c r="F47" s="26">
        <v>156.11799999999999</v>
      </c>
      <c r="G47" s="19"/>
      <c r="H47" s="20"/>
    </row>
    <row r="48" spans="1:8" ht="16.5" x14ac:dyDescent="0.25">
      <c r="A48" s="27">
        <v>37</v>
      </c>
      <c r="B48" s="26" t="s">
        <v>946</v>
      </c>
      <c r="C48" s="26" t="s">
        <v>287</v>
      </c>
      <c r="D48" s="26">
        <v>7</v>
      </c>
      <c r="E48" s="26">
        <v>11458</v>
      </c>
      <c r="F48" s="26">
        <v>145.16399999999999</v>
      </c>
      <c r="G48" s="19">
        <v>-1.8017107878615881</v>
      </c>
      <c r="H48" s="20">
        <v>25.646424219822958</v>
      </c>
    </row>
    <row r="49" spans="1:8" ht="16.5" hidden="1" x14ac:dyDescent="0.25">
      <c r="A49" s="27">
        <v>38</v>
      </c>
      <c r="B49" s="26" t="s">
        <v>952</v>
      </c>
      <c r="C49" s="26" t="s">
        <v>289</v>
      </c>
      <c r="D49" s="26">
        <v>6</v>
      </c>
      <c r="E49" s="26">
        <v>15252</v>
      </c>
      <c r="F49" s="26">
        <v>187.4</v>
      </c>
      <c r="G49" s="19"/>
      <c r="H49" s="20"/>
    </row>
    <row r="50" spans="1:8" ht="16.5" x14ac:dyDescent="0.25">
      <c r="A50" s="27">
        <v>38</v>
      </c>
      <c r="B50" s="26" t="s">
        <v>952</v>
      </c>
      <c r="C50" s="26" t="s">
        <v>289</v>
      </c>
      <c r="D50" s="26">
        <v>7</v>
      </c>
      <c r="E50" s="26">
        <v>14114</v>
      </c>
      <c r="F50" s="26">
        <v>175.803</v>
      </c>
      <c r="G50" s="19">
        <v>-1.538369985598171</v>
      </c>
      <c r="H50" s="20">
        <v>25.704899170537448</v>
      </c>
    </row>
    <row r="51" spans="1:8" ht="16.5" hidden="1" x14ac:dyDescent="0.25">
      <c r="A51" s="27">
        <v>39</v>
      </c>
      <c r="B51" s="26" t="s">
        <v>955</v>
      </c>
      <c r="C51" s="26" t="s">
        <v>296</v>
      </c>
      <c r="D51" s="26">
        <v>6</v>
      </c>
      <c r="E51" s="26">
        <v>14260</v>
      </c>
      <c r="F51" s="26">
        <v>180.286</v>
      </c>
      <c r="G51" s="19"/>
      <c r="H51" s="20"/>
    </row>
    <row r="52" spans="1:8" ht="16.5" x14ac:dyDescent="0.25">
      <c r="A52" s="27">
        <v>39</v>
      </c>
      <c r="B52" s="26" t="s">
        <v>955</v>
      </c>
      <c r="C52" s="26" t="s">
        <v>296</v>
      </c>
      <c r="D52" s="26">
        <v>7</v>
      </c>
      <c r="E52" s="26">
        <v>13381</v>
      </c>
      <c r="F52" s="26">
        <v>169.84399999999999</v>
      </c>
      <c r="G52" s="19">
        <v>-1.5354934565985618</v>
      </c>
      <c r="H52" s="20">
        <v>25.361376293334398</v>
      </c>
    </row>
    <row r="53" spans="1:8" ht="16.5" hidden="1" x14ac:dyDescent="0.25">
      <c r="A53" s="27">
        <v>40</v>
      </c>
      <c r="B53" s="26" t="s">
        <v>959</v>
      </c>
      <c r="C53" s="26" t="s">
        <v>318</v>
      </c>
      <c r="D53" s="26">
        <v>6</v>
      </c>
      <c r="E53" s="26">
        <v>15788</v>
      </c>
      <c r="F53" s="26">
        <v>197.303</v>
      </c>
      <c r="G53" s="19"/>
      <c r="H53" s="20"/>
    </row>
    <row r="54" spans="1:8" ht="16.5" x14ac:dyDescent="0.25">
      <c r="A54" s="27">
        <v>40</v>
      </c>
      <c r="B54" s="26" t="s">
        <v>959</v>
      </c>
      <c r="C54" s="26" t="s">
        <v>318</v>
      </c>
      <c r="D54" s="26">
        <v>7</v>
      </c>
      <c r="E54" s="26">
        <v>14655</v>
      </c>
      <c r="F54" s="26">
        <v>185.49600000000001</v>
      </c>
      <c r="G54" s="19">
        <v>-1.6674077871879467</v>
      </c>
      <c r="H54" s="20">
        <v>25.353495212927509</v>
      </c>
    </row>
    <row r="55" spans="1:8" ht="16.5" hidden="1" x14ac:dyDescent="0.25">
      <c r="A55" s="27">
        <v>41</v>
      </c>
      <c r="B55" s="26" t="s">
        <v>962</v>
      </c>
      <c r="C55" s="26" t="s">
        <v>221</v>
      </c>
      <c r="D55" s="26">
        <v>6</v>
      </c>
      <c r="E55" s="26">
        <v>14312</v>
      </c>
      <c r="F55" s="26">
        <v>178.31800000000001</v>
      </c>
      <c r="G55" s="19"/>
      <c r="H55" s="20"/>
    </row>
    <row r="56" spans="1:8" ht="16.5" x14ac:dyDescent="0.25">
      <c r="A56" s="27">
        <v>41</v>
      </c>
      <c r="B56" s="26" t="s">
        <v>962</v>
      </c>
      <c r="C56" s="26" t="s">
        <v>221</v>
      </c>
      <c r="D56" s="26">
        <v>7</v>
      </c>
      <c r="E56" s="26">
        <v>13481</v>
      </c>
      <c r="F56" s="26">
        <v>166.42699999999999</v>
      </c>
      <c r="G56" s="19">
        <v>-1.297031444112958</v>
      </c>
      <c r="H56" s="20">
        <v>25.275153882495662</v>
      </c>
    </row>
    <row r="57" spans="1:8" ht="16.5" hidden="1" x14ac:dyDescent="0.25">
      <c r="A57" s="27">
        <v>42</v>
      </c>
      <c r="B57" s="26" t="s">
        <v>965</v>
      </c>
      <c r="C57" s="26" t="s">
        <v>518</v>
      </c>
      <c r="D57" s="26">
        <v>6</v>
      </c>
      <c r="E57" s="26">
        <v>13310</v>
      </c>
      <c r="F57" s="26">
        <v>168.976</v>
      </c>
      <c r="G57" s="19"/>
      <c r="H57" s="20"/>
    </row>
    <row r="58" spans="1:8" ht="16.5" x14ac:dyDescent="0.25">
      <c r="A58" s="27">
        <v>42</v>
      </c>
      <c r="B58" s="26" t="s">
        <v>965</v>
      </c>
      <c r="C58" s="26" t="s">
        <v>518</v>
      </c>
      <c r="D58" s="26">
        <v>7</v>
      </c>
      <c r="E58" s="26">
        <v>12374</v>
      </c>
      <c r="F58" s="26">
        <v>157.02099999999999</v>
      </c>
      <c r="G58" s="19">
        <v>-1.5370517338878169</v>
      </c>
      <c r="H58" s="20">
        <v>25.412003487449216</v>
      </c>
    </row>
    <row r="59" spans="1:8" ht="17.25" hidden="1" x14ac:dyDescent="0.25">
      <c r="A59" s="27">
        <v>43</v>
      </c>
      <c r="B59" s="26" t="s">
        <v>970</v>
      </c>
      <c r="C59" s="26" t="s">
        <v>232</v>
      </c>
      <c r="D59" s="26">
        <v>6</v>
      </c>
      <c r="E59" s="26">
        <v>13271</v>
      </c>
      <c r="F59" s="26">
        <v>162.959</v>
      </c>
      <c r="G59" s="37"/>
      <c r="H59" s="38"/>
    </row>
    <row r="60" spans="1:8" ht="16.5" x14ac:dyDescent="0.25">
      <c r="A60" s="27">
        <v>43</v>
      </c>
      <c r="B60" s="26" t="s">
        <v>970</v>
      </c>
      <c r="C60" s="26" t="s">
        <v>232</v>
      </c>
      <c r="D60" s="26">
        <v>7</v>
      </c>
      <c r="E60" s="26">
        <v>12500</v>
      </c>
      <c r="F60" s="26">
        <v>152.38499999999999</v>
      </c>
      <c r="G60" s="19">
        <v>-1.8392570346077362</v>
      </c>
      <c r="H60" s="20">
        <v>25.569896096548501</v>
      </c>
    </row>
    <row r="61" spans="1:8" ht="17.25" hidden="1" x14ac:dyDescent="0.25">
      <c r="A61" s="27">
        <v>44</v>
      </c>
      <c r="B61" s="26" t="s">
        <v>974</v>
      </c>
      <c r="C61" s="26" t="s">
        <v>229</v>
      </c>
      <c r="D61" s="26">
        <v>6</v>
      </c>
      <c r="E61" s="26">
        <v>14098</v>
      </c>
      <c r="F61" s="26">
        <v>179.733</v>
      </c>
      <c r="G61" s="37"/>
      <c r="H61" s="38"/>
    </row>
    <row r="62" spans="1:8" ht="16.5" x14ac:dyDescent="0.25">
      <c r="A62" s="27">
        <v>44</v>
      </c>
      <c r="B62" s="26" t="s">
        <v>974</v>
      </c>
      <c r="C62" s="26" t="s">
        <v>229</v>
      </c>
      <c r="D62" s="26">
        <v>7</v>
      </c>
      <c r="E62" s="26">
        <v>13153</v>
      </c>
      <c r="F62" s="26">
        <v>166.976</v>
      </c>
      <c r="G62" s="19">
        <v>-1.1432846085063124</v>
      </c>
      <c r="H62" s="20">
        <v>25.826238503455318</v>
      </c>
    </row>
    <row r="63" spans="1:8" ht="17.25" hidden="1" x14ac:dyDescent="0.25">
      <c r="A63" s="27">
        <v>45</v>
      </c>
      <c r="B63" s="26" t="s">
        <v>980</v>
      </c>
      <c r="C63" s="26" t="s">
        <v>296</v>
      </c>
      <c r="D63" s="26">
        <v>6</v>
      </c>
      <c r="E63" s="26">
        <v>14541</v>
      </c>
      <c r="F63" s="26">
        <v>176.65199999999999</v>
      </c>
      <c r="G63" s="37"/>
      <c r="H63" s="38"/>
    </row>
    <row r="64" spans="1:8" ht="16.5" x14ac:dyDescent="0.25">
      <c r="A64" s="27">
        <v>45</v>
      </c>
      <c r="B64" s="26" t="s">
        <v>980</v>
      </c>
      <c r="C64" s="26" t="s">
        <v>296</v>
      </c>
      <c r="D64" s="26">
        <v>7</v>
      </c>
      <c r="E64" s="26">
        <v>13658</v>
      </c>
      <c r="F64" s="26">
        <v>166.95699999999999</v>
      </c>
      <c r="G64" s="19">
        <v>-0.76181369381475861</v>
      </c>
      <c r="H64" s="20">
        <v>25.79345767827331</v>
      </c>
    </row>
    <row r="65" spans="1:8" ht="17.25" hidden="1" x14ac:dyDescent="0.25">
      <c r="A65" s="27">
        <v>46</v>
      </c>
      <c r="B65" s="26" t="s">
        <v>984</v>
      </c>
      <c r="C65" s="26" t="s">
        <v>513</v>
      </c>
      <c r="D65" s="26">
        <v>6</v>
      </c>
      <c r="E65" s="26">
        <v>7973</v>
      </c>
      <c r="F65" s="26">
        <v>102.246</v>
      </c>
      <c r="G65" s="39"/>
      <c r="H65" s="40"/>
    </row>
    <row r="66" spans="1:8" ht="16.5" x14ac:dyDescent="0.25">
      <c r="A66" s="27">
        <v>46</v>
      </c>
      <c r="B66" s="26" t="s">
        <v>984</v>
      </c>
      <c r="C66" s="26" t="s">
        <v>513</v>
      </c>
      <c r="D66" s="26">
        <v>7</v>
      </c>
      <c r="E66" s="26">
        <v>7455</v>
      </c>
      <c r="F66" s="26">
        <v>95.177999999999997</v>
      </c>
      <c r="G66" s="19">
        <v>-1.0424972886405692</v>
      </c>
      <c r="H66" s="20">
        <v>25.576031107468399</v>
      </c>
    </row>
    <row r="67" spans="1:8" ht="16.5" hidden="1" x14ac:dyDescent="0.25">
      <c r="A67" s="188">
        <v>47</v>
      </c>
      <c r="B67" s="189" t="s">
        <v>0</v>
      </c>
      <c r="C67" s="189" t="s">
        <v>513</v>
      </c>
      <c r="D67" s="189">
        <v>6</v>
      </c>
      <c r="E67" s="189">
        <v>14203</v>
      </c>
      <c r="F67" s="189">
        <v>172.30099999999999</v>
      </c>
      <c r="G67" s="198"/>
      <c r="H67" s="199"/>
    </row>
    <row r="68" spans="1:8" ht="16.5" hidden="1" x14ac:dyDescent="0.25">
      <c r="A68" s="27">
        <v>49</v>
      </c>
      <c r="B68" s="26" t="s">
        <v>1000</v>
      </c>
      <c r="C68" s="26" t="s">
        <v>221</v>
      </c>
      <c r="D68" s="26">
        <v>6</v>
      </c>
      <c r="E68" s="26">
        <v>12993</v>
      </c>
      <c r="F68" s="26">
        <v>159.851</v>
      </c>
      <c r="G68" s="19"/>
      <c r="H68" s="20"/>
    </row>
    <row r="69" spans="1:8" ht="16.5" x14ac:dyDescent="0.25">
      <c r="A69" s="27">
        <v>49</v>
      </c>
      <c r="B69" s="26" t="s">
        <v>1000</v>
      </c>
      <c r="C69" s="26" t="s">
        <v>221</v>
      </c>
      <c r="D69" s="26">
        <v>7</v>
      </c>
      <c r="E69" s="26">
        <v>12031</v>
      </c>
      <c r="F69" s="26">
        <v>148.47300000000001</v>
      </c>
      <c r="G69" s="19">
        <v>-1.0840577302204246</v>
      </c>
      <c r="H69" s="20">
        <v>25.576327101285447</v>
      </c>
    </row>
    <row r="70" spans="1:8" ht="17.25" hidden="1" x14ac:dyDescent="0.25">
      <c r="A70" s="27">
        <v>50</v>
      </c>
      <c r="B70" s="26" t="s">
        <v>1006</v>
      </c>
      <c r="C70" s="26" t="s">
        <v>294</v>
      </c>
      <c r="D70" s="26">
        <v>6</v>
      </c>
      <c r="E70" s="26">
        <v>15140</v>
      </c>
      <c r="F70" s="26">
        <v>191.34200000000001</v>
      </c>
      <c r="G70" s="39"/>
      <c r="H70" s="40"/>
    </row>
    <row r="71" spans="1:8" ht="16.5" x14ac:dyDescent="0.25">
      <c r="A71" s="27">
        <v>50</v>
      </c>
      <c r="B71" s="26" t="s">
        <v>1006</v>
      </c>
      <c r="C71" s="26" t="s">
        <v>294</v>
      </c>
      <c r="D71" s="26">
        <v>7</v>
      </c>
      <c r="E71" s="26">
        <v>14165</v>
      </c>
      <c r="F71" s="26">
        <v>177.92</v>
      </c>
      <c r="G71" s="19">
        <v>-1.0716481811144141</v>
      </c>
      <c r="H71" s="20">
        <v>25.862080218341443</v>
      </c>
    </row>
    <row r="72" spans="1:8" ht="16.5" hidden="1" x14ac:dyDescent="0.25">
      <c r="A72" s="27">
        <v>51</v>
      </c>
      <c r="B72" s="26" t="s">
        <v>1011</v>
      </c>
      <c r="C72" s="26" t="s">
        <v>267</v>
      </c>
      <c r="D72" s="26">
        <v>6</v>
      </c>
      <c r="E72" s="26">
        <v>16455</v>
      </c>
      <c r="F72" s="26">
        <v>205.22399999999999</v>
      </c>
      <c r="G72" s="19"/>
      <c r="H72" s="20"/>
    </row>
    <row r="73" spans="1:8" ht="16.5" x14ac:dyDescent="0.25">
      <c r="A73" s="27">
        <v>51</v>
      </c>
      <c r="B73" s="26" t="s">
        <v>1011</v>
      </c>
      <c r="C73" s="26" t="s">
        <v>267</v>
      </c>
      <c r="D73" s="26">
        <v>7</v>
      </c>
      <c r="E73" s="26">
        <v>15244</v>
      </c>
      <c r="F73" s="26">
        <v>192.48599999999999</v>
      </c>
      <c r="G73" s="19">
        <v>-1.2564033999025581</v>
      </c>
      <c r="H73" s="20">
        <v>25.882073522559825</v>
      </c>
    </row>
    <row r="74" spans="1:8" ht="16.5" hidden="1" x14ac:dyDescent="0.25">
      <c r="A74" s="27">
        <v>52</v>
      </c>
      <c r="B74" s="26" t="s">
        <v>1015</v>
      </c>
      <c r="C74" s="26" t="s">
        <v>286</v>
      </c>
      <c r="D74" s="26">
        <v>6</v>
      </c>
      <c r="E74" s="26">
        <v>14181</v>
      </c>
      <c r="F74" s="26">
        <v>176.53700000000001</v>
      </c>
      <c r="G74" s="19"/>
      <c r="H74" s="20"/>
    </row>
    <row r="75" spans="1:8" ht="16.5" x14ac:dyDescent="0.25">
      <c r="A75" s="27">
        <v>52</v>
      </c>
      <c r="B75" s="26" t="s">
        <v>1015</v>
      </c>
      <c r="C75" s="26" t="s">
        <v>286</v>
      </c>
      <c r="D75" s="26">
        <v>7</v>
      </c>
      <c r="E75" s="26">
        <v>13394</v>
      </c>
      <c r="F75" s="26">
        <v>166.98599999999999</v>
      </c>
      <c r="G75" s="19">
        <v>-1.956735073348806</v>
      </c>
      <c r="H75" s="20">
        <v>25.845823100979306</v>
      </c>
    </row>
    <row r="76" spans="1:8" ht="16.5" hidden="1" x14ac:dyDescent="0.25">
      <c r="A76" s="63">
        <v>53</v>
      </c>
      <c r="B76" s="47" t="s">
        <v>1019</v>
      </c>
      <c r="C76" s="47" t="s">
        <v>688</v>
      </c>
      <c r="D76" s="47">
        <v>6</v>
      </c>
      <c r="E76" s="47">
        <v>18380</v>
      </c>
      <c r="F76" s="47">
        <v>232.15100000000001</v>
      </c>
      <c r="G76" s="153"/>
      <c r="H76" s="154"/>
    </row>
    <row r="77" spans="1:8" ht="16.5" x14ac:dyDescent="0.25">
      <c r="A77" s="27">
        <v>53</v>
      </c>
      <c r="B77" s="26" t="s">
        <v>1019</v>
      </c>
      <c r="C77" s="26" t="s">
        <v>688</v>
      </c>
      <c r="D77" s="26">
        <v>7</v>
      </c>
      <c r="E77" s="26">
        <v>17109</v>
      </c>
      <c r="F77" s="26">
        <v>218.13200000000001</v>
      </c>
      <c r="G77" s="19">
        <v>-1.6105627786813519</v>
      </c>
      <c r="H77" s="20">
        <v>25.619220231789942</v>
      </c>
    </row>
    <row r="78" spans="1:8" ht="16.5" hidden="1" x14ac:dyDescent="0.25">
      <c r="A78" s="123">
        <v>54</v>
      </c>
      <c r="B78" s="124" t="s">
        <v>1025</v>
      </c>
      <c r="C78" s="124" t="s">
        <v>251</v>
      </c>
      <c r="D78" s="124">
        <v>6</v>
      </c>
      <c r="E78" s="124">
        <v>15081</v>
      </c>
      <c r="F78" s="124">
        <v>184.21100000000001</v>
      </c>
      <c r="G78" s="19"/>
      <c r="H78" s="20"/>
    </row>
    <row r="79" spans="1:8" ht="16.5" x14ac:dyDescent="0.25">
      <c r="A79" s="123">
        <v>54</v>
      </c>
      <c r="B79" s="124" t="s">
        <v>1025</v>
      </c>
      <c r="C79" s="124" t="s">
        <v>251</v>
      </c>
      <c r="D79" s="124">
        <v>7</v>
      </c>
      <c r="E79" s="124">
        <v>14168</v>
      </c>
      <c r="F79" s="124">
        <v>172.40299999999999</v>
      </c>
      <c r="G79" s="19">
        <v>-1.7283601798925647</v>
      </c>
      <c r="H79" s="20">
        <v>25.419908580599536</v>
      </c>
    </row>
    <row r="80" spans="1:8" ht="16.5" hidden="1" x14ac:dyDescent="0.25">
      <c r="A80" s="27">
        <v>55</v>
      </c>
      <c r="B80" s="26" t="s">
        <v>1030</v>
      </c>
      <c r="C80" s="26" t="s">
        <v>294</v>
      </c>
      <c r="D80" s="26">
        <v>6</v>
      </c>
      <c r="E80" s="26">
        <v>14590</v>
      </c>
      <c r="F80" s="26">
        <v>185.75800000000001</v>
      </c>
      <c r="G80" s="19"/>
      <c r="H80" s="20"/>
    </row>
    <row r="81" spans="1:8" ht="16.5" x14ac:dyDescent="0.25">
      <c r="A81" s="27">
        <v>55</v>
      </c>
      <c r="B81" s="26" t="s">
        <v>1030</v>
      </c>
      <c r="C81" s="26" t="s">
        <v>294</v>
      </c>
      <c r="D81" s="26">
        <v>7</v>
      </c>
      <c r="E81" s="26">
        <v>13610</v>
      </c>
      <c r="F81" s="26">
        <v>172.738</v>
      </c>
      <c r="G81" s="19">
        <v>-1.1408841008541561</v>
      </c>
      <c r="H81" s="20">
        <v>25.496922349358567</v>
      </c>
    </row>
    <row r="82" spans="1:8" ht="16.5" hidden="1" x14ac:dyDescent="0.25">
      <c r="A82" s="27">
        <v>56</v>
      </c>
      <c r="B82" s="26" t="s">
        <v>1034</v>
      </c>
      <c r="C82" s="26" t="s">
        <v>260</v>
      </c>
      <c r="D82" s="26">
        <v>6</v>
      </c>
      <c r="E82" s="26">
        <v>13554</v>
      </c>
      <c r="F82" s="26">
        <v>164.46600000000001</v>
      </c>
      <c r="G82" s="19"/>
      <c r="H82" s="20"/>
    </row>
    <row r="83" spans="1:8" ht="16.5" x14ac:dyDescent="0.25">
      <c r="A83" s="27">
        <v>56</v>
      </c>
      <c r="B83" s="26" t="s">
        <v>1034</v>
      </c>
      <c r="C83" s="26" t="s">
        <v>260</v>
      </c>
      <c r="D83" s="26">
        <v>7</v>
      </c>
      <c r="E83" s="26">
        <v>12696</v>
      </c>
      <c r="F83" s="26">
        <v>153.80000000000001</v>
      </c>
      <c r="G83" s="19">
        <v>-1.9198852282035619</v>
      </c>
      <c r="H83" s="20">
        <v>25.611908106385695</v>
      </c>
    </row>
    <row r="84" spans="1:8" ht="16.5" hidden="1" x14ac:dyDescent="0.25">
      <c r="A84" s="27">
        <v>57</v>
      </c>
      <c r="B84" s="26" t="s">
        <v>1038</v>
      </c>
      <c r="C84" s="26" t="s">
        <v>505</v>
      </c>
      <c r="D84" s="26">
        <v>6</v>
      </c>
      <c r="E84" s="26">
        <v>12828</v>
      </c>
      <c r="F84" s="26">
        <v>163.62899999999999</v>
      </c>
      <c r="G84" s="19"/>
      <c r="H84" s="20"/>
    </row>
    <row r="85" spans="1:8" ht="16.5" x14ac:dyDescent="0.25">
      <c r="A85" s="27">
        <v>57</v>
      </c>
      <c r="B85" s="26" t="s">
        <v>1038</v>
      </c>
      <c r="C85" s="26" t="s">
        <v>505</v>
      </c>
      <c r="D85" s="26">
        <v>7</v>
      </c>
      <c r="E85" s="26">
        <v>11967</v>
      </c>
      <c r="F85" s="26">
        <v>151.98400000000001</v>
      </c>
      <c r="G85" s="19">
        <v>-1.6063984734121513</v>
      </c>
      <c r="H85" s="20">
        <v>25.794729863619427</v>
      </c>
    </row>
    <row r="86" spans="1:8" ht="16.5" hidden="1" x14ac:dyDescent="0.25">
      <c r="A86" s="27">
        <v>58</v>
      </c>
      <c r="B86" s="26" t="s">
        <v>1042</v>
      </c>
      <c r="C86" s="26" t="s">
        <v>1043</v>
      </c>
      <c r="D86" s="26">
        <v>6</v>
      </c>
      <c r="E86" s="26">
        <v>18990</v>
      </c>
      <c r="F86" s="26">
        <v>228.87700000000001</v>
      </c>
      <c r="G86" s="19"/>
      <c r="H86" s="20"/>
    </row>
    <row r="87" spans="1:8" ht="16.5" x14ac:dyDescent="0.25">
      <c r="A87" s="27">
        <v>58</v>
      </c>
      <c r="B87" s="26" t="s">
        <v>1042</v>
      </c>
      <c r="C87" s="26" t="s">
        <v>1043</v>
      </c>
      <c r="D87" s="26">
        <v>7</v>
      </c>
      <c r="E87" s="26">
        <v>17679</v>
      </c>
      <c r="F87" s="26">
        <v>213.08199999999999</v>
      </c>
      <c r="G87" s="19">
        <v>-1.4644871907999579</v>
      </c>
      <c r="H87" s="20">
        <v>25.93831528813477</v>
      </c>
    </row>
    <row r="88" spans="1:8" ht="16.5" hidden="1" x14ac:dyDescent="0.25">
      <c r="A88" s="188">
        <v>59</v>
      </c>
      <c r="B88" s="189" t="s">
        <v>0</v>
      </c>
      <c r="C88" s="189" t="s">
        <v>289</v>
      </c>
      <c r="D88" s="189">
        <v>6</v>
      </c>
      <c r="E88" s="189">
        <v>14088</v>
      </c>
      <c r="F88" s="189">
        <v>178.83799999999999</v>
      </c>
      <c r="G88" s="198"/>
      <c r="H88" s="199"/>
    </row>
    <row r="89" spans="1:8" ht="16.5" hidden="1" x14ac:dyDescent="0.25">
      <c r="A89" s="27">
        <v>61</v>
      </c>
      <c r="B89" s="26" t="s">
        <v>1058</v>
      </c>
      <c r="C89" s="26" t="s">
        <v>335</v>
      </c>
      <c r="D89" s="26">
        <v>6</v>
      </c>
      <c r="E89" s="26">
        <v>12532</v>
      </c>
      <c r="F89" s="26">
        <v>158.46700000000001</v>
      </c>
      <c r="G89" s="19"/>
      <c r="H89" s="20"/>
    </row>
    <row r="90" spans="1:8" ht="16.5" x14ac:dyDescent="0.25">
      <c r="A90" s="27">
        <v>61</v>
      </c>
      <c r="B90" s="26" t="s">
        <v>1058</v>
      </c>
      <c r="C90" s="26" t="s">
        <v>335</v>
      </c>
      <c r="D90" s="26">
        <v>7</v>
      </c>
      <c r="E90" s="26">
        <v>11776</v>
      </c>
      <c r="F90" s="26">
        <v>147.62299999999999</v>
      </c>
      <c r="G90" s="19">
        <v>-1.5541723831547321</v>
      </c>
      <c r="H90" s="20">
        <v>25.840426114378072</v>
      </c>
    </row>
    <row r="91" spans="1:8" ht="16.5" hidden="1" x14ac:dyDescent="0.25">
      <c r="A91" s="27">
        <v>62</v>
      </c>
      <c r="B91" s="26" t="s">
        <v>1061</v>
      </c>
      <c r="C91" s="26" t="s">
        <v>322</v>
      </c>
      <c r="D91" s="26">
        <v>6</v>
      </c>
      <c r="E91" s="26">
        <v>17297</v>
      </c>
      <c r="F91" s="26">
        <v>216.47800000000001</v>
      </c>
      <c r="G91" s="19"/>
      <c r="H91" s="20"/>
    </row>
    <row r="92" spans="1:8" ht="16.5" x14ac:dyDescent="0.25">
      <c r="A92" s="27">
        <v>62</v>
      </c>
      <c r="B92" s="26" t="s">
        <v>1061</v>
      </c>
      <c r="C92" s="26" t="s">
        <v>322</v>
      </c>
      <c r="D92" s="26">
        <v>7</v>
      </c>
      <c r="E92" s="26">
        <v>16012</v>
      </c>
      <c r="F92" s="26">
        <v>203.15100000000001</v>
      </c>
      <c r="G92" s="19">
        <v>-1.7266303838003387</v>
      </c>
      <c r="H92" s="20">
        <v>25.553695825681036</v>
      </c>
    </row>
    <row r="93" spans="1:8" ht="16.5" hidden="1" x14ac:dyDescent="0.25">
      <c r="A93" s="27">
        <v>63</v>
      </c>
      <c r="B93" s="26" t="s">
        <v>1065</v>
      </c>
      <c r="C93" s="26" t="s">
        <v>513</v>
      </c>
      <c r="D93" s="26">
        <v>6</v>
      </c>
      <c r="E93" s="26">
        <v>14482</v>
      </c>
      <c r="F93" s="26">
        <v>180.27099999999999</v>
      </c>
      <c r="G93" s="19"/>
      <c r="H93" s="20"/>
    </row>
    <row r="94" spans="1:8" ht="16.5" x14ac:dyDescent="0.25">
      <c r="A94" s="27">
        <v>63</v>
      </c>
      <c r="B94" s="26" t="s">
        <v>1065</v>
      </c>
      <c r="C94" s="26" t="s">
        <v>513</v>
      </c>
      <c r="D94" s="26">
        <v>7</v>
      </c>
      <c r="E94" s="26">
        <v>13652</v>
      </c>
      <c r="F94" s="26">
        <v>168.47399999999999</v>
      </c>
      <c r="G94" s="19">
        <v>-2.0218968548259024</v>
      </c>
      <c r="H94" s="20">
        <v>25.267141957139845</v>
      </c>
    </row>
    <row r="95" spans="1:8" ht="16.5" hidden="1" x14ac:dyDescent="0.25">
      <c r="A95" s="27">
        <v>64</v>
      </c>
      <c r="B95" s="26" t="s">
        <v>1068</v>
      </c>
      <c r="C95" s="26" t="s">
        <v>269</v>
      </c>
      <c r="D95" s="26">
        <v>6</v>
      </c>
      <c r="E95" s="26">
        <v>13280</v>
      </c>
      <c r="F95" s="26">
        <v>168.73</v>
      </c>
      <c r="G95" s="19"/>
      <c r="H95" s="20"/>
    </row>
    <row r="96" spans="1:8" ht="16.5" x14ac:dyDescent="0.25">
      <c r="A96" s="27">
        <v>64</v>
      </c>
      <c r="B96" s="26" t="s">
        <v>1068</v>
      </c>
      <c r="C96" s="26" t="s">
        <v>269</v>
      </c>
      <c r="D96" s="26">
        <v>7</v>
      </c>
      <c r="E96" s="26">
        <v>12313</v>
      </c>
      <c r="F96" s="26">
        <v>156.42400000000001</v>
      </c>
      <c r="G96" s="19">
        <v>-1.6864602267908224</v>
      </c>
      <c r="H96" s="20">
        <v>25.279772170131178</v>
      </c>
    </row>
    <row r="97" spans="1:8" ht="16.5" hidden="1" x14ac:dyDescent="0.25">
      <c r="A97" s="27">
        <v>65</v>
      </c>
      <c r="B97" s="26" t="s">
        <v>1073</v>
      </c>
      <c r="C97" s="26" t="s">
        <v>518</v>
      </c>
      <c r="D97" s="26">
        <v>6</v>
      </c>
      <c r="E97" s="26">
        <v>13686</v>
      </c>
      <c r="F97" s="26">
        <v>167.84800000000001</v>
      </c>
      <c r="G97" s="19"/>
      <c r="H97" s="20"/>
    </row>
    <row r="98" spans="1:8" ht="16.5" x14ac:dyDescent="0.25">
      <c r="A98" s="27">
        <v>65</v>
      </c>
      <c r="B98" s="26" t="s">
        <v>1073</v>
      </c>
      <c r="C98" s="26" t="s">
        <v>518</v>
      </c>
      <c r="D98" s="26">
        <v>7</v>
      </c>
      <c r="E98" s="26">
        <v>12903</v>
      </c>
      <c r="F98" s="26">
        <v>157.03</v>
      </c>
      <c r="G98" s="19">
        <v>-1.9077481950223889</v>
      </c>
      <c r="H98" s="20">
        <v>25.386520085991794</v>
      </c>
    </row>
    <row r="99" spans="1:8" hidden="1" x14ac:dyDescent="0.25">
      <c r="A99" s="27">
        <v>66</v>
      </c>
      <c r="B99" s="26" t="s">
        <v>1078</v>
      </c>
      <c r="C99" s="26" t="s">
        <v>551</v>
      </c>
      <c r="D99" s="26">
        <v>6</v>
      </c>
      <c r="E99" s="26">
        <v>13464</v>
      </c>
      <c r="F99" s="26">
        <v>171.72499999999999</v>
      </c>
      <c r="G99" s="51"/>
      <c r="H99" s="52"/>
    </row>
    <row r="100" spans="1:8" ht="16.5" x14ac:dyDescent="0.25">
      <c r="A100" s="27">
        <v>66</v>
      </c>
      <c r="B100" s="26" t="s">
        <v>1078</v>
      </c>
      <c r="C100" s="26" t="s">
        <v>551</v>
      </c>
      <c r="D100" s="26">
        <v>7</v>
      </c>
      <c r="E100" s="26">
        <v>12547</v>
      </c>
      <c r="F100" s="26">
        <v>159.626</v>
      </c>
      <c r="G100" s="19">
        <v>-2.0979688440961057</v>
      </c>
      <c r="H100" s="20">
        <v>25.587059817489351</v>
      </c>
    </row>
    <row r="101" spans="1:8" hidden="1" x14ac:dyDescent="0.25">
      <c r="A101" s="27">
        <v>67</v>
      </c>
      <c r="B101" s="26" t="s">
        <v>1081</v>
      </c>
      <c r="C101" s="26" t="s">
        <v>269</v>
      </c>
      <c r="D101" s="26">
        <v>6</v>
      </c>
      <c r="E101" s="26">
        <v>14264</v>
      </c>
      <c r="F101" s="26">
        <v>173.017</v>
      </c>
      <c r="G101" s="33"/>
      <c r="H101" s="34"/>
    </row>
    <row r="102" spans="1:8" ht="16.5" x14ac:dyDescent="0.25">
      <c r="A102" s="27">
        <v>67</v>
      </c>
      <c r="B102" s="26" t="s">
        <v>1081</v>
      </c>
      <c r="C102" s="26" t="s">
        <v>269</v>
      </c>
      <c r="D102" s="26">
        <v>7</v>
      </c>
      <c r="E102" s="26">
        <v>13339</v>
      </c>
      <c r="F102" s="26">
        <v>161.63300000000001</v>
      </c>
      <c r="G102" s="19">
        <v>-1.9230508960956978</v>
      </c>
      <c r="H102" s="20">
        <v>25.65996446678491</v>
      </c>
    </row>
    <row r="103" spans="1:8" hidden="1" x14ac:dyDescent="0.25">
      <c r="A103" s="27">
        <v>68</v>
      </c>
      <c r="B103" s="26" t="s">
        <v>1084</v>
      </c>
      <c r="C103" s="26" t="s">
        <v>229</v>
      </c>
      <c r="D103" s="26">
        <v>6</v>
      </c>
      <c r="E103" s="26">
        <v>13882</v>
      </c>
      <c r="F103" s="26">
        <v>176.63399999999999</v>
      </c>
      <c r="G103" s="33"/>
      <c r="H103" s="34"/>
    </row>
    <row r="104" spans="1:8" ht="16.5" x14ac:dyDescent="0.25">
      <c r="A104" s="27">
        <v>68</v>
      </c>
      <c r="B104" s="26" t="s">
        <v>1084</v>
      </c>
      <c r="C104" s="26" t="s">
        <v>229</v>
      </c>
      <c r="D104" s="26">
        <v>7</v>
      </c>
      <c r="E104" s="26">
        <v>12928</v>
      </c>
      <c r="F104" s="26">
        <v>163.90100000000001</v>
      </c>
      <c r="G104" s="19">
        <v>-1.7094404721680532</v>
      </c>
      <c r="H104" s="20">
        <v>25.579101798292275</v>
      </c>
    </row>
    <row r="105" spans="1:8" hidden="1" x14ac:dyDescent="0.25">
      <c r="A105" s="27">
        <v>69</v>
      </c>
      <c r="B105" s="26" t="s">
        <v>1091</v>
      </c>
      <c r="C105" s="26" t="s">
        <v>283</v>
      </c>
      <c r="D105" s="26">
        <v>6</v>
      </c>
      <c r="E105" s="26">
        <v>14168</v>
      </c>
      <c r="F105" s="26">
        <v>173.20599999999999</v>
      </c>
      <c r="G105" s="33"/>
      <c r="H105" s="34"/>
    </row>
    <row r="106" spans="1:8" ht="16.5" x14ac:dyDescent="0.25">
      <c r="A106" s="27">
        <v>69</v>
      </c>
      <c r="B106" s="26" t="s">
        <v>1091</v>
      </c>
      <c r="C106" s="26" t="s">
        <v>283</v>
      </c>
      <c r="D106" s="26">
        <v>7</v>
      </c>
      <c r="E106" s="26">
        <v>13124</v>
      </c>
      <c r="F106" s="26">
        <v>160.71700000000001</v>
      </c>
      <c r="G106" s="19">
        <v>-1.8559628652718712</v>
      </c>
      <c r="H106" s="20">
        <v>25.544855705704681</v>
      </c>
    </row>
    <row r="107" spans="1:8" hidden="1" x14ac:dyDescent="0.25">
      <c r="A107" s="27">
        <v>70</v>
      </c>
      <c r="B107" s="26" t="s">
        <v>1096</v>
      </c>
      <c r="C107" s="26" t="s">
        <v>283</v>
      </c>
      <c r="D107" s="26">
        <v>6</v>
      </c>
      <c r="E107" s="26">
        <v>12683</v>
      </c>
      <c r="F107" s="26">
        <v>160.99100000000001</v>
      </c>
      <c r="G107" s="33"/>
      <c r="H107" s="34"/>
    </row>
    <row r="108" spans="1:8" ht="16.5" x14ac:dyDescent="0.25">
      <c r="A108" s="27">
        <v>70</v>
      </c>
      <c r="B108" s="26" t="s">
        <v>1096</v>
      </c>
      <c r="C108" s="26" t="s">
        <v>283</v>
      </c>
      <c r="D108" s="26">
        <v>7</v>
      </c>
      <c r="E108" s="26">
        <v>11840</v>
      </c>
      <c r="F108" s="26">
        <v>149.66200000000001</v>
      </c>
      <c r="G108" s="19">
        <v>-1.4903782185647629</v>
      </c>
      <c r="H108" s="20">
        <v>25.290689637442735</v>
      </c>
    </row>
    <row r="109" spans="1:8" hidden="1" x14ac:dyDescent="0.25">
      <c r="A109" s="188">
        <v>71</v>
      </c>
      <c r="B109" s="189" t="s">
        <v>0</v>
      </c>
      <c r="C109" s="189" t="s">
        <v>518</v>
      </c>
      <c r="D109" s="189">
        <v>6</v>
      </c>
      <c r="E109" s="189">
        <v>14004</v>
      </c>
      <c r="F109" s="189">
        <v>174.72</v>
      </c>
      <c r="G109" s="193"/>
      <c r="H109" s="194"/>
    </row>
    <row r="110" spans="1:8" ht="16.5" hidden="1" x14ac:dyDescent="0.25">
      <c r="A110" s="27">
        <v>73</v>
      </c>
      <c r="B110" s="26" t="s">
        <v>1105</v>
      </c>
      <c r="C110" s="26" t="s">
        <v>729</v>
      </c>
      <c r="D110" s="26">
        <v>6</v>
      </c>
      <c r="E110" s="26">
        <v>14937</v>
      </c>
      <c r="F110" s="26">
        <v>188.40899999999999</v>
      </c>
      <c r="G110" s="35"/>
      <c r="H110" s="36"/>
    </row>
    <row r="111" spans="1:8" ht="16.5" x14ac:dyDescent="0.25">
      <c r="A111" s="27">
        <v>73</v>
      </c>
      <c r="B111" s="26" t="s">
        <v>1105</v>
      </c>
      <c r="C111" s="26" t="s">
        <v>729</v>
      </c>
      <c r="D111" s="26">
        <v>7</v>
      </c>
      <c r="E111" s="26">
        <v>13820</v>
      </c>
      <c r="F111" s="26">
        <v>174.65799999999999</v>
      </c>
      <c r="G111" s="19">
        <v>-1.7228383322621093</v>
      </c>
      <c r="H111" s="20">
        <v>25.234418468508483</v>
      </c>
    </row>
    <row r="112" spans="1:8" hidden="1" x14ac:dyDescent="0.25">
      <c r="A112" s="27">
        <v>74</v>
      </c>
      <c r="B112" s="26" t="s">
        <v>1111</v>
      </c>
      <c r="C112" s="26" t="s">
        <v>518</v>
      </c>
      <c r="D112" s="26">
        <v>6</v>
      </c>
      <c r="E112" s="26">
        <v>13729</v>
      </c>
      <c r="F112" s="26">
        <v>170.12200000000001</v>
      </c>
      <c r="G112" s="33"/>
      <c r="H112" s="34"/>
    </row>
    <row r="113" spans="1:8" ht="16.5" x14ac:dyDescent="0.25">
      <c r="A113" s="27">
        <v>74</v>
      </c>
      <c r="B113" s="26" t="s">
        <v>1111</v>
      </c>
      <c r="C113" s="26" t="s">
        <v>518</v>
      </c>
      <c r="D113" s="26">
        <v>7</v>
      </c>
      <c r="E113" s="26">
        <v>12953</v>
      </c>
      <c r="F113" s="26">
        <v>159.03</v>
      </c>
      <c r="G113" s="19">
        <v>-1.9318416755084782</v>
      </c>
      <c r="H113" s="20">
        <v>25.463158471863647</v>
      </c>
    </row>
    <row r="114" spans="1:8" hidden="1" x14ac:dyDescent="0.25">
      <c r="A114" s="27">
        <v>75</v>
      </c>
      <c r="B114" s="26" t="s">
        <v>1115</v>
      </c>
      <c r="C114" s="26" t="s">
        <v>635</v>
      </c>
      <c r="D114" s="26">
        <v>6</v>
      </c>
      <c r="E114" s="26">
        <v>14160</v>
      </c>
      <c r="F114" s="26">
        <v>180.126</v>
      </c>
      <c r="G114" s="33"/>
      <c r="H114" s="34"/>
    </row>
    <row r="115" spans="1:8" ht="16.5" x14ac:dyDescent="0.25">
      <c r="A115" s="27">
        <v>75</v>
      </c>
      <c r="B115" s="26" t="s">
        <v>1115</v>
      </c>
      <c r="C115" s="26" t="s">
        <v>635</v>
      </c>
      <c r="D115" s="26">
        <v>7</v>
      </c>
      <c r="E115" s="26">
        <v>13142</v>
      </c>
      <c r="F115" s="26">
        <v>167.089</v>
      </c>
      <c r="G115" s="19">
        <v>-1.7870717461800989</v>
      </c>
      <c r="H115" s="20">
        <v>25.601936447131916</v>
      </c>
    </row>
    <row r="116" spans="1:8" hidden="1" x14ac:dyDescent="0.25">
      <c r="A116" s="27">
        <v>76</v>
      </c>
      <c r="B116" s="26" t="s">
        <v>1121</v>
      </c>
      <c r="C116" s="26" t="s">
        <v>267</v>
      </c>
      <c r="D116" s="26">
        <v>6</v>
      </c>
      <c r="E116" s="26">
        <v>14321</v>
      </c>
      <c r="F116" s="26">
        <v>175.31800000000001</v>
      </c>
      <c r="G116" s="33"/>
      <c r="H116" s="34"/>
    </row>
    <row r="117" spans="1:8" ht="16.5" x14ac:dyDescent="0.25">
      <c r="A117" s="27">
        <v>76</v>
      </c>
      <c r="B117" s="26" t="s">
        <v>1121</v>
      </c>
      <c r="C117" s="26" t="s">
        <v>267</v>
      </c>
      <c r="D117" s="26">
        <v>7</v>
      </c>
      <c r="E117" s="26">
        <v>13483</v>
      </c>
      <c r="F117" s="26">
        <v>163.94</v>
      </c>
      <c r="G117" s="19">
        <v>-1.7528823314545088</v>
      </c>
      <c r="H117" s="20">
        <v>25.547255019824323</v>
      </c>
    </row>
    <row r="118" spans="1:8" ht="16.5" hidden="1" x14ac:dyDescent="0.25">
      <c r="A118" s="27">
        <v>77</v>
      </c>
      <c r="B118" s="26" t="s">
        <v>1126</v>
      </c>
      <c r="C118" s="26" t="s">
        <v>286</v>
      </c>
      <c r="D118" s="26">
        <v>6</v>
      </c>
      <c r="E118" s="26">
        <v>12869</v>
      </c>
      <c r="F118" s="26">
        <v>164.41499999999999</v>
      </c>
      <c r="G118" s="19"/>
      <c r="H118" s="20"/>
    </row>
    <row r="119" spans="1:8" ht="16.5" x14ac:dyDescent="0.25">
      <c r="A119" s="27">
        <v>77</v>
      </c>
      <c r="B119" s="26" t="s">
        <v>1126</v>
      </c>
      <c r="C119" s="26" t="s">
        <v>286</v>
      </c>
      <c r="D119" s="26">
        <v>7</v>
      </c>
      <c r="E119" s="26">
        <v>12003</v>
      </c>
      <c r="F119" s="26">
        <v>152.78800000000001</v>
      </c>
      <c r="G119" s="19">
        <v>-1.7872374721306934</v>
      </c>
      <c r="H119" s="20">
        <v>25.468310920526623</v>
      </c>
    </row>
    <row r="120" spans="1:8" hidden="1" x14ac:dyDescent="0.25">
      <c r="A120" s="27">
        <v>78</v>
      </c>
      <c r="B120" s="26" t="s">
        <v>1131</v>
      </c>
      <c r="C120" s="26" t="s">
        <v>289</v>
      </c>
      <c r="D120" s="26">
        <v>6</v>
      </c>
      <c r="E120" s="26">
        <v>14232</v>
      </c>
      <c r="F120" s="26">
        <v>172.82</v>
      </c>
      <c r="G120" s="33"/>
      <c r="H120" s="34"/>
    </row>
    <row r="121" spans="1:8" ht="16.5" x14ac:dyDescent="0.25">
      <c r="A121" s="27">
        <v>78</v>
      </c>
      <c r="B121" s="26" t="s">
        <v>1131</v>
      </c>
      <c r="C121" s="26" t="s">
        <v>289</v>
      </c>
      <c r="D121" s="26">
        <v>7</v>
      </c>
      <c r="E121" s="26">
        <v>13384</v>
      </c>
      <c r="F121" s="26">
        <v>161.65700000000001</v>
      </c>
      <c r="G121" s="19">
        <v>-1.4891080727154478</v>
      </c>
      <c r="H121" s="20">
        <v>25.317397198759412</v>
      </c>
    </row>
    <row r="122" spans="1:8" hidden="1" x14ac:dyDescent="0.25">
      <c r="A122" s="27">
        <v>79</v>
      </c>
      <c r="B122" s="26" t="s">
        <v>1135</v>
      </c>
      <c r="C122" s="26" t="s">
        <v>505</v>
      </c>
      <c r="D122" s="26">
        <v>6</v>
      </c>
      <c r="E122" s="26">
        <v>12631</v>
      </c>
      <c r="F122" s="26">
        <v>161.13300000000001</v>
      </c>
      <c r="G122" s="33"/>
      <c r="H122" s="34"/>
    </row>
    <row r="123" spans="1:8" ht="16.5" x14ac:dyDescent="0.25">
      <c r="A123" s="27">
        <v>79</v>
      </c>
      <c r="B123" s="26" t="s">
        <v>1135</v>
      </c>
      <c r="C123" s="26" t="s">
        <v>505</v>
      </c>
      <c r="D123" s="26">
        <v>7</v>
      </c>
      <c r="E123" s="26">
        <v>11774</v>
      </c>
      <c r="F123" s="26">
        <v>149.68899999999999</v>
      </c>
      <c r="G123" s="19">
        <v>-1.5453816037419521</v>
      </c>
      <c r="H123" s="20">
        <v>25.357936100295202</v>
      </c>
    </row>
    <row r="124" spans="1:8" hidden="1" x14ac:dyDescent="0.25">
      <c r="A124" s="27">
        <v>80</v>
      </c>
      <c r="B124" s="26" t="s">
        <v>1138</v>
      </c>
      <c r="C124" s="26" t="s">
        <v>328</v>
      </c>
      <c r="D124" s="26">
        <v>6</v>
      </c>
      <c r="E124" s="26">
        <v>16257</v>
      </c>
      <c r="F124" s="26">
        <v>197.03100000000001</v>
      </c>
      <c r="G124" s="51"/>
      <c r="H124" s="52"/>
    </row>
    <row r="125" spans="1:8" ht="16.5" x14ac:dyDescent="0.25">
      <c r="A125" s="27">
        <v>80</v>
      </c>
      <c r="B125" s="26" t="s">
        <v>1138</v>
      </c>
      <c r="C125" s="26" t="s">
        <v>328</v>
      </c>
      <c r="D125" s="26">
        <v>7</v>
      </c>
      <c r="E125" s="26">
        <v>15144</v>
      </c>
      <c r="F125" s="26">
        <v>185.51900000000001</v>
      </c>
      <c r="G125" s="19">
        <v>-1.9807532467540019</v>
      </c>
      <c r="H125" s="20">
        <v>25.485756423660856</v>
      </c>
    </row>
    <row r="126" spans="1:8" hidden="1" x14ac:dyDescent="0.25">
      <c r="A126" s="27">
        <v>81</v>
      </c>
      <c r="B126" s="26" t="s">
        <v>1142</v>
      </c>
      <c r="C126" s="26" t="s">
        <v>232</v>
      </c>
      <c r="D126" s="26">
        <v>6</v>
      </c>
      <c r="E126" s="26">
        <v>12871</v>
      </c>
      <c r="F126" s="26">
        <v>163.66399999999999</v>
      </c>
      <c r="G126" s="33"/>
      <c r="H126" s="34"/>
    </row>
    <row r="127" spans="1:8" ht="16.5" x14ac:dyDescent="0.25">
      <c r="A127" s="27">
        <v>81</v>
      </c>
      <c r="B127" s="26" t="s">
        <v>1142</v>
      </c>
      <c r="C127" s="26" t="s">
        <v>232</v>
      </c>
      <c r="D127" s="26">
        <v>7</v>
      </c>
      <c r="E127" s="26">
        <v>12009</v>
      </c>
      <c r="F127" s="26">
        <v>152.071</v>
      </c>
      <c r="G127" s="19">
        <v>-1.676673580495593</v>
      </c>
      <c r="H127" s="20">
        <v>25.665152689535045</v>
      </c>
    </row>
    <row r="128" spans="1:8" hidden="1" x14ac:dyDescent="0.25">
      <c r="A128" s="27">
        <v>82</v>
      </c>
      <c r="B128" s="26" t="s">
        <v>1147</v>
      </c>
      <c r="C128" s="26" t="s">
        <v>227</v>
      </c>
      <c r="D128" s="26">
        <v>6</v>
      </c>
      <c r="E128" s="26">
        <v>13282</v>
      </c>
      <c r="F128" s="26">
        <v>163.73400000000001</v>
      </c>
      <c r="G128" s="33"/>
      <c r="H128" s="34"/>
    </row>
    <row r="129" spans="1:8" ht="16.5" x14ac:dyDescent="0.25">
      <c r="A129" s="27">
        <v>82</v>
      </c>
      <c r="B129" s="26" t="s">
        <v>1147</v>
      </c>
      <c r="C129" s="26" t="s">
        <v>227</v>
      </c>
      <c r="D129" s="26">
        <v>7</v>
      </c>
      <c r="E129" s="26">
        <v>12284</v>
      </c>
      <c r="F129" s="26">
        <v>151.84700000000001</v>
      </c>
      <c r="G129" s="19">
        <v>-1.4925248481649442</v>
      </c>
      <c r="H129" s="20">
        <v>25.712775350384444</v>
      </c>
    </row>
    <row r="130" spans="1:8" hidden="1" x14ac:dyDescent="0.25">
      <c r="A130" s="188">
        <v>83</v>
      </c>
      <c r="B130" s="189" t="s">
        <v>0</v>
      </c>
      <c r="C130" s="189" t="s">
        <v>518</v>
      </c>
      <c r="D130" s="189">
        <v>6</v>
      </c>
      <c r="E130" s="189">
        <v>13181</v>
      </c>
      <c r="F130" s="189">
        <v>166.489</v>
      </c>
      <c r="G130" s="193"/>
      <c r="H130" s="194"/>
    </row>
    <row r="131" spans="1:8" hidden="1" x14ac:dyDescent="0.25">
      <c r="A131" s="27">
        <v>85</v>
      </c>
      <c r="B131" s="26" t="s">
        <v>1158</v>
      </c>
      <c r="C131" s="26" t="s">
        <v>260</v>
      </c>
      <c r="D131" s="26">
        <v>6</v>
      </c>
      <c r="E131" s="26">
        <v>13750</v>
      </c>
      <c r="F131" s="26">
        <v>173.81100000000001</v>
      </c>
      <c r="G131" s="33"/>
      <c r="H131" s="34"/>
    </row>
    <row r="132" spans="1:8" ht="16.5" x14ac:dyDescent="0.25">
      <c r="A132" s="27">
        <v>85</v>
      </c>
      <c r="B132" s="26" t="s">
        <v>1158</v>
      </c>
      <c r="C132" s="26" t="s">
        <v>260</v>
      </c>
      <c r="D132" s="26">
        <v>7</v>
      </c>
      <c r="E132" s="26">
        <v>12754</v>
      </c>
      <c r="F132" s="26">
        <v>161.33600000000001</v>
      </c>
      <c r="G132" s="19">
        <v>-1.4372565029573212</v>
      </c>
      <c r="H132" s="20">
        <v>25.652858164895829</v>
      </c>
    </row>
    <row r="133" spans="1:8" hidden="1" x14ac:dyDescent="0.25">
      <c r="A133" s="27">
        <v>86</v>
      </c>
      <c r="B133" s="26" t="s">
        <v>1161</v>
      </c>
      <c r="C133" s="26" t="s">
        <v>518</v>
      </c>
      <c r="D133" s="26">
        <v>6</v>
      </c>
      <c r="E133" s="26">
        <v>13371</v>
      </c>
      <c r="F133" s="26">
        <v>164.892</v>
      </c>
      <c r="G133" s="33"/>
      <c r="H133" s="34"/>
    </row>
    <row r="134" spans="1:8" ht="16.5" x14ac:dyDescent="0.25">
      <c r="A134" s="27">
        <v>86</v>
      </c>
      <c r="B134" s="26" t="s">
        <v>1161</v>
      </c>
      <c r="C134" s="26" t="s">
        <v>518</v>
      </c>
      <c r="D134" s="26">
        <v>7</v>
      </c>
      <c r="E134" s="26">
        <v>12608</v>
      </c>
      <c r="F134" s="26">
        <v>154.32499999999999</v>
      </c>
      <c r="G134" s="19">
        <v>-1.4061713015160482</v>
      </c>
      <c r="H134" s="20">
        <v>25.522509642685559</v>
      </c>
    </row>
    <row r="135" spans="1:8" ht="16.5" hidden="1" x14ac:dyDescent="0.25">
      <c r="A135" s="27">
        <v>87</v>
      </c>
      <c r="B135" s="26" t="s">
        <v>1165</v>
      </c>
      <c r="C135" s="26" t="s">
        <v>269</v>
      </c>
      <c r="D135" s="26">
        <v>6</v>
      </c>
      <c r="E135" s="26">
        <v>13071</v>
      </c>
      <c r="F135" s="26">
        <v>166.56</v>
      </c>
      <c r="G135" s="35"/>
      <c r="H135" s="36"/>
    </row>
    <row r="136" spans="1:8" ht="16.5" x14ac:dyDescent="0.25">
      <c r="A136" s="27">
        <v>87</v>
      </c>
      <c r="B136" s="26" t="s">
        <v>1165</v>
      </c>
      <c r="C136" s="26" t="s">
        <v>269</v>
      </c>
      <c r="D136" s="26">
        <v>7</v>
      </c>
      <c r="E136" s="26">
        <v>12180</v>
      </c>
      <c r="F136" s="26">
        <v>154.971</v>
      </c>
      <c r="G136" s="19">
        <v>-1.4428183968281181</v>
      </c>
      <c r="H136" s="20">
        <v>25.608743814868024</v>
      </c>
    </row>
    <row r="137" spans="1:8" hidden="1" x14ac:dyDescent="0.25">
      <c r="A137" s="27">
        <v>88</v>
      </c>
      <c r="B137" s="26" t="s">
        <v>1170</v>
      </c>
      <c r="C137" s="26" t="s">
        <v>229</v>
      </c>
      <c r="D137" s="26">
        <v>6</v>
      </c>
      <c r="E137" s="26">
        <v>15838</v>
      </c>
      <c r="F137" s="26">
        <v>192.73</v>
      </c>
      <c r="G137" s="33"/>
      <c r="H137" s="34"/>
    </row>
    <row r="138" spans="1:8" ht="16.5" x14ac:dyDescent="0.25">
      <c r="A138" s="27">
        <v>88</v>
      </c>
      <c r="B138" s="26" t="s">
        <v>1170</v>
      </c>
      <c r="C138" s="26" t="s">
        <v>229</v>
      </c>
      <c r="D138" s="26">
        <v>7</v>
      </c>
      <c r="E138" s="26">
        <v>14921</v>
      </c>
      <c r="F138" s="26">
        <v>182.52500000000001</v>
      </c>
      <c r="G138" s="19">
        <v>-1.9615063688017957</v>
      </c>
      <c r="H138" s="20">
        <v>25.664369090009455</v>
      </c>
    </row>
    <row r="139" spans="1:8" ht="16.5" hidden="1" x14ac:dyDescent="0.25">
      <c r="A139" s="27">
        <v>89</v>
      </c>
      <c r="B139" s="26" t="s">
        <v>1174</v>
      </c>
      <c r="C139" s="26" t="s">
        <v>537</v>
      </c>
      <c r="D139" s="26">
        <v>6</v>
      </c>
      <c r="E139" s="26">
        <v>11779</v>
      </c>
      <c r="F139" s="26">
        <v>150.273</v>
      </c>
      <c r="G139" s="19"/>
      <c r="H139" s="20"/>
    </row>
    <row r="140" spans="1:8" ht="16.5" x14ac:dyDescent="0.25">
      <c r="A140" s="27">
        <v>89</v>
      </c>
      <c r="B140" s="26" t="s">
        <v>1174</v>
      </c>
      <c r="C140" s="26" t="s">
        <v>537</v>
      </c>
      <c r="D140" s="26">
        <v>7</v>
      </c>
      <c r="E140" s="26">
        <v>10989</v>
      </c>
      <c r="F140" s="26">
        <v>139.714</v>
      </c>
      <c r="G140" s="19">
        <v>-2.3302161334344049</v>
      </c>
      <c r="H140" s="20">
        <v>25.786404302430991</v>
      </c>
    </row>
    <row r="141" spans="1:8" hidden="1" x14ac:dyDescent="0.25">
      <c r="A141" s="27">
        <v>90</v>
      </c>
      <c r="B141" s="26" t="s">
        <v>1179</v>
      </c>
      <c r="C141" s="26" t="s">
        <v>339</v>
      </c>
      <c r="D141" s="26">
        <v>6</v>
      </c>
      <c r="E141" s="26">
        <v>15481</v>
      </c>
      <c r="F141" s="26">
        <v>187.35499999999999</v>
      </c>
      <c r="G141" s="157"/>
      <c r="H141" s="107"/>
    </row>
    <row r="142" spans="1:8" ht="16.5" x14ac:dyDescent="0.25">
      <c r="A142" s="27">
        <v>90</v>
      </c>
      <c r="B142" s="26" t="s">
        <v>1179</v>
      </c>
      <c r="C142" s="26" t="s">
        <v>339</v>
      </c>
      <c r="D142" s="26">
        <v>7</v>
      </c>
      <c r="E142" s="26">
        <v>14418</v>
      </c>
      <c r="F142" s="26">
        <v>174.16200000000001</v>
      </c>
      <c r="G142" s="19">
        <v>-2.0531613828276973</v>
      </c>
      <c r="H142" s="20">
        <v>25.971083371861088</v>
      </c>
    </row>
    <row r="143" spans="1:8" hidden="1" x14ac:dyDescent="0.25">
      <c r="A143" s="27">
        <v>91</v>
      </c>
      <c r="B143" s="26" t="s">
        <v>1182</v>
      </c>
      <c r="C143" s="26" t="s">
        <v>296</v>
      </c>
      <c r="D143" s="26">
        <v>6</v>
      </c>
      <c r="E143" s="26">
        <v>14670</v>
      </c>
      <c r="F143" s="26">
        <v>186.44399999999999</v>
      </c>
      <c r="G143" s="33"/>
      <c r="H143" s="34"/>
    </row>
    <row r="144" spans="1:8" ht="16.5" x14ac:dyDescent="0.25">
      <c r="A144" s="27">
        <v>91</v>
      </c>
      <c r="B144" s="26" t="s">
        <v>1182</v>
      </c>
      <c r="C144" s="26" t="s">
        <v>296</v>
      </c>
      <c r="D144" s="26">
        <v>7</v>
      </c>
      <c r="E144" s="26">
        <v>13675</v>
      </c>
      <c r="F144" s="26">
        <v>172.95699999999999</v>
      </c>
      <c r="G144" s="19">
        <v>-1.734014003811944</v>
      </c>
      <c r="H144" s="20">
        <v>25.986558359865601</v>
      </c>
    </row>
    <row r="145" spans="1:8" hidden="1" x14ac:dyDescent="0.25">
      <c r="A145" s="27">
        <v>92</v>
      </c>
      <c r="B145" s="26" t="s">
        <v>1185</v>
      </c>
      <c r="C145" s="26" t="s">
        <v>229</v>
      </c>
      <c r="D145" s="26">
        <v>6</v>
      </c>
      <c r="E145" s="26">
        <v>14943</v>
      </c>
      <c r="F145" s="26">
        <v>181.815</v>
      </c>
      <c r="G145" s="33"/>
      <c r="H145" s="34"/>
    </row>
    <row r="146" spans="1:8" ht="16.5" x14ac:dyDescent="0.25">
      <c r="A146" s="27">
        <v>92</v>
      </c>
      <c r="B146" s="26" t="s">
        <v>1185</v>
      </c>
      <c r="C146" s="26" t="s">
        <v>229</v>
      </c>
      <c r="D146" s="26">
        <v>7</v>
      </c>
      <c r="E146" s="26">
        <v>13809</v>
      </c>
      <c r="F146" s="26">
        <v>168.69499999999999</v>
      </c>
      <c r="G146" s="19">
        <v>-1.6035184183284867</v>
      </c>
      <c r="H146" s="20">
        <v>25.818465725421898</v>
      </c>
    </row>
    <row r="147" spans="1:8" hidden="1" x14ac:dyDescent="0.25">
      <c r="A147" s="27">
        <v>93</v>
      </c>
      <c r="B147" s="26" t="s">
        <v>1190</v>
      </c>
      <c r="C147" s="26" t="s">
        <v>635</v>
      </c>
      <c r="D147" s="26">
        <v>6</v>
      </c>
      <c r="E147" s="26">
        <v>13508</v>
      </c>
      <c r="F147" s="26">
        <v>171.56200000000001</v>
      </c>
      <c r="G147" s="33"/>
      <c r="H147" s="34"/>
    </row>
    <row r="148" spans="1:8" ht="16.5" x14ac:dyDescent="0.25">
      <c r="A148" s="27">
        <v>93</v>
      </c>
      <c r="B148" s="26" t="s">
        <v>1190</v>
      </c>
      <c r="C148" s="26" t="s">
        <v>635</v>
      </c>
      <c r="D148" s="26">
        <v>7</v>
      </c>
      <c r="E148" s="26">
        <v>12613</v>
      </c>
      <c r="F148" s="26">
        <v>159.559</v>
      </c>
      <c r="G148" s="19">
        <v>-1.5022515510312355</v>
      </c>
      <c r="H148" s="20">
        <v>25.490825562805778</v>
      </c>
    </row>
    <row r="149" spans="1:8" hidden="1" x14ac:dyDescent="0.25">
      <c r="A149" s="27">
        <v>94</v>
      </c>
      <c r="B149" s="26" t="s">
        <v>1194</v>
      </c>
      <c r="C149" s="26" t="s">
        <v>296</v>
      </c>
      <c r="D149" s="26">
        <v>6</v>
      </c>
      <c r="E149" s="26">
        <v>15123</v>
      </c>
      <c r="F149" s="26">
        <v>186.93899999999999</v>
      </c>
      <c r="G149" s="33"/>
      <c r="H149" s="34"/>
    </row>
    <row r="150" spans="1:8" ht="16.5" x14ac:dyDescent="0.25">
      <c r="A150" s="27">
        <v>94</v>
      </c>
      <c r="B150" s="26" t="s">
        <v>1194</v>
      </c>
      <c r="C150" s="26" t="s">
        <v>296</v>
      </c>
      <c r="D150" s="26">
        <v>7</v>
      </c>
      <c r="E150" s="26">
        <v>13957</v>
      </c>
      <c r="F150" s="26">
        <v>173.42500000000001</v>
      </c>
      <c r="G150" s="19">
        <v>-1.615005392727767</v>
      </c>
      <c r="H150" s="20">
        <v>25.558587074502139</v>
      </c>
    </row>
    <row r="151" spans="1:8" hidden="1" x14ac:dyDescent="0.25">
      <c r="A151" s="201">
        <v>95</v>
      </c>
      <c r="B151" s="202" t="s">
        <v>0</v>
      </c>
      <c r="C151" s="202" t="s">
        <v>513</v>
      </c>
      <c r="D151" s="202">
        <v>6</v>
      </c>
      <c r="E151" s="189">
        <v>12129</v>
      </c>
      <c r="F151" s="189">
        <v>153.238</v>
      </c>
      <c r="G151" s="193"/>
      <c r="H151" s="194"/>
    </row>
    <row r="152" spans="1:8" hidden="1" x14ac:dyDescent="0.25">
      <c r="A152" s="27">
        <v>100</v>
      </c>
      <c r="B152" s="26" t="s">
        <v>1215</v>
      </c>
      <c r="C152" s="26" t="s">
        <v>537</v>
      </c>
      <c r="D152" s="26">
        <v>6</v>
      </c>
      <c r="E152" s="26">
        <v>12272</v>
      </c>
      <c r="F152" s="26">
        <v>156.43700000000001</v>
      </c>
      <c r="G152" s="33"/>
      <c r="H152" s="34"/>
    </row>
    <row r="153" spans="1:8" ht="16.5" x14ac:dyDescent="0.25">
      <c r="A153" s="27">
        <v>100</v>
      </c>
      <c r="B153" s="26" t="s">
        <v>1215</v>
      </c>
      <c r="C153" s="26" t="s">
        <v>537</v>
      </c>
      <c r="D153" s="26">
        <v>7</v>
      </c>
      <c r="E153" s="26">
        <v>11454</v>
      </c>
      <c r="F153" s="26">
        <v>145.48400000000001</v>
      </c>
      <c r="G153" s="19">
        <v>-1.4156239772786203</v>
      </c>
      <c r="H153" s="20">
        <v>25.58260863894591</v>
      </c>
    </row>
    <row r="154" spans="1:8" hidden="1" x14ac:dyDescent="0.25">
      <c r="A154" s="27">
        <v>101</v>
      </c>
      <c r="B154" s="26" t="s">
        <v>1219</v>
      </c>
      <c r="C154" s="26" t="s">
        <v>297</v>
      </c>
      <c r="D154" s="26">
        <v>6</v>
      </c>
      <c r="E154" s="26">
        <v>15789</v>
      </c>
      <c r="F154" s="26">
        <v>190.989</v>
      </c>
      <c r="G154" s="33"/>
      <c r="H154" s="34"/>
    </row>
    <row r="155" spans="1:8" ht="16.5" x14ac:dyDescent="0.25">
      <c r="A155" s="27">
        <v>101</v>
      </c>
      <c r="B155" s="26" t="s">
        <v>1219</v>
      </c>
      <c r="C155" s="26" t="s">
        <v>297</v>
      </c>
      <c r="D155" s="26">
        <v>7</v>
      </c>
      <c r="E155" s="26">
        <v>14726</v>
      </c>
      <c r="F155" s="26">
        <v>180.03700000000001</v>
      </c>
      <c r="G155" s="19">
        <v>-1.9237399936653443</v>
      </c>
      <c r="H155" s="20">
        <v>25.542778358369471</v>
      </c>
    </row>
    <row r="156" spans="1:8" hidden="1" x14ac:dyDescent="0.25">
      <c r="A156" s="27">
        <v>102</v>
      </c>
      <c r="B156" s="26" t="s">
        <v>1223</v>
      </c>
      <c r="C156" s="26" t="s">
        <v>752</v>
      </c>
      <c r="D156" s="26">
        <v>6</v>
      </c>
      <c r="E156" s="26">
        <v>16691</v>
      </c>
      <c r="F156" s="26">
        <v>211.148</v>
      </c>
      <c r="G156" s="33"/>
      <c r="H156" s="34"/>
    </row>
    <row r="157" spans="1:8" ht="16.5" x14ac:dyDescent="0.25">
      <c r="A157" s="27">
        <v>102</v>
      </c>
      <c r="B157" s="26" t="s">
        <v>1223</v>
      </c>
      <c r="C157" s="26" t="s">
        <v>752</v>
      </c>
      <c r="D157" s="26">
        <v>7</v>
      </c>
      <c r="E157" s="26">
        <v>15545</v>
      </c>
      <c r="F157" s="26">
        <v>196.21899999999999</v>
      </c>
      <c r="G157" s="19">
        <v>-1.7224330844589071</v>
      </c>
      <c r="H157" s="20">
        <v>25.646034625312101</v>
      </c>
    </row>
    <row r="158" spans="1:8" hidden="1" x14ac:dyDescent="0.25">
      <c r="A158" s="27">
        <v>103</v>
      </c>
      <c r="B158" s="26" t="s">
        <v>1228</v>
      </c>
      <c r="C158" s="26" t="s">
        <v>254</v>
      </c>
      <c r="D158" s="26">
        <v>6</v>
      </c>
      <c r="E158" s="26">
        <v>14966</v>
      </c>
      <c r="F158" s="26">
        <v>183.86600000000001</v>
      </c>
      <c r="G158" s="33"/>
      <c r="H158" s="34"/>
    </row>
    <row r="159" spans="1:8" ht="16.5" x14ac:dyDescent="0.25">
      <c r="A159" s="27">
        <v>103</v>
      </c>
      <c r="B159" s="26" t="s">
        <v>1228</v>
      </c>
      <c r="C159" s="26" t="s">
        <v>254</v>
      </c>
      <c r="D159" s="26">
        <v>7</v>
      </c>
      <c r="E159" s="26">
        <v>13823</v>
      </c>
      <c r="F159" s="26">
        <v>170.726</v>
      </c>
      <c r="G159" s="19">
        <v>-1.5863083576444572</v>
      </c>
      <c r="H159" s="20">
        <v>25.481465493425635</v>
      </c>
    </row>
    <row r="160" spans="1:8" ht="16.5" hidden="1" x14ac:dyDescent="0.25">
      <c r="A160" s="27">
        <v>104</v>
      </c>
      <c r="B160" s="26" t="s">
        <v>1231</v>
      </c>
      <c r="C160" s="26" t="s">
        <v>227</v>
      </c>
      <c r="D160" s="26">
        <v>6</v>
      </c>
      <c r="E160" s="26">
        <v>12688</v>
      </c>
      <c r="F160" s="26">
        <v>160.41</v>
      </c>
      <c r="G160" s="35"/>
      <c r="H160" s="36"/>
    </row>
    <row r="161" spans="1:8" ht="16.5" x14ac:dyDescent="0.25">
      <c r="A161" s="27">
        <v>104</v>
      </c>
      <c r="B161" s="26" t="s">
        <v>1231</v>
      </c>
      <c r="C161" s="26" t="s">
        <v>227</v>
      </c>
      <c r="D161" s="26">
        <v>7</v>
      </c>
      <c r="E161" s="26">
        <v>11897</v>
      </c>
      <c r="F161" s="26">
        <v>149.19300000000001</v>
      </c>
      <c r="G161" s="19">
        <v>-1.5189611596425725</v>
      </c>
      <c r="H161" s="20">
        <v>25.365237934523687</v>
      </c>
    </row>
    <row r="162" spans="1:8" hidden="1" x14ac:dyDescent="0.25">
      <c r="A162" s="27">
        <v>105</v>
      </c>
      <c r="B162" s="26" t="s">
        <v>1234</v>
      </c>
      <c r="C162" s="26" t="s">
        <v>286</v>
      </c>
      <c r="D162" s="26">
        <v>6</v>
      </c>
      <c r="E162" s="26">
        <v>13966</v>
      </c>
      <c r="F162" s="26">
        <v>175.637</v>
      </c>
      <c r="G162" s="33"/>
      <c r="H162" s="34"/>
    </row>
    <row r="163" spans="1:8" ht="16.5" x14ac:dyDescent="0.25">
      <c r="A163" s="27">
        <v>105</v>
      </c>
      <c r="B163" s="26" t="s">
        <v>1234</v>
      </c>
      <c r="C163" s="26" t="s">
        <v>286</v>
      </c>
      <c r="D163" s="26">
        <v>7</v>
      </c>
      <c r="E163" s="26">
        <v>12932</v>
      </c>
      <c r="F163" s="26">
        <v>162.941</v>
      </c>
      <c r="G163" s="19">
        <v>-1.6734865042359786</v>
      </c>
      <c r="H163" s="20">
        <v>25.4277607477031</v>
      </c>
    </row>
    <row r="164" spans="1:8" hidden="1" x14ac:dyDescent="0.25">
      <c r="A164" s="27">
        <v>106</v>
      </c>
      <c r="B164" s="26" t="s">
        <v>1239</v>
      </c>
      <c r="C164" s="26" t="s">
        <v>635</v>
      </c>
      <c r="D164" s="26">
        <v>6</v>
      </c>
      <c r="E164" s="26">
        <v>15574</v>
      </c>
      <c r="F164" s="26">
        <v>193.59100000000001</v>
      </c>
      <c r="G164" s="33"/>
      <c r="H164" s="34"/>
    </row>
    <row r="165" spans="1:8" ht="16.5" x14ac:dyDescent="0.25">
      <c r="A165" s="27">
        <v>106</v>
      </c>
      <c r="B165" s="26" t="s">
        <v>1239</v>
      </c>
      <c r="C165" s="26" t="s">
        <v>635</v>
      </c>
      <c r="D165" s="26">
        <v>7</v>
      </c>
      <c r="E165" s="26">
        <v>14677</v>
      </c>
      <c r="F165" s="26">
        <v>180.739</v>
      </c>
      <c r="G165" s="19">
        <v>-1.6401219413161601</v>
      </c>
      <c r="H165" s="20">
        <v>25.432260931845402</v>
      </c>
    </row>
    <row r="166" spans="1:8" ht="16.5" hidden="1" x14ac:dyDescent="0.25">
      <c r="A166" s="188">
        <v>107</v>
      </c>
      <c r="B166" s="189" t="s">
        <v>0</v>
      </c>
      <c r="C166" s="189" t="s">
        <v>737</v>
      </c>
      <c r="D166" s="189">
        <v>6</v>
      </c>
      <c r="E166" s="189">
        <v>15094</v>
      </c>
      <c r="F166" s="189">
        <v>191.33099999999999</v>
      </c>
      <c r="G166" s="198"/>
      <c r="H166" s="199"/>
    </row>
    <row r="167" spans="1:8" hidden="1" x14ac:dyDescent="0.25">
      <c r="A167" s="108">
        <v>109</v>
      </c>
      <c r="B167" s="65" t="s">
        <v>1248</v>
      </c>
      <c r="C167" s="65" t="s">
        <v>513</v>
      </c>
      <c r="D167" s="65">
        <v>6</v>
      </c>
      <c r="E167" s="65">
        <v>14391</v>
      </c>
      <c r="F167" s="65">
        <v>183.39699999999999</v>
      </c>
      <c r="G167" s="157"/>
      <c r="H167" s="107"/>
    </row>
    <row r="168" spans="1:8" ht="16.5" x14ac:dyDescent="0.25">
      <c r="A168" s="108">
        <v>109</v>
      </c>
      <c r="B168" s="65" t="s">
        <v>1248</v>
      </c>
      <c r="C168" s="65" t="s">
        <v>513</v>
      </c>
      <c r="D168" s="65">
        <v>7</v>
      </c>
      <c r="E168" s="65">
        <v>13436</v>
      </c>
      <c r="F168" s="65">
        <v>172.32499999999999</v>
      </c>
      <c r="G168" s="19">
        <v>-1.9938667533553203</v>
      </c>
      <c r="H168" s="20">
        <v>25.399086101648638</v>
      </c>
    </row>
    <row r="169" spans="1:8" hidden="1" x14ac:dyDescent="0.25">
      <c r="A169" s="108">
        <v>110</v>
      </c>
      <c r="B169" s="65" t="s">
        <v>1252</v>
      </c>
      <c r="C169" s="65" t="s">
        <v>551</v>
      </c>
      <c r="D169" s="65">
        <v>6</v>
      </c>
      <c r="E169" s="65">
        <v>12043</v>
      </c>
      <c r="F169" s="65">
        <v>147.126</v>
      </c>
      <c r="G169" s="157"/>
      <c r="H169" s="107"/>
    </row>
    <row r="170" spans="1:8" ht="16.5" x14ac:dyDescent="0.25">
      <c r="A170" s="108">
        <v>110</v>
      </c>
      <c r="B170" s="65" t="s">
        <v>1252</v>
      </c>
      <c r="C170" s="65" t="s">
        <v>551</v>
      </c>
      <c r="D170" s="65">
        <v>7</v>
      </c>
      <c r="E170" s="65">
        <v>11335</v>
      </c>
      <c r="F170" s="65">
        <v>137.703</v>
      </c>
      <c r="G170" s="19">
        <v>-1.9965060272706432</v>
      </c>
      <c r="H170" s="20">
        <v>25.570680676186083</v>
      </c>
    </row>
    <row r="171" spans="1:8" ht="15.75" hidden="1" x14ac:dyDescent="0.25">
      <c r="A171" s="108">
        <v>111</v>
      </c>
      <c r="B171" s="65" t="s">
        <v>1257</v>
      </c>
      <c r="C171" s="65" t="s">
        <v>518</v>
      </c>
      <c r="D171" s="65">
        <v>6</v>
      </c>
      <c r="E171" s="65">
        <v>12680</v>
      </c>
      <c r="F171" s="65">
        <v>161.88200000000001</v>
      </c>
      <c r="G171" s="158"/>
      <c r="H171" s="159"/>
    </row>
    <row r="172" spans="1:8" ht="16.5" x14ac:dyDescent="0.25">
      <c r="A172" s="108">
        <v>111</v>
      </c>
      <c r="B172" s="65" t="s">
        <v>1257</v>
      </c>
      <c r="C172" s="65" t="s">
        <v>518</v>
      </c>
      <c r="D172" s="65">
        <v>7</v>
      </c>
      <c r="E172" s="65">
        <v>11824</v>
      </c>
      <c r="F172" s="65">
        <v>150.43</v>
      </c>
      <c r="G172" s="19">
        <v>-1.5063435715773041</v>
      </c>
      <c r="H172" s="20">
        <v>25.62594821045592</v>
      </c>
    </row>
    <row r="173" spans="1:8" ht="15.75" hidden="1" x14ac:dyDescent="0.25">
      <c r="A173" s="178">
        <v>112</v>
      </c>
      <c r="B173" s="30" t="s">
        <v>1261</v>
      </c>
      <c r="C173" s="30" t="s">
        <v>783</v>
      </c>
      <c r="D173" s="30">
        <v>6</v>
      </c>
      <c r="E173" s="30">
        <v>17155</v>
      </c>
      <c r="F173" s="30">
        <v>207.27</v>
      </c>
      <c r="G173" s="158"/>
      <c r="H173" s="159"/>
    </row>
    <row r="174" spans="1:8" ht="16.5" x14ac:dyDescent="0.25">
      <c r="A174" s="178">
        <v>112</v>
      </c>
      <c r="B174" s="30" t="s">
        <v>1261</v>
      </c>
      <c r="C174" s="30" t="s">
        <v>783</v>
      </c>
      <c r="D174" s="30">
        <v>7</v>
      </c>
      <c r="E174" s="30">
        <v>16081</v>
      </c>
      <c r="F174" s="30">
        <v>195.679</v>
      </c>
      <c r="G174" s="19">
        <v>-1.6448693097702041</v>
      </c>
      <c r="H174" s="20">
        <v>25.650876378478376</v>
      </c>
    </row>
    <row r="175" spans="1:8" hidden="1" x14ac:dyDescent="0.25">
      <c r="A175" s="108">
        <v>113</v>
      </c>
      <c r="B175" s="65" t="s">
        <v>1264</v>
      </c>
      <c r="C175" s="65" t="s">
        <v>227</v>
      </c>
      <c r="D175" s="65">
        <v>6</v>
      </c>
      <c r="E175" s="65">
        <v>12200</v>
      </c>
      <c r="F175" s="65">
        <v>155.44999999999999</v>
      </c>
      <c r="G175" s="33"/>
      <c r="H175" s="34"/>
    </row>
    <row r="176" spans="1:8" ht="16.5" x14ac:dyDescent="0.25">
      <c r="A176" s="108">
        <v>113</v>
      </c>
      <c r="B176" s="65" t="s">
        <v>1264</v>
      </c>
      <c r="C176" s="65" t="s">
        <v>227</v>
      </c>
      <c r="D176" s="65">
        <v>7</v>
      </c>
      <c r="E176" s="65">
        <v>11384</v>
      </c>
      <c r="F176" s="65">
        <v>144.583</v>
      </c>
      <c r="G176" s="19">
        <v>-1.3996563574977581</v>
      </c>
      <c r="H176" s="20">
        <v>25.349054815615805</v>
      </c>
    </row>
    <row r="177" spans="1:8" hidden="1" x14ac:dyDescent="0.25">
      <c r="A177" s="108">
        <v>114</v>
      </c>
      <c r="B177" s="65" t="s">
        <v>1268</v>
      </c>
      <c r="C177" s="65" t="s">
        <v>328</v>
      </c>
      <c r="D177" s="65">
        <v>6</v>
      </c>
      <c r="E177" s="65">
        <v>18483</v>
      </c>
      <c r="F177" s="65">
        <v>224.643</v>
      </c>
      <c r="G177" s="33"/>
      <c r="H177" s="34"/>
    </row>
    <row r="178" spans="1:8" ht="16.5" x14ac:dyDescent="0.25">
      <c r="A178" s="108">
        <v>114</v>
      </c>
      <c r="B178" s="65" t="s">
        <v>1268</v>
      </c>
      <c r="C178" s="65" t="s">
        <v>328</v>
      </c>
      <c r="D178" s="65">
        <v>7</v>
      </c>
      <c r="E178" s="65">
        <v>17056</v>
      </c>
      <c r="F178" s="65">
        <v>208.03399999999999</v>
      </c>
      <c r="G178" s="19">
        <v>-1.5750989364329508</v>
      </c>
      <c r="H178" s="20">
        <v>25.470203026698176</v>
      </c>
    </row>
    <row r="179" spans="1:8" hidden="1" x14ac:dyDescent="0.25">
      <c r="A179" s="108">
        <v>115</v>
      </c>
      <c r="B179" s="65" t="s">
        <v>1272</v>
      </c>
      <c r="C179" s="65" t="s">
        <v>518</v>
      </c>
      <c r="D179" s="65">
        <v>6</v>
      </c>
      <c r="E179" s="65">
        <v>14660</v>
      </c>
      <c r="F179" s="65">
        <v>185.523</v>
      </c>
      <c r="G179" s="33"/>
      <c r="H179" s="34"/>
    </row>
    <row r="180" spans="1:8" ht="16.5" x14ac:dyDescent="0.25">
      <c r="A180" s="108">
        <v>115</v>
      </c>
      <c r="B180" s="65" t="s">
        <v>1272</v>
      </c>
      <c r="C180" s="65" t="s">
        <v>518</v>
      </c>
      <c r="D180" s="65">
        <v>7</v>
      </c>
      <c r="E180" s="65">
        <v>13663</v>
      </c>
      <c r="F180" s="65">
        <v>172.2</v>
      </c>
      <c r="G180" s="19">
        <v>-2.0373443772086217</v>
      </c>
      <c r="H180" s="20">
        <v>25.306841882823345</v>
      </c>
    </row>
    <row r="181" spans="1:8" hidden="1" x14ac:dyDescent="0.25">
      <c r="A181" s="108">
        <v>116</v>
      </c>
      <c r="B181" s="65" t="s">
        <v>1277</v>
      </c>
      <c r="C181" s="65" t="s">
        <v>229</v>
      </c>
      <c r="D181" s="65">
        <v>6</v>
      </c>
      <c r="E181" s="65">
        <v>14689</v>
      </c>
      <c r="F181" s="65">
        <v>183.39</v>
      </c>
      <c r="G181" s="33"/>
      <c r="H181" s="34"/>
    </row>
    <row r="182" spans="1:8" ht="16.5" x14ac:dyDescent="0.25">
      <c r="A182" s="108">
        <v>116</v>
      </c>
      <c r="B182" s="65" t="s">
        <v>1277</v>
      </c>
      <c r="C182" s="65" t="s">
        <v>229</v>
      </c>
      <c r="D182" s="65">
        <v>7</v>
      </c>
      <c r="E182" s="65">
        <v>13582</v>
      </c>
      <c r="F182" s="65">
        <v>170.23099999999999</v>
      </c>
      <c r="G182" s="19">
        <v>-2.2686564986828506</v>
      </c>
      <c r="H182" s="20">
        <v>25.482824908737708</v>
      </c>
    </row>
    <row r="183" spans="1:8" hidden="1" x14ac:dyDescent="0.25">
      <c r="A183" s="108">
        <v>117</v>
      </c>
      <c r="B183" s="65" t="s">
        <v>1280</v>
      </c>
      <c r="C183" s="65" t="s">
        <v>286</v>
      </c>
      <c r="D183" s="65">
        <v>6</v>
      </c>
      <c r="E183" s="65">
        <v>15153</v>
      </c>
      <c r="F183" s="65">
        <v>189.762</v>
      </c>
      <c r="G183" s="33"/>
      <c r="H183" s="34"/>
    </row>
    <row r="184" spans="1:8" ht="16.5" x14ac:dyDescent="0.25">
      <c r="A184" s="108">
        <v>117</v>
      </c>
      <c r="B184" s="65" t="s">
        <v>1280</v>
      </c>
      <c r="C184" s="65" t="s">
        <v>286</v>
      </c>
      <c r="D184" s="65">
        <v>7</v>
      </c>
      <c r="E184" s="65">
        <v>14261</v>
      </c>
      <c r="F184" s="65">
        <v>176.89099999999999</v>
      </c>
      <c r="G184" s="19">
        <v>-2.311543503456905</v>
      </c>
      <c r="H184" s="20">
        <v>25.642599332832798</v>
      </c>
    </row>
    <row r="185" spans="1:8" hidden="1" x14ac:dyDescent="0.25">
      <c r="A185" s="108">
        <v>118</v>
      </c>
      <c r="B185" s="65" t="s">
        <v>1283</v>
      </c>
      <c r="C185" s="65" t="s">
        <v>296</v>
      </c>
      <c r="D185" s="65">
        <v>6</v>
      </c>
      <c r="E185" s="65">
        <v>14482</v>
      </c>
      <c r="F185" s="65">
        <v>182.965</v>
      </c>
      <c r="G185" s="33"/>
      <c r="H185" s="34"/>
    </row>
    <row r="186" spans="1:8" ht="16.5" x14ac:dyDescent="0.25">
      <c r="A186" s="108">
        <v>118</v>
      </c>
      <c r="B186" s="65" t="s">
        <v>1283</v>
      </c>
      <c r="C186" s="65" t="s">
        <v>296</v>
      </c>
      <c r="D186" s="65">
        <v>7</v>
      </c>
      <c r="E186" s="65">
        <v>13419</v>
      </c>
      <c r="F186" s="65">
        <v>169.81700000000001</v>
      </c>
      <c r="G186" s="19">
        <v>-1.642564510113832</v>
      </c>
      <c r="H186" s="20">
        <v>25.565265067457286</v>
      </c>
    </row>
    <row r="187" spans="1:8" hidden="1" x14ac:dyDescent="0.25">
      <c r="A187" s="213">
        <v>119</v>
      </c>
      <c r="B187" s="195" t="s">
        <v>0</v>
      </c>
      <c r="C187" s="195"/>
      <c r="D187" s="195">
        <v>6</v>
      </c>
      <c r="E187" s="195">
        <v>14949</v>
      </c>
      <c r="F187" s="195">
        <v>184.74199999999999</v>
      </c>
      <c r="G187" s="193"/>
      <c r="H187" s="194"/>
    </row>
    <row r="188" spans="1:8" hidden="1" x14ac:dyDescent="0.25">
      <c r="A188" s="108">
        <v>121</v>
      </c>
      <c r="B188" s="65" t="s">
        <v>1294</v>
      </c>
      <c r="C188" s="65" t="s">
        <v>513</v>
      </c>
      <c r="D188" s="65">
        <v>6</v>
      </c>
      <c r="E188" s="65">
        <v>14255</v>
      </c>
      <c r="F188" s="65">
        <v>174.42599999999999</v>
      </c>
      <c r="G188" s="33"/>
      <c r="H188" s="34"/>
    </row>
    <row r="189" spans="1:8" ht="16.5" x14ac:dyDescent="0.25">
      <c r="A189" s="108">
        <v>121</v>
      </c>
      <c r="B189" s="65" t="s">
        <v>1294</v>
      </c>
      <c r="C189" s="65" t="s">
        <v>513</v>
      </c>
      <c r="D189" s="65">
        <v>7</v>
      </c>
      <c r="E189" s="65">
        <v>13433</v>
      </c>
      <c r="F189" s="65">
        <v>163.215</v>
      </c>
      <c r="G189" s="19">
        <v>-1.8414827492360129</v>
      </c>
      <c r="H189" s="20">
        <v>25.421908499088556</v>
      </c>
    </row>
    <row r="190" spans="1:8" ht="16.5" hidden="1" x14ac:dyDescent="0.25">
      <c r="A190" s="108">
        <v>122</v>
      </c>
      <c r="B190" s="65" t="s">
        <v>1298</v>
      </c>
      <c r="C190" s="65" t="s">
        <v>260</v>
      </c>
      <c r="D190" s="65">
        <v>6</v>
      </c>
      <c r="E190" s="65">
        <v>13764</v>
      </c>
      <c r="F190" s="65">
        <v>175.476</v>
      </c>
      <c r="G190" s="19"/>
      <c r="H190" s="20"/>
    </row>
    <row r="191" spans="1:8" ht="16.5" x14ac:dyDescent="0.25">
      <c r="A191" s="108">
        <v>122</v>
      </c>
      <c r="B191" s="65" t="s">
        <v>1298</v>
      </c>
      <c r="C191" s="65" t="s">
        <v>260</v>
      </c>
      <c r="D191" s="65">
        <v>7</v>
      </c>
      <c r="E191" s="65">
        <v>12830</v>
      </c>
      <c r="F191" s="65">
        <v>163.13200000000001</v>
      </c>
      <c r="G191" s="19">
        <v>-1.9997419649807373</v>
      </c>
      <c r="H191" s="20">
        <v>25.329522164026603</v>
      </c>
    </row>
    <row r="192" spans="1:8" ht="16.5" hidden="1" x14ac:dyDescent="0.25">
      <c r="A192" s="108">
        <v>123</v>
      </c>
      <c r="B192" s="65" t="s">
        <v>1302</v>
      </c>
      <c r="C192" s="65" t="s">
        <v>283</v>
      </c>
      <c r="D192" s="65">
        <v>6</v>
      </c>
      <c r="E192" s="65">
        <v>15705</v>
      </c>
      <c r="F192" s="65">
        <v>190.04599999999999</v>
      </c>
      <c r="G192" s="19"/>
      <c r="H192" s="20"/>
    </row>
    <row r="193" spans="1:8" ht="16.5" x14ac:dyDescent="0.25">
      <c r="A193" s="108">
        <v>123</v>
      </c>
      <c r="B193" s="65" t="s">
        <v>1302</v>
      </c>
      <c r="C193" s="65" t="s">
        <v>283</v>
      </c>
      <c r="D193" s="65">
        <v>7</v>
      </c>
      <c r="E193" s="65">
        <v>14676</v>
      </c>
      <c r="F193" s="65">
        <v>177.41200000000001</v>
      </c>
      <c r="G193" s="19">
        <v>-2.1549851195425247</v>
      </c>
      <c r="H193" s="20">
        <v>25.226459959255418</v>
      </c>
    </row>
    <row r="194" spans="1:8" ht="16.5" hidden="1" x14ac:dyDescent="0.25">
      <c r="A194" s="108">
        <v>124</v>
      </c>
      <c r="B194" s="65" t="s">
        <v>1306</v>
      </c>
      <c r="C194" s="65" t="s">
        <v>294</v>
      </c>
      <c r="D194" s="65">
        <v>6</v>
      </c>
      <c r="E194" s="65">
        <v>13973</v>
      </c>
      <c r="F194" s="65">
        <v>177.64500000000001</v>
      </c>
      <c r="G194" s="19"/>
      <c r="H194" s="20"/>
    </row>
    <row r="195" spans="1:8" ht="16.5" x14ac:dyDescent="0.25">
      <c r="A195" s="108">
        <v>124</v>
      </c>
      <c r="B195" s="65" t="s">
        <v>1306</v>
      </c>
      <c r="C195" s="65" t="s">
        <v>294</v>
      </c>
      <c r="D195" s="65">
        <v>7</v>
      </c>
      <c r="E195" s="65">
        <v>13030</v>
      </c>
      <c r="F195" s="65">
        <v>165.059</v>
      </c>
      <c r="G195" s="19">
        <v>-2.1563084085158151</v>
      </c>
      <c r="H195" s="20">
        <v>25.216765671691125</v>
      </c>
    </row>
    <row r="196" spans="1:8" hidden="1" x14ac:dyDescent="0.25">
      <c r="A196" s="108">
        <v>125</v>
      </c>
      <c r="B196" s="65" t="s">
        <v>1311</v>
      </c>
      <c r="C196" s="65" t="s">
        <v>221</v>
      </c>
      <c r="D196" s="65">
        <v>6</v>
      </c>
      <c r="E196" s="65">
        <v>17454</v>
      </c>
      <c r="F196" s="65">
        <v>212.15899999999999</v>
      </c>
      <c r="G196" s="33"/>
      <c r="H196" s="34"/>
    </row>
    <row r="197" spans="1:8" ht="16.5" x14ac:dyDescent="0.25">
      <c r="A197" s="108">
        <v>125</v>
      </c>
      <c r="B197" s="65" t="s">
        <v>1311</v>
      </c>
      <c r="C197" s="65" t="s">
        <v>221</v>
      </c>
      <c r="D197" s="65">
        <v>7</v>
      </c>
      <c r="E197" s="65">
        <v>16137</v>
      </c>
      <c r="F197" s="65">
        <v>199.00700000000001</v>
      </c>
      <c r="G197" s="19">
        <v>-2.7885866596965494</v>
      </c>
      <c r="H197" s="20">
        <v>25.469981521391386</v>
      </c>
    </row>
    <row r="198" spans="1:8" hidden="1" x14ac:dyDescent="0.25">
      <c r="A198" s="108">
        <v>126</v>
      </c>
      <c r="B198" s="65" t="s">
        <v>1315</v>
      </c>
      <c r="C198" s="65" t="s">
        <v>339</v>
      </c>
      <c r="D198" s="65">
        <v>6</v>
      </c>
      <c r="E198" s="65">
        <v>12909</v>
      </c>
      <c r="F198" s="65">
        <v>163.91399999999999</v>
      </c>
      <c r="G198" s="33"/>
      <c r="H198" s="34"/>
    </row>
    <row r="199" spans="1:8" ht="16.5" x14ac:dyDescent="0.25">
      <c r="A199" s="108">
        <v>126</v>
      </c>
      <c r="B199" s="65" t="s">
        <v>1315</v>
      </c>
      <c r="C199" s="65" t="s">
        <v>339</v>
      </c>
      <c r="D199" s="65">
        <v>7</v>
      </c>
      <c r="E199" s="65">
        <v>12033</v>
      </c>
      <c r="F199" s="65">
        <v>152.15600000000001</v>
      </c>
      <c r="G199" s="19">
        <v>-2.5965357211350328</v>
      </c>
      <c r="H199" s="20">
        <v>25.526902994622372</v>
      </c>
    </row>
    <row r="200" spans="1:8" hidden="1" x14ac:dyDescent="0.25">
      <c r="A200" s="108">
        <v>127</v>
      </c>
      <c r="B200" s="65" t="s">
        <v>1319</v>
      </c>
      <c r="C200" s="65" t="s">
        <v>260</v>
      </c>
      <c r="D200" s="65">
        <v>6</v>
      </c>
      <c r="E200" s="65">
        <v>13926</v>
      </c>
      <c r="F200" s="65">
        <v>171.93100000000001</v>
      </c>
      <c r="G200" s="33"/>
      <c r="H200" s="34"/>
    </row>
    <row r="201" spans="1:8" ht="16.5" x14ac:dyDescent="0.25">
      <c r="A201" s="108">
        <v>127</v>
      </c>
      <c r="B201" s="65" t="s">
        <v>1319</v>
      </c>
      <c r="C201" s="65" t="s">
        <v>260</v>
      </c>
      <c r="D201" s="65">
        <v>7</v>
      </c>
      <c r="E201" s="65">
        <v>12849</v>
      </c>
      <c r="F201" s="65">
        <v>159.28</v>
      </c>
      <c r="G201" s="19">
        <v>-1.8861630196152868</v>
      </c>
      <c r="H201" s="20">
        <v>25.739284929081766</v>
      </c>
    </row>
    <row r="202" spans="1:8" hidden="1" x14ac:dyDescent="0.25">
      <c r="A202" s="108">
        <v>128</v>
      </c>
      <c r="B202" s="65" t="s">
        <v>1324</v>
      </c>
      <c r="C202" s="65" t="s">
        <v>513</v>
      </c>
      <c r="D202" s="65">
        <v>6</v>
      </c>
      <c r="E202" s="65">
        <v>12521</v>
      </c>
      <c r="F202" s="65">
        <v>158.58199999999999</v>
      </c>
      <c r="G202" s="33"/>
      <c r="H202" s="34"/>
    </row>
    <row r="203" spans="1:8" ht="16.5" x14ac:dyDescent="0.25">
      <c r="A203" s="108">
        <v>128</v>
      </c>
      <c r="B203" s="65" t="s">
        <v>1324</v>
      </c>
      <c r="C203" s="65" t="s">
        <v>513</v>
      </c>
      <c r="D203" s="65">
        <v>7</v>
      </c>
      <c r="E203" s="65">
        <v>11704</v>
      </c>
      <c r="F203" s="65">
        <v>147.48099999999999</v>
      </c>
      <c r="G203" s="19">
        <v>-1.8060589532279532</v>
      </c>
      <c r="H203" s="20">
        <v>25.541614965452798</v>
      </c>
    </row>
    <row r="204" spans="1:8" hidden="1" x14ac:dyDescent="0.25">
      <c r="A204" s="108">
        <v>129</v>
      </c>
      <c r="B204" s="65" t="s">
        <v>1328</v>
      </c>
      <c r="C204" s="65" t="s">
        <v>729</v>
      </c>
      <c r="D204" s="65">
        <v>6</v>
      </c>
      <c r="E204" s="65">
        <v>15960</v>
      </c>
      <c r="F204" s="65">
        <v>198.57599999999999</v>
      </c>
      <c r="G204" s="33"/>
      <c r="H204" s="34"/>
    </row>
    <row r="205" spans="1:8" ht="16.5" x14ac:dyDescent="0.25">
      <c r="A205" s="108">
        <v>129</v>
      </c>
      <c r="B205" s="65" t="s">
        <v>1328</v>
      </c>
      <c r="C205" s="65" t="s">
        <v>729</v>
      </c>
      <c r="D205" s="65">
        <v>7</v>
      </c>
      <c r="E205" s="65">
        <v>14766</v>
      </c>
      <c r="F205" s="65">
        <v>184.24299999999999</v>
      </c>
      <c r="G205" s="19">
        <v>-1.9103879726640056</v>
      </c>
      <c r="H205" s="20">
        <v>25.413417789032007</v>
      </c>
    </row>
    <row r="206" spans="1:8" hidden="1" x14ac:dyDescent="0.25">
      <c r="A206" s="108">
        <v>130</v>
      </c>
      <c r="B206" s="65" t="s">
        <v>1332</v>
      </c>
      <c r="C206" s="65" t="s">
        <v>551</v>
      </c>
      <c r="D206" s="65">
        <v>6</v>
      </c>
      <c r="E206" s="65">
        <v>12912</v>
      </c>
      <c r="F206" s="65">
        <v>162.21299999999999</v>
      </c>
      <c r="G206" s="33"/>
      <c r="H206" s="34"/>
    </row>
    <row r="207" spans="1:8" ht="16.5" x14ac:dyDescent="0.25">
      <c r="A207" s="108">
        <v>130</v>
      </c>
      <c r="B207" s="65" t="s">
        <v>1332</v>
      </c>
      <c r="C207" s="65" t="s">
        <v>551</v>
      </c>
      <c r="D207" s="65">
        <v>7</v>
      </c>
      <c r="E207" s="65">
        <v>12152</v>
      </c>
      <c r="F207" s="65">
        <v>151.32499999999999</v>
      </c>
      <c r="G207" s="19">
        <v>-2.2620277125222068</v>
      </c>
      <c r="H207" s="20">
        <v>25.285002537696325</v>
      </c>
    </row>
    <row r="208" spans="1:8" hidden="1" x14ac:dyDescent="0.25">
      <c r="A208" s="213">
        <v>131</v>
      </c>
      <c r="B208" s="195" t="s">
        <v>0</v>
      </c>
      <c r="C208" s="195"/>
      <c r="D208" s="195">
        <v>6</v>
      </c>
      <c r="E208" s="195">
        <v>16505</v>
      </c>
      <c r="F208" s="195">
        <v>207.922</v>
      </c>
      <c r="G208" s="193"/>
      <c r="H208" s="194"/>
    </row>
    <row r="209" spans="1:8" hidden="1" x14ac:dyDescent="0.25">
      <c r="A209" s="108">
        <v>133</v>
      </c>
      <c r="B209" s="65" t="s">
        <v>1343</v>
      </c>
      <c r="C209" s="65" t="s">
        <v>518</v>
      </c>
      <c r="D209" s="65">
        <v>6</v>
      </c>
      <c r="E209" s="65">
        <v>13210</v>
      </c>
      <c r="F209" s="65">
        <v>168.56899999999999</v>
      </c>
      <c r="G209" s="33"/>
      <c r="H209" s="34"/>
    </row>
    <row r="210" spans="1:8" ht="16.5" x14ac:dyDescent="0.25">
      <c r="A210" s="108">
        <v>133</v>
      </c>
      <c r="B210" s="65" t="s">
        <v>1343</v>
      </c>
      <c r="C210" s="65" t="s">
        <v>518</v>
      </c>
      <c r="D210" s="65">
        <v>7</v>
      </c>
      <c r="E210" s="65">
        <v>12307</v>
      </c>
      <c r="F210" s="65">
        <v>156.52500000000001</v>
      </c>
      <c r="G210" s="19">
        <v>-2.1961496322556098</v>
      </c>
      <c r="H210" s="20">
        <v>25.234751706580656</v>
      </c>
    </row>
    <row r="211" spans="1:8" hidden="1" x14ac:dyDescent="0.25">
      <c r="A211" s="108">
        <v>134</v>
      </c>
      <c r="B211" s="65" t="s">
        <v>1346</v>
      </c>
      <c r="C211" s="65" t="s">
        <v>1347</v>
      </c>
      <c r="D211" s="65">
        <v>6</v>
      </c>
      <c r="E211" s="65">
        <v>18688</v>
      </c>
      <c r="F211" s="65">
        <v>226.232</v>
      </c>
      <c r="G211" s="33"/>
      <c r="H211" s="34"/>
    </row>
    <row r="212" spans="1:8" ht="16.5" x14ac:dyDescent="0.25">
      <c r="A212" s="108">
        <v>134</v>
      </c>
      <c r="B212" s="65" t="s">
        <v>1346</v>
      </c>
      <c r="C212" s="65" t="s">
        <v>1347</v>
      </c>
      <c r="D212" s="65">
        <v>7</v>
      </c>
      <c r="E212" s="65">
        <v>17582</v>
      </c>
      <c r="F212" s="65">
        <v>213.834</v>
      </c>
      <c r="G212" s="19">
        <v>-2.3111324628013268</v>
      </c>
      <c r="H212" s="20">
        <v>25.25934418625101</v>
      </c>
    </row>
    <row r="213" spans="1:8" hidden="1" x14ac:dyDescent="0.25">
      <c r="A213" s="108">
        <v>135</v>
      </c>
      <c r="B213" s="65" t="s">
        <v>1352</v>
      </c>
      <c r="C213" s="65" t="s">
        <v>229</v>
      </c>
      <c r="D213" s="65">
        <v>6</v>
      </c>
      <c r="E213" s="65">
        <v>13674</v>
      </c>
      <c r="F213" s="65">
        <v>174.131</v>
      </c>
      <c r="G213" s="33"/>
      <c r="H213" s="34"/>
    </row>
    <row r="214" spans="1:8" ht="16.5" x14ac:dyDescent="0.25">
      <c r="A214" s="108">
        <v>135</v>
      </c>
      <c r="B214" s="65" t="s">
        <v>1352</v>
      </c>
      <c r="C214" s="65" t="s">
        <v>229</v>
      </c>
      <c r="D214" s="65">
        <v>7</v>
      </c>
      <c r="E214" s="65">
        <v>12742</v>
      </c>
      <c r="F214" s="65">
        <v>161.67500000000001</v>
      </c>
      <c r="G214" s="19">
        <v>-2.3935808713590792</v>
      </c>
      <c r="H214" s="20">
        <v>25.411299767049751</v>
      </c>
    </row>
    <row r="215" spans="1:8" hidden="1" x14ac:dyDescent="0.25">
      <c r="A215" s="108">
        <v>136</v>
      </c>
      <c r="B215" s="65" t="s">
        <v>1357</v>
      </c>
      <c r="C215" s="65" t="s">
        <v>296</v>
      </c>
      <c r="D215" s="65">
        <v>6</v>
      </c>
      <c r="E215" s="65">
        <v>14051</v>
      </c>
      <c r="F215" s="65">
        <v>170.26900000000001</v>
      </c>
      <c r="G215" s="33"/>
      <c r="H215" s="34"/>
    </row>
    <row r="216" spans="1:8" ht="16.5" x14ac:dyDescent="0.25">
      <c r="A216" s="108">
        <v>136</v>
      </c>
      <c r="B216" s="65" t="s">
        <v>1357</v>
      </c>
      <c r="C216" s="65" t="s">
        <v>296</v>
      </c>
      <c r="D216" s="65">
        <v>7</v>
      </c>
      <c r="E216" s="65">
        <v>13101</v>
      </c>
      <c r="F216" s="65">
        <v>160.53200000000001</v>
      </c>
      <c r="G216" s="19">
        <v>-2.5583255631339186</v>
      </c>
      <c r="H216" s="20">
        <v>25.626399061965319</v>
      </c>
    </row>
    <row r="217" spans="1:8" hidden="1" x14ac:dyDescent="0.25">
      <c r="A217" s="108">
        <v>137</v>
      </c>
      <c r="B217" s="65" t="s">
        <v>1360</v>
      </c>
      <c r="C217" s="65" t="s">
        <v>322</v>
      </c>
      <c r="D217" s="65">
        <v>6</v>
      </c>
      <c r="E217" s="65">
        <v>15187</v>
      </c>
      <c r="F217" s="65">
        <v>192.547</v>
      </c>
      <c r="G217" s="33"/>
      <c r="H217" s="34"/>
    </row>
    <row r="218" spans="1:8" ht="16.5" x14ac:dyDescent="0.25">
      <c r="A218" s="108">
        <v>137</v>
      </c>
      <c r="B218" s="65" t="s">
        <v>1360</v>
      </c>
      <c r="C218" s="65" t="s">
        <v>322</v>
      </c>
      <c r="D218" s="65">
        <v>7</v>
      </c>
      <c r="E218" s="65">
        <v>14160</v>
      </c>
      <c r="F218" s="65">
        <v>179.01300000000001</v>
      </c>
      <c r="G218" s="19">
        <v>-2.1998182708519067</v>
      </c>
      <c r="H218" s="20">
        <v>25.592983614278207</v>
      </c>
    </row>
    <row r="219" spans="1:8" hidden="1" x14ac:dyDescent="0.25">
      <c r="A219" s="108">
        <v>138</v>
      </c>
      <c r="B219" s="65" t="s">
        <v>1364</v>
      </c>
      <c r="C219" s="65" t="s">
        <v>229</v>
      </c>
      <c r="D219" s="65">
        <v>6</v>
      </c>
      <c r="E219" s="65">
        <v>15344</v>
      </c>
      <c r="F219" s="65">
        <v>187.06</v>
      </c>
      <c r="G219" s="33"/>
      <c r="H219" s="34"/>
    </row>
    <row r="220" spans="1:8" ht="16.5" x14ac:dyDescent="0.25">
      <c r="A220" s="108">
        <v>138</v>
      </c>
      <c r="B220" s="65" t="s">
        <v>1364</v>
      </c>
      <c r="C220" s="65" t="s">
        <v>229</v>
      </c>
      <c r="D220" s="65">
        <v>7</v>
      </c>
      <c r="E220" s="65">
        <v>14165</v>
      </c>
      <c r="F220" s="65">
        <v>173.40100000000001</v>
      </c>
      <c r="G220" s="19">
        <v>-1.8582298854562227</v>
      </c>
      <c r="H220" s="20">
        <v>25.698991545596211</v>
      </c>
    </row>
    <row r="221" spans="1:8" hidden="1" x14ac:dyDescent="0.25">
      <c r="A221" s="108">
        <v>139</v>
      </c>
      <c r="B221" s="65" t="s">
        <v>1368</v>
      </c>
      <c r="C221" s="65" t="s">
        <v>269</v>
      </c>
      <c r="D221" s="65">
        <v>6</v>
      </c>
      <c r="E221" s="65">
        <v>13691</v>
      </c>
      <c r="F221" s="65">
        <v>173.334</v>
      </c>
      <c r="G221" s="33"/>
      <c r="H221" s="34"/>
    </row>
    <row r="222" spans="1:8" ht="16.5" x14ac:dyDescent="0.25">
      <c r="A222" s="108">
        <v>139</v>
      </c>
      <c r="B222" s="65" t="s">
        <v>1368</v>
      </c>
      <c r="C222" s="65" t="s">
        <v>269</v>
      </c>
      <c r="D222" s="65">
        <v>7</v>
      </c>
      <c r="E222" s="65">
        <v>12778</v>
      </c>
      <c r="F222" s="65">
        <v>160.911</v>
      </c>
      <c r="G222" s="19">
        <v>-1.4838866978191254</v>
      </c>
      <c r="H222" s="20">
        <v>25.600141372046085</v>
      </c>
    </row>
    <row r="223" spans="1:8" hidden="1" x14ac:dyDescent="0.25">
      <c r="A223" s="108">
        <v>140</v>
      </c>
      <c r="B223" s="65" t="s">
        <v>1371</v>
      </c>
      <c r="C223" s="65" t="s">
        <v>496</v>
      </c>
      <c r="D223" s="65">
        <v>6</v>
      </c>
      <c r="E223" s="65">
        <v>13306</v>
      </c>
      <c r="F223" s="65">
        <v>165.88</v>
      </c>
      <c r="G223" s="33"/>
      <c r="H223" s="34"/>
    </row>
    <row r="224" spans="1:8" ht="16.5" x14ac:dyDescent="0.25">
      <c r="A224" s="108">
        <v>140</v>
      </c>
      <c r="B224" s="65" t="s">
        <v>1371</v>
      </c>
      <c r="C224" s="65" t="s">
        <v>496</v>
      </c>
      <c r="D224" s="65">
        <v>7</v>
      </c>
      <c r="E224" s="65">
        <v>12284</v>
      </c>
      <c r="F224" s="65">
        <v>153.66800000000001</v>
      </c>
      <c r="G224" s="19">
        <v>-1.7971361975262494</v>
      </c>
      <c r="H224" s="20">
        <v>25.425535893515363</v>
      </c>
    </row>
    <row r="225" spans="1:8" hidden="1" x14ac:dyDescent="0.25">
      <c r="A225" s="108">
        <v>141</v>
      </c>
      <c r="B225" s="65" t="s">
        <v>1374</v>
      </c>
      <c r="C225" s="65" t="s">
        <v>260</v>
      </c>
      <c r="D225" s="65">
        <v>6</v>
      </c>
      <c r="E225" s="65">
        <v>12366</v>
      </c>
      <c r="F225" s="65">
        <v>154.58199999999999</v>
      </c>
      <c r="G225" s="33"/>
      <c r="H225" s="34"/>
    </row>
    <row r="226" spans="1:8" ht="16.5" x14ac:dyDescent="0.25">
      <c r="A226" s="108">
        <v>141</v>
      </c>
      <c r="B226" s="65" t="s">
        <v>1374</v>
      </c>
      <c r="C226" s="65" t="s">
        <v>260</v>
      </c>
      <c r="D226" s="65">
        <v>7</v>
      </c>
      <c r="E226" s="65">
        <v>11661</v>
      </c>
      <c r="F226" s="65">
        <v>144.44</v>
      </c>
      <c r="G226" s="19">
        <v>-1.9443826971771188</v>
      </c>
      <c r="H226" s="20">
        <v>25.337052854401723</v>
      </c>
    </row>
    <row r="227" spans="1:8" hidden="1" x14ac:dyDescent="0.25">
      <c r="A227" s="108">
        <v>142</v>
      </c>
      <c r="B227" s="65" t="s">
        <v>1378</v>
      </c>
      <c r="C227" s="65" t="s">
        <v>297</v>
      </c>
      <c r="D227" s="65">
        <v>6</v>
      </c>
      <c r="E227" s="65">
        <v>13837</v>
      </c>
      <c r="F227" s="65">
        <v>175.697</v>
      </c>
      <c r="G227" s="33"/>
      <c r="H227" s="34"/>
    </row>
    <row r="228" spans="1:8" ht="16.5" x14ac:dyDescent="0.25">
      <c r="A228" s="108">
        <v>142</v>
      </c>
      <c r="B228" s="65" t="s">
        <v>1378</v>
      </c>
      <c r="C228" s="65" t="s">
        <v>297</v>
      </c>
      <c r="D228" s="65">
        <v>7</v>
      </c>
      <c r="E228" s="65">
        <v>12864</v>
      </c>
      <c r="F228" s="65">
        <v>163.21</v>
      </c>
      <c r="G228" s="19">
        <v>-2.0387190462638589</v>
      </c>
      <c r="H228" s="20">
        <v>25.402719376747296</v>
      </c>
    </row>
    <row r="229" spans="1:8" hidden="1" x14ac:dyDescent="0.25">
      <c r="A229" s="213">
        <v>143</v>
      </c>
      <c r="B229" s="195" t="s">
        <v>0</v>
      </c>
      <c r="C229" s="195"/>
      <c r="D229" s="195">
        <v>6</v>
      </c>
      <c r="E229" s="195">
        <v>20299</v>
      </c>
      <c r="F229" s="195">
        <v>246.667</v>
      </c>
      <c r="G229" s="193"/>
      <c r="H229" s="194"/>
    </row>
    <row r="230" spans="1:8" hidden="1" x14ac:dyDescent="0.25">
      <c r="A230" s="108">
        <v>145</v>
      </c>
      <c r="B230" s="65" t="s">
        <v>1389</v>
      </c>
      <c r="C230" s="65" t="s">
        <v>576</v>
      </c>
      <c r="D230" s="65">
        <v>6</v>
      </c>
      <c r="E230" s="65">
        <v>17662</v>
      </c>
      <c r="F230" s="65">
        <v>213.553</v>
      </c>
      <c r="G230" s="33"/>
      <c r="H230" s="34"/>
    </row>
    <row r="231" spans="1:8" ht="16.5" x14ac:dyDescent="0.25">
      <c r="A231" s="108">
        <v>145</v>
      </c>
      <c r="B231" s="65" t="s">
        <v>1389</v>
      </c>
      <c r="C231" s="65" t="s">
        <v>576</v>
      </c>
      <c r="D231" s="65">
        <v>7</v>
      </c>
      <c r="E231" s="65">
        <v>16637</v>
      </c>
      <c r="F231" s="65">
        <v>202.18</v>
      </c>
      <c r="G231" s="19">
        <v>-2.2102534647501484</v>
      </c>
      <c r="H231" s="20">
        <v>25.405970408174934</v>
      </c>
    </row>
    <row r="232" spans="1:8" hidden="1" x14ac:dyDescent="0.25">
      <c r="A232" s="108">
        <v>146</v>
      </c>
      <c r="B232" s="65" t="s">
        <v>1394</v>
      </c>
      <c r="C232" s="65" t="s">
        <v>328</v>
      </c>
      <c r="D232" s="65">
        <v>6</v>
      </c>
      <c r="E232" s="65">
        <v>13633</v>
      </c>
      <c r="F232" s="65">
        <v>173.66399999999999</v>
      </c>
      <c r="G232" s="33"/>
      <c r="H232" s="34"/>
    </row>
    <row r="233" spans="1:8" ht="16.5" x14ac:dyDescent="0.25">
      <c r="A233" s="108">
        <v>146</v>
      </c>
      <c r="B233" s="65" t="s">
        <v>1394</v>
      </c>
      <c r="C233" s="65" t="s">
        <v>328</v>
      </c>
      <c r="D233" s="65">
        <v>7</v>
      </c>
      <c r="E233" s="65">
        <v>12725</v>
      </c>
      <c r="F233" s="65">
        <v>161.41999999999999</v>
      </c>
      <c r="G233" s="19">
        <v>-2.1762970234353487</v>
      </c>
      <c r="H233" s="20">
        <v>25.551405794046818</v>
      </c>
    </row>
    <row r="234" spans="1:8" hidden="1" x14ac:dyDescent="0.25">
      <c r="A234" s="108">
        <v>147</v>
      </c>
      <c r="B234" s="65" t="s">
        <v>1398</v>
      </c>
      <c r="C234" s="65" t="s">
        <v>496</v>
      </c>
      <c r="D234" s="65">
        <v>6</v>
      </c>
      <c r="E234" s="65">
        <v>12675</v>
      </c>
      <c r="F234" s="65">
        <v>153.71799999999999</v>
      </c>
      <c r="G234" s="33"/>
      <c r="H234" s="34"/>
    </row>
    <row r="235" spans="1:8" ht="16.5" x14ac:dyDescent="0.25">
      <c r="A235" s="108">
        <v>147</v>
      </c>
      <c r="B235" s="65" t="s">
        <v>1398</v>
      </c>
      <c r="C235" s="65" t="s">
        <v>496</v>
      </c>
      <c r="D235" s="65">
        <v>7</v>
      </c>
      <c r="E235" s="65">
        <v>11841</v>
      </c>
      <c r="F235" s="65">
        <v>143.44499999999999</v>
      </c>
      <c r="G235" s="19">
        <v>-1.8236014732657597</v>
      </c>
      <c r="H235" s="20">
        <v>25.712760648704791</v>
      </c>
    </row>
    <row r="236" spans="1:8" hidden="1" x14ac:dyDescent="0.25">
      <c r="A236" s="108">
        <v>148</v>
      </c>
      <c r="B236" s="65" t="s">
        <v>1402</v>
      </c>
      <c r="C236" s="65" t="s">
        <v>297</v>
      </c>
      <c r="D236" s="65">
        <v>6</v>
      </c>
      <c r="E236" s="65">
        <v>13421</v>
      </c>
      <c r="F236" s="65">
        <v>170.64500000000001</v>
      </c>
      <c r="G236" s="33"/>
      <c r="H236" s="34"/>
    </row>
    <row r="237" spans="1:8" ht="16.5" x14ac:dyDescent="0.25">
      <c r="A237" s="108">
        <v>148</v>
      </c>
      <c r="B237" s="65" t="s">
        <v>1402</v>
      </c>
      <c r="C237" s="65" t="s">
        <v>297</v>
      </c>
      <c r="D237" s="65">
        <v>7</v>
      </c>
      <c r="E237" s="65">
        <v>12504</v>
      </c>
      <c r="F237" s="65">
        <v>158.499</v>
      </c>
      <c r="G237" s="19">
        <v>-1.9648788163374555</v>
      </c>
      <c r="H237" s="20">
        <v>25.374633287935001</v>
      </c>
    </row>
    <row r="238" spans="1:8" hidden="1" x14ac:dyDescent="0.25">
      <c r="A238" s="108">
        <v>149</v>
      </c>
      <c r="B238" s="65" t="s">
        <v>1406</v>
      </c>
      <c r="C238" s="65" t="s">
        <v>339</v>
      </c>
      <c r="D238" s="65">
        <v>6</v>
      </c>
      <c r="E238" s="65">
        <v>14461</v>
      </c>
      <c r="F238" s="65">
        <v>176.56200000000001</v>
      </c>
      <c r="G238" s="33"/>
      <c r="H238" s="34"/>
    </row>
    <row r="239" spans="1:8" ht="16.5" x14ac:dyDescent="0.25">
      <c r="A239" s="108">
        <v>149</v>
      </c>
      <c r="B239" s="65" t="s">
        <v>1406</v>
      </c>
      <c r="C239" s="65" t="s">
        <v>339</v>
      </c>
      <c r="D239" s="65">
        <v>7</v>
      </c>
      <c r="E239" s="65">
        <v>13363</v>
      </c>
      <c r="F239" s="65">
        <v>163.714</v>
      </c>
      <c r="G239" s="19">
        <v>-1.7304393101694036</v>
      </c>
      <c r="H239" s="20">
        <v>25.234170010122323</v>
      </c>
    </row>
    <row r="240" spans="1:8" hidden="1" x14ac:dyDescent="0.25">
      <c r="A240" s="108">
        <v>150</v>
      </c>
      <c r="B240" s="65" t="s">
        <v>1409</v>
      </c>
      <c r="C240" s="65" t="s">
        <v>335</v>
      </c>
      <c r="D240" s="65">
        <v>6</v>
      </c>
      <c r="E240" s="65">
        <v>12605</v>
      </c>
      <c r="F240" s="65">
        <v>159.91</v>
      </c>
      <c r="G240" s="33"/>
      <c r="H240" s="34"/>
    </row>
    <row r="241" spans="1:8" ht="16.5" x14ac:dyDescent="0.25">
      <c r="A241" s="108">
        <v>150</v>
      </c>
      <c r="B241" s="65" t="s">
        <v>1409</v>
      </c>
      <c r="C241" s="65" t="s">
        <v>335</v>
      </c>
      <c r="D241" s="65">
        <v>7</v>
      </c>
      <c r="E241" s="65">
        <v>11782</v>
      </c>
      <c r="F241" s="65">
        <v>148.613</v>
      </c>
      <c r="G241" s="19">
        <v>-1.7062047863211063</v>
      </c>
      <c r="H241" s="20">
        <v>25.142202672930527</v>
      </c>
    </row>
    <row r="242" spans="1:8" hidden="1" x14ac:dyDescent="0.25">
      <c r="A242" s="108">
        <v>151</v>
      </c>
      <c r="B242" s="65" t="s">
        <v>1413</v>
      </c>
      <c r="C242" s="65" t="s">
        <v>513</v>
      </c>
      <c r="D242" s="65">
        <v>6</v>
      </c>
      <c r="E242" s="65">
        <v>14148</v>
      </c>
      <c r="F242" s="65">
        <v>176.66499999999999</v>
      </c>
      <c r="G242" s="33"/>
      <c r="H242" s="34"/>
    </row>
    <row r="243" spans="1:8" ht="16.5" x14ac:dyDescent="0.25">
      <c r="A243" s="108">
        <v>151</v>
      </c>
      <c r="B243" s="65" t="s">
        <v>1413</v>
      </c>
      <c r="C243" s="65" t="s">
        <v>513</v>
      </c>
      <c r="D243" s="65">
        <v>7</v>
      </c>
      <c r="E243" s="65">
        <v>13063</v>
      </c>
      <c r="F243" s="65">
        <v>163.77699999999999</v>
      </c>
      <c r="G243" s="19">
        <v>-2.0518375901281134</v>
      </c>
      <c r="H243" s="20">
        <v>25.408914664553773</v>
      </c>
    </row>
    <row r="244" spans="1:8" hidden="1" x14ac:dyDescent="0.25">
      <c r="A244" s="108">
        <v>152</v>
      </c>
      <c r="B244" s="65" t="s">
        <v>1416</v>
      </c>
      <c r="C244" s="65" t="s">
        <v>737</v>
      </c>
      <c r="D244" s="65">
        <v>6</v>
      </c>
      <c r="E244" s="65">
        <v>15710</v>
      </c>
      <c r="F244" s="65">
        <v>195.56700000000001</v>
      </c>
      <c r="G244" s="33"/>
      <c r="H244" s="34"/>
    </row>
    <row r="245" spans="1:8" ht="16.5" x14ac:dyDescent="0.25">
      <c r="A245" s="108">
        <v>152</v>
      </c>
      <c r="B245" s="65" t="s">
        <v>1416</v>
      </c>
      <c r="C245" s="65" t="s">
        <v>737</v>
      </c>
      <c r="D245" s="65">
        <v>7</v>
      </c>
      <c r="E245" s="65">
        <v>14788</v>
      </c>
      <c r="F245" s="65">
        <v>182.358</v>
      </c>
      <c r="G245" s="19">
        <v>-2.8708660680827993</v>
      </c>
      <c r="H245" s="20">
        <v>25.538874082309174</v>
      </c>
    </row>
    <row r="246" spans="1:8" hidden="1" x14ac:dyDescent="0.25">
      <c r="A246" s="108">
        <v>153</v>
      </c>
      <c r="B246" s="65" t="s">
        <v>1421</v>
      </c>
      <c r="C246" s="65" t="s">
        <v>729</v>
      </c>
      <c r="D246" s="65">
        <v>6</v>
      </c>
      <c r="E246" s="65">
        <v>14187</v>
      </c>
      <c r="F246" s="65">
        <v>179.84800000000001</v>
      </c>
      <c r="G246" s="33"/>
      <c r="H246" s="34"/>
    </row>
    <row r="247" spans="1:8" ht="16.5" x14ac:dyDescent="0.25">
      <c r="A247" s="108">
        <v>153</v>
      </c>
      <c r="B247" s="65" t="s">
        <v>1421</v>
      </c>
      <c r="C247" s="65" t="s">
        <v>729</v>
      </c>
      <c r="D247" s="65">
        <v>7</v>
      </c>
      <c r="E247" s="65">
        <v>13168</v>
      </c>
      <c r="F247" s="65">
        <v>166.89400000000001</v>
      </c>
      <c r="G247" s="19">
        <v>-2.6016568544989291</v>
      </c>
      <c r="H247" s="20">
        <v>25.787696580072623</v>
      </c>
    </row>
    <row r="248" spans="1:8" hidden="1" x14ac:dyDescent="0.25">
      <c r="A248" s="108">
        <v>154</v>
      </c>
      <c r="B248" s="65" t="s">
        <v>1424</v>
      </c>
      <c r="C248" s="65" t="s">
        <v>269</v>
      </c>
      <c r="D248" s="65">
        <v>6</v>
      </c>
      <c r="E248" s="65">
        <v>13487</v>
      </c>
      <c r="F248" s="65">
        <v>165.7</v>
      </c>
      <c r="G248" s="33"/>
      <c r="H248" s="34"/>
    </row>
    <row r="249" spans="1:8" ht="16.5" x14ac:dyDescent="0.25">
      <c r="A249" s="108">
        <v>154</v>
      </c>
      <c r="B249" s="65" t="s">
        <v>1424</v>
      </c>
      <c r="C249" s="65" t="s">
        <v>269</v>
      </c>
      <c r="D249" s="65">
        <v>7</v>
      </c>
      <c r="E249" s="65">
        <v>12711</v>
      </c>
      <c r="F249" s="65">
        <v>155.28399999999999</v>
      </c>
      <c r="G249" s="19">
        <v>-2.7368517025753913</v>
      </c>
      <c r="H249" s="20">
        <v>25.746793076881406</v>
      </c>
    </row>
    <row r="250" spans="1:8" hidden="1" x14ac:dyDescent="0.25">
      <c r="A250" s="213">
        <v>155</v>
      </c>
      <c r="B250" s="195" t="s">
        <v>0</v>
      </c>
      <c r="C250" s="195"/>
      <c r="D250" s="195">
        <v>6</v>
      </c>
      <c r="E250" s="195">
        <v>18075</v>
      </c>
      <c r="F250" s="195">
        <v>229.19399999999999</v>
      </c>
      <c r="G250" s="193"/>
      <c r="H250" s="194"/>
    </row>
    <row r="251" spans="1:8" hidden="1" x14ac:dyDescent="0.25">
      <c r="A251" s="108">
        <v>157</v>
      </c>
      <c r="B251" s="65" t="s">
        <v>1433</v>
      </c>
      <c r="C251" s="65" t="s">
        <v>339</v>
      </c>
      <c r="D251" s="65">
        <v>6</v>
      </c>
      <c r="E251" s="65">
        <v>13061</v>
      </c>
      <c r="F251" s="65">
        <v>166.66300000000001</v>
      </c>
      <c r="G251" s="33"/>
      <c r="H251" s="34"/>
    </row>
    <row r="252" spans="1:8" ht="16.5" x14ac:dyDescent="0.25">
      <c r="A252" s="108">
        <v>157</v>
      </c>
      <c r="B252" s="65" t="s">
        <v>1433</v>
      </c>
      <c r="C252" s="65" t="s">
        <v>339</v>
      </c>
      <c r="D252" s="65">
        <v>7</v>
      </c>
      <c r="E252" s="65">
        <v>12170</v>
      </c>
      <c r="F252" s="65">
        <v>154.74199999999999</v>
      </c>
      <c r="G252" s="19">
        <v>-2.0122255618519072</v>
      </c>
      <c r="H252" s="20">
        <v>25.494982217700151</v>
      </c>
    </row>
    <row r="253" spans="1:8" hidden="1" x14ac:dyDescent="0.25">
      <c r="A253" s="108">
        <v>158</v>
      </c>
      <c r="B253" s="65" t="s">
        <v>1436</v>
      </c>
      <c r="C253" s="65" t="s">
        <v>221</v>
      </c>
      <c r="D253" s="65">
        <v>6</v>
      </c>
      <c r="E253" s="65">
        <v>16631</v>
      </c>
      <c r="F253" s="65">
        <v>201.21299999999999</v>
      </c>
      <c r="G253" s="33"/>
      <c r="H253" s="34"/>
    </row>
    <row r="254" spans="1:8" ht="16.5" x14ac:dyDescent="0.25">
      <c r="A254" s="108">
        <v>158</v>
      </c>
      <c r="B254" s="65" t="s">
        <v>1436</v>
      </c>
      <c r="C254" s="65" t="s">
        <v>221</v>
      </c>
      <c r="D254" s="65">
        <v>7</v>
      </c>
      <c r="E254" s="65">
        <v>15548</v>
      </c>
      <c r="F254" s="65">
        <v>187.45400000000001</v>
      </c>
      <c r="G254" s="19">
        <v>-2.2881174603098375</v>
      </c>
      <c r="H254" s="20">
        <v>25.239715973744051</v>
      </c>
    </row>
    <row r="255" spans="1:8" hidden="1" x14ac:dyDescent="0.25">
      <c r="A255" s="108">
        <v>159</v>
      </c>
      <c r="B255" s="65" t="s">
        <v>1439</v>
      </c>
      <c r="C255" s="65" t="s">
        <v>221</v>
      </c>
      <c r="D255" s="65">
        <v>6</v>
      </c>
      <c r="E255" s="65">
        <v>14675</v>
      </c>
      <c r="F255" s="65">
        <v>186.44</v>
      </c>
      <c r="G255" s="33"/>
      <c r="H255" s="34"/>
    </row>
    <row r="256" spans="1:8" ht="16.5" x14ac:dyDescent="0.25">
      <c r="A256" s="108">
        <v>159</v>
      </c>
      <c r="B256" s="65" t="s">
        <v>1439</v>
      </c>
      <c r="C256" s="65" t="s">
        <v>221</v>
      </c>
      <c r="D256" s="65">
        <v>7</v>
      </c>
      <c r="E256" s="65">
        <v>13696</v>
      </c>
      <c r="F256" s="65">
        <v>173.43199999999999</v>
      </c>
      <c r="G256" s="19">
        <v>-2.1628165522291418</v>
      </c>
      <c r="H256" s="20">
        <v>25.33173280659069</v>
      </c>
    </row>
    <row r="257" spans="1:8" hidden="1" x14ac:dyDescent="0.25">
      <c r="A257" s="108">
        <v>160</v>
      </c>
      <c r="B257" s="65" t="s">
        <v>1444</v>
      </c>
      <c r="C257" s="65" t="s">
        <v>294</v>
      </c>
      <c r="D257" s="65">
        <v>6</v>
      </c>
      <c r="E257" s="65">
        <v>15273</v>
      </c>
      <c r="F257" s="65">
        <v>186.43600000000001</v>
      </c>
      <c r="G257" s="33"/>
      <c r="H257" s="34"/>
    </row>
    <row r="258" spans="1:8" ht="16.5" x14ac:dyDescent="0.25">
      <c r="A258" s="108">
        <v>160</v>
      </c>
      <c r="B258" s="65" t="s">
        <v>1444</v>
      </c>
      <c r="C258" s="65" t="s">
        <v>294</v>
      </c>
      <c r="D258" s="65">
        <v>7</v>
      </c>
      <c r="E258" s="65">
        <v>14177</v>
      </c>
      <c r="F258" s="65">
        <v>175.42099999999999</v>
      </c>
      <c r="G258" s="19">
        <v>-2.7629255829847734</v>
      </c>
      <c r="H258" s="20">
        <v>25.36852277981453</v>
      </c>
    </row>
    <row r="259" spans="1:8" hidden="1" x14ac:dyDescent="0.25">
      <c r="A259" s="108">
        <v>161</v>
      </c>
      <c r="B259" s="65" t="s">
        <v>1447</v>
      </c>
      <c r="C259" s="65" t="s">
        <v>737</v>
      </c>
      <c r="D259" s="65">
        <v>6</v>
      </c>
      <c r="E259" s="65">
        <v>15978</v>
      </c>
      <c r="F259" s="65">
        <v>202.41900000000001</v>
      </c>
      <c r="G259" s="33"/>
      <c r="H259" s="34"/>
    </row>
    <row r="260" spans="1:8" ht="16.5" x14ac:dyDescent="0.25">
      <c r="A260" s="108">
        <v>161</v>
      </c>
      <c r="B260" s="65" t="s">
        <v>1447</v>
      </c>
      <c r="C260" s="65" t="s">
        <v>737</v>
      </c>
      <c r="D260" s="65">
        <v>7</v>
      </c>
      <c r="E260" s="65">
        <v>14884</v>
      </c>
      <c r="F260" s="65">
        <v>187.47300000000001</v>
      </c>
      <c r="G260" s="19">
        <v>-3.1162905853985583</v>
      </c>
      <c r="H260" s="20">
        <v>25.38080750333398</v>
      </c>
    </row>
    <row r="261" spans="1:8" hidden="1" x14ac:dyDescent="0.25">
      <c r="A261" s="108">
        <v>162</v>
      </c>
      <c r="B261" s="65" t="s">
        <v>1452</v>
      </c>
      <c r="C261" s="65" t="s">
        <v>227</v>
      </c>
      <c r="D261" s="65">
        <v>6</v>
      </c>
      <c r="E261" s="65">
        <v>12711</v>
      </c>
      <c r="F261" s="65">
        <v>158.68199999999999</v>
      </c>
      <c r="G261" s="33"/>
      <c r="H261" s="34"/>
    </row>
    <row r="262" spans="1:8" ht="16.5" x14ac:dyDescent="0.25">
      <c r="A262" s="108">
        <v>162</v>
      </c>
      <c r="B262" s="65" t="s">
        <v>1452</v>
      </c>
      <c r="C262" s="65" t="s">
        <v>227</v>
      </c>
      <c r="D262" s="65">
        <v>7</v>
      </c>
      <c r="E262" s="65">
        <v>11774</v>
      </c>
      <c r="F262" s="65">
        <v>149.34899999999999</v>
      </c>
      <c r="G262" s="19">
        <v>-2.6614960120946889</v>
      </c>
      <c r="H262" s="20">
        <v>25.685736511219549</v>
      </c>
    </row>
    <row r="263" spans="1:8" hidden="1" x14ac:dyDescent="0.25">
      <c r="A263" s="108">
        <v>163</v>
      </c>
      <c r="B263" s="65" t="s">
        <v>1456</v>
      </c>
      <c r="C263" s="65" t="s">
        <v>269</v>
      </c>
      <c r="D263" s="65">
        <v>6</v>
      </c>
      <c r="E263" s="65">
        <v>13015</v>
      </c>
      <c r="F263" s="65">
        <v>163.99199999999999</v>
      </c>
      <c r="G263" s="33"/>
      <c r="H263" s="34"/>
    </row>
    <row r="264" spans="1:8" ht="16.5" x14ac:dyDescent="0.25">
      <c r="A264" s="108">
        <v>163</v>
      </c>
      <c r="B264" s="65" t="s">
        <v>1456</v>
      </c>
      <c r="C264" s="65" t="s">
        <v>269</v>
      </c>
      <c r="D264" s="65">
        <v>7</v>
      </c>
      <c r="E264" s="65">
        <v>12225</v>
      </c>
      <c r="F264" s="65">
        <v>152.72200000000001</v>
      </c>
      <c r="G264" s="19">
        <v>-2.4198532199281408</v>
      </c>
      <c r="H264" s="20">
        <v>25.453554354601234</v>
      </c>
    </row>
    <row r="265" spans="1:8" hidden="1" x14ac:dyDescent="0.25">
      <c r="A265" s="108">
        <v>164</v>
      </c>
      <c r="B265" s="65" t="s">
        <v>1460</v>
      </c>
      <c r="C265" s="65" t="s">
        <v>260</v>
      </c>
      <c r="D265" s="65">
        <v>6</v>
      </c>
      <c r="E265" s="65">
        <v>12602</v>
      </c>
      <c r="F265" s="65">
        <v>159.27600000000001</v>
      </c>
      <c r="G265" s="33"/>
      <c r="H265" s="34"/>
    </row>
    <row r="266" spans="1:8" ht="16.5" x14ac:dyDescent="0.25">
      <c r="A266" s="108">
        <v>164</v>
      </c>
      <c r="B266" s="65" t="s">
        <v>1460</v>
      </c>
      <c r="C266" s="65" t="s">
        <v>260</v>
      </c>
      <c r="D266" s="65">
        <v>7</v>
      </c>
      <c r="E266" s="65">
        <v>11706</v>
      </c>
      <c r="F266" s="65">
        <v>148.191</v>
      </c>
      <c r="G266" s="19">
        <v>-1.7353909396355029</v>
      </c>
      <c r="H266" s="20">
        <v>25.354027903786996</v>
      </c>
    </row>
    <row r="267" spans="1:8" hidden="1" x14ac:dyDescent="0.25">
      <c r="A267" s="108">
        <v>165</v>
      </c>
      <c r="B267" s="65" t="s">
        <v>1463</v>
      </c>
      <c r="C267" s="65" t="s">
        <v>513</v>
      </c>
      <c r="D267" s="65">
        <v>6</v>
      </c>
      <c r="E267" s="65">
        <v>13701</v>
      </c>
      <c r="F267" s="65">
        <v>169.97499999999999</v>
      </c>
      <c r="G267" s="33"/>
      <c r="H267" s="34"/>
    </row>
    <row r="268" spans="1:8" ht="16.5" x14ac:dyDescent="0.25">
      <c r="A268" s="108">
        <v>165</v>
      </c>
      <c r="B268" s="65" t="s">
        <v>1463</v>
      </c>
      <c r="C268" s="65" t="s">
        <v>513</v>
      </c>
      <c r="D268" s="65">
        <v>7</v>
      </c>
      <c r="E268" s="65">
        <v>12944</v>
      </c>
      <c r="F268" s="65">
        <v>160.738</v>
      </c>
      <c r="G268" s="19">
        <v>-2.3081602258059331</v>
      </c>
      <c r="H268" s="20">
        <v>25.183950542589916</v>
      </c>
    </row>
    <row r="269" spans="1:8" hidden="1" x14ac:dyDescent="0.25">
      <c r="A269" s="108">
        <v>166</v>
      </c>
      <c r="B269" s="65" t="s">
        <v>1466</v>
      </c>
      <c r="C269" s="65" t="s">
        <v>297</v>
      </c>
      <c r="D269" s="65">
        <v>6</v>
      </c>
      <c r="E269" s="65">
        <v>13046</v>
      </c>
      <c r="F269" s="65">
        <v>165.91800000000001</v>
      </c>
      <c r="G269" s="33"/>
      <c r="H269" s="34"/>
    </row>
    <row r="270" spans="1:8" ht="16.5" x14ac:dyDescent="0.25">
      <c r="A270" s="108">
        <v>166</v>
      </c>
      <c r="B270" s="65" t="s">
        <v>1466</v>
      </c>
      <c r="C270" s="65" t="s">
        <v>297</v>
      </c>
      <c r="D270" s="65">
        <v>7</v>
      </c>
      <c r="E270" s="65">
        <v>12144</v>
      </c>
      <c r="F270" s="65">
        <v>154.27500000000001</v>
      </c>
      <c r="G270" s="19">
        <v>-2.4601165663019735</v>
      </c>
      <c r="H270" s="20">
        <v>25.200643319725824</v>
      </c>
    </row>
    <row r="271" spans="1:8" hidden="1" x14ac:dyDescent="0.25">
      <c r="A271" s="213">
        <v>167</v>
      </c>
      <c r="B271" s="195" t="s">
        <v>0</v>
      </c>
      <c r="C271" s="195"/>
      <c r="D271" s="195">
        <v>6</v>
      </c>
      <c r="E271" s="195">
        <v>10699</v>
      </c>
      <c r="F271" s="195">
        <v>130.91</v>
      </c>
      <c r="G271" s="193"/>
      <c r="H271" s="194"/>
    </row>
    <row r="272" spans="1:8" hidden="1" x14ac:dyDescent="0.25">
      <c r="A272" s="108">
        <v>169</v>
      </c>
      <c r="B272" s="65" t="s">
        <v>1475</v>
      </c>
      <c r="C272" s="65" t="s">
        <v>518</v>
      </c>
      <c r="D272" s="65">
        <v>6</v>
      </c>
      <c r="E272" s="65">
        <v>13477</v>
      </c>
      <c r="F272" s="65">
        <v>163.76300000000001</v>
      </c>
      <c r="G272" s="33"/>
      <c r="H272" s="34"/>
    </row>
    <row r="273" spans="1:8" ht="16.5" x14ac:dyDescent="0.25">
      <c r="A273" s="108">
        <v>169</v>
      </c>
      <c r="B273" s="65" t="s">
        <v>1475</v>
      </c>
      <c r="C273" s="65" t="s">
        <v>518</v>
      </c>
      <c r="D273" s="65">
        <v>7</v>
      </c>
      <c r="E273" s="65">
        <v>12574</v>
      </c>
      <c r="F273" s="65">
        <v>152.69499999999999</v>
      </c>
      <c r="G273" s="19">
        <v>-2.570089335131533</v>
      </c>
      <c r="H273" s="20">
        <v>25.228860253487039</v>
      </c>
    </row>
    <row r="274" spans="1:8" hidden="1" x14ac:dyDescent="0.25">
      <c r="A274" s="108">
        <v>170</v>
      </c>
      <c r="B274" s="65" t="s">
        <v>1478</v>
      </c>
      <c r="C274" s="65" t="s">
        <v>737</v>
      </c>
      <c r="D274" s="65">
        <v>6</v>
      </c>
      <c r="E274" s="65">
        <v>15534</v>
      </c>
      <c r="F274" s="65">
        <v>196.92</v>
      </c>
      <c r="G274" s="33"/>
      <c r="H274" s="34"/>
    </row>
    <row r="275" spans="1:8" ht="16.5" x14ac:dyDescent="0.25">
      <c r="A275" s="108">
        <v>170</v>
      </c>
      <c r="B275" s="65" t="s">
        <v>1478</v>
      </c>
      <c r="C275" s="65" t="s">
        <v>737</v>
      </c>
      <c r="D275" s="65">
        <v>7</v>
      </c>
      <c r="E275" s="65">
        <v>14484</v>
      </c>
      <c r="F275" s="65">
        <v>183.01</v>
      </c>
      <c r="G275" s="19">
        <v>-2.434808349858864</v>
      </c>
      <c r="H275" s="20">
        <v>25.392241489657405</v>
      </c>
    </row>
    <row r="276" spans="1:8" hidden="1" x14ac:dyDescent="0.25">
      <c r="A276" s="108">
        <v>171</v>
      </c>
      <c r="B276" s="65" t="s">
        <v>1482</v>
      </c>
      <c r="C276" s="65" t="s">
        <v>339</v>
      </c>
      <c r="D276" s="65">
        <v>6</v>
      </c>
      <c r="E276" s="65">
        <v>13902</v>
      </c>
      <c r="F276" s="65">
        <v>170.26900000000001</v>
      </c>
      <c r="G276" s="33"/>
      <c r="H276" s="34"/>
    </row>
    <row r="277" spans="1:8" ht="16.5" x14ac:dyDescent="0.25">
      <c r="A277" s="108">
        <v>171</v>
      </c>
      <c r="B277" s="65" t="s">
        <v>1482</v>
      </c>
      <c r="C277" s="65" t="s">
        <v>339</v>
      </c>
      <c r="D277" s="65">
        <v>7</v>
      </c>
      <c r="E277" s="65">
        <v>12889</v>
      </c>
      <c r="F277" s="65">
        <v>160.07900000000001</v>
      </c>
      <c r="G277" s="19">
        <v>-2.7791125755664989</v>
      </c>
      <c r="H277" s="20">
        <v>25.554686718889752</v>
      </c>
    </row>
    <row r="278" spans="1:8" hidden="1" x14ac:dyDescent="0.25">
      <c r="A278" s="108">
        <v>172</v>
      </c>
      <c r="B278" s="65" t="s">
        <v>1485</v>
      </c>
      <c r="C278" s="65" t="s">
        <v>283</v>
      </c>
      <c r="D278" s="65">
        <v>6</v>
      </c>
      <c r="E278" s="65">
        <v>13207</v>
      </c>
      <c r="F278" s="65">
        <v>167.614</v>
      </c>
      <c r="G278" s="33"/>
      <c r="H278" s="34"/>
    </row>
    <row r="279" spans="1:8" ht="16.5" x14ac:dyDescent="0.25">
      <c r="A279" s="108">
        <v>172</v>
      </c>
      <c r="B279" s="65" t="s">
        <v>1485</v>
      </c>
      <c r="C279" s="65" t="s">
        <v>283</v>
      </c>
      <c r="D279" s="65">
        <v>7</v>
      </c>
      <c r="E279" s="65">
        <v>12325</v>
      </c>
      <c r="F279" s="65">
        <v>155.76900000000001</v>
      </c>
      <c r="G279" s="19">
        <v>-3.0280110412660783</v>
      </c>
      <c r="H279" s="20">
        <v>25.598793228021737</v>
      </c>
    </row>
    <row r="284" spans="1:8" ht="16.5" x14ac:dyDescent="0.25">
      <c r="A284" s="78">
        <v>2</v>
      </c>
      <c r="B284" s="79" t="s">
        <v>23</v>
      </c>
      <c r="C284" s="79" t="s">
        <v>505</v>
      </c>
      <c r="D284" s="79">
        <v>7</v>
      </c>
      <c r="E284" s="79">
        <v>12410</v>
      </c>
      <c r="F284" s="79">
        <v>157.446</v>
      </c>
      <c r="G284" s="85">
        <v>-5.006149233500679</v>
      </c>
      <c r="H284" s="86">
        <v>7.2640639004430625</v>
      </c>
    </row>
    <row r="285" spans="1:8" hidden="1" x14ac:dyDescent="0.25">
      <c r="A285" s="78">
        <v>3</v>
      </c>
      <c r="B285" s="79" t="s">
        <v>567</v>
      </c>
      <c r="C285" s="79" t="s">
        <v>229</v>
      </c>
      <c r="D285" s="79">
        <v>6</v>
      </c>
      <c r="E285" s="79">
        <v>15170</v>
      </c>
      <c r="F285" s="79">
        <v>185.483</v>
      </c>
      <c r="G285" s="88"/>
      <c r="H285" s="89"/>
    </row>
    <row r="286" spans="1:8" ht="16.5" x14ac:dyDescent="0.25">
      <c r="A286" s="78">
        <v>3</v>
      </c>
      <c r="B286" s="79" t="s">
        <v>567</v>
      </c>
      <c r="C286" s="79" t="s">
        <v>229</v>
      </c>
      <c r="D286" s="79">
        <v>7</v>
      </c>
      <c r="E286" s="79">
        <v>14309</v>
      </c>
      <c r="F286" s="79">
        <v>173.64500000000001</v>
      </c>
      <c r="G286" s="85">
        <v>-5.035536373606222</v>
      </c>
      <c r="H286" s="86">
        <v>7.2168582772398686</v>
      </c>
    </row>
    <row r="287" spans="1:8" hidden="1" x14ac:dyDescent="0.25">
      <c r="A287" s="78">
        <v>4</v>
      </c>
      <c r="B287" s="79" t="s">
        <v>567</v>
      </c>
      <c r="C287" s="79" t="s">
        <v>328</v>
      </c>
      <c r="D287" s="79">
        <v>6</v>
      </c>
      <c r="E287" s="79">
        <v>15628</v>
      </c>
      <c r="F287" s="79">
        <v>198.58099999999999</v>
      </c>
      <c r="G287" s="88"/>
      <c r="H287" s="89"/>
    </row>
    <row r="288" spans="1:8" ht="16.5" x14ac:dyDescent="0.25">
      <c r="A288" s="78">
        <v>4</v>
      </c>
      <c r="B288" s="79" t="s">
        <v>567</v>
      </c>
      <c r="C288" s="79" t="s">
        <v>328</v>
      </c>
      <c r="D288" s="79">
        <v>7</v>
      </c>
      <c r="E288" s="79">
        <v>14585</v>
      </c>
      <c r="F288" s="79">
        <v>184.82599999999999</v>
      </c>
      <c r="G288" s="85">
        <v>-4.9751028189840136</v>
      </c>
      <c r="H288" s="86">
        <v>7.1619220208182561</v>
      </c>
    </row>
    <row r="289" spans="1:8" hidden="1" x14ac:dyDescent="0.25">
      <c r="A289" s="78">
        <v>5</v>
      </c>
      <c r="B289" s="79" t="s">
        <v>567</v>
      </c>
      <c r="C289" s="79" t="s">
        <v>297</v>
      </c>
      <c r="D289" s="79">
        <v>6</v>
      </c>
      <c r="E289" s="79">
        <v>17291</v>
      </c>
      <c r="F289" s="79">
        <v>208.851</v>
      </c>
      <c r="G289" s="88"/>
      <c r="H289" s="89"/>
    </row>
    <row r="290" spans="1:8" ht="16.5" x14ac:dyDescent="0.25">
      <c r="A290" s="78">
        <v>5</v>
      </c>
      <c r="B290" s="79" t="s">
        <v>567</v>
      </c>
      <c r="C290" s="79" t="s">
        <v>297</v>
      </c>
      <c r="D290" s="79">
        <v>7</v>
      </c>
      <c r="E290" s="79">
        <v>16186</v>
      </c>
      <c r="F290" s="79">
        <v>197.149</v>
      </c>
      <c r="G290" s="85">
        <v>-5.0822212227708814</v>
      </c>
      <c r="H290" s="86">
        <v>7.1540066364921806</v>
      </c>
    </row>
    <row r="291" spans="1:8" ht="16.5" x14ac:dyDescent="0.25">
      <c r="A291" s="91">
        <v>6</v>
      </c>
      <c r="B291" s="92" t="s">
        <v>24</v>
      </c>
      <c r="C291" s="92" t="s">
        <v>496</v>
      </c>
      <c r="D291" s="92">
        <v>7</v>
      </c>
      <c r="E291" s="92">
        <v>12673</v>
      </c>
      <c r="F291" s="92">
        <v>160.447</v>
      </c>
      <c r="G291" s="98">
        <v>1.9766580330546835</v>
      </c>
      <c r="H291" s="99">
        <v>28.545772847992641</v>
      </c>
    </row>
    <row r="292" spans="1:8" hidden="1" x14ac:dyDescent="0.25">
      <c r="A292" s="91">
        <v>7</v>
      </c>
      <c r="B292" s="92" t="s">
        <v>24</v>
      </c>
      <c r="C292" s="92" t="s">
        <v>783</v>
      </c>
      <c r="D292" s="92">
        <v>6</v>
      </c>
      <c r="E292" s="92">
        <v>20377</v>
      </c>
      <c r="F292" s="92">
        <v>248.59100000000001</v>
      </c>
      <c r="G292" s="95"/>
      <c r="H292" s="96"/>
    </row>
    <row r="293" spans="1:8" ht="16.5" x14ac:dyDescent="0.25">
      <c r="A293" s="91">
        <v>7</v>
      </c>
      <c r="B293" s="92" t="s">
        <v>24</v>
      </c>
      <c r="C293" s="92" t="s">
        <v>783</v>
      </c>
      <c r="D293" s="92">
        <v>7</v>
      </c>
      <c r="E293" s="92">
        <v>18792</v>
      </c>
      <c r="F293" s="92">
        <v>230.56800000000001</v>
      </c>
      <c r="G293" s="98">
        <v>2.016866976988807</v>
      </c>
      <c r="H293" s="99">
        <v>28.601873477442904</v>
      </c>
    </row>
    <row r="294" spans="1:8" hidden="1" x14ac:dyDescent="0.25">
      <c r="A294" s="91">
        <v>8</v>
      </c>
      <c r="B294" s="92" t="s">
        <v>24</v>
      </c>
      <c r="C294" s="92" t="s">
        <v>783</v>
      </c>
      <c r="D294" s="92">
        <v>6</v>
      </c>
      <c r="E294" s="92">
        <v>17177</v>
      </c>
      <c r="F294" s="92">
        <v>215.74799999999999</v>
      </c>
      <c r="G294" s="95"/>
      <c r="H294" s="96"/>
    </row>
    <row r="295" spans="1:8" ht="16.5" x14ac:dyDescent="0.25">
      <c r="A295" s="91">
        <v>8</v>
      </c>
      <c r="B295" s="92" t="s">
        <v>24</v>
      </c>
      <c r="C295" s="92" t="s">
        <v>783</v>
      </c>
      <c r="D295" s="92">
        <v>7</v>
      </c>
      <c r="E295" s="92">
        <v>16128</v>
      </c>
      <c r="F295" s="92">
        <v>203.08799999999999</v>
      </c>
      <c r="G295" s="98">
        <v>1.9767945428802491</v>
      </c>
      <c r="H295" s="99">
        <v>28.560183434390165</v>
      </c>
    </row>
    <row r="296" spans="1:8" ht="16.5" hidden="1" x14ac:dyDescent="0.25">
      <c r="A296" s="91">
        <v>9</v>
      </c>
      <c r="B296" s="92" t="s">
        <v>24</v>
      </c>
      <c r="C296" s="92" t="s">
        <v>299</v>
      </c>
      <c r="D296" s="92">
        <v>6</v>
      </c>
      <c r="E296" s="92">
        <v>11846</v>
      </c>
      <c r="F296" s="92">
        <v>150.02500000000001</v>
      </c>
      <c r="G296" s="101"/>
      <c r="H296" s="102"/>
    </row>
    <row r="297" spans="1:8" ht="16.5" x14ac:dyDescent="0.25">
      <c r="A297" s="91">
        <v>9</v>
      </c>
      <c r="B297" s="92" t="s">
        <v>24</v>
      </c>
      <c r="C297" s="92" t="s">
        <v>299</v>
      </c>
      <c r="D297" s="92">
        <v>7</v>
      </c>
      <c r="E297" s="92">
        <v>10987</v>
      </c>
      <c r="F297" s="92">
        <v>139.30000000000001</v>
      </c>
      <c r="G297" s="98">
        <v>1.9949528683119828</v>
      </c>
      <c r="H297" s="99">
        <v>28.663001101223092</v>
      </c>
    </row>
    <row r="298" spans="1:8" hidden="1" x14ac:dyDescent="0.25">
      <c r="A298" s="188">
        <v>10</v>
      </c>
      <c r="B298" s="189" t="s">
        <v>0</v>
      </c>
      <c r="C298" s="189" t="s">
        <v>254</v>
      </c>
      <c r="D298" s="189">
        <v>6</v>
      </c>
      <c r="E298" s="189">
        <v>14953</v>
      </c>
      <c r="F298" s="189">
        <v>183.512</v>
      </c>
      <c r="G298" s="193"/>
      <c r="H298" s="194"/>
    </row>
    <row r="299" spans="1:8" ht="16.5" x14ac:dyDescent="0.25">
      <c r="A299" s="188">
        <v>10</v>
      </c>
      <c r="B299" s="189" t="s">
        <v>0</v>
      </c>
      <c r="C299" s="189" t="s">
        <v>254</v>
      </c>
      <c r="D299" s="189">
        <v>7</v>
      </c>
      <c r="E299" s="189">
        <v>14114</v>
      </c>
      <c r="F299" s="189">
        <v>171.81700000000001</v>
      </c>
      <c r="G299" s="198">
        <v>4.4154700400289189</v>
      </c>
      <c r="H299" s="199">
        <v>26.517731025900975</v>
      </c>
    </row>
    <row r="300" spans="1:8" hidden="1" x14ac:dyDescent="0.25">
      <c r="A300" s="188">
        <v>11</v>
      </c>
      <c r="B300" s="189" t="s">
        <v>0</v>
      </c>
      <c r="C300" s="189" t="s">
        <v>335</v>
      </c>
      <c r="D300" s="189">
        <v>6</v>
      </c>
      <c r="E300" s="189">
        <v>11903</v>
      </c>
      <c r="F300" s="189">
        <v>152.077</v>
      </c>
      <c r="G300" s="193"/>
      <c r="H300" s="194"/>
    </row>
    <row r="301" spans="1:8" ht="16.5" x14ac:dyDescent="0.25">
      <c r="A301" s="188">
        <v>11</v>
      </c>
      <c r="B301" s="189" t="s">
        <v>0</v>
      </c>
      <c r="C301" s="189" t="s">
        <v>335</v>
      </c>
      <c r="D301" s="189">
        <v>7</v>
      </c>
      <c r="E301" s="189">
        <v>11107</v>
      </c>
      <c r="F301" s="189">
        <v>141.435</v>
      </c>
      <c r="G301" s="198">
        <v>4.5307530914456215</v>
      </c>
      <c r="H301" s="199">
        <v>26.591745652010463</v>
      </c>
    </row>
    <row r="302" spans="1:8" ht="16.5" hidden="1" x14ac:dyDescent="0.25">
      <c r="A302" s="188">
        <v>12</v>
      </c>
      <c r="B302" s="189" t="s">
        <v>0</v>
      </c>
      <c r="C302" s="189" t="s">
        <v>496</v>
      </c>
      <c r="D302" s="189">
        <v>6</v>
      </c>
      <c r="E302" s="189">
        <v>12846</v>
      </c>
      <c r="F302" s="189">
        <v>156.38900000000001</v>
      </c>
      <c r="G302" s="198"/>
      <c r="H302" s="199"/>
    </row>
    <row r="303" spans="1:8" ht="16.5" x14ac:dyDescent="0.25">
      <c r="A303" s="188">
        <v>12</v>
      </c>
      <c r="B303" s="189" t="s">
        <v>0</v>
      </c>
      <c r="C303" s="189" t="s">
        <v>496</v>
      </c>
      <c r="D303" s="189">
        <v>7</v>
      </c>
      <c r="E303" s="189">
        <v>12045</v>
      </c>
      <c r="F303" s="189">
        <v>145.94499999999999</v>
      </c>
      <c r="G303" s="198">
        <v>4.4514844551162254</v>
      </c>
      <c r="H303" s="199">
        <v>26.481043474378719</v>
      </c>
    </row>
    <row r="304" spans="1:8" ht="16.5" x14ac:dyDescent="0.25">
      <c r="A304" s="188">
        <v>23</v>
      </c>
      <c r="B304" s="189" t="s">
        <v>0</v>
      </c>
      <c r="C304" s="189" t="s">
        <v>513</v>
      </c>
      <c r="D304" s="189">
        <v>7</v>
      </c>
      <c r="E304" s="189">
        <v>13358</v>
      </c>
      <c r="F304" s="189">
        <v>161.71700000000001</v>
      </c>
      <c r="G304" s="198">
        <v>4.4770122962233447</v>
      </c>
      <c r="H304" s="199">
        <v>26.531278133646776</v>
      </c>
    </row>
    <row r="305" spans="1:8" ht="16.5" hidden="1" x14ac:dyDescent="0.25">
      <c r="A305" s="188">
        <v>24</v>
      </c>
      <c r="B305" s="189" t="s">
        <v>0</v>
      </c>
      <c r="C305" s="189" t="s">
        <v>286</v>
      </c>
      <c r="D305" s="189">
        <v>6</v>
      </c>
      <c r="E305" s="189">
        <v>13745</v>
      </c>
      <c r="F305" s="189">
        <v>175.06899999999999</v>
      </c>
      <c r="G305" s="198"/>
      <c r="H305" s="199"/>
    </row>
    <row r="306" spans="1:8" ht="16.5" x14ac:dyDescent="0.25">
      <c r="A306" s="188">
        <v>24</v>
      </c>
      <c r="B306" s="189" t="s">
        <v>0</v>
      </c>
      <c r="C306" s="189" t="s">
        <v>286</v>
      </c>
      <c r="D306" s="189">
        <v>7</v>
      </c>
      <c r="E306" s="189">
        <v>12838</v>
      </c>
      <c r="F306" s="189">
        <v>162.93299999999999</v>
      </c>
      <c r="G306" s="198">
        <v>4.5142618481825618</v>
      </c>
      <c r="H306" s="199">
        <v>26.497723020002933</v>
      </c>
    </row>
    <row r="307" spans="1:8" ht="16.5" x14ac:dyDescent="0.25">
      <c r="A307" s="188">
        <v>35</v>
      </c>
      <c r="B307" s="189" t="s">
        <v>0</v>
      </c>
      <c r="C307" s="189" t="s">
        <v>729</v>
      </c>
      <c r="D307" s="189">
        <v>7</v>
      </c>
      <c r="E307" s="189">
        <v>13732</v>
      </c>
      <c r="F307" s="189">
        <v>173.92599999999999</v>
      </c>
      <c r="G307" s="198">
        <v>4.5128529257393586</v>
      </c>
      <c r="H307" s="199">
        <v>26.502073737068745</v>
      </c>
    </row>
    <row r="308" spans="1:8" ht="16.5" hidden="1" x14ac:dyDescent="0.25">
      <c r="A308" s="188">
        <v>36</v>
      </c>
      <c r="B308" s="189" t="s">
        <v>0</v>
      </c>
      <c r="C308" s="189" t="s">
        <v>725</v>
      </c>
      <c r="D308" s="189">
        <v>6</v>
      </c>
      <c r="E308" s="189">
        <v>17746</v>
      </c>
      <c r="F308" s="189">
        <v>214.78299999999999</v>
      </c>
      <c r="G308" s="198"/>
      <c r="H308" s="199"/>
    </row>
    <row r="309" spans="1:8" ht="16.5" x14ac:dyDescent="0.25">
      <c r="A309" s="188">
        <v>36</v>
      </c>
      <c r="B309" s="189" t="s">
        <v>0</v>
      </c>
      <c r="C309" s="189" t="s">
        <v>725</v>
      </c>
      <c r="D309" s="189">
        <v>7</v>
      </c>
      <c r="E309" s="189">
        <v>16472</v>
      </c>
      <c r="F309" s="189">
        <v>201.999</v>
      </c>
      <c r="G309" s="198">
        <v>4.3940417753622736</v>
      </c>
      <c r="H309" s="199">
        <v>26.497811720136855</v>
      </c>
    </row>
    <row r="310" spans="1:8" ht="16.5" x14ac:dyDescent="0.25">
      <c r="A310" s="188">
        <v>47</v>
      </c>
      <c r="B310" s="189" t="s">
        <v>0</v>
      </c>
      <c r="C310" s="189" t="s">
        <v>513</v>
      </c>
      <c r="D310" s="189">
        <v>7</v>
      </c>
      <c r="E310" s="189">
        <v>13205</v>
      </c>
      <c r="F310" s="189">
        <v>160.077</v>
      </c>
      <c r="G310" s="198">
        <v>4.4568831416678956</v>
      </c>
      <c r="H310" s="199">
        <v>26.540259389747821</v>
      </c>
    </row>
    <row r="311" spans="1:8" ht="17.25" hidden="1" x14ac:dyDescent="0.25">
      <c r="A311" s="201">
        <v>48</v>
      </c>
      <c r="B311" s="202" t="s">
        <v>0</v>
      </c>
      <c r="C311" s="202" t="s">
        <v>380</v>
      </c>
      <c r="D311" s="202">
        <v>6</v>
      </c>
      <c r="E311" s="202">
        <v>14153</v>
      </c>
      <c r="F311" s="202">
        <v>179.643</v>
      </c>
      <c r="G311" s="206"/>
      <c r="H311" s="207"/>
    </row>
    <row r="312" spans="1:8" ht="16.5" x14ac:dyDescent="0.25">
      <c r="A312" s="201">
        <v>48</v>
      </c>
      <c r="B312" s="202" t="s">
        <v>0</v>
      </c>
      <c r="C312" s="202" t="s">
        <v>380</v>
      </c>
      <c r="D312" s="202">
        <v>7</v>
      </c>
      <c r="E312" s="202">
        <v>13202</v>
      </c>
      <c r="F312" s="202">
        <v>167.017</v>
      </c>
      <c r="G312" s="198">
        <v>4.476433010985704</v>
      </c>
      <c r="H312" s="199">
        <v>26.384957216603677</v>
      </c>
    </row>
    <row r="313" spans="1:8" ht="16.5" x14ac:dyDescent="0.25">
      <c r="A313" s="188">
        <v>59</v>
      </c>
      <c r="B313" s="189" t="s">
        <v>0</v>
      </c>
      <c r="C313" s="189" t="s">
        <v>289</v>
      </c>
      <c r="D313" s="189">
        <v>7</v>
      </c>
      <c r="E313" s="189">
        <v>13137</v>
      </c>
      <c r="F313" s="189">
        <v>166.16300000000001</v>
      </c>
      <c r="G313" s="198">
        <v>4.4876424321972079</v>
      </c>
      <c r="H313" s="199">
        <v>26.508362135513043</v>
      </c>
    </row>
    <row r="314" spans="1:8" ht="16.5" hidden="1" x14ac:dyDescent="0.25">
      <c r="A314" s="188">
        <v>60</v>
      </c>
      <c r="B314" s="189" t="s">
        <v>0</v>
      </c>
      <c r="C314" s="189" t="s">
        <v>380</v>
      </c>
      <c r="D314" s="189">
        <v>6</v>
      </c>
      <c r="E314" s="189">
        <v>15759</v>
      </c>
      <c r="F314" s="189">
        <v>193.91399999999999</v>
      </c>
      <c r="G314" s="198"/>
      <c r="H314" s="199"/>
    </row>
    <row r="315" spans="1:8" ht="16.5" x14ac:dyDescent="0.25">
      <c r="A315" s="188">
        <v>60</v>
      </c>
      <c r="B315" s="189" t="s">
        <v>0</v>
      </c>
      <c r="C315" s="189" t="s">
        <v>380</v>
      </c>
      <c r="D315" s="189">
        <v>7</v>
      </c>
      <c r="E315" s="189">
        <v>14551</v>
      </c>
      <c r="F315" s="189">
        <v>179.70099999999999</v>
      </c>
      <c r="G315" s="198">
        <v>4.4546914285644368</v>
      </c>
      <c r="H315" s="199">
        <v>26.487369607134131</v>
      </c>
    </row>
    <row r="316" spans="1:8" ht="16.5" x14ac:dyDescent="0.25">
      <c r="A316" s="188">
        <v>71</v>
      </c>
      <c r="B316" s="189" t="s">
        <v>0</v>
      </c>
      <c r="C316" s="189" t="s">
        <v>518</v>
      </c>
      <c r="D316" s="189">
        <v>7</v>
      </c>
      <c r="E316" s="189">
        <v>12984</v>
      </c>
      <c r="F316" s="189">
        <v>164.16800000000001</v>
      </c>
      <c r="G316" s="198">
        <v>4.4240411947776899</v>
      </c>
      <c r="H316" s="199">
        <v>26.492729839536221</v>
      </c>
    </row>
    <row r="317" spans="1:8" hidden="1" x14ac:dyDescent="0.25">
      <c r="A317" s="188">
        <v>72</v>
      </c>
      <c r="B317" s="189" t="s">
        <v>0</v>
      </c>
      <c r="C317" s="189" t="s">
        <v>576</v>
      </c>
      <c r="D317" s="189">
        <v>6</v>
      </c>
      <c r="E317" s="189">
        <v>13499</v>
      </c>
      <c r="F317" s="189">
        <v>169.52199999999999</v>
      </c>
      <c r="G317" s="193"/>
      <c r="H317" s="194"/>
    </row>
    <row r="318" spans="1:8" ht="16.5" x14ac:dyDescent="0.25">
      <c r="A318" s="188">
        <v>72</v>
      </c>
      <c r="B318" s="189" t="s">
        <v>0</v>
      </c>
      <c r="C318" s="189" t="s">
        <v>576</v>
      </c>
      <c r="D318" s="189">
        <v>7</v>
      </c>
      <c r="E318" s="189">
        <v>12719</v>
      </c>
      <c r="F318" s="189">
        <v>158.21299999999999</v>
      </c>
      <c r="G318" s="198">
        <v>4.4214082174410354</v>
      </c>
      <c r="H318" s="199">
        <v>26.542391133297738</v>
      </c>
    </row>
    <row r="319" spans="1:8" ht="16.5" x14ac:dyDescent="0.25">
      <c r="A319" s="188">
        <v>83</v>
      </c>
      <c r="B319" s="189" t="s">
        <v>0</v>
      </c>
      <c r="C319" s="189" t="s">
        <v>518</v>
      </c>
      <c r="D319" s="189">
        <v>7</v>
      </c>
      <c r="E319" s="189">
        <v>12366</v>
      </c>
      <c r="F319" s="189">
        <v>154.828</v>
      </c>
      <c r="G319" s="198">
        <v>4.4556694131634638</v>
      </c>
      <c r="H319" s="199">
        <v>26.506471499509448</v>
      </c>
    </row>
    <row r="320" spans="1:8" hidden="1" x14ac:dyDescent="0.25">
      <c r="A320" s="188">
        <v>84</v>
      </c>
      <c r="B320" s="189" t="s">
        <v>0</v>
      </c>
      <c r="C320" s="189" t="s">
        <v>269</v>
      </c>
      <c r="D320" s="189">
        <v>6</v>
      </c>
      <c r="E320" s="189">
        <v>12830</v>
      </c>
      <c r="F320" s="189">
        <v>161.59299999999999</v>
      </c>
      <c r="G320" s="193"/>
      <c r="H320" s="194"/>
    </row>
    <row r="321" spans="1:8" ht="16.5" x14ac:dyDescent="0.25">
      <c r="A321" s="188">
        <v>84</v>
      </c>
      <c r="B321" s="189" t="s">
        <v>0</v>
      </c>
      <c r="C321" s="189" t="s">
        <v>269</v>
      </c>
      <c r="D321" s="189">
        <v>7</v>
      </c>
      <c r="E321" s="189">
        <v>11911</v>
      </c>
      <c r="F321" s="189">
        <v>151.83500000000001</v>
      </c>
      <c r="G321" s="198">
        <v>4.40389793588602</v>
      </c>
      <c r="H321" s="199">
        <v>26.541656539370994</v>
      </c>
    </row>
    <row r="322" spans="1:8" ht="16.5" x14ac:dyDescent="0.25">
      <c r="A322" s="201">
        <v>95</v>
      </c>
      <c r="B322" s="202" t="s">
        <v>0</v>
      </c>
      <c r="C322" s="202" t="s">
        <v>513</v>
      </c>
      <c r="D322" s="202">
        <v>7</v>
      </c>
      <c r="E322" s="189">
        <v>11396</v>
      </c>
      <c r="F322" s="189">
        <v>142.67400000000001</v>
      </c>
      <c r="G322" s="198">
        <v>4.4244640730011673</v>
      </c>
      <c r="H322" s="199">
        <v>26.383137148662431</v>
      </c>
    </row>
    <row r="323" spans="1:8" hidden="1" x14ac:dyDescent="0.25">
      <c r="A323" s="188">
        <v>96</v>
      </c>
      <c r="B323" s="189" t="s">
        <v>0</v>
      </c>
      <c r="C323" s="189" t="s">
        <v>1202</v>
      </c>
      <c r="D323" s="189">
        <v>6</v>
      </c>
      <c r="E323" s="189">
        <v>16636</v>
      </c>
      <c r="F323" s="189">
        <v>208.79400000000001</v>
      </c>
      <c r="G323" s="209"/>
      <c r="H323" s="210"/>
    </row>
    <row r="324" spans="1:8" ht="16.5" x14ac:dyDescent="0.25">
      <c r="A324" s="188">
        <v>96</v>
      </c>
      <c r="B324" s="189" t="s">
        <v>0</v>
      </c>
      <c r="C324" s="189" t="s">
        <v>1202</v>
      </c>
      <c r="D324" s="189">
        <v>7</v>
      </c>
      <c r="E324" s="189">
        <v>15435</v>
      </c>
      <c r="F324" s="189">
        <v>194.173</v>
      </c>
      <c r="G324" s="198">
        <v>4.4704658693117043</v>
      </c>
      <c r="H324" s="199">
        <v>26.625753087331663</v>
      </c>
    </row>
    <row r="325" spans="1:8" hidden="1" x14ac:dyDescent="0.25">
      <c r="A325" s="188">
        <v>98</v>
      </c>
      <c r="B325" s="189" t="s">
        <v>0</v>
      </c>
      <c r="C325" s="189" t="s">
        <v>299</v>
      </c>
      <c r="D325" s="189">
        <v>6</v>
      </c>
      <c r="E325" s="189">
        <v>14717</v>
      </c>
      <c r="F325" s="189">
        <v>187.13</v>
      </c>
      <c r="G325" s="193"/>
      <c r="H325" s="194"/>
    </row>
    <row r="326" spans="1:8" ht="16.5" x14ac:dyDescent="0.25">
      <c r="A326" s="188">
        <v>98</v>
      </c>
      <c r="B326" s="189" t="s">
        <v>0</v>
      </c>
      <c r="C326" s="189" t="s">
        <v>299</v>
      </c>
      <c r="D326" s="189">
        <v>7</v>
      </c>
      <c r="E326" s="189">
        <v>13705</v>
      </c>
      <c r="F326" s="189">
        <v>173.839</v>
      </c>
      <c r="G326" s="198">
        <v>4.5026582611463128</v>
      </c>
      <c r="H326" s="199">
        <v>26.557655397227197</v>
      </c>
    </row>
    <row r="327" spans="1:8" hidden="1" x14ac:dyDescent="0.25">
      <c r="A327" s="188">
        <v>99</v>
      </c>
      <c r="B327" s="189" t="s">
        <v>0</v>
      </c>
      <c r="C327" s="189" t="s">
        <v>286</v>
      </c>
      <c r="D327" s="189">
        <v>6</v>
      </c>
      <c r="E327" s="189">
        <v>14843</v>
      </c>
      <c r="F327" s="189">
        <v>180.15299999999999</v>
      </c>
      <c r="G327" s="193"/>
      <c r="H327" s="194"/>
    </row>
    <row r="328" spans="1:8" ht="16.5" x14ac:dyDescent="0.25">
      <c r="A328" s="188">
        <v>99</v>
      </c>
      <c r="B328" s="189" t="s">
        <v>0</v>
      </c>
      <c r="C328" s="189" t="s">
        <v>286</v>
      </c>
      <c r="D328" s="189">
        <v>7</v>
      </c>
      <c r="E328" s="189">
        <v>13984</v>
      </c>
      <c r="F328" s="189">
        <v>170.92</v>
      </c>
      <c r="G328" s="198">
        <v>4.3873480085097549</v>
      </c>
      <c r="H328" s="199">
        <v>26.544405753466418</v>
      </c>
    </row>
    <row r="329" spans="1:8" ht="16.5" x14ac:dyDescent="0.25">
      <c r="A329" s="188">
        <v>107</v>
      </c>
      <c r="B329" s="189" t="s">
        <v>0</v>
      </c>
      <c r="C329" s="189" t="s">
        <v>737</v>
      </c>
      <c r="D329" s="189">
        <v>7</v>
      </c>
      <c r="E329" s="189">
        <v>14029</v>
      </c>
      <c r="F329" s="189">
        <v>177.77500000000001</v>
      </c>
      <c r="G329" s="198">
        <v>4.4581134931400168</v>
      </c>
      <c r="H329" s="199">
        <v>26.484885513328482</v>
      </c>
    </row>
    <row r="330" spans="1:8" hidden="1" x14ac:dyDescent="0.25">
      <c r="A330" s="213">
        <v>108</v>
      </c>
      <c r="B330" s="195" t="s">
        <v>0</v>
      </c>
      <c r="C330" s="195" t="s">
        <v>229</v>
      </c>
      <c r="D330" s="195">
        <v>6</v>
      </c>
      <c r="E330" s="195">
        <v>13925</v>
      </c>
      <c r="F330" s="195">
        <v>171.35900000000001</v>
      </c>
      <c r="G330" s="193"/>
      <c r="H330" s="194"/>
    </row>
    <row r="331" spans="1:8" ht="16.5" x14ac:dyDescent="0.25">
      <c r="A331" s="213">
        <v>108</v>
      </c>
      <c r="B331" s="195" t="s">
        <v>0</v>
      </c>
      <c r="C331" s="195" t="s">
        <v>229</v>
      </c>
      <c r="D331" s="195">
        <v>7</v>
      </c>
      <c r="E331" s="195">
        <v>13110</v>
      </c>
      <c r="F331" s="195">
        <v>160.28</v>
      </c>
      <c r="G331" s="198">
        <v>4.4053471564327102</v>
      </c>
      <c r="H331" s="199">
        <v>26.526328568163027</v>
      </c>
    </row>
    <row r="332" spans="1:8" ht="16.5" x14ac:dyDescent="0.25">
      <c r="A332" s="213">
        <v>119</v>
      </c>
      <c r="B332" s="195" t="s">
        <v>0</v>
      </c>
      <c r="C332" s="195"/>
      <c r="D332" s="195">
        <v>7</v>
      </c>
      <c r="E332" s="195">
        <v>14087</v>
      </c>
      <c r="F332" s="195">
        <v>172.649</v>
      </c>
      <c r="G332" s="198">
        <v>4.4620745448497496</v>
      </c>
      <c r="H332" s="199">
        <v>26.386556269294115</v>
      </c>
    </row>
    <row r="333" spans="1:8" hidden="1" x14ac:dyDescent="0.25">
      <c r="A333" s="213">
        <v>120</v>
      </c>
      <c r="B333" s="195" t="s">
        <v>0</v>
      </c>
      <c r="C333" s="195"/>
      <c r="D333" s="195">
        <v>6</v>
      </c>
      <c r="E333" s="195">
        <v>15186</v>
      </c>
      <c r="F333" s="195">
        <v>192.816</v>
      </c>
      <c r="G333" s="193"/>
      <c r="H333" s="194"/>
    </row>
    <row r="334" spans="1:8" ht="16.5" x14ac:dyDescent="0.25">
      <c r="A334" s="213">
        <v>120</v>
      </c>
      <c r="B334" s="195" t="s">
        <v>0</v>
      </c>
      <c r="C334" s="195"/>
      <c r="D334" s="195">
        <v>7</v>
      </c>
      <c r="E334" s="195">
        <v>14089</v>
      </c>
      <c r="F334" s="195">
        <v>178.97200000000001</v>
      </c>
      <c r="G334" s="198">
        <v>4.5024534964079637</v>
      </c>
      <c r="H334" s="199">
        <v>26.521063406622698</v>
      </c>
    </row>
    <row r="335" spans="1:8" ht="16.5" x14ac:dyDescent="0.25">
      <c r="A335" s="213">
        <v>131</v>
      </c>
      <c r="B335" s="195" t="s">
        <v>0</v>
      </c>
      <c r="C335" s="195"/>
      <c r="D335" s="195">
        <v>7</v>
      </c>
      <c r="E335" s="195">
        <v>15325</v>
      </c>
      <c r="F335" s="195">
        <v>195.23400000000001</v>
      </c>
      <c r="G335" s="198">
        <v>4.4690516577424182</v>
      </c>
      <c r="H335" s="199">
        <v>26.522579149795103</v>
      </c>
    </row>
    <row r="336" spans="1:8" hidden="1" x14ac:dyDescent="0.25">
      <c r="A336" s="213">
        <v>132</v>
      </c>
      <c r="B336" s="195" t="s">
        <v>0</v>
      </c>
      <c r="C336" s="195"/>
      <c r="D336" s="195">
        <v>6</v>
      </c>
      <c r="E336" s="195">
        <v>19965</v>
      </c>
      <c r="F336" s="195">
        <v>243.29300000000001</v>
      </c>
      <c r="G336" s="193"/>
      <c r="H336" s="194"/>
    </row>
    <row r="337" spans="1:8" ht="16.5" x14ac:dyDescent="0.25">
      <c r="A337" s="213">
        <v>132</v>
      </c>
      <c r="B337" s="195" t="s">
        <v>0</v>
      </c>
      <c r="C337" s="195"/>
      <c r="D337" s="195">
        <v>7</v>
      </c>
      <c r="E337" s="195">
        <v>18790</v>
      </c>
      <c r="F337" s="195">
        <v>230.37799999999999</v>
      </c>
      <c r="G337" s="198">
        <v>4.4542348006792878</v>
      </c>
      <c r="H337" s="199">
        <v>26.443073936390579</v>
      </c>
    </row>
    <row r="338" spans="1:8" ht="16.5" x14ac:dyDescent="0.25">
      <c r="A338" s="213">
        <v>143</v>
      </c>
      <c r="B338" s="195" t="s">
        <v>0</v>
      </c>
      <c r="C338" s="195"/>
      <c r="D338" s="195">
        <v>7</v>
      </c>
      <c r="E338" s="195">
        <v>19128</v>
      </c>
      <c r="F338" s="195">
        <v>233.26599999999999</v>
      </c>
      <c r="G338" s="198"/>
      <c r="H338" s="199"/>
    </row>
    <row r="339" spans="1:8" hidden="1" x14ac:dyDescent="0.25">
      <c r="A339" s="213">
        <v>144</v>
      </c>
      <c r="B339" s="195" t="s">
        <v>0</v>
      </c>
      <c r="C339" s="195"/>
      <c r="D339" s="195">
        <v>6</v>
      </c>
      <c r="E339" s="195">
        <v>17137</v>
      </c>
      <c r="F339" s="195">
        <v>217.387</v>
      </c>
      <c r="G339" s="193"/>
      <c r="H339" s="194"/>
    </row>
    <row r="340" spans="1:8" ht="16.5" x14ac:dyDescent="0.25">
      <c r="A340" s="213">
        <v>144</v>
      </c>
      <c r="B340" s="195" t="s">
        <v>0</v>
      </c>
      <c r="C340" s="195"/>
      <c r="D340" s="195">
        <v>7</v>
      </c>
      <c r="E340" s="195">
        <v>15969</v>
      </c>
      <c r="F340" s="195">
        <v>202.16900000000001</v>
      </c>
      <c r="G340" s="198">
        <v>4.4760907289692007</v>
      </c>
      <c r="H340" s="199">
        <v>26.503312108551658</v>
      </c>
    </row>
    <row r="341" spans="1:8" ht="16.5" x14ac:dyDescent="0.25">
      <c r="A341" s="213">
        <v>155</v>
      </c>
      <c r="B341" s="195" t="s">
        <v>0</v>
      </c>
      <c r="C341" s="195"/>
      <c r="D341" s="195">
        <v>7</v>
      </c>
      <c r="E341" s="195">
        <v>16831</v>
      </c>
      <c r="F341" s="195">
        <v>215.10900000000001</v>
      </c>
      <c r="G341" s="198">
        <v>4.468599311530765</v>
      </c>
      <c r="H341" s="199">
        <v>26.559064798250102</v>
      </c>
    </row>
    <row r="342" spans="1:8" hidden="1" x14ac:dyDescent="0.25">
      <c r="A342" s="213">
        <v>156</v>
      </c>
      <c r="B342" s="195" t="s">
        <v>0</v>
      </c>
      <c r="C342" s="195"/>
      <c r="D342" s="195">
        <v>6</v>
      </c>
      <c r="E342" s="195">
        <v>11457</v>
      </c>
      <c r="F342" s="195">
        <v>140.131</v>
      </c>
      <c r="G342" s="193"/>
      <c r="H342" s="194"/>
    </row>
    <row r="343" spans="1:8" ht="16.5" x14ac:dyDescent="0.25">
      <c r="A343" s="213">
        <v>156</v>
      </c>
      <c r="B343" s="195" t="s">
        <v>0</v>
      </c>
      <c r="C343" s="195"/>
      <c r="D343" s="195">
        <v>7</v>
      </c>
      <c r="E343" s="195">
        <v>10807</v>
      </c>
      <c r="F343" s="195">
        <v>131.25</v>
      </c>
      <c r="G343" s="198"/>
      <c r="H343" s="199"/>
    </row>
    <row r="344" spans="1:8" ht="16.5" x14ac:dyDescent="0.25">
      <c r="A344" s="213">
        <v>167</v>
      </c>
      <c r="B344" s="195" t="s">
        <v>0</v>
      </c>
      <c r="C344" s="195"/>
      <c r="D344" s="195">
        <v>7</v>
      </c>
      <c r="E344" s="195">
        <v>10055</v>
      </c>
      <c r="F344" s="195">
        <v>122.65</v>
      </c>
      <c r="G344" s="198">
        <v>4.4508056839355996</v>
      </c>
      <c r="H344" s="199">
        <v>26.521024692199614</v>
      </c>
    </row>
    <row r="345" spans="1:8" hidden="1" x14ac:dyDescent="0.25">
      <c r="A345" s="213">
        <v>168</v>
      </c>
      <c r="B345" s="195" t="s">
        <v>0</v>
      </c>
      <c r="C345" s="195"/>
      <c r="D345" s="195">
        <v>6</v>
      </c>
      <c r="E345" s="195">
        <v>12028</v>
      </c>
      <c r="F345" s="195">
        <v>153.42699999999999</v>
      </c>
      <c r="G345" s="193"/>
      <c r="H345" s="194"/>
    </row>
    <row r="346" spans="1:8" ht="16.5" x14ac:dyDescent="0.25">
      <c r="A346" s="213">
        <v>168</v>
      </c>
      <c r="B346" s="195" t="s">
        <v>0</v>
      </c>
      <c r="C346" s="195"/>
      <c r="D346" s="195">
        <v>7</v>
      </c>
      <c r="E346" s="195">
        <v>11208</v>
      </c>
      <c r="F346" s="195">
        <v>142.459</v>
      </c>
      <c r="G346" s="198">
        <v>4.5153446078506576</v>
      </c>
      <c r="H346" s="199">
        <v>26.531863750553018</v>
      </c>
    </row>
  </sheetData>
  <autoFilter ref="A2:AK279" xr:uid="{756A961C-9F3E-4075-A68C-8320FBC9CBDF}">
    <filterColumn colId="3">
      <filters>
        <filter val="7"/>
      </filters>
    </filterColumn>
  </autoFilter>
  <conditionalFormatting sqref="E1:E279 E284:E346">
    <cfRule type="cellIs" dxfId="2" priority="2" operator="greaterThan">
      <formula>37000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90ED-F32B-4C83-8ADD-421DE5223095}">
  <dimension ref="A1:AD390"/>
  <sheetViews>
    <sheetView zoomScale="85" zoomScaleNormal="85" workbookViewId="0">
      <pane ySplit="1" topLeftCell="A322" activePane="bottomLeft" state="frozen"/>
      <selection pane="bottomLeft" sqref="A1:AA342"/>
    </sheetView>
  </sheetViews>
  <sheetFormatPr defaultRowHeight="24.95" customHeight="1" x14ac:dyDescent="0.25"/>
  <cols>
    <col min="1" max="1" width="9.28515625" style="108" bestFit="1" customWidth="1"/>
    <col min="2" max="2" width="25.7109375" style="65" customWidth="1"/>
    <col min="3" max="3" width="9.140625" style="65"/>
    <col min="4" max="8" width="9.28515625" style="65" bestFit="1" customWidth="1"/>
    <col min="9" max="9" width="9.140625" style="65"/>
    <col min="10" max="10" width="13.140625" style="65" customWidth="1"/>
    <col min="11" max="11" width="11" style="65" bestFit="1" customWidth="1"/>
    <col min="12" max="12" width="9.140625" style="65"/>
    <col min="13" max="13" width="11.7109375" style="65" bestFit="1" customWidth="1"/>
    <col min="14" max="14" width="14" style="65" bestFit="1" customWidth="1"/>
    <col min="15" max="15" width="9.140625" style="65"/>
    <col min="16" max="16" width="15" style="65" customWidth="1"/>
    <col min="17" max="17" width="9.28515625" style="65" bestFit="1" customWidth="1"/>
    <col min="18" max="18" width="8.5703125" style="65" customWidth="1"/>
    <col min="19" max="19" width="19.7109375" style="65" bestFit="1" customWidth="1"/>
    <col min="20" max="20" width="17.7109375" style="65" bestFit="1" customWidth="1"/>
    <col min="21" max="21" width="19.7109375" style="65" customWidth="1"/>
    <col min="22" max="22" width="9.140625" style="65"/>
    <col min="23" max="23" width="21" style="65" bestFit="1" customWidth="1"/>
    <col min="24" max="24" width="18.140625" style="65" bestFit="1" customWidth="1"/>
    <col min="25" max="25" width="45.85546875" style="64" bestFit="1" customWidth="1"/>
    <col min="26" max="26" width="48.5703125" style="30" bestFit="1" customWidth="1"/>
    <col min="27" max="27" width="22.5703125" style="30" bestFit="1" customWidth="1"/>
    <col min="28" max="16384" width="9.140625" style="65"/>
  </cols>
  <sheetData>
    <row r="1" spans="1:27" ht="24.95" customHeight="1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47" t="s">
        <v>7</v>
      </c>
      <c r="H1" s="47" t="s">
        <v>8</v>
      </c>
      <c r="I1" s="47"/>
      <c r="J1" s="72" t="s">
        <v>9</v>
      </c>
      <c r="K1" s="72" t="s">
        <v>10</v>
      </c>
      <c r="L1" s="73"/>
      <c r="M1" s="63" t="s">
        <v>27</v>
      </c>
      <c r="N1" s="63" t="s">
        <v>28</v>
      </c>
      <c r="O1" s="47"/>
      <c r="P1" s="72" t="s">
        <v>12</v>
      </c>
      <c r="Q1" s="72" t="s">
        <v>10</v>
      </c>
      <c r="R1" s="47"/>
      <c r="S1" s="47" t="s">
        <v>14</v>
      </c>
      <c r="T1" s="47" t="s">
        <v>13</v>
      </c>
      <c r="U1" s="47"/>
      <c r="V1" s="47"/>
      <c r="W1" s="47" t="s">
        <v>93</v>
      </c>
      <c r="X1" s="47" t="s">
        <v>94</v>
      </c>
      <c r="Z1" s="74" t="s">
        <v>30</v>
      </c>
      <c r="AA1" s="75" t="s">
        <v>31</v>
      </c>
    </row>
    <row r="2" spans="1:27" ht="24.95" customHeight="1" x14ac:dyDescent="0.25">
      <c r="A2" s="63"/>
      <c r="B2" s="47"/>
      <c r="C2" s="47"/>
      <c r="D2" s="47"/>
      <c r="E2" s="47"/>
      <c r="F2" s="47"/>
      <c r="G2" s="47"/>
      <c r="H2" s="47"/>
      <c r="I2" s="47"/>
      <c r="J2" s="72"/>
      <c r="K2" s="72"/>
      <c r="L2" s="47"/>
      <c r="M2" s="63"/>
      <c r="N2" s="63"/>
      <c r="O2" s="73"/>
      <c r="P2" s="72"/>
      <c r="Q2" s="72"/>
      <c r="R2" s="47"/>
      <c r="S2" s="47"/>
      <c r="T2" s="73"/>
      <c r="U2" s="47"/>
      <c r="V2" s="47"/>
      <c r="W2" s="73"/>
      <c r="X2" s="73"/>
      <c r="Z2" s="76"/>
      <c r="AA2" s="77"/>
    </row>
    <row r="3" spans="1:27" s="103" customFormat="1" ht="24.95" customHeight="1" x14ac:dyDescent="0.25">
      <c r="A3" s="78">
        <v>2</v>
      </c>
      <c r="B3" s="79" t="s">
        <v>23</v>
      </c>
      <c r="C3" s="79" t="s">
        <v>505</v>
      </c>
      <c r="D3" s="79">
        <v>6</v>
      </c>
      <c r="E3" s="79">
        <v>13350</v>
      </c>
      <c r="F3" s="79">
        <v>169.452</v>
      </c>
      <c r="G3" s="79">
        <v>-4.7290000000000001</v>
      </c>
      <c r="H3" s="79">
        <v>17.385000000000002</v>
      </c>
      <c r="I3" s="79"/>
      <c r="J3" s="79"/>
      <c r="K3" s="79"/>
      <c r="L3" s="79"/>
      <c r="M3" s="78"/>
      <c r="N3" s="78"/>
      <c r="O3" s="80"/>
      <c r="P3" s="81"/>
      <c r="Q3" s="81"/>
      <c r="R3" s="80"/>
      <c r="S3" s="80"/>
      <c r="T3" s="28"/>
      <c r="U3" s="80"/>
      <c r="V3" s="80"/>
      <c r="W3" s="80"/>
      <c r="X3" s="28"/>
      <c r="Y3" s="109"/>
      <c r="Z3" s="82"/>
      <c r="AA3" s="83"/>
    </row>
    <row r="4" spans="1:27" s="103" customFormat="1" ht="24.95" customHeight="1" x14ac:dyDescent="0.25">
      <c r="A4" s="78">
        <v>2</v>
      </c>
      <c r="B4" s="79" t="s">
        <v>23</v>
      </c>
      <c r="C4" s="79" t="s">
        <v>505</v>
      </c>
      <c r="D4" s="79">
        <v>7</v>
      </c>
      <c r="E4" s="79">
        <v>12410</v>
      </c>
      <c r="F4" s="79">
        <v>157.446</v>
      </c>
      <c r="G4" s="79">
        <v>-4.6660000000000004</v>
      </c>
      <c r="H4" s="79">
        <v>17.390999999999998</v>
      </c>
      <c r="I4" s="79"/>
      <c r="J4" s="84">
        <f>AVERAGE(G3:G4)</f>
        <v>-4.6974999999999998</v>
      </c>
      <c r="K4" s="84">
        <f>STDEV(G3:G4)</f>
        <v>4.4547727214752295E-2</v>
      </c>
      <c r="L4" s="79"/>
      <c r="M4" s="78">
        <f>AVERAGE(E3:E4)</f>
        <v>12880</v>
      </c>
      <c r="N4" s="78">
        <f>STDEV(E3:E4)</f>
        <v>664.6803743153547</v>
      </c>
      <c r="O4" s="80"/>
      <c r="P4" s="81">
        <f>AVERAGE(H3:H4)</f>
        <v>17.387999999999998</v>
      </c>
      <c r="Q4" s="81">
        <f>STDEV(H3:H4)</f>
        <v>4.2426406871169334E-3</v>
      </c>
      <c r="R4" s="80"/>
      <c r="S4" s="81">
        <f>J4-(M4-Standards!$N$124)*Standards!$AA$55</f>
        <v>-4.6818780172413792</v>
      </c>
      <c r="T4" s="29">
        <f>S4-(A4-Standards!$A$124)*Standards!$AA$4</f>
        <v>-4.6472691896551721</v>
      </c>
      <c r="U4" s="81"/>
      <c r="V4" s="80"/>
      <c r="W4" s="81">
        <f>P4-(M4-Standards!$N$124)*Standards!$AL$54</f>
        <v>17.369253620689655</v>
      </c>
      <c r="X4" s="29">
        <f>W4-(A4-Standards!$A$124)*Standards!$AL$5</f>
        <v>17.373803137931034</v>
      </c>
      <c r="Y4" s="109"/>
      <c r="Z4" s="85">
        <f>(T4*Standards!$O$159)+Standards!$O$160</f>
        <v>-5.006149233500679</v>
      </c>
      <c r="AA4" s="86">
        <f>(X4*Standards!$U$159)+Standards!$U$160</f>
        <v>7.2640639004430625</v>
      </c>
    </row>
    <row r="5" spans="1:27" s="103" customFormat="1" ht="24.95" customHeight="1" x14ac:dyDescent="0.25">
      <c r="A5" s="78">
        <v>3</v>
      </c>
      <c r="B5" s="79" t="s">
        <v>567</v>
      </c>
      <c r="C5" s="79" t="s">
        <v>229</v>
      </c>
      <c r="D5" s="79">
        <v>6</v>
      </c>
      <c r="E5" s="79">
        <v>15170</v>
      </c>
      <c r="F5" s="79">
        <v>185.483</v>
      </c>
      <c r="G5" s="79">
        <v>-4.7290000000000001</v>
      </c>
      <c r="H5" s="79">
        <v>17.3</v>
      </c>
      <c r="I5" s="79"/>
      <c r="J5" s="79"/>
      <c r="K5" s="79"/>
      <c r="L5" s="79"/>
      <c r="M5" s="87"/>
      <c r="N5" s="78"/>
      <c r="O5" s="80"/>
      <c r="P5" s="81"/>
      <c r="Q5" s="81"/>
      <c r="R5" s="80"/>
      <c r="S5" s="80"/>
      <c r="T5" s="28"/>
      <c r="U5" s="80"/>
      <c r="V5" s="80"/>
      <c r="W5" s="80"/>
      <c r="X5" s="28"/>
      <c r="Y5" s="90"/>
      <c r="Z5" s="88"/>
      <c r="AA5" s="89"/>
    </row>
    <row r="6" spans="1:27" s="104" customFormat="1" ht="24.95" customHeight="1" x14ac:dyDescent="0.25">
      <c r="A6" s="78">
        <v>3</v>
      </c>
      <c r="B6" s="79" t="s">
        <v>567</v>
      </c>
      <c r="C6" s="79" t="s">
        <v>229</v>
      </c>
      <c r="D6" s="79">
        <v>7</v>
      </c>
      <c r="E6" s="79">
        <v>14309</v>
      </c>
      <c r="F6" s="79">
        <v>173.64500000000001</v>
      </c>
      <c r="G6" s="79">
        <v>-4.6769999999999996</v>
      </c>
      <c r="H6" s="79">
        <v>17.324000000000002</v>
      </c>
      <c r="I6" s="79"/>
      <c r="J6" s="84">
        <f>AVERAGE(G5:G6)</f>
        <v>-4.7029999999999994</v>
      </c>
      <c r="K6" s="84">
        <f>STDEV(G5:G6)</f>
        <v>3.676955262170082E-2</v>
      </c>
      <c r="L6" s="79"/>
      <c r="M6" s="78">
        <f>AVERAGE(E5:E6)</f>
        <v>14739.5</v>
      </c>
      <c r="N6" s="78">
        <f>STDEV(E5:E6)</f>
        <v>608.81893860161745</v>
      </c>
      <c r="O6" s="80"/>
      <c r="P6" s="81">
        <f>AVERAGE(H5:H6)</f>
        <v>17.312000000000001</v>
      </c>
      <c r="Q6" s="81">
        <f>STDEV(H5:H6)</f>
        <v>1.6970562748477785E-2</v>
      </c>
      <c r="R6" s="80"/>
      <c r="S6" s="81">
        <f>J6-(M6-Standards!$N$124)*Standards!$AA$55</f>
        <v>-4.7106217672413786</v>
      </c>
      <c r="T6" s="29">
        <f>S6-(A6-Standards!$A$124)*Standards!$AA$4</f>
        <v>-4.6764389396551715</v>
      </c>
      <c r="U6" s="81"/>
      <c r="V6" s="80"/>
      <c r="W6" s="81">
        <f>P6-(M6-Standards!$N$124)*Standards!$AL$54</f>
        <v>17.321146120689658</v>
      </c>
      <c r="X6" s="29">
        <f>W6-(A6-Standards!$A$124)*Standards!$AL$5</f>
        <v>17.325639637931037</v>
      </c>
      <c r="Y6" s="109"/>
      <c r="Z6" s="85">
        <f>(T6*Standards!$O$159)+Standards!$O$160</f>
        <v>-5.035536373606222</v>
      </c>
      <c r="AA6" s="86">
        <f>(X6*Standards!$U$159)+Standards!$U$160</f>
        <v>7.2168582772398686</v>
      </c>
    </row>
    <row r="7" spans="1:27" s="103" customFormat="1" ht="24.95" customHeight="1" x14ac:dyDescent="0.25">
      <c r="A7" s="78">
        <v>4</v>
      </c>
      <c r="B7" s="79" t="s">
        <v>567</v>
      </c>
      <c r="C7" s="79" t="s">
        <v>328</v>
      </c>
      <c r="D7" s="79">
        <v>6</v>
      </c>
      <c r="E7" s="79">
        <v>15628</v>
      </c>
      <c r="F7" s="79">
        <v>198.58099999999999</v>
      </c>
      <c r="G7" s="79">
        <v>-4.6580000000000004</v>
      </c>
      <c r="H7" s="79">
        <v>17.242999999999999</v>
      </c>
      <c r="I7" s="79"/>
      <c r="J7" s="79"/>
      <c r="K7" s="79"/>
      <c r="L7" s="79"/>
      <c r="M7" s="78"/>
      <c r="N7" s="78"/>
      <c r="O7" s="80"/>
      <c r="P7" s="81"/>
      <c r="Q7" s="81"/>
      <c r="R7" s="80"/>
      <c r="S7" s="80"/>
      <c r="T7" s="28"/>
      <c r="U7" s="80"/>
      <c r="V7" s="80"/>
      <c r="W7" s="80"/>
      <c r="X7" s="28" t="s">
        <v>29</v>
      </c>
      <c r="Y7" s="90"/>
      <c r="Z7" s="88"/>
      <c r="AA7" s="89"/>
    </row>
    <row r="8" spans="1:27" s="103" customFormat="1" ht="24.95" customHeight="1" x14ac:dyDescent="0.25">
      <c r="A8" s="78">
        <v>4</v>
      </c>
      <c r="B8" s="79" t="s">
        <v>567</v>
      </c>
      <c r="C8" s="79" t="s">
        <v>328</v>
      </c>
      <c r="D8" s="79">
        <v>7</v>
      </c>
      <c r="E8" s="79">
        <v>14585</v>
      </c>
      <c r="F8" s="79">
        <v>184.82599999999999</v>
      </c>
      <c r="G8" s="79">
        <v>-4.6180000000000003</v>
      </c>
      <c r="H8" s="79">
        <v>17.257999999999999</v>
      </c>
      <c r="I8" s="79"/>
      <c r="J8" s="84">
        <f>AVERAGE(G7:G8)</f>
        <v>-4.6379999999999999</v>
      </c>
      <c r="K8" s="84">
        <f>STDEV(G7:G8)</f>
        <v>2.8284271247461926E-2</v>
      </c>
      <c r="L8" s="79"/>
      <c r="M8" s="78">
        <f>AVERAGE(E7:E8)</f>
        <v>15106.5</v>
      </c>
      <c r="N8" s="78">
        <f>STDEV(E7:E8)</f>
        <v>737.51237277756911</v>
      </c>
      <c r="O8" s="80"/>
      <c r="P8" s="81">
        <f>AVERAGE(H7:H8)</f>
        <v>17.250499999999999</v>
      </c>
      <c r="Q8" s="81">
        <f>STDEV(H7:H8)</f>
        <v>1.0606601717798614E-2</v>
      </c>
      <c r="R8" s="80"/>
      <c r="S8" s="81">
        <f>J8-(M8-Standards!$N$124)*Standards!$AA$55</f>
        <v>-4.6502092672413795</v>
      </c>
      <c r="T8" s="29">
        <f>S8-(A8-Standards!$A$124)*Standards!$AA$4</f>
        <v>-4.6164524396551725</v>
      </c>
      <c r="U8" s="81"/>
      <c r="V8" s="80"/>
      <c r="W8" s="81">
        <f>P8-(M8-Standards!$N$124)*Standards!$AL$54</f>
        <v>17.265151120689655</v>
      </c>
      <c r="X8" s="29">
        <f>W8-(A8-Standards!$A$124)*Standards!$AL$5</f>
        <v>17.269588637931033</v>
      </c>
      <c r="Y8" s="109"/>
      <c r="Z8" s="85">
        <f>(T8*Standards!$O$159)+Standards!$O$160</f>
        <v>-4.9751028189840136</v>
      </c>
      <c r="AA8" s="86">
        <f>(X8*Standards!$U$159)+Standards!$U$160</f>
        <v>7.1619220208182561</v>
      </c>
    </row>
    <row r="9" spans="1:27" s="103" customFormat="1" ht="24.95" customHeight="1" x14ac:dyDescent="0.25">
      <c r="A9" s="78">
        <v>5</v>
      </c>
      <c r="B9" s="79" t="s">
        <v>567</v>
      </c>
      <c r="C9" s="79" t="s">
        <v>297</v>
      </c>
      <c r="D9" s="79">
        <v>6</v>
      </c>
      <c r="E9" s="79">
        <v>17291</v>
      </c>
      <c r="F9" s="79">
        <v>208.851</v>
      </c>
      <c r="G9" s="79">
        <v>-4.7009999999999996</v>
      </c>
      <c r="H9" s="79">
        <v>17.2</v>
      </c>
      <c r="I9" s="79"/>
      <c r="J9" s="84"/>
      <c r="K9" s="84"/>
      <c r="L9" s="79"/>
      <c r="M9" s="78"/>
      <c r="N9" s="78"/>
      <c r="O9" s="80"/>
      <c r="P9" s="81"/>
      <c r="Q9" s="81"/>
      <c r="R9" s="80"/>
      <c r="S9" s="80"/>
      <c r="T9" s="28"/>
      <c r="U9" s="80"/>
      <c r="V9" s="81"/>
      <c r="W9" s="80"/>
      <c r="X9" s="28"/>
      <c r="Y9" s="90"/>
      <c r="Z9" s="88"/>
      <c r="AA9" s="89"/>
    </row>
    <row r="10" spans="1:27" s="103" customFormat="1" ht="24.95" customHeight="1" x14ac:dyDescent="0.25">
      <c r="A10" s="78">
        <v>5</v>
      </c>
      <c r="B10" s="79" t="s">
        <v>567</v>
      </c>
      <c r="C10" s="79" t="s">
        <v>297</v>
      </c>
      <c r="D10" s="79">
        <v>7</v>
      </c>
      <c r="E10" s="79">
        <v>16186</v>
      </c>
      <c r="F10" s="79">
        <v>197.149</v>
      </c>
      <c r="G10" s="79">
        <v>-4.7460000000000004</v>
      </c>
      <c r="H10" s="79">
        <v>17.236000000000001</v>
      </c>
      <c r="I10" s="79"/>
      <c r="J10" s="84">
        <f>AVERAGE(G9:G10)</f>
        <v>-4.7234999999999996</v>
      </c>
      <c r="K10" s="84">
        <f>STDEV(G9:G10)</f>
        <v>3.181980515339522E-2</v>
      </c>
      <c r="L10" s="79"/>
      <c r="M10" s="78">
        <f>AVERAGE(E9:E10)</f>
        <v>16738.5</v>
      </c>
      <c r="N10" s="78">
        <f>STDEV(E9:E10)</f>
        <v>781.35299321113496</v>
      </c>
      <c r="O10" s="80"/>
      <c r="P10" s="81">
        <f>AVERAGE(H9:H10)</f>
        <v>17.218</v>
      </c>
      <c r="Q10" s="81">
        <f>STDEV(H9:H10)</f>
        <v>2.5455844122716675E-2</v>
      </c>
      <c r="R10" s="80"/>
      <c r="S10" s="81">
        <f>J10-(M10-Standards!$N$124)*Standards!$AA$55</f>
        <v>-4.7561092672413787</v>
      </c>
      <c r="T10" s="29">
        <f>S10-(A10-Standards!$A$124)*Standards!$AA$4</f>
        <v>-4.7227784396551717</v>
      </c>
      <c r="U10" s="81"/>
      <c r="V10" s="80"/>
      <c r="W10" s="81">
        <f>P10-(M10-Standards!$N$124)*Standards!$AL$54</f>
        <v>17.257131120689657</v>
      </c>
      <c r="X10" s="29">
        <f>W10-(A10-Standards!$A$124)*Standards!$AL$5</f>
        <v>17.261512637931038</v>
      </c>
      <c r="Y10" s="109"/>
      <c r="Z10" s="85">
        <f>(T10*Standards!$O$159)+Standards!$O$160</f>
        <v>-5.0822212227708814</v>
      </c>
      <c r="AA10" s="86">
        <f>(X10*Standards!$U$159)+Standards!$U$160</f>
        <v>7.1540066364921806</v>
      </c>
    </row>
    <row r="11" spans="1:27" s="105" customFormat="1" ht="24.95" customHeight="1" x14ac:dyDescent="0.25">
      <c r="A11" s="91">
        <v>6</v>
      </c>
      <c r="B11" s="92" t="s">
        <v>24</v>
      </c>
      <c r="C11" s="92" t="s">
        <v>496</v>
      </c>
      <c r="D11" s="92">
        <v>6</v>
      </c>
      <c r="E11" s="92">
        <v>13590</v>
      </c>
      <c r="F11" s="92">
        <v>172.613</v>
      </c>
      <c r="G11" s="92">
        <v>2.2120000000000002</v>
      </c>
      <c r="H11" s="92">
        <v>39.091000000000001</v>
      </c>
      <c r="I11" s="92"/>
      <c r="J11" s="92"/>
      <c r="K11" s="92"/>
      <c r="L11" s="92"/>
      <c r="M11" s="91"/>
      <c r="N11" s="91"/>
      <c r="O11" s="93"/>
      <c r="P11" s="94"/>
      <c r="Q11" s="94"/>
      <c r="R11" s="93"/>
      <c r="S11" s="93"/>
      <c r="T11" s="28"/>
      <c r="U11" s="93"/>
      <c r="V11" s="93"/>
      <c r="W11" s="93"/>
      <c r="X11" s="28"/>
      <c r="Y11" s="100"/>
      <c r="Z11" s="95"/>
      <c r="AA11" s="96"/>
    </row>
    <row r="12" spans="1:27" s="105" customFormat="1" ht="24.95" customHeight="1" x14ac:dyDescent="0.25">
      <c r="A12" s="91">
        <v>6</v>
      </c>
      <c r="B12" s="92" t="s">
        <v>24</v>
      </c>
      <c r="C12" s="92" t="s">
        <v>496</v>
      </c>
      <c r="D12" s="92">
        <v>7</v>
      </c>
      <c r="E12" s="92">
        <v>12673</v>
      </c>
      <c r="F12" s="92">
        <v>160.447</v>
      </c>
      <c r="G12" s="92">
        <v>2.2650000000000001</v>
      </c>
      <c r="H12" s="92">
        <v>39.104999999999997</v>
      </c>
      <c r="I12" s="92"/>
      <c r="J12" s="97">
        <f>AVERAGE(G11:G12)</f>
        <v>2.2385000000000002</v>
      </c>
      <c r="K12" s="97">
        <f>STDEV(G11:G12)</f>
        <v>3.7476659402886976E-2</v>
      </c>
      <c r="L12" s="92"/>
      <c r="M12" s="91">
        <f>AVERAGE(E11:E12)</f>
        <v>13131.5</v>
      </c>
      <c r="N12" s="91">
        <f>STDEV(E11:E12)</f>
        <v>648.41691834806409</v>
      </c>
      <c r="O12" s="93"/>
      <c r="P12" s="94">
        <f>AVERAGE(H11:H12)</f>
        <v>39.097999999999999</v>
      </c>
      <c r="Q12" s="94">
        <f>STDEV(H11:H12)</f>
        <v>9.8994949366086916E-3</v>
      </c>
      <c r="R12" s="93"/>
      <c r="S12" s="94">
        <f>J12-(M12-Standards!$N$124)*Standards!$AA$55</f>
        <v>2.2509782327586207</v>
      </c>
      <c r="T12" s="29">
        <f>S12-(A12-Standards!$A$124)*Standards!$AA$4</f>
        <v>2.2838830603448277</v>
      </c>
      <c r="U12" s="94"/>
      <c r="V12" s="93"/>
      <c r="W12" s="94">
        <f>P12-(M12-Standards!$N$124)*Standards!$AL$54</f>
        <v>39.083026120689652</v>
      </c>
      <c r="X12" s="29">
        <f>W12-(A12-Standards!$A$124)*Standards!$AL$5</f>
        <v>39.087351637931029</v>
      </c>
      <c r="Y12" s="110"/>
      <c r="Z12" s="98">
        <f>(T12*Standards!$O$159)+Standards!$O$160</f>
        <v>1.9766580330546835</v>
      </c>
      <c r="AA12" s="99">
        <f>(X12*Standards!$U$159)+Standards!$U$160</f>
        <v>28.545772847992641</v>
      </c>
    </row>
    <row r="13" spans="1:27" s="105" customFormat="1" ht="24.95" customHeight="1" x14ac:dyDescent="0.25">
      <c r="A13" s="91">
        <v>7</v>
      </c>
      <c r="B13" s="92" t="s">
        <v>24</v>
      </c>
      <c r="C13" s="92" t="s">
        <v>783</v>
      </c>
      <c r="D13" s="92">
        <v>6</v>
      </c>
      <c r="E13" s="92">
        <v>20377</v>
      </c>
      <c r="F13" s="92">
        <v>248.59100000000001</v>
      </c>
      <c r="G13" s="92">
        <v>2.3330000000000002</v>
      </c>
      <c r="H13" s="92">
        <v>39.058</v>
      </c>
      <c r="I13" s="92"/>
      <c r="J13" s="92"/>
      <c r="K13" s="92"/>
      <c r="L13" s="92"/>
      <c r="M13" s="91"/>
      <c r="N13" s="91"/>
      <c r="O13" s="93"/>
      <c r="P13" s="94"/>
      <c r="Q13" s="94"/>
      <c r="R13" s="93"/>
      <c r="S13" s="93"/>
      <c r="T13" s="28"/>
      <c r="U13" s="93"/>
      <c r="V13" s="93"/>
      <c r="W13" s="93"/>
      <c r="X13" s="28"/>
      <c r="Y13" s="100"/>
      <c r="Z13" s="95"/>
      <c r="AA13" s="96"/>
    </row>
    <row r="14" spans="1:27" s="105" customFormat="1" ht="24.95" customHeight="1" x14ac:dyDescent="0.25">
      <c r="A14" s="91">
        <v>7</v>
      </c>
      <c r="B14" s="92" t="s">
        <v>24</v>
      </c>
      <c r="C14" s="92" t="s">
        <v>783</v>
      </c>
      <c r="D14" s="92">
        <v>7</v>
      </c>
      <c r="E14" s="92">
        <v>18792</v>
      </c>
      <c r="F14" s="92">
        <v>230.56800000000001</v>
      </c>
      <c r="G14" s="92">
        <v>2.3860000000000001</v>
      </c>
      <c r="H14" s="92">
        <v>39.058999999999997</v>
      </c>
      <c r="I14" s="92"/>
      <c r="J14" s="97">
        <f>AVERAGE(G13:G14)</f>
        <v>2.3595000000000002</v>
      </c>
      <c r="K14" s="97">
        <f>STDEV(G13:G14)</f>
        <v>3.7476659402886976E-2</v>
      </c>
      <c r="L14" s="92"/>
      <c r="M14" s="91">
        <f>AVERAGE(E13:E14)</f>
        <v>19584.5</v>
      </c>
      <c r="N14" s="91">
        <f>STDEV(E13:E14)</f>
        <v>1120.7642481806779</v>
      </c>
      <c r="O14" s="93"/>
      <c r="P14" s="94">
        <f>AVERAGE(H13:H14)</f>
        <v>39.058499999999995</v>
      </c>
      <c r="Q14" s="94">
        <f>STDEV(H13:H14)</f>
        <v>7.0710678118489963E-4</v>
      </c>
      <c r="R14" s="93"/>
      <c r="S14" s="94">
        <f>J14-(M14-Standards!$N$124)*Standards!$AA$55</f>
        <v>2.2913157327586209</v>
      </c>
      <c r="T14" s="29">
        <f>S14-(A14-Standards!$A$124)*Standards!$AA$4</f>
        <v>2.3237945603448278</v>
      </c>
      <c r="U14" s="94"/>
      <c r="V14" s="93"/>
      <c r="W14" s="94">
        <f>P14-(M14-Standards!$N$124)*Standards!$AL$54</f>
        <v>39.140321120689649</v>
      </c>
      <c r="X14" s="29">
        <f>W14-(A14-Standards!$A$124)*Standards!$AL$5</f>
        <v>39.144590637931024</v>
      </c>
      <c r="Y14" s="110"/>
      <c r="Z14" s="98">
        <f>(T14*Standards!$O$159)+Standards!$O$160</f>
        <v>2.016866976988807</v>
      </c>
      <c r="AA14" s="99">
        <f>(X14*Standards!$U$159)+Standards!$U$160</f>
        <v>28.601873477442904</v>
      </c>
    </row>
    <row r="15" spans="1:27" s="105" customFormat="1" ht="24.95" customHeight="1" x14ac:dyDescent="0.25">
      <c r="A15" s="91">
        <v>8</v>
      </c>
      <c r="B15" s="92" t="s">
        <v>24</v>
      </c>
      <c r="C15" s="92" t="s">
        <v>783</v>
      </c>
      <c r="D15" s="92">
        <v>6</v>
      </c>
      <c r="E15" s="92">
        <v>17177</v>
      </c>
      <c r="F15" s="92">
        <v>215.74799999999999</v>
      </c>
      <c r="G15" s="92">
        <v>2.298</v>
      </c>
      <c r="H15" s="92">
        <v>39.042999999999999</v>
      </c>
      <c r="I15" s="92"/>
      <c r="J15" s="92"/>
      <c r="K15" s="92"/>
      <c r="L15" s="92"/>
      <c r="M15" s="91"/>
      <c r="N15" s="91"/>
      <c r="O15" s="93"/>
      <c r="P15" s="94"/>
      <c r="Q15" s="94"/>
      <c r="R15" s="93"/>
      <c r="S15" s="93"/>
      <c r="T15" s="28"/>
      <c r="U15" s="93"/>
      <c r="V15" s="93"/>
      <c r="W15" s="93"/>
      <c r="X15" s="28"/>
      <c r="Y15" s="100"/>
      <c r="Z15" s="95"/>
      <c r="AA15" s="96"/>
    </row>
    <row r="16" spans="1:27" s="105" customFormat="1" ht="24.95" customHeight="1" x14ac:dyDescent="0.25">
      <c r="A16" s="91">
        <v>8</v>
      </c>
      <c r="B16" s="92" t="s">
        <v>24</v>
      </c>
      <c r="C16" s="92" t="s">
        <v>783</v>
      </c>
      <c r="D16" s="92">
        <v>7</v>
      </c>
      <c r="E16" s="92">
        <v>16128</v>
      </c>
      <c r="F16" s="92">
        <v>203.08799999999999</v>
      </c>
      <c r="G16" s="92">
        <v>2.2690000000000001</v>
      </c>
      <c r="H16" s="92">
        <v>39.076999999999998</v>
      </c>
      <c r="I16" s="92"/>
      <c r="J16" s="97">
        <f>AVERAGE(G15:G16)</f>
        <v>2.2835000000000001</v>
      </c>
      <c r="K16" s="97">
        <f>STDEV(G15:G16)</f>
        <v>2.0506096654409819E-2</v>
      </c>
      <c r="L16" s="92"/>
      <c r="M16" s="91">
        <f>AVERAGE(E15:E16)</f>
        <v>16652.5</v>
      </c>
      <c r="N16" s="91">
        <f>STDEV(E15:E16)</f>
        <v>741.75501346468832</v>
      </c>
      <c r="O16" s="93"/>
      <c r="P16" s="94">
        <f>AVERAGE(H15:H16)</f>
        <v>39.06</v>
      </c>
      <c r="Q16" s="94">
        <f>STDEV(H15:H16)</f>
        <v>2.4041630560341854E-2</v>
      </c>
      <c r="R16" s="93"/>
      <c r="S16" s="94">
        <f>J16-(M16-Standards!$N$124)*Standards!$AA$55</f>
        <v>2.2519657327586207</v>
      </c>
      <c r="T16" s="29">
        <f>S16-(A16-Standards!$A$124)*Standards!$AA$4</f>
        <v>2.2840185603448275</v>
      </c>
      <c r="U16" s="94"/>
      <c r="V16" s="93"/>
      <c r="W16" s="94">
        <f>P16-(M16-Standards!$N$124)*Standards!$AL$54</f>
        <v>39.097841120689658</v>
      </c>
      <c r="X16" s="29">
        <f>W16-(A16-Standards!$A$124)*Standards!$AL$5</f>
        <v>39.10205463793104</v>
      </c>
      <c r="Y16" s="110"/>
      <c r="Z16" s="98">
        <f>(T16*Standards!$O$159)+Standards!$O$160</f>
        <v>1.9767945428802491</v>
      </c>
      <c r="AA16" s="99">
        <f>(X16*Standards!$U$159)+Standards!$U$160</f>
        <v>28.560183434390165</v>
      </c>
    </row>
    <row r="17" spans="1:27" s="105" customFormat="1" ht="24.95" customHeight="1" x14ac:dyDescent="0.25">
      <c r="A17" s="91">
        <v>9</v>
      </c>
      <c r="B17" s="92" t="s">
        <v>24</v>
      </c>
      <c r="C17" s="92" t="s">
        <v>299</v>
      </c>
      <c r="D17" s="92">
        <v>6</v>
      </c>
      <c r="E17" s="92">
        <v>11846</v>
      </c>
      <c r="F17" s="92">
        <v>150.02500000000001</v>
      </c>
      <c r="G17" s="92">
        <v>2.21</v>
      </c>
      <c r="H17" s="92">
        <v>39.246000000000002</v>
      </c>
      <c r="I17" s="92"/>
      <c r="J17" s="97"/>
      <c r="K17" s="97"/>
      <c r="L17" s="92"/>
      <c r="M17" s="91"/>
      <c r="N17" s="91"/>
      <c r="O17" s="93"/>
      <c r="P17" s="94"/>
      <c r="Q17" s="94"/>
      <c r="R17" s="93"/>
      <c r="S17" s="94"/>
      <c r="T17" s="29"/>
      <c r="U17" s="94"/>
      <c r="V17" s="94"/>
      <c r="W17" s="94"/>
      <c r="X17" s="29"/>
      <c r="Y17" s="100"/>
      <c r="Z17" s="101"/>
      <c r="AA17" s="102"/>
    </row>
    <row r="18" spans="1:27" s="105" customFormat="1" ht="24.95" customHeight="1" x14ac:dyDescent="0.25">
      <c r="A18" s="91">
        <v>9</v>
      </c>
      <c r="B18" s="92" t="s">
        <v>24</v>
      </c>
      <c r="C18" s="92" t="s">
        <v>299</v>
      </c>
      <c r="D18" s="92">
        <v>7</v>
      </c>
      <c r="E18" s="92">
        <v>10987</v>
      </c>
      <c r="F18" s="92">
        <v>139.30000000000001</v>
      </c>
      <c r="G18" s="92">
        <v>2.2629999999999999</v>
      </c>
      <c r="H18" s="92">
        <v>39.241</v>
      </c>
      <c r="I18" s="92"/>
      <c r="J18" s="97">
        <f>AVERAGE(G17:G18)</f>
        <v>2.2364999999999999</v>
      </c>
      <c r="K18" s="97">
        <f>STDEV(G17:G18)</f>
        <v>3.7476659402886976E-2</v>
      </c>
      <c r="L18" s="92"/>
      <c r="M18" s="91">
        <f>AVERAGE(E17:E18)</f>
        <v>11416.5</v>
      </c>
      <c r="N18" s="91">
        <f>STDEV(E17:E18)</f>
        <v>607.40472503924434</v>
      </c>
      <c r="O18" s="93"/>
      <c r="P18" s="94">
        <f>AVERAGE(H17:H18)</f>
        <v>39.243499999999997</v>
      </c>
      <c r="Q18" s="94">
        <f>STDEV(H17:H18)</f>
        <v>3.5355339059345461E-3</v>
      </c>
      <c r="R18" s="93"/>
      <c r="S18" s="94">
        <f>J18-(M18-Standards!$N$124)*Standards!$AA$55</f>
        <v>2.2704157327586207</v>
      </c>
      <c r="T18" s="29">
        <f>S18-(A18-Standards!$A$124)*Standards!$AA$4</f>
        <v>2.3020425603448276</v>
      </c>
      <c r="U18" s="94"/>
      <c r="V18" s="93"/>
      <c r="W18" s="94">
        <f>P18-(M18-Standards!$N$124)*Standards!$AL$54</f>
        <v>39.202801120689649</v>
      </c>
      <c r="X18" s="29">
        <f>W18-(A18-Standards!$A$124)*Standards!$AL$5</f>
        <v>39.206958637931031</v>
      </c>
      <c r="Y18" s="110"/>
      <c r="Z18" s="98">
        <f>(T18*Standards!$O$159)+Standards!$O$160</f>
        <v>1.9949528683119828</v>
      </c>
      <c r="AA18" s="99">
        <f>(X18*Standards!$U$159)+Standards!$U$160</f>
        <v>28.663001101223092</v>
      </c>
    </row>
    <row r="19" spans="1:27" s="195" customFormat="1" ht="24.95" customHeight="1" x14ac:dyDescent="0.25">
      <c r="A19" s="188">
        <v>10</v>
      </c>
      <c r="B19" s="189" t="s">
        <v>0</v>
      </c>
      <c r="C19" s="189" t="s">
        <v>254</v>
      </c>
      <c r="D19" s="189">
        <v>6</v>
      </c>
      <c r="E19" s="189">
        <v>14953</v>
      </c>
      <c r="F19" s="189">
        <v>183.512</v>
      </c>
      <c r="G19" s="189">
        <v>4.6289999999999996</v>
      </c>
      <c r="H19" s="189">
        <v>36.991</v>
      </c>
      <c r="I19" s="189"/>
      <c r="J19" s="189"/>
      <c r="K19" s="189"/>
      <c r="L19" s="189"/>
      <c r="M19" s="188"/>
      <c r="N19" s="188"/>
      <c r="O19" s="190"/>
      <c r="P19" s="191"/>
      <c r="Q19" s="191"/>
      <c r="R19" s="190"/>
      <c r="S19" s="190"/>
      <c r="T19" s="190"/>
      <c r="U19" s="190"/>
      <c r="V19" s="190"/>
      <c r="W19" s="190"/>
      <c r="X19" s="190"/>
      <c r="Y19" s="192"/>
      <c r="Z19" s="193"/>
      <c r="AA19" s="194"/>
    </row>
    <row r="20" spans="1:27" s="195" customFormat="1" ht="24.95" customHeight="1" x14ac:dyDescent="0.25">
      <c r="A20" s="188">
        <v>10</v>
      </c>
      <c r="B20" s="189" t="s">
        <v>0</v>
      </c>
      <c r="C20" s="189" t="s">
        <v>254</v>
      </c>
      <c r="D20" s="189">
        <v>7</v>
      </c>
      <c r="E20" s="189">
        <v>14114</v>
      </c>
      <c r="F20" s="189">
        <v>171.81700000000001</v>
      </c>
      <c r="G20" s="189">
        <v>4.7279999999999998</v>
      </c>
      <c r="H20" s="189">
        <v>37.024999999999999</v>
      </c>
      <c r="I20" s="189"/>
      <c r="J20" s="196">
        <f>AVERAGE(G19:G20)</f>
        <v>4.6784999999999997</v>
      </c>
      <c r="K20" s="196">
        <f>STDEV(G19:G20)</f>
        <v>7.0003571337468345E-2</v>
      </c>
      <c r="L20" s="189"/>
      <c r="M20" s="188">
        <f>AVERAGE(E19:E20)</f>
        <v>14533.5</v>
      </c>
      <c r="N20" s="188">
        <f>STDEV(E19:E20)</f>
        <v>593.26258941551339</v>
      </c>
      <c r="O20" s="190"/>
      <c r="P20" s="191">
        <f>AVERAGE(H19:H20)</f>
        <v>37.007999999999996</v>
      </c>
      <c r="Q20" s="191">
        <f>STDEV(H19:H20)</f>
        <v>2.4041630560341854E-2</v>
      </c>
      <c r="R20" s="190"/>
      <c r="S20" s="191">
        <f>J20-(M20-Standards!$N$124)*Standards!$AA$55</f>
        <v>4.6734532327586207</v>
      </c>
      <c r="T20" s="191">
        <f>S20-(A20-Standards!$A$124)*Standards!$AA$4</f>
        <v>4.7046540603448275</v>
      </c>
      <c r="U20" s="191"/>
      <c r="V20" s="190"/>
      <c r="W20" s="191">
        <f>P20-(M20-Standards!$N$124)*Standards!$AL$54</f>
        <v>37.014056120689652</v>
      </c>
      <c r="X20" s="191">
        <f>W20-(A20-Standards!$A$124)*Standards!$AL$5</f>
        <v>37.018157637931033</v>
      </c>
      <c r="Y20" s="197"/>
      <c r="Z20" s="198">
        <f>(T20*Standards!$O$159)+Standards!$O$160</f>
        <v>4.4154700400289189</v>
      </c>
      <c r="AA20" s="199">
        <f>(X20*Standards!$U$159)+Standards!$U$160</f>
        <v>26.517731025900975</v>
      </c>
    </row>
    <row r="21" spans="1:27" s="195" customFormat="1" ht="24.95" customHeight="1" x14ac:dyDescent="0.25">
      <c r="A21" s="188">
        <v>11</v>
      </c>
      <c r="B21" s="189" t="s">
        <v>0</v>
      </c>
      <c r="C21" s="189" t="s">
        <v>335</v>
      </c>
      <c r="D21" s="189">
        <v>6</v>
      </c>
      <c r="E21" s="189">
        <v>11903</v>
      </c>
      <c r="F21" s="189">
        <v>152.077</v>
      </c>
      <c r="G21" s="189">
        <v>4.7249999999999996</v>
      </c>
      <c r="H21" s="189">
        <v>37.112000000000002</v>
      </c>
      <c r="I21" s="189"/>
      <c r="J21" s="189"/>
      <c r="K21" s="189"/>
      <c r="L21" s="189"/>
      <c r="M21" s="188"/>
      <c r="N21" s="188"/>
      <c r="O21" s="190"/>
      <c r="P21" s="191"/>
      <c r="Q21" s="191"/>
      <c r="R21" s="190"/>
      <c r="S21" s="190"/>
      <c r="T21" s="190"/>
      <c r="U21" s="190"/>
      <c r="V21" s="190"/>
      <c r="W21" s="190"/>
      <c r="X21" s="190"/>
      <c r="Y21" s="192"/>
      <c r="Z21" s="193"/>
      <c r="AA21" s="194"/>
    </row>
    <row r="22" spans="1:27" s="195" customFormat="1" ht="24.95" customHeight="1" x14ac:dyDescent="0.25">
      <c r="A22" s="188">
        <v>11</v>
      </c>
      <c r="B22" s="189" t="s">
        <v>0</v>
      </c>
      <c r="C22" s="189" t="s">
        <v>335</v>
      </c>
      <c r="D22" s="189">
        <v>7</v>
      </c>
      <c r="E22" s="189">
        <v>11107</v>
      </c>
      <c r="F22" s="189">
        <v>141.435</v>
      </c>
      <c r="G22" s="189">
        <v>4.7859999999999996</v>
      </c>
      <c r="H22" s="189">
        <v>37.146000000000001</v>
      </c>
      <c r="I22" s="189"/>
      <c r="J22" s="196">
        <f>AVERAGE(G21:G22)</f>
        <v>4.7554999999999996</v>
      </c>
      <c r="K22" s="196">
        <f>STDEV(G21:G22)</f>
        <v>4.3133513652379357E-2</v>
      </c>
      <c r="L22" s="189"/>
      <c r="M22" s="188">
        <f>AVERAGE(E21:E22)</f>
        <v>11505</v>
      </c>
      <c r="N22" s="188">
        <f>STDEV(E21:E22)</f>
        <v>562.85699782449183</v>
      </c>
      <c r="O22" s="190"/>
      <c r="P22" s="191">
        <f>AVERAGE(H21:H22)</f>
        <v>37.129000000000005</v>
      </c>
      <c r="Q22" s="191">
        <f>STDEV(H21:H22)</f>
        <v>2.4041630560341854E-2</v>
      </c>
      <c r="R22" s="190"/>
      <c r="S22" s="191">
        <f>J22-(M22-Standards!$N$124)*Standards!$AA$55</f>
        <v>4.7883094827586206</v>
      </c>
      <c r="T22" s="191">
        <f>S22-(A22-Standards!$A$124)*Standards!$AA$4</f>
        <v>4.8190843103448273</v>
      </c>
      <c r="U22" s="191"/>
      <c r="V22" s="190"/>
      <c r="W22" s="191">
        <f>P22-(M22-Standards!$N$124)*Standards!$AL$54</f>
        <v>37.089628620689659</v>
      </c>
      <c r="X22" s="191">
        <f>W22-(A22-Standards!$A$124)*Standards!$AL$5</f>
        <v>37.093674137931039</v>
      </c>
      <c r="Y22" s="197"/>
      <c r="Z22" s="198">
        <f>(T22*Standards!$O$159)+Standards!$O$160</f>
        <v>4.5307530914456215</v>
      </c>
      <c r="AA22" s="199">
        <f>(X22*Standards!$U$159)+Standards!$U$160</f>
        <v>26.591745652010463</v>
      </c>
    </row>
    <row r="23" spans="1:27" s="195" customFormat="1" ht="24.95" customHeight="1" x14ac:dyDescent="0.25">
      <c r="A23" s="188">
        <v>12</v>
      </c>
      <c r="B23" s="189" t="s">
        <v>0</v>
      </c>
      <c r="C23" s="189" t="s">
        <v>496</v>
      </c>
      <c r="D23" s="189">
        <v>6</v>
      </c>
      <c r="E23" s="189">
        <v>12846</v>
      </c>
      <c r="F23" s="189">
        <v>156.38900000000001</v>
      </c>
      <c r="G23" s="189">
        <v>4.641</v>
      </c>
      <c r="H23" s="189">
        <v>37.003</v>
      </c>
      <c r="I23" s="189"/>
      <c r="J23" s="196"/>
      <c r="K23" s="196"/>
      <c r="L23" s="189"/>
      <c r="M23" s="188"/>
      <c r="N23" s="188"/>
      <c r="O23" s="190"/>
      <c r="P23" s="191"/>
      <c r="Q23" s="191"/>
      <c r="R23" s="190"/>
      <c r="S23" s="191"/>
      <c r="T23" s="191"/>
      <c r="U23" s="191"/>
      <c r="V23" s="190"/>
      <c r="W23" s="191"/>
      <c r="X23" s="191"/>
      <c r="Y23" s="197"/>
      <c r="Z23" s="198"/>
      <c r="AA23" s="199"/>
    </row>
    <row r="24" spans="1:27" s="195" customFormat="1" ht="24.95" customHeight="1" x14ac:dyDescent="0.25">
      <c r="A24" s="188">
        <v>12</v>
      </c>
      <c r="B24" s="189" t="s">
        <v>0</v>
      </c>
      <c r="C24" s="189" t="s">
        <v>496</v>
      </c>
      <c r="D24" s="189">
        <v>7</v>
      </c>
      <c r="E24" s="189">
        <v>12045</v>
      </c>
      <c r="F24" s="189">
        <v>145.94499999999999</v>
      </c>
      <c r="G24" s="189">
        <v>4.7370000000000001</v>
      </c>
      <c r="H24" s="189">
        <v>37.000999999999998</v>
      </c>
      <c r="I24" s="189"/>
      <c r="J24" s="196">
        <f>AVERAGE(G23:G24)</f>
        <v>4.6890000000000001</v>
      </c>
      <c r="K24" s="196">
        <f>STDEV(G23:G24)</f>
        <v>6.7882250993908627E-2</v>
      </c>
      <c r="L24" s="189"/>
      <c r="M24" s="188">
        <f>AVERAGE(E23:E24)</f>
        <v>12445.5</v>
      </c>
      <c r="N24" s="188">
        <f>STDEV(E23:E24)</f>
        <v>566.39253173042459</v>
      </c>
      <c r="O24" s="190"/>
      <c r="P24" s="191">
        <f>AVERAGE(H23:H24)</f>
        <v>37.001999999999995</v>
      </c>
      <c r="Q24" s="191">
        <f>STDEV(H23:H24)</f>
        <v>1.4142135623748235E-3</v>
      </c>
      <c r="R24" s="190"/>
      <c r="S24" s="191">
        <f>J24-(M24-Standards!$N$124)*Standards!$AA$55</f>
        <v>4.7100532327586206</v>
      </c>
      <c r="T24" s="191">
        <f>S24-(A24-Standards!$A$124)*Standards!$AA$4</f>
        <v>4.7404020603448274</v>
      </c>
      <c r="U24" s="191"/>
      <c r="V24" s="190"/>
      <c r="W24" s="191">
        <f>P24-(M24-Standards!$N$124)*Standards!$AL$54</f>
        <v>36.976736120689651</v>
      </c>
      <c r="X24" s="191">
        <f>W24-(A24-Standards!$A$124)*Standards!$AL$5</f>
        <v>36.98072563793103</v>
      </c>
      <c r="Y24" s="197"/>
      <c r="Z24" s="198">
        <f>(T24*Standards!$O$159)+Standards!$O$160</f>
        <v>4.4514844551162254</v>
      </c>
      <c r="AA24" s="199">
        <f>(X24*Standards!$U$159)+Standards!$U$160</f>
        <v>26.481043474378719</v>
      </c>
    </row>
    <row r="25" spans="1:27" ht="24.95" customHeight="1" x14ac:dyDescent="0.25">
      <c r="A25" s="27">
        <v>13</v>
      </c>
      <c r="B25" s="26" t="s">
        <v>809</v>
      </c>
      <c r="C25" s="26" t="s">
        <v>273</v>
      </c>
      <c r="D25" s="26">
        <v>6</v>
      </c>
      <c r="E25" s="26">
        <v>15333</v>
      </c>
      <c r="F25" s="26">
        <v>194.65199999999999</v>
      </c>
      <c r="G25" s="26">
        <v>-0.52</v>
      </c>
      <c r="H25" s="26">
        <v>36.024000000000001</v>
      </c>
      <c r="I25" s="26"/>
      <c r="J25" s="31"/>
      <c r="K25" s="31"/>
      <c r="L25" s="26"/>
      <c r="M25" s="27"/>
      <c r="N25" s="27"/>
      <c r="O25" s="28"/>
      <c r="P25" s="29"/>
      <c r="Q25" s="29"/>
      <c r="R25" s="28"/>
      <c r="S25" s="29"/>
      <c r="T25" s="29"/>
      <c r="U25" s="29"/>
      <c r="V25" s="29"/>
      <c r="W25" s="29"/>
      <c r="X25" s="29"/>
      <c r="Y25" s="32"/>
      <c r="Z25" s="19"/>
      <c r="AA25" s="20"/>
    </row>
    <row r="26" spans="1:27" ht="24.95" customHeight="1" x14ac:dyDescent="0.25">
      <c r="A26" s="27">
        <v>13</v>
      </c>
      <c r="B26" s="26" t="s">
        <v>809</v>
      </c>
      <c r="C26" s="26" t="s">
        <v>273</v>
      </c>
      <c r="D26" s="26">
        <v>7</v>
      </c>
      <c r="E26" s="26">
        <v>14281</v>
      </c>
      <c r="F26" s="26">
        <v>180.81</v>
      </c>
      <c r="G26" s="26">
        <v>-0.47099999999999997</v>
      </c>
      <c r="H26" s="26">
        <v>36.076000000000001</v>
      </c>
      <c r="I26" s="26"/>
      <c r="J26" s="31">
        <f>AVERAGE(G25:G26)</f>
        <v>-0.4955</v>
      </c>
      <c r="K26" s="31">
        <f>STDEV(G25:G26)</f>
        <v>3.4648232278140859E-2</v>
      </c>
      <c r="L26" s="26"/>
      <c r="M26" s="27">
        <f>AVERAGE(E25:E26)</f>
        <v>14807</v>
      </c>
      <c r="N26" s="27">
        <f>STDEV(E25:E26)</f>
        <v>743.87633380824798</v>
      </c>
      <c r="O26" s="28"/>
      <c r="P26" s="29">
        <f>AVERAGE(H25:H26)</f>
        <v>36.049999999999997</v>
      </c>
      <c r="Q26" s="29">
        <f>STDEV(H25:H26)</f>
        <v>3.6769552621700188E-2</v>
      </c>
      <c r="R26" s="28"/>
      <c r="S26" s="29">
        <f>J26-(M26-Standards!$N$124)*Standards!$AA$55</f>
        <v>-0.50396551724137928</v>
      </c>
      <c r="T26" s="29">
        <f>S26-(A26-Standards!$A$124)*Standards!$AA$4</f>
        <v>-0.47404268965517238</v>
      </c>
      <c r="U26" s="29"/>
      <c r="V26" s="28"/>
      <c r="W26" s="29">
        <f>P26-(M26-Standards!$N$124)*Standards!$AL$54</f>
        <v>36.060158620689656</v>
      </c>
      <c r="X26" s="29">
        <f>W26-(A26-Standards!$A$124)*Standards!$AL$5</f>
        <v>36.064092137931034</v>
      </c>
      <c r="Y26" s="111"/>
      <c r="Z26" s="19">
        <f>(T26*Standards!$O$159)+Standards!$O$160</f>
        <v>-0.80182139909458849</v>
      </c>
      <c r="AA26" s="20">
        <f>(X26*Standards!$U$159)+Standards!$U$160</f>
        <v>25.582640002529171</v>
      </c>
    </row>
    <row r="27" spans="1:27" ht="24.95" customHeight="1" x14ac:dyDescent="0.25">
      <c r="A27" s="27">
        <v>14</v>
      </c>
      <c r="B27" s="26" t="s">
        <v>814</v>
      </c>
      <c r="C27" s="26" t="s">
        <v>608</v>
      </c>
      <c r="D27" s="26">
        <v>6</v>
      </c>
      <c r="E27" s="26">
        <v>12939</v>
      </c>
      <c r="F27" s="26">
        <v>157.22300000000001</v>
      </c>
      <c r="G27" s="26">
        <v>-0.95899999999999996</v>
      </c>
      <c r="H27" s="26">
        <v>36.11</v>
      </c>
      <c r="I27" s="26"/>
      <c r="Y27" s="67"/>
      <c r="Z27" s="157"/>
      <c r="AA27" s="107"/>
    </row>
    <row r="28" spans="1:27" ht="24.95" customHeight="1" x14ac:dyDescent="0.25">
      <c r="A28" s="27">
        <v>14</v>
      </c>
      <c r="B28" s="26" t="s">
        <v>814</v>
      </c>
      <c r="C28" s="26" t="s">
        <v>608</v>
      </c>
      <c r="D28" s="26">
        <v>7</v>
      </c>
      <c r="E28" s="26">
        <v>12052</v>
      </c>
      <c r="F28" s="26">
        <v>146.34100000000001</v>
      </c>
      <c r="G28" s="26">
        <v>-0.85299999999999998</v>
      </c>
      <c r="H28" s="26">
        <v>36.174999999999997</v>
      </c>
      <c r="I28" s="26"/>
      <c r="J28" s="31">
        <f>AVERAGE(G27:G28)</f>
        <v>-0.90599999999999992</v>
      </c>
      <c r="K28" s="31">
        <f>STDEV(G27:G28)</f>
        <v>7.4953318805774022E-2</v>
      </c>
      <c r="L28" s="26"/>
      <c r="M28" s="27">
        <f>AVERAGE(E27:E28)</f>
        <v>12495.5</v>
      </c>
      <c r="N28" s="27">
        <f>STDEV(E27:E28)</f>
        <v>627.2037149124676</v>
      </c>
      <c r="O28" s="28"/>
      <c r="P28" s="29">
        <f>AVERAGE(H27:H28)</f>
        <v>36.142499999999998</v>
      </c>
      <c r="Q28" s="29">
        <f>STDEV(H27:H28)</f>
        <v>4.5961940777123983E-2</v>
      </c>
      <c r="R28" s="28"/>
      <c r="S28" s="29">
        <f>J28-(M28-Standards!$N$124)*Standards!$AA$55</f>
        <v>-0.8855717672413792</v>
      </c>
      <c r="T28" s="29">
        <f>S28-(A28-Standards!$A$124)*Standards!$AA$4</f>
        <v>-0.85607493965517234</v>
      </c>
      <c r="U28" s="29"/>
      <c r="V28" s="28"/>
      <c r="W28" s="29">
        <f>P28-(M28-Standards!$N$124)*Standards!$AL$54</f>
        <v>36.11798612068965</v>
      </c>
      <c r="X28" s="29">
        <f>W28-(A28-Standards!$A$124)*Standards!$AL$5</f>
        <v>36.121863637931028</v>
      </c>
      <c r="Y28" s="111"/>
      <c r="Z28" s="19">
        <f>(T28*Standards!$O$159)+Standards!$O$160</f>
        <v>-1.1867007777517944</v>
      </c>
      <c r="AA28" s="20">
        <f>(X28*Standards!$U$159)+Standards!$U$160</f>
        <v>25.639262541607163</v>
      </c>
    </row>
    <row r="29" spans="1:27" ht="24.95" customHeight="1" x14ac:dyDescent="0.25">
      <c r="A29" s="27">
        <v>15</v>
      </c>
      <c r="B29" s="26" t="s">
        <v>820</v>
      </c>
      <c r="C29" s="26" t="s">
        <v>563</v>
      </c>
      <c r="D29" s="26">
        <v>6</v>
      </c>
      <c r="E29" s="26">
        <v>17843</v>
      </c>
      <c r="F29" s="26">
        <v>225.33099999999999</v>
      </c>
      <c r="G29" s="26">
        <v>-0.88600000000000001</v>
      </c>
      <c r="H29" s="26">
        <v>36.155000000000001</v>
      </c>
      <c r="I29" s="26"/>
      <c r="J29" s="31"/>
      <c r="K29" s="31"/>
      <c r="L29" s="26"/>
      <c r="M29" s="27"/>
      <c r="N29" s="27"/>
      <c r="O29" s="28"/>
      <c r="P29" s="29"/>
      <c r="Q29" s="29"/>
      <c r="R29" s="28"/>
      <c r="S29" s="29"/>
      <c r="T29" s="29"/>
      <c r="U29" s="29"/>
      <c r="V29" s="28"/>
      <c r="W29" s="29"/>
      <c r="X29" s="29"/>
      <c r="Y29" s="111"/>
      <c r="Z29" s="19"/>
      <c r="AA29" s="20"/>
    </row>
    <row r="30" spans="1:27" ht="24.95" customHeight="1" x14ac:dyDescent="0.25">
      <c r="A30" s="27">
        <v>15</v>
      </c>
      <c r="B30" s="26" t="s">
        <v>820</v>
      </c>
      <c r="C30" s="26" t="s">
        <v>563</v>
      </c>
      <c r="D30" s="26">
        <v>7</v>
      </c>
      <c r="E30" s="26">
        <v>16673</v>
      </c>
      <c r="F30" s="26">
        <v>212.04900000000001</v>
      </c>
      <c r="G30" s="26">
        <v>-0.92</v>
      </c>
      <c r="H30" s="26">
        <v>36.253</v>
      </c>
      <c r="I30" s="26"/>
      <c r="J30" s="31">
        <f>AVERAGE(G29:G30)</f>
        <v>-0.90300000000000002</v>
      </c>
      <c r="K30" s="31">
        <f>STDEV(G29:G30)</f>
        <v>2.4041630560342638E-2</v>
      </c>
      <c r="L30" s="26"/>
      <c r="M30" s="27">
        <f>AVERAGE(E29:E30)</f>
        <v>17258</v>
      </c>
      <c r="N30" s="27">
        <f>STDEV(E29:E30)</f>
        <v>827.31493398826058</v>
      </c>
      <c r="O30" s="28"/>
      <c r="P30" s="29">
        <f>AVERAGE(H29:H30)</f>
        <v>36.204000000000001</v>
      </c>
      <c r="Q30" s="29">
        <f>STDEV(H29:H30)</f>
        <v>6.929646455628094E-2</v>
      </c>
      <c r="R30" s="28"/>
      <c r="S30" s="29">
        <f>J30-(M30-Standards!$N$124)*Standards!$AA$55</f>
        <v>-0.94210301724137935</v>
      </c>
      <c r="T30" s="29">
        <f>S30-(A30-Standards!$A$124)*Standards!$AA$4</f>
        <v>-0.91303218965517241</v>
      </c>
      <c r="U30" s="29"/>
      <c r="V30" s="28"/>
      <c r="W30" s="29">
        <f>P30-(M30-Standards!$N$124)*Standards!$AL$54</f>
        <v>36.250923620689655</v>
      </c>
      <c r="X30" s="29">
        <f>W30-(A30-Standards!$A$124)*Standards!$AL$5</f>
        <v>36.254745137931032</v>
      </c>
      <c r="Y30" s="111"/>
      <c r="Z30" s="19">
        <f>(T30*Standards!$O$159)+Standards!$O$160</f>
        <v>-1.2440825066242212</v>
      </c>
      <c r="AA30" s="20">
        <f>(X30*Standards!$U$159)+Standards!$U$160</f>
        <v>25.769501291276011</v>
      </c>
    </row>
    <row r="31" spans="1:27" ht="24.95" customHeight="1" x14ac:dyDescent="0.25">
      <c r="A31" s="27">
        <v>16</v>
      </c>
      <c r="B31" s="26" t="s">
        <v>825</v>
      </c>
      <c r="C31" s="26" t="s">
        <v>826</v>
      </c>
      <c r="D31" s="26">
        <v>6</v>
      </c>
      <c r="E31" s="26">
        <v>23763</v>
      </c>
      <c r="F31" s="26">
        <v>288.93700000000001</v>
      </c>
      <c r="G31" s="26">
        <v>-0.59099999999999997</v>
      </c>
      <c r="H31" s="26">
        <v>36.06</v>
      </c>
      <c r="I31" s="26"/>
      <c r="J31" s="31"/>
      <c r="K31" s="31"/>
      <c r="L31" s="26"/>
      <c r="M31" s="27"/>
      <c r="N31" s="27"/>
      <c r="O31" s="28"/>
      <c r="P31" s="29"/>
      <c r="Q31" s="29"/>
      <c r="R31" s="28"/>
      <c r="S31" s="29"/>
      <c r="T31" s="29"/>
      <c r="U31" s="29"/>
      <c r="V31" s="28"/>
      <c r="W31" s="29"/>
      <c r="X31" s="29"/>
      <c r="Y31" s="111"/>
      <c r="Z31" s="19"/>
      <c r="AA31" s="20"/>
    </row>
    <row r="32" spans="1:27" ht="24.95" customHeight="1" x14ac:dyDescent="0.25">
      <c r="A32" s="27">
        <v>16</v>
      </c>
      <c r="B32" s="26" t="s">
        <v>825</v>
      </c>
      <c r="C32" s="26" t="s">
        <v>826</v>
      </c>
      <c r="D32" s="26">
        <v>7</v>
      </c>
      <c r="E32" s="26">
        <v>21957</v>
      </c>
      <c r="F32" s="26">
        <v>270.774</v>
      </c>
      <c r="G32" s="26">
        <v>-0.63500000000000001</v>
      </c>
      <c r="H32" s="26">
        <v>36.158000000000001</v>
      </c>
      <c r="I32" s="26"/>
      <c r="J32" s="31">
        <f>AVERAGE(G31:G32)</f>
        <v>-0.61299999999999999</v>
      </c>
      <c r="K32" s="31">
        <f>STDEV(G31:G32)</f>
        <v>3.111269837220812E-2</v>
      </c>
      <c r="L32" s="26"/>
      <c r="M32" s="27">
        <f>AVERAGE(E31:E32)</f>
        <v>22860</v>
      </c>
      <c r="N32" s="27">
        <f>STDEV(E31:E32)</f>
        <v>1277.0348468229049</v>
      </c>
      <c r="O32" s="28"/>
      <c r="P32" s="29">
        <f>AVERAGE(H31:H32)</f>
        <v>36.109000000000002</v>
      </c>
      <c r="Q32" s="29">
        <f>STDEV(H31:H32)</f>
        <v>6.929646455628094E-2</v>
      </c>
      <c r="R32" s="28"/>
      <c r="S32" s="29">
        <f>J32-(M32-Standards!$N$124)*Standards!$AA$55</f>
        <v>-0.72212801724137932</v>
      </c>
      <c r="T32" s="29">
        <f>S32-(A32-Standards!$A$124)*Standards!$AA$4</f>
        <v>-0.69348318965517242</v>
      </c>
      <c r="U32" s="29"/>
      <c r="V32" s="28"/>
      <c r="W32" s="29">
        <f>P32-(M32-Standards!$N$124)*Standards!$AL$54</f>
        <v>36.239953620689654</v>
      </c>
      <c r="X32" s="29">
        <f>W32-(A32-Standards!$A$124)*Standards!$AL$5</f>
        <v>36.243719137931031</v>
      </c>
      <c r="Y32" s="111"/>
      <c r="Z32" s="19">
        <f>(T32*Standards!$O$159)+Standards!$O$160</f>
        <v>-1.0228972985565492</v>
      </c>
      <c r="AA32" s="20">
        <f>(X32*Standards!$U$159)+Standards!$U$160</f>
        <v>25.758694576617852</v>
      </c>
    </row>
    <row r="33" spans="1:27" ht="24.95" customHeight="1" x14ac:dyDescent="0.25">
      <c r="A33" s="27">
        <v>17</v>
      </c>
      <c r="B33" s="26" t="s">
        <v>831</v>
      </c>
      <c r="C33" s="26" t="s">
        <v>832</v>
      </c>
      <c r="D33" s="26">
        <v>6</v>
      </c>
      <c r="E33" s="26">
        <v>19610</v>
      </c>
      <c r="F33" s="26">
        <v>244.941</v>
      </c>
      <c r="G33" s="26">
        <v>-0.63700000000000001</v>
      </c>
      <c r="H33" s="26">
        <v>36.154000000000003</v>
      </c>
      <c r="I33" s="26"/>
      <c r="J33" s="31"/>
      <c r="K33" s="31"/>
      <c r="L33" s="26"/>
      <c r="M33" s="27"/>
      <c r="N33" s="27"/>
      <c r="O33" s="28"/>
      <c r="P33" s="29"/>
      <c r="Q33" s="29"/>
      <c r="R33" s="28"/>
      <c r="S33" s="29"/>
      <c r="T33" s="29"/>
      <c r="U33" s="29"/>
      <c r="V33" s="28"/>
      <c r="W33" s="29"/>
      <c r="X33" s="29"/>
      <c r="Y33" s="111"/>
      <c r="Z33" s="19"/>
      <c r="AA33" s="20"/>
    </row>
    <row r="34" spans="1:27" ht="24.95" customHeight="1" x14ac:dyDescent="0.25">
      <c r="A34" s="27">
        <v>17</v>
      </c>
      <c r="B34" s="26" t="s">
        <v>831</v>
      </c>
      <c r="C34" s="26" t="s">
        <v>832</v>
      </c>
      <c r="D34" s="26">
        <v>7</v>
      </c>
      <c r="E34" s="26">
        <v>18377</v>
      </c>
      <c r="F34" s="26">
        <v>227.75899999999999</v>
      </c>
      <c r="G34" s="26">
        <v>-0.61399999999999999</v>
      </c>
      <c r="H34" s="26">
        <v>36.167999999999999</v>
      </c>
      <c r="I34" s="26"/>
      <c r="J34" s="31">
        <f>AVERAGE(G33:G34)</f>
        <v>-0.62549999999999994</v>
      </c>
      <c r="K34" s="31">
        <f>STDEV(G33:G34)</f>
        <v>1.6263455967290608E-2</v>
      </c>
      <c r="L34" s="26"/>
      <c r="M34" s="27">
        <f>AVERAGE(E33:E34)</f>
        <v>18993.5</v>
      </c>
      <c r="N34" s="27">
        <f>STDEV(E33:E34)</f>
        <v>871.86266120301309</v>
      </c>
      <c r="O34" s="28"/>
      <c r="P34" s="29">
        <f>AVERAGE(H33:H34)</f>
        <v>36.161000000000001</v>
      </c>
      <c r="Q34" s="29">
        <f>STDEV(H33:H34)</f>
        <v>9.8994949366086916E-3</v>
      </c>
      <c r="R34" s="28"/>
      <c r="S34" s="29">
        <f>J34-(M34-Standards!$N$124)*Standards!$AA$55</f>
        <v>-0.68629676724137922</v>
      </c>
      <c r="T34" s="29">
        <f>S34-(A34-Standards!$A$124)*Standards!$AA$4</f>
        <v>-0.65807793965517236</v>
      </c>
      <c r="U34" s="29"/>
      <c r="V34" s="28"/>
      <c r="W34" s="29">
        <f>P34-(M34-Standards!$N$124)*Standards!$AL$54</f>
        <v>36.233956120689655</v>
      </c>
      <c r="X34" s="29">
        <f>W34-(A34-Standards!$A$124)*Standards!$AL$5</f>
        <v>36.237665637931038</v>
      </c>
      <c r="Y34" s="111"/>
      <c r="Z34" s="19">
        <f>(T34*Standards!$O$159)+Standards!$O$160</f>
        <v>-0.98722818784350574</v>
      </c>
      <c r="AA34" s="20">
        <f>(X34*Standards!$U$159)+Standards!$U$160</f>
        <v>25.752761468765218</v>
      </c>
    </row>
    <row r="35" spans="1:27" ht="24.95" customHeight="1" x14ac:dyDescent="0.25">
      <c r="A35" s="27">
        <v>18</v>
      </c>
      <c r="B35" s="26" t="s">
        <v>840</v>
      </c>
      <c r="C35" s="26" t="s">
        <v>297</v>
      </c>
      <c r="D35" s="26">
        <v>6</v>
      </c>
      <c r="E35" s="26">
        <v>18516</v>
      </c>
      <c r="F35" s="26">
        <v>232.02</v>
      </c>
      <c r="G35" s="26">
        <v>-0.72699999999999998</v>
      </c>
      <c r="H35" s="26">
        <v>36.283000000000001</v>
      </c>
      <c r="I35" s="26"/>
      <c r="J35" s="31"/>
      <c r="K35" s="31"/>
      <c r="L35" s="26"/>
      <c r="M35" s="27"/>
      <c r="N35" s="27"/>
      <c r="O35" s="28"/>
      <c r="P35" s="29"/>
      <c r="Q35" s="29"/>
      <c r="R35" s="28"/>
      <c r="S35" s="29"/>
      <c r="T35" s="29"/>
      <c r="U35" s="29"/>
      <c r="V35" s="28"/>
      <c r="W35" s="29"/>
      <c r="X35" s="29"/>
      <c r="Y35" s="111"/>
      <c r="Z35" s="19"/>
      <c r="AA35" s="20"/>
    </row>
    <row r="36" spans="1:27" ht="24.95" customHeight="1" x14ac:dyDescent="0.25">
      <c r="A36" s="27">
        <v>18</v>
      </c>
      <c r="B36" s="26" t="s">
        <v>840</v>
      </c>
      <c r="C36" s="26" t="s">
        <v>297</v>
      </c>
      <c r="D36" s="26">
        <v>7</v>
      </c>
      <c r="E36" s="26">
        <v>17131</v>
      </c>
      <c r="F36" s="26">
        <v>215.102</v>
      </c>
      <c r="G36" s="26">
        <v>-0.78900000000000003</v>
      </c>
      <c r="H36" s="26">
        <v>36.183</v>
      </c>
      <c r="I36" s="26"/>
      <c r="J36" s="31">
        <f>AVERAGE(G35:G36)</f>
        <v>-0.75800000000000001</v>
      </c>
      <c r="K36" s="31">
        <f>STDEV(G35:G36)</f>
        <v>4.3840620433565985E-2</v>
      </c>
      <c r="L36" s="26"/>
      <c r="M36" s="27">
        <f>AVERAGE(E35:E36)</f>
        <v>17823.5</v>
      </c>
      <c r="N36" s="27">
        <f>STDEV(E35:E36)</f>
        <v>979.34289194336827</v>
      </c>
      <c r="O36" s="28"/>
      <c r="P36" s="29">
        <f>AVERAGE(H35:H36)</f>
        <v>36.233000000000004</v>
      </c>
      <c r="Q36" s="29">
        <f>STDEV(H35:H36)</f>
        <v>7.0710678118655765E-2</v>
      </c>
      <c r="R36" s="28"/>
      <c r="S36" s="29">
        <f>J36-(M36-Standards!$N$124)*Standards!$AA$55</f>
        <v>-0.80417176724137929</v>
      </c>
      <c r="T36" s="29">
        <f>S36-(A36-Standards!$A$124)*Standards!$AA$4</f>
        <v>-0.77637893965517235</v>
      </c>
      <c r="U36" s="29"/>
      <c r="V36" s="28"/>
      <c r="W36" s="29">
        <f>P36-(M36-Standards!$N$124)*Standards!$AL$54</f>
        <v>36.288406120689658</v>
      </c>
      <c r="X36" s="29">
        <f>W36-(A36-Standards!$A$124)*Standards!$AL$5</f>
        <v>36.29205963793104</v>
      </c>
      <c r="Y36" s="111"/>
      <c r="Z36" s="19">
        <f>(T36*Standards!$O$159)+Standards!$O$160</f>
        <v>-1.1064108363621219</v>
      </c>
      <c r="AA36" s="20">
        <f>(X36*Standards!$U$159)+Standards!$U$160</f>
        <v>25.806073679640978</v>
      </c>
    </row>
    <row r="37" spans="1:27" ht="24.95" customHeight="1" x14ac:dyDescent="0.25">
      <c r="A37" s="27">
        <v>19</v>
      </c>
      <c r="B37" s="26" t="s">
        <v>847</v>
      </c>
      <c r="C37" s="26" t="s">
        <v>614</v>
      </c>
      <c r="D37" s="26">
        <v>6</v>
      </c>
      <c r="E37" s="26">
        <v>14870</v>
      </c>
      <c r="F37" s="26">
        <v>182.82900000000001</v>
      </c>
      <c r="G37" s="26">
        <v>-0.84299999999999997</v>
      </c>
      <c r="H37" s="26">
        <v>36.125</v>
      </c>
      <c r="I37" s="26"/>
      <c r="J37" s="31"/>
      <c r="K37" s="31"/>
      <c r="L37" s="26"/>
      <c r="M37" s="27"/>
      <c r="N37" s="27"/>
      <c r="O37" s="28"/>
      <c r="P37" s="29"/>
      <c r="Q37" s="29"/>
      <c r="R37" s="28"/>
      <c r="S37" s="29"/>
      <c r="T37" s="29"/>
      <c r="U37" s="29"/>
      <c r="V37" s="28"/>
      <c r="W37" s="29"/>
      <c r="X37" s="29"/>
      <c r="Y37" s="111"/>
      <c r="Z37" s="19"/>
      <c r="AA37" s="20"/>
    </row>
    <row r="38" spans="1:27" ht="24.95" customHeight="1" x14ac:dyDescent="0.25">
      <c r="A38" s="27">
        <v>19</v>
      </c>
      <c r="B38" s="26" t="s">
        <v>847</v>
      </c>
      <c r="C38" s="26" t="s">
        <v>614</v>
      </c>
      <c r="D38" s="26">
        <v>7</v>
      </c>
      <c r="E38" s="26">
        <v>14001</v>
      </c>
      <c r="F38" s="26">
        <v>171</v>
      </c>
      <c r="G38" s="26">
        <v>-0.77800000000000002</v>
      </c>
      <c r="H38" s="26">
        <v>36.161000000000001</v>
      </c>
      <c r="I38" s="26"/>
      <c r="J38" s="31">
        <f>AVERAGE(G37:G38)</f>
        <v>-0.8105</v>
      </c>
      <c r="K38" s="31">
        <f>STDEV(G37:G38)</f>
        <v>4.5961940777125551E-2</v>
      </c>
      <c r="L38" s="26"/>
      <c r="M38" s="27">
        <f>AVERAGE(E37:E38)</f>
        <v>14435.5</v>
      </c>
      <c r="N38" s="27">
        <f>STDEV(E37:E38)</f>
        <v>614.47579285110976</v>
      </c>
      <c r="O38" s="28"/>
      <c r="P38" s="29">
        <f>AVERAGE(H37:H38)</f>
        <v>36.143000000000001</v>
      </c>
      <c r="Q38" s="29">
        <f>STDEV(H37:H38)</f>
        <v>2.5455844122716675E-2</v>
      </c>
      <c r="R38" s="28"/>
      <c r="S38" s="29">
        <f>J38-(M38-Standards!$N$124)*Standards!$AA$55</f>
        <v>-0.81432176724137928</v>
      </c>
      <c r="T38" s="29">
        <f>S38-(A38-Standards!$A$124)*Standards!$AA$4</f>
        <v>-0.78695493965517238</v>
      </c>
      <c r="U38" s="29"/>
      <c r="V38" s="28"/>
      <c r="W38" s="29">
        <f>P38-(M38-Standards!$N$124)*Standards!$AL$54</f>
        <v>36.147586120689652</v>
      </c>
      <c r="X38" s="29">
        <f>W38-(A38-Standards!$A$124)*Standards!$AL$5</f>
        <v>36.151183637931034</v>
      </c>
      <c r="Y38" s="111"/>
      <c r="Z38" s="19">
        <f>(T38*Standards!$O$159)+Standards!$O$160</f>
        <v>-1.1170656549243732</v>
      </c>
      <c r="AA38" s="20">
        <f>(X38*Standards!$U$159)+Standards!$U$160</f>
        <v>25.667999424772173</v>
      </c>
    </row>
    <row r="39" spans="1:27" ht="24.95" customHeight="1" x14ac:dyDescent="0.25">
      <c r="A39" s="27">
        <v>20</v>
      </c>
      <c r="B39" s="26" t="s">
        <v>852</v>
      </c>
      <c r="C39" s="26" t="s">
        <v>229</v>
      </c>
      <c r="D39" s="26">
        <v>6</v>
      </c>
      <c r="E39" s="26">
        <v>16047</v>
      </c>
      <c r="F39" s="26">
        <v>203.691</v>
      </c>
      <c r="G39" s="26">
        <v>-0.54400000000000004</v>
      </c>
      <c r="H39" s="26">
        <v>36.128999999999998</v>
      </c>
      <c r="I39" s="26"/>
      <c r="J39" s="31"/>
      <c r="K39" s="31"/>
      <c r="L39" s="26"/>
      <c r="M39" s="27"/>
      <c r="N39" s="27"/>
      <c r="O39" s="28"/>
      <c r="P39" s="29"/>
      <c r="Q39" s="29"/>
      <c r="R39" s="28"/>
      <c r="S39" s="29"/>
      <c r="T39" s="29"/>
      <c r="U39" s="29"/>
      <c r="V39" s="28"/>
      <c r="W39" s="29"/>
      <c r="X39" s="29"/>
      <c r="Y39" s="111"/>
      <c r="Z39" s="19"/>
      <c r="AA39" s="20"/>
    </row>
    <row r="40" spans="1:27" ht="24.95" customHeight="1" x14ac:dyDescent="0.25">
      <c r="A40" s="27">
        <v>20</v>
      </c>
      <c r="B40" s="26" t="s">
        <v>852</v>
      </c>
      <c r="C40" s="26" t="s">
        <v>229</v>
      </c>
      <c r="D40" s="26">
        <v>7</v>
      </c>
      <c r="E40" s="26">
        <v>14981</v>
      </c>
      <c r="F40" s="26">
        <v>191.732</v>
      </c>
      <c r="G40" s="26">
        <v>-0.55600000000000005</v>
      </c>
      <c r="H40" s="26">
        <v>36.137</v>
      </c>
      <c r="I40" s="26"/>
      <c r="J40" s="31">
        <f>AVERAGE(G39:G40)</f>
        <v>-0.55000000000000004</v>
      </c>
      <c r="K40" s="31">
        <f>STDEV(G39:G40)</f>
        <v>8.4852813742385784E-3</v>
      </c>
      <c r="L40" s="26"/>
      <c r="M40" s="27">
        <f>AVERAGE(E39:E40)</f>
        <v>15514</v>
      </c>
      <c r="N40" s="27">
        <f>STDEV(E39:E40)</f>
        <v>753.77582874485961</v>
      </c>
      <c r="O40" s="28"/>
      <c r="P40" s="29">
        <f>AVERAGE(H39:H40)</f>
        <v>36.132999999999996</v>
      </c>
      <c r="Q40" s="29">
        <f>STDEV(H39:H40)</f>
        <v>5.6568542494942701E-3</v>
      </c>
      <c r="R40" s="28"/>
      <c r="S40" s="29">
        <f>J40-(M40-Standards!$N$124)*Standards!$AA$55</f>
        <v>-0.56730301724137933</v>
      </c>
      <c r="T40" s="29">
        <f>S40-(A40-Standards!$A$124)*Standards!$AA$4</f>
        <v>-0.54036218965517246</v>
      </c>
      <c r="U40" s="29"/>
      <c r="V40" s="28"/>
      <c r="W40" s="29">
        <f>P40-(M40-Standards!$N$124)*Standards!$AL$54</f>
        <v>36.153763620689652</v>
      </c>
      <c r="X40" s="29">
        <f>W40-(A40-Standards!$A$124)*Standards!$AL$5</f>
        <v>36.157305137931033</v>
      </c>
      <c r="Y40" s="111"/>
      <c r="Z40" s="19">
        <f>(T40*Standards!$O$159)+Standards!$O$160</f>
        <v>-0.86863515095154975</v>
      </c>
      <c r="AA40" s="20">
        <f>(X40*Standards!$U$159)+Standards!$U$160</f>
        <v>25.673999180239246</v>
      </c>
    </row>
    <row r="41" spans="1:27" ht="24.95" customHeight="1" x14ac:dyDescent="0.25">
      <c r="A41" s="27">
        <v>21</v>
      </c>
      <c r="B41" s="26" t="s">
        <v>857</v>
      </c>
      <c r="C41" s="26" t="s">
        <v>551</v>
      </c>
      <c r="D41" s="26">
        <v>6</v>
      </c>
      <c r="E41" s="26">
        <v>17997</v>
      </c>
      <c r="F41" s="26">
        <v>218.108</v>
      </c>
      <c r="G41" s="26">
        <v>-0.82699999999999996</v>
      </c>
      <c r="H41" s="26">
        <v>35.994999999999997</v>
      </c>
      <c r="I41" s="26"/>
      <c r="J41" s="31"/>
      <c r="K41" s="31"/>
      <c r="L41" s="26"/>
      <c r="M41" s="27"/>
      <c r="N41" s="27"/>
      <c r="O41" s="28"/>
      <c r="P41" s="29"/>
      <c r="Q41" s="29"/>
      <c r="R41" s="28"/>
      <c r="S41" s="29"/>
      <c r="T41" s="29"/>
      <c r="U41" s="29"/>
      <c r="V41" s="28"/>
      <c r="W41" s="29"/>
      <c r="X41" s="29"/>
      <c r="Y41" s="111"/>
      <c r="Z41" s="19"/>
      <c r="AA41" s="20"/>
    </row>
    <row r="42" spans="1:27" ht="24.95" customHeight="1" x14ac:dyDescent="0.25">
      <c r="A42" s="27">
        <v>21</v>
      </c>
      <c r="B42" s="26" t="s">
        <v>857</v>
      </c>
      <c r="C42" s="26" t="s">
        <v>551</v>
      </c>
      <c r="D42" s="26">
        <v>7</v>
      </c>
      <c r="E42" s="26">
        <v>16921</v>
      </c>
      <c r="F42" s="26">
        <v>204.08699999999999</v>
      </c>
      <c r="G42" s="26">
        <v>-0.77700000000000002</v>
      </c>
      <c r="H42" s="26">
        <v>35.985999999999997</v>
      </c>
      <c r="I42" s="26"/>
      <c r="J42" s="31">
        <f>AVERAGE(G41:G42)</f>
        <v>-0.80200000000000005</v>
      </c>
      <c r="K42" s="31">
        <f>STDEV(G41:G42)</f>
        <v>3.5355339059327327E-2</v>
      </c>
      <c r="L42" s="26"/>
      <c r="M42" s="27">
        <f>AVERAGE(E41:E42)</f>
        <v>17459</v>
      </c>
      <c r="N42" s="27">
        <f>STDEV(E41:E42)</f>
        <v>760.84689655672514</v>
      </c>
      <c r="O42" s="28"/>
      <c r="P42" s="29">
        <f>AVERAGE(H41:H42)</f>
        <v>35.990499999999997</v>
      </c>
      <c r="Q42" s="29">
        <f>STDEV(H41:H42)</f>
        <v>6.3639610306791689E-3</v>
      </c>
      <c r="R42" s="28"/>
      <c r="S42" s="29">
        <f>J42-(M42-Standards!$N$124)*Standards!$AA$55</f>
        <v>-0.8436155172413794</v>
      </c>
      <c r="T42" s="29">
        <f>S42-(A42-Standards!$A$124)*Standards!$AA$4</f>
        <v>-0.81710068965517246</v>
      </c>
      <c r="U42" s="29"/>
      <c r="V42" s="28"/>
      <c r="W42" s="29">
        <f>P42-(M42-Standards!$N$124)*Standards!$AL$54</f>
        <v>36.040438620689649</v>
      </c>
      <c r="X42" s="29">
        <f>W42-(A42-Standards!$A$124)*Standards!$AL$5</f>
        <v>36.043924137931029</v>
      </c>
      <c r="Y42" s="111"/>
      <c r="Z42" s="19">
        <f>(T42*Standards!$O$159)+Standards!$O$160</f>
        <v>-1.1474360687550262</v>
      </c>
      <c r="AA42" s="20">
        <f>(X42*Standards!$U$159)+Standards!$U$160</f>
        <v>25.562873104177466</v>
      </c>
    </row>
    <row r="43" spans="1:27" s="106" customFormat="1" ht="24.95" customHeight="1" x14ac:dyDescent="0.25">
      <c r="A43" s="27">
        <v>22</v>
      </c>
      <c r="B43" s="26" t="s">
        <v>863</v>
      </c>
      <c r="C43" s="26" t="s">
        <v>864</v>
      </c>
      <c r="D43" s="26">
        <v>6</v>
      </c>
      <c r="E43" s="26">
        <v>16487</v>
      </c>
      <c r="F43" s="26">
        <v>209.572</v>
      </c>
      <c r="G43" s="26">
        <v>-0.65700000000000003</v>
      </c>
      <c r="H43" s="26">
        <v>35.978999999999999</v>
      </c>
      <c r="I43" s="21"/>
      <c r="J43" s="22"/>
      <c r="K43" s="22"/>
      <c r="L43" s="21"/>
      <c r="M43" s="23"/>
      <c r="N43" s="23"/>
      <c r="O43" s="24"/>
      <c r="P43" s="25"/>
      <c r="Q43" s="25"/>
      <c r="R43" s="24"/>
      <c r="S43" s="25"/>
      <c r="T43" s="25"/>
      <c r="U43" s="25"/>
      <c r="V43" s="24"/>
      <c r="W43" s="25"/>
      <c r="X43" s="25"/>
      <c r="Y43" s="112"/>
      <c r="Z43" s="61"/>
      <c r="AA43" s="62"/>
    </row>
    <row r="44" spans="1:27" s="106" customFormat="1" ht="24.95" customHeight="1" x14ac:dyDescent="0.25">
      <c r="A44" s="27">
        <v>22</v>
      </c>
      <c r="B44" s="26" t="s">
        <v>863</v>
      </c>
      <c r="C44" s="26" t="s">
        <v>864</v>
      </c>
      <c r="D44" s="26">
        <v>7</v>
      </c>
      <c r="E44" s="26">
        <v>15359</v>
      </c>
      <c r="F44" s="26">
        <v>194.73500000000001</v>
      </c>
      <c r="G44" s="26">
        <v>-0.60599999999999998</v>
      </c>
      <c r="H44" s="26">
        <v>36.040999999999997</v>
      </c>
      <c r="I44" s="21"/>
      <c r="J44" s="31">
        <f>AVERAGE(G43:G44)</f>
        <v>-0.63149999999999995</v>
      </c>
      <c r="K44" s="31">
        <f>STDEV(G43:G44)</f>
        <v>3.6062445840513956E-2</v>
      </c>
      <c r="L44" s="26"/>
      <c r="M44" s="27">
        <f>AVERAGE(E43:E44)</f>
        <v>15923</v>
      </c>
      <c r="N44" s="27">
        <f>STDEV(E43:E44)</f>
        <v>797.61644917842557</v>
      </c>
      <c r="O44" s="28"/>
      <c r="P44" s="29">
        <f>AVERAGE(H43:H44)</f>
        <v>36.01</v>
      </c>
      <c r="Q44" s="29">
        <f>STDEV(H43:H44)</f>
        <v>4.3840620433564258E-2</v>
      </c>
      <c r="R44" s="28"/>
      <c r="S44" s="29">
        <f>J44-(M44-Standards!$N$124)*Standards!$AA$55</f>
        <v>-0.65391551724137931</v>
      </c>
      <c r="T44" s="29">
        <f>S44-(A44-Standards!$A$124)*Standards!$AA$4</f>
        <v>-0.62782668965517241</v>
      </c>
      <c r="U44" s="29"/>
      <c r="V44" s="28"/>
      <c r="W44" s="29">
        <f>P44-(M44-Standards!$N$124)*Standards!$AL$54</f>
        <v>36.036898620689655</v>
      </c>
      <c r="X44" s="29">
        <f>W44-(A44-Standards!$A$124)*Standards!$AL$5</f>
        <v>36.040328137931034</v>
      </c>
      <c r="Y44" s="111"/>
      <c r="Z44" s="19">
        <f>(T44*Standards!$O$159)+Standards!$O$160</f>
        <v>-0.95675148776490304</v>
      </c>
      <c r="AA44" s="20">
        <f>(X44*Standards!$U$159)+Standards!$U$160</f>
        <v>25.559348621508253</v>
      </c>
    </row>
    <row r="45" spans="1:27" s="195" customFormat="1" ht="24.95" customHeight="1" x14ac:dyDescent="0.25">
      <c r="A45" s="188">
        <v>23</v>
      </c>
      <c r="B45" s="189" t="s">
        <v>0</v>
      </c>
      <c r="C45" s="189" t="s">
        <v>513</v>
      </c>
      <c r="D45" s="189">
        <v>6</v>
      </c>
      <c r="E45" s="189">
        <v>14249</v>
      </c>
      <c r="F45" s="189">
        <v>172.76499999999999</v>
      </c>
      <c r="G45" s="189">
        <v>4.7229999999999999</v>
      </c>
      <c r="H45" s="189">
        <v>37.027999999999999</v>
      </c>
      <c r="I45" s="189"/>
      <c r="J45" s="196"/>
      <c r="K45" s="196"/>
      <c r="L45" s="189"/>
      <c r="M45" s="188"/>
      <c r="N45" s="188"/>
      <c r="O45" s="190"/>
      <c r="P45" s="191"/>
      <c r="Q45" s="191"/>
      <c r="R45" s="190"/>
      <c r="S45" s="191"/>
      <c r="T45" s="191"/>
      <c r="U45" s="191"/>
      <c r="V45" s="190"/>
      <c r="W45" s="191"/>
      <c r="X45" s="191"/>
      <c r="Y45" s="197"/>
      <c r="Z45" s="198"/>
      <c r="AA45" s="199"/>
    </row>
    <row r="46" spans="1:27" s="195" customFormat="1" ht="24.95" customHeight="1" x14ac:dyDescent="0.25">
      <c r="A46" s="188">
        <v>23</v>
      </c>
      <c r="B46" s="189" t="s">
        <v>0</v>
      </c>
      <c r="C46" s="189" t="s">
        <v>513</v>
      </c>
      <c r="D46" s="189">
        <v>7</v>
      </c>
      <c r="E46" s="189">
        <v>13358</v>
      </c>
      <c r="F46" s="189">
        <v>161.71700000000001</v>
      </c>
      <c r="G46" s="189">
        <v>4.7489999999999997</v>
      </c>
      <c r="H46" s="189">
        <v>37.039000000000001</v>
      </c>
      <c r="I46" s="189"/>
      <c r="J46" s="196">
        <f>AVERAGE(G45:G46)</f>
        <v>4.7359999999999998</v>
      </c>
      <c r="K46" s="196">
        <f>STDEV(G45:G46)</f>
        <v>1.8384776310850094E-2</v>
      </c>
      <c r="L46" s="189"/>
      <c r="M46" s="188">
        <f>AVERAGE(E45:E46)</f>
        <v>13803.5</v>
      </c>
      <c r="N46" s="188">
        <f>STDEV(E45:E46)</f>
        <v>630.03214203721382</v>
      </c>
      <c r="O46" s="190"/>
      <c r="P46" s="191">
        <f>AVERAGE(H45:H46)</f>
        <v>37.033500000000004</v>
      </c>
      <c r="Q46" s="191">
        <f>STDEV(H45:H46)</f>
        <v>7.7781745930539919E-3</v>
      </c>
      <c r="R46" s="190"/>
      <c r="S46" s="191">
        <f>J46-(M46-Standards!$N$124)*Standards!$AA$55</f>
        <v>4.7400782327586208</v>
      </c>
      <c r="T46" s="191">
        <f>S46-(A46-Standards!$A$124)*Standards!$AA$4</f>
        <v>4.765741060344828</v>
      </c>
      <c r="U46" s="191"/>
      <c r="V46" s="190"/>
      <c r="W46" s="191">
        <f>P46-(M46-Standards!$N$124)*Standards!$AL$54</f>
        <v>37.028606120689659</v>
      </c>
      <c r="X46" s="191">
        <f>W46-(A46-Standards!$A$124)*Standards!$AL$5</f>
        <v>37.031979637931038</v>
      </c>
      <c r="Y46" s="197"/>
      <c r="Z46" s="198">
        <f>(T46*Standards!$O$159)+Standards!$O$160</f>
        <v>4.4770122962233447</v>
      </c>
      <c r="AA46" s="199">
        <f>(X46*Standards!$U$159)+Standards!$U$160</f>
        <v>26.531278133646776</v>
      </c>
    </row>
    <row r="47" spans="1:27" s="195" customFormat="1" ht="24.95" customHeight="1" x14ac:dyDescent="0.25">
      <c r="A47" s="188">
        <v>24</v>
      </c>
      <c r="B47" s="189" t="s">
        <v>0</v>
      </c>
      <c r="C47" s="189" t="s">
        <v>286</v>
      </c>
      <c r="D47" s="189">
        <v>6</v>
      </c>
      <c r="E47" s="189">
        <v>13745</v>
      </c>
      <c r="F47" s="189">
        <v>175.06899999999999</v>
      </c>
      <c r="G47" s="189">
        <v>4.7380000000000004</v>
      </c>
      <c r="H47" s="189">
        <v>36.982999999999997</v>
      </c>
      <c r="I47" s="189"/>
      <c r="J47" s="196"/>
      <c r="K47" s="196"/>
      <c r="L47" s="189"/>
      <c r="M47" s="188"/>
      <c r="N47" s="188"/>
      <c r="O47" s="190"/>
      <c r="P47" s="191"/>
      <c r="Q47" s="191"/>
      <c r="R47" s="190"/>
      <c r="S47" s="191"/>
      <c r="T47" s="191"/>
      <c r="U47" s="191"/>
      <c r="V47" s="190"/>
      <c r="W47" s="191"/>
      <c r="X47" s="191"/>
      <c r="Y47" s="197"/>
      <c r="Z47" s="198"/>
      <c r="AA47" s="199"/>
    </row>
    <row r="48" spans="1:27" s="195" customFormat="1" ht="24.95" customHeight="1" x14ac:dyDescent="0.25">
      <c r="A48" s="188">
        <v>24</v>
      </c>
      <c r="B48" s="189" t="s">
        <v>0</v>
      </c>
      <c r="C48" s="189" t="s">
        <v>286</v>
      </c>
      <c r="D48" s="189">
        <v>7</v>
      </c>
      <c r="E48" s="189">
        <v>12838</v>
      </c>
      <c r="F48" s="189">
        <v>162.93299999999999</v>
      </c>
      <c r="G48" s="189">
        <v>4.7960000000000003</v>
      </c>
      <c r="H48" s="189">
        <v>37.030999999999999</v>
      </c>
      <c r="I48" s="189"/>
      <c r="J48" s="196">
        <f>AVERAGE(G47:G48)</f>
        <v>4.7670000000000003</v>
      </c>
      <c r="K48" s="196">
        <f>STDEV(G47:G48)</f>
        <v>4.1012193308819639E-2</v>
      </c>
      <c r="L48" s="189"/>
      <c r="M48" s="188">
        <f>AVERAGE(E47:E48)</f>
        <v>13291.5</v>
      </c>
      <c r="N48" s="188">
        <f>STDEV(E47:E48)</f>
        <v>641.34585053619855</v>
      </c>
      <c r="O48" s="190"/>
      <c r="P48" s="191">
        <f>AVERAGE(H47:H48)</f>
        <v>37.006999999999998</v>
      </c>
      <c r="Q48" s="191">
        <f>STDEV(H47:H48)</f>
        <v>3.394112549695557E-2</v>
      </c>
      <c r="R48" s="190"/>
      <c r="S48" s="191">
        <f>J48-(M48-Standards!$N$124)*Standards!$AA$55</f>
        <v>4.7774782327586207</v>
      </c>
      <c r="T48" s="191">
        <f>S48-(A48-Standards!$A$124)*Standards!$AA$4</f>
        <v>4.8027150603448279</v>
      </c>
      <c r="U48" s="191"/>
      <c r="V48" s="190"/>
      <c r="W48" s="191">
        <f>P48-(M48-Standards!$N$124)*Standards!$AL$54</f>
        <v>36.994426120689653</v>
      </c>
      <c r="X48" s="191">
        <f>W48-(A48-Standards!$A$124)*Standards!$AL$5</f>
        <v>36.99774363793103</v>
      </c>
      <c r="Y48" s="197"/>
      <c r="Z48" s="198">
        <f>(T48*Standards!$O$159)+Standards!$O$160</f>
        <v>4.5142618481825618</v>
      </c>
      <c r="AA48" s="199">
        <f>(X48*Standards!$U$159)+Standards!$U$160</f>
        <v>26.497723020002933</v>
      </c>
    </row>
    <row r="49" spans="1:27" ht="24.95" customHeight="1" x14ac:dyDescent="0.25">
      <c r="A49" s="27">
        <v>25</v>
      </c>
      <c r="B49" s="26" t="s">
        <v>877</v>
      </c>
      <c r="C49" s="26" t="s">
        <v>505</v>
      </c>
      <c r="D49" s="26">
        <v>6</v>
      </c>
      <c r="E49" s="26">
        <v>15228</v>
      </c>
      <c r="F49" s="26">
        <v>185.047</v>
      </c>
      <c r="G49" s="26">
        <v>-0.55200000000000005</v>
      </c>
      <c r="H49" s="26">
        <v>36.087000000000003</v>
      </c>
      <c r="I49" s="26"/>
      <c r="J49" s="31"/>
      <c r="K49" s="31"/>
      <c r="L49" s="26"/>
      <c r="M49" s="27"/>
      <c r="N49" s="27"/>
      <c r="O49" s="28"/>
      <c r="P49" s="29"/>
      <c r="Q49" s="29"/>
      <c r="R49" s="28"/>
      <c r="S49" s="29"/>
      <c r="T49" s="29"/>
      <c r="U49" s="29"/>
      <c r="V49" s="28"/>
      <c r="W49" s="29"/>
      <c r="X49" s="29"/>
      <c r="Y49" s="111"/>
      <c r="Z49" s="19"/>
      <c r="AA49" s="20"/>
    </row>
    <row r="50" spans="1:27" ht="24.95" customHeight="1" x14ac:dyDescent="0.25">
      <c r="A50" s="27">
        <v>25</v>
      </c>
      <c r="B50" s="26" t="s">
        <v>877</v>
      </c>
      <c r="C50" s="26" t="s">
        <v>505</v>
      </c>
      <c r="D50" s="26">
        <v>7</v>
      </c>
      <c r="E50" s="26">
        <v>14146</v>
      </c>
      <c r="F50" s="26">
        <v>171.922</v>
      </c>
      <c r="G50" s="26">
        <v>-0.49399999999999999</v>
      </c>
      <c r="H50" s="26">
        <v>36.127000000000002</v>
      </c>
      <c r="I50" s="26"/>
      <c r="J50" s="31">
        <f>AVERAGE(G49:G50)</f>
        <v>-0.52300000000000002</v>
      </c>
      <c r="K50" s="31">
        <f>STDEV(G49:G50)</f>
        <v>4.1012193308819792E-2</v>
      </c>
      <c r="L50" s="26"/>
      <c r="M50" s="27">
        <f>AVERAGE(E49:E50)</f>
        <v>14687</v>
      </c>
      <c r="N50" s="27">
        <f>STDEV(E49:E50)</f>
        <v>765.08953724384446</v>
      </c>
      <c r="O50" s="28"/>
      <c r="P50" s="29">
        <f>AVERAGE(H49:H50)</f>
        <v>36.106999999999999</v>
      </c>
      <c r="Q50" s="29">
        <f>STDEV(H49:H50)</f>
        <v>2.8284271247461298E-2</v>
      </c>
      <c r="R50" s="28"/>
      <c r="S50" s="29">
        <f>J50-(M50-Standards!$N$124)*Standards!$AA$55</f>
        <v>-0.5299655172413793</v>
      </c>
      <c r="T50" s="29">
        <f>S50-(A50-Standards!$A$124)*Standards!$AA$4</f>
        <v>-0.50515468965517241</v>
      </c>
      <c r="U50" s="29"/>
      <c r="V50" s="28"/>
      <c r="W50" s="29">
        <f>P50-(M50-Standards!$N$124)*Standards!$AL$54</f>
        <v>36.115358620689655</v>
      </c>
      <c r="X50" s="29">
        <f>W50-(A50-Standards!$A$124)*Standards!$AL$5</f>
        <v>36.118620137931032</v>
      </c>
      <c r="Y50" s="111"/>
      <c r="Z50" s="19">
        <f>(T50*Standards!$O$159)+Standards!$O$160</f>
        <v>-0.83316526398762569</v>
      </c>
      <c r="AA50" s="20">
        <f>(X50*Standards!$U$159)+Standards!$U$160</f>
        <v>25.636083548409839</v>
      </c>
    </row>
    <row r="51" spans="1:27" ht="24.95" customHeight="1" x14ac:dyDescent="0.25">
      <c r="A51" s="27">
        <v>26</v>
      </c>
      <c r="B51" s="26" t="s">
        <v>883</v>
      </c>
      <c r="C51" s="26" t="s">
        <v>537</v>
      </c>
      <c r="D51" s="26">
        <v>6</v>
      </c>
      <c r="E51" s="26">
        <v>20912</v>
      </c>
      <c r="F51" s="26">
        <v>263.15699999999998</v>
      </c>
      <c r="G51" s="26">
        <v>-0.44800000000000001</v>
      </c>
      <c r="H51" s="26">
        <v>36.034999999999997</v>
      </c>
      <c r="I51" s="26"/>
      <c r="J51" s="31"/>
      <c r="K51" s="31"/>
      <c r="L51" s="26"/>
      <c r="M51" s="27"/>
      <c r="N51" s="27"/>
      <c r="O51" s="28"/>
      <c r="P51" s="29"/>
      <c r="Q51" s="29"/>
      <c r="R51" s="28"/>
      <c r="S51" s="29"/>
      <c r="T51" s="29"/>
      <c r="U51" s="29"/>
      <c r="V51" s="28"/>
      <c r="W51" s="29"/>
      <c r="X51" s="29"/>
      <c r="Y51" s="111"/>
      <c r="Z51" s="19"/>
      <c r="AA51" s="20"/>
    </row>
    <row r="52" spans="1:27" ht="24.95" customHeight="1" x14ac:dyDescent="0.25">
      <c r="A52" s="27">
        <v>26</v>
      </c>
      <c r="B52" s="26" t="s">
        <v>883</v>
      </c>
      <c r="C52" s="26" t="s">
        <v>537</v>
      </c>
      <c r="D52" s="26">
        <v>7</v>
      </c>
      <c r="E52" s="26">
        <v>19518</v>
      </c>
      <c r="F52" s="26">
        <v>247.16900000000001</v>
      </c>
      <c r="G52" s="26">
        <v>-0.48299999999999998</v>
      </c>
      <c r="H52" s="26">
        <v>36.066000000000003</v>
      </c>
      <c r="I52" s="26"/>
      <c r="J52" s="31">
        <f>AVERAGE(G51:G52)</f>
        <v>-0.46550000000000002</v>
      </c>
      <c r="K52" s="31">
        <f>STDEV(G51:G52)</f>
        <v>2.4748737341529145E-2</v>
      </c>
      <c r="L52" s="26"/>
      <c r="M52" s="27">
        <f>AVERAGE(E51:E52)</f>
        <v>20215</v>
      </c>
      <c r="N52" s="27">
        <f>STDEV(E51:E52)</f>
        <v>985.70685297404725</v>
      </c>
      <c r="O52" s="28"/>
      <c r="P52" s="29">
        <f>AVERAGE(H51:H52)</f>
        <v>36.0505</v>
      </c>
      <c r="Q52" s="29">
        <f>STDEV(H51:H52)</f>
        <v>2.1920310216787153E-2</v>
      </c>
      <c r="R52" s="28"/>
      <c r="S52" s="29">
        <f>J52-(M52-Standards!$N$124)*Standards!$AA$55</f>
        <v>-0.54156551724137936</v>
      </c>
      <c r="T52" s="29">
        <f>S52-(A52-Standards!$A$124)*Standards!$AA$4</f>
        <v>-0.5171806896551725</v>
      </c>
      <c r="U52" s="29"/>
      <c r="V52" s="28"/>
      <c r="W52" s="29">
        <f>P52-(M52-Standards!$N$124)*Standards!$AL$54</f>
        <v>36.141778620689657</v>
      </c>
      <c r="X52" s="29">
        <f>W52-(A52-Standards!$A$124)*Standards!$AL$5</f>
        <v>36.144984137931033</v>
      </c>
      <c r="Y52" s="111"/>
      <c r="Z52" s="19">
        <f>(T52*Standards!$O$159)+Standards!$O$160</f>
        <v>-0.84528088880132035</v>
      </c>
      <c r="AA52" s="20">
        <f>(X52*Standards!$U$159)+Standards!$U$160</f>
        <v>25.661923220570895</v>
      </c>
    </row>
    <row r="53" spans="1:27" ht="24.95" customHeight="1" x14ac:dyDescent="0.25">
      <c r="A53" s="27">
        <v>27</v>
      </c>
      <c r="B53" s="26" t="s">
        <v>889</v>
      </c>
      <c r="C53" s="26" t="s">
        <v>890</v>
      </c>
      <c r="D53" s="26">
        <v>6</v>
      </c>
      <c r="E53" s="26">
        <v>14414</v>
      </c>
      <c r="F53" s="26">
        <v>178.495</v>
      </c>
      <c r="G53" s="26">
        <v>-0.74399999999999999</v>
      </c>
      <c r="H53" s="26">
        <v>36.271999999999998</v>
      </c>
      <c r="I53" s="26"/>
      <c r="J53" s="31"/>
      <c r="K53" s="31"/>
      <c r="L53" s="26"/>
      <c r="M53" s="27"/>
      <c r="N53" s="27"/>
      <c r="O53" s="28"/>
      <c r="P53" s="29"/>
      <c r="Q53" s="29"/>
      <c r="R53" s="28"/>
      <c r="S53" s="29"/>
      <c r="T53" s="29"/>
      <c r="U53" s="29"/>
      <c r="V53" s="28"/>
      <c r="W53" s="29"/>
      <c r="X53" s="29"/>
      <c r="Y53" s="111"/>
      <c r="Z53" s="19"/>
      <c r="AA53" s="20"/>
    </row>
    <row r="54" spans="1:27" ht="24.95" customHeight="1" x14ac:dyDescent="0.25">
      <c r="A54" s="27">
        <v>27</v>
      </c>
      <c r="B54" s="26" t="s">
        <v>889</v>
      </c>
      <c r="C54" s="26" t="s">
        <v>890</v>
      </c>
      <c r="D54" s="26">
        <v>7</v>
      </c>
      <c r="E54" s="26">
        <v>13351</v>
      </c>
      <c r="F54" s="26">
        <v>167.66300000000001</v>
      </c>
      <c r="G54" s="26">
        <v>-0.77400000000000002</v>
      </c>
      <c r="H54" s="26">
        <v>36.317</v>
      </c>
      <c r="I54" s="26"/>
      <c r="J54" s="31">
        <f>AVERAGE(G53:G54)</f>
        <v>-0.75900000000000001</v>
      </c>
      <c r="K54" s="31">
        <f>STDEV(G53:G54)</f>
        <v>2.1213203435596444E-2</v>
      </c>
      <c r="L54" s="26"/>
      <c r="M54" s="27">
        <f>AVERAGE(E53:E54)</f>
        <v>13882.5</v>
      </c>
      <c r="N54" s="27">
        <f>STDEV(E53:E54)</f>
        <v>751.65450840130006</v>
      </c>
      <c r="O54" s="28"/>
      <c r="P54" s="29">
        <f>AVERAGE(H53:H54)</f>
        <v>36.294499999999999</v>
      </c>
      <c r="Q54" s="29">
        <f>STDEV(H53:H54)</f>
        <v>3.1819805153395844E-2</v>
      </c>
      <c r="R54" s="28"/>
      <c r="S54" s="29">
        <f>J54-(M54-Standards!$N$124)*Standards!$AA$55</f>
        <v>-0.7559092672413793</v>
      </c>
      <c r="T54" s="29">
        <f>S54-(A54-Standards!$A$124)*Standards!$AA$4</f>
        <v>-0.73195043965517237</v>
      </c>
      <c r="U54" s="29"/>
      <c r="V54" s="28"/>
      <c r="W54" s="29">
        <f>P54-(M54-Standards!$N$124)*Standards!$AL$54</f>
        <v>36.290791120689654</v>
      </c>
      <c r="X54" s="29">
        <f>W54-(A54-Standards!$A$124)*Standards!$AL$5</f>
        <v>36.293940637931037</v>
      </c>
      <c r="Y54" s="111"/>
      <c r="Z54" s="19">
        <f>(T54*Standards!$O$159)+Standards!$O$160</f>
        <v>-1.0616512290916056</v>
      </c>
      <c r="AA54" s="20">
        <f>(X54*Standards!$U$159)+Standards!$U$160</f>
        <v>25.807917270269673</v>
      </c>
    </row>
    <row r="55" spans="1:27" ht="24.95" customHeight="1" x14ac:dyDescent="0.25">
      <c r="A55" s="27">
        <v>28</v>
      </c>
      <c r="B55" s="26" t="s">
        <v>895</v>
      </c>
      <c r="C55" s="26" t="s">
        <v>896</v>
      </c>
      <c r="D55" s="26">
        <v>6</v>
      </c>
      <c r="E55" s="26">
        <v>24173</v>
      </c>
      <c r="F55" s="26">
        <v>300.87799999999999</v>
      </c>
      <c r="G55" s="26">
        <v>-0.51200000000000001</v>
      </c>
      <c r="H55" s="26">
        <v>36.216000000000001</v>
      </c>
      <c r="I55" s="26"/>
      <c r="J55" s="31"/>
      <c r="K55" s="31"/>
      <c r="L55" s="26"/>
      <c r="M55" s="27"/>
      <c r="N55" s="27"/>
      <c r="O55" s="28"/>
      <c r="P55" s="29"/>
      <c r="Q55" s="29"/>
      <c r="R55" s="28"/>
      <c r="S55" s="29"/>
      <c r="T55" s="29"/>
      <c r="U55" s="29"/>
      <c r="V55" s="28"/>
      <c r="W55" s="29"/>
      <c r="X55" s="29"/>
      <c r="Y55" s="111"/>
      <c r="Z55" s="19"/>
      <c r="AA55" s="20"/>
    </row>
    <row r="56" spans="1:27" ht="24.95" customHeight="1" x14ac:dyDescent="0.25">
      <c r="A56" s="27">
        <v>28</v>
      </c>
      <c r="B56" s="26" t="s">
        <v>895</v>
      </c>
      <c r="C56" s="26" t="s">
        <v>896</v>
      </c>
      <c r="D56" s="26">
        <v>7</v>
      </c>
      <c r="E56" s="26">
        <v>22622</v>
      </c>
      <c r="F56" s="26">
        <v>279.78699999999998</v>
      </c>
      <c r="G56" s="26">
        <v>-0.49199999999999999</v>
      </c>
      <c r="H56" s="26">
        <v>36.237000000000002</v>
      </c>
      <c r="I56" s="26"/>
      <c r="J56" s="31">
        <f>AVERAGE(G55:G56)</f>
        <v>-0.502</v>
      </c>
      <c r="K56" s="31">
        <f>STDEV(G55:G56)</f>
        <v>1.4142135623730963E-2</v>
      </c>
      <c r="L56" s="26"/>
      <c r="M56" s="27">
        <f>AVERAGE(E55:E56)</f>
        <v>23397.5</v>
      </c>
      <c r="N56" s="27">
        <f>STDEV(E55:E56)</f>
        <v>1096.7226176203353</v>
      </c>
      <c r="O56" s="28"/>
      <c r="P56" s="29">
        <f>AVERAGE(H55:H56)</f>
        <v>36.226500000000001</v>
      </c>
      <c r="Q56" s="29">
        <f>STDEV(H55:H56)</f>
        <v>1.4849242404918061E-2</v>
      </c>
      <c r="R56" s="28"/>
      <c r="S56" s="29">
        <f>J56-(M56-Standards!$N$124)*Standards!$AA$55</f>
        <v>-0.61784676724137932</v>
      </c>
      <c r="T56" s="29">
        <f>S56-(A56-Standards!$A$124)*Standards!$AA$4</f>
        <v>-0.59431393965517243</v>
      </c>
      <c r="U56" s="29"/>
      <c r="V56" s="28"/>
      <c r="W56" s="29">
        <f>P56-(M56-Standards!$N$124)*Standards!$AL$54</f>
        <v>36.365516120689655</v>
      </c>
      <c r="X56" s="29">
        <f>W56-(A56-Standards!$A$124)*Standards!$AL$5</f>
        <v>36.368609637931037</v>
      </c>
      <c r="Y56" s="111"/>
      <c r="Z56" s="19">
        <f>(T56*Standards!$O$159)+Standards!$O$160</f>
        <v>-0.92298898107313998</v>
      </c>
      <c r="AA56" s="20">
        <f>(X56*Standards!$U$159)+Standards!$U$160</f>
        <v>25.881101251478665</v>
      </c>
    </row>
    <row r="57" spans="1:27" ht="24.95" customHeight="1" x14ac:dyDescent="0.25">
      <c r="A57" s="26">
        <v>29</v>
      </c>
      <c r="B57" s="26" t="s">
        <v>905</v>
      </c>
      <c r="C57" s="26" t="s">
        <v>670</v>
      </c>
      <c r="D57" s="26">
        <v>6</v>
      </c>
      <c r="E57" s="26">
        <v>22302</v>
      </c>
      <c r="F57" s="26">
        <v>277.30500000000001</v>
      </c>
      <c r="G57" s="26">
        <v>-0.59</v>
      </c>
      <c r="H57" s="26">
        <v>36.375</v>
      </c>
      <c r="I57" s="21"/>
      <c r="J57" s="22"/>
      <c r="K57" s="22"/>
      <c r="L57" s="21"/>
      <c r="M57" s="23"/>
      <c r="N57" s="23"/>
      <c r="O57" s="24"/>
      <c r="P57" s="25"/>
      <c r="Q57" s="25"/>
      <c r="R57" s="24"/>
      <c r="S57" s="25"/>
      <c r="T57" s="25"/>
      <c r="U57" s="25"/>
      <c r="V57" s="24"/>
      <c r="W57" s="25"/>
      <c r="X57" s="25"/>
      <c r="Y57" s="25"/>
      <c r="Z57" s="48"/>
      <c r="AA57" s="49"/>
    </row>
    <row r="58" spans="1:27" ht="24.95" customHeight="1" x14ac:dyDescent="0.25">
      <c r="A58" s="26">
        <v>29</v>
      </c>
      <c r="B58" s="26" t="s">
        <v>905</v>
      </c>
      <c r="C58" s="26" t="s">
        <v>670</v>
      </c>
      <c r="D58" s="26">
        <v>7</v>
      </c>
      <c r="E58" s="26">
        <v>20546</v>
      </c>
      <c r="F58" s="26">
        <v>256.60300000000001</v>
      </c>
      <c r="G58" s="26">
        <v>-0.57399999999999995</v>
      </c>
      <c r="H58" s="26">
        <v>36.363</v>
      </c>
      <c r="I58" s="26"/>
      <c r="J58" s="31">
        <f>AVERAGE(G57:G58)</f>
        <v>-0.58199999999999996</v>
      </c>
      <c r="K58" s="31">
        <f>STDEV(G57:G58)</f>
        <v>1.1313708498984771E-2</v>
      </c>
      <c r="L58" s="26"/>
      <c r="M58" s="27">
        <f>AVERAGE(E57:E58)</f>
        <v>21424</v>
      </c>
      <c r="N58" s="27">
        <f>STDEV(E57:E58)</f>
        <v>1241.6795077635775</v>
      </c>
      <c r="O58" s="28"/>
      <c r="P58" s="29">
        <f>AVERAGE(H57:H58)</f>
        <v>36.369</v>
      </c>
      <c r="Q58" s="29">
        <f>STDEV(H57:H58)</f>
        <v>8.4852813742388924E-3</v>
      </c>
      <c r="R58" s="28"/>
      <c r="S58" s="29">
        <f>J58-(M58-Standards!$N$124)*Standards!$AA$55</f>
        <v>-0.67317801724137927</v>
      </c>
      <c r="T58" s="29">
        <f>S58-(A58-Standards!$A$124)*Standards!$AA$4</f>
        <v>-0.65007118965517241</v>
      </c>
      <c r="U58" s="29"/>
      <c r="V58" s="28"/>
      <c r="W58" s="29">
        <f>P58-(M58-Standards!$N$124)*Standards!$AL$54</f>
        <v>36.478413620689658</v>
      </c>
      <c r="X58" s="29">
        <f>W58-(A58-Standards!$A$124)*Standards!$AL$5</f>
        <v>36.481451137931039</v>
      </c>
      <c r="Y58" s="111"/>
      <c r="Z58" s="19">
        <f>(T58*Standards!$O$159)+Standards!$O$160</f>
        <v>-0.97916176684092404</v>
      </c>
      <c r="AA58" s="20">
        <f>(X58*Standards!$U$159)+Standards!$U$160</f>
        <v>25.991698557128867</v>
      </c>
    </row>
    <row r="59" spans="1:27" ht="24.95" customHeight="1" x14ac:dyDescent="0.25">
      <c r="A59" s="27">
        <v>30</v>
      </c>
      <c r="B59" s="26" t="s">
        <v>912</v>
      </c>
      <c r="C59" s="26" t="s">
        <v>335</v>
      </c>
      <c r="D59" s="26">
        <v>6</v>
      </c>
      <c r="E59" s="26">
        <v>21565</v>
      </c>
      <c r="F59" s="26">
        <v>265.62099999999998</v>
      </c>
      <c r="G59" s="26">
        <v>-0.29199999999999998</v>
      </c>
      <c r="H59" s="26">
        <v>36.023000000000003</v>
      </c>
      <c r="I59" s="26"/>
      <c r="J59" s="31"/>
      <c r="K59" s="31"/>
      <c r="L59" s="26"/>
      <c r="M59" s="27"/>
      <c r="N59" s="27"/>
      <c r="O59" s="28"/>
      <c r="P59" s="29"/>
      <c r="Q59" s="29"/>
      <c r="R59" s="28"/>
      <c r="S59" s="29"/>
      <c r="T59" s="29"/>
      <c r="U59" s="29"/>
      <c r="V59" s="28"/>
      <c r="W59" s="29"/>
      <c r="X59" s="29"/>
      <c r="Y59" s="111"/>
      <c r="Z59" s="19"/>
      <c r="AA59" s="20"/>
    </row>
    <row r="60" spans="1:27" s="30" customFormat="1" ht="24.95" customHeight="1" x14ac:dyDescent="0.25">
      <c r="A60" s="27">
        <v>30</v>
      </c>
      <c r="B60" s="26" t="s">
        <v>912</v>
      </c>
      <c r="C60" s="26" t="s">
        <v>335</v>
      </c>
      <c r="D60" s="26">
        <v>7</v>
      </c>
      <c r="E60" s="26">
        <v>20318</v>
      </c>
      <c r="F60" s="26">
        <v>250.738</v>
      </c>
      <c r="G60" s="26">
        <v>-0.34399999999999997</v>
      </c>
      <c r="H60" s="26">
        <v>36.124000000000002</v>
      </c>
      <c r="I60" s="50"/>
      <c r="J60" s="31">
        <f>AVERAGE(G59:G60)</f>
        <v>-0.31799999999999995</v>
      </c>
      <c r="K60" s="31">
        <f>STDEV(G59:G60)</f>
        <v>3.6769552621700466E-2</v>
      </c>
      <c r="L60" s="26"/>
      <c r="M60" s="27">
        <f>AVERAGE(E59:E60)</f>
        <v>20941.5</v>
      </c>
      <c r="N60" s="27">
        <f>STDEV(E59:E60)</f>
        <v>881.76215613962472</v>
      </c>
      <c r="O60" s="28"/>
      <c r="P60" s="29">
        <f>AVERAGE(H59:H60)</f>
        <v>36.073500000000003</v>
      </c>
      <c r="Q60" s="29">
        <f>STDEV(H59:H60)</f>
        <v>7.1417784899840658E-2</v>
      </c>
      <c r="R60" s="28"/>
      <c r="S60" s="29">
        <f>J60-(M60-Standards!$N$124)*Standards!$AA$55</f>
        <v>-0.40314676724137927</v>
      </c>
      <c r="T60" s="29">
        <f>S60-(A60-Standards!$A$124)*Standards!$AA$4</f>
        <v>-0.38046593965517239</v>
      </c>
      <c r="U60" s="29"/>
      <c r="V60" s="28"/>
      <c r="W60" s="29">
        <f>P60-(M60-Standards!$N$124)*Standards!$AL$54</f>
        <v>36.175676120689658</v>
      </c>
      <c r="X60" s="29">
        <f>W60-(A60-Standards!$A$124)*Standards!$AL$5</f>
        <v>36.178657637931039</v>
      </c>
      <c r="Y60" s="111"/>
      <c r="Z60" s="19">
        <f>(T60*Standards!$O$159)+Standards!$O$160</f>
        <v>-0.70754726020510805</v>
      </c>
      <c r="AA60" s="20">
        <f>(X60*Standards!$U$159)+Standards!$U$160</f>
        <v>25.694927021227681</v>
      </c>
    </row>
    <row r="61" spans="1:27" s="30" customFormat="1" ht="24.95" customHeight="1" x14ac:dyDescent="0.25">
      <c r="A61" s="27">
        <v>31</v>
      </c>
      <c r="B61" s="26" t="s">
        <v>916</v>
      </c>
      <c r="C61" s="26" t="s">
        <v>518</v>
      </c>
      <c r="D61" s="26">
        <v>6</v>
      </c>
      <c r="E61" s="26">
        <v>13784</v>
      </c>
      <c r="F61" s="26">
        <v>175.05500000000001</v>
      </c>
      <c r="G61" s="26">
        <v>-0.255</v>
      </c>
      <c r="H61" s="26">
        <v>36.304000000000002</v>
      </c>
      <c r="I61" s="26"/>
      <c r="J61" s="31"/>
      <c r="K61" s="31"/>
      <c r="L61" s="26"/>
      <c r="M61" s="27"/>
      <c r="N61" s="27"/>
      <c r="O61" s="28"/>
      <c r="P61" s="29"/>
      <c r="Q61" s="29"/>
      <c r="R61" s="28"/>
      <c r="S61" s="29"/>
      <c r="T61" s="29"/>
      <c r="U61" s="29"/>
      <c r="V61" s="28"/>
      <c r="W61" s="29"/>
      <c r="X61" s="29"/>
      <c r="Y61" s="29"/>
      <c r="Z61" s="37"/>
      <c r="AA61" s="38"/>
    </row>
    <row r="62" spans="1:27" s="30" customFormat="1" ht="24.95" customHeight="1" x14ac:dyDescent="0.25">
      <c r="A62" s="27">
        <v>31</v>
      </c>
      <c r="B62" s="26" t="s">
        <v>916</v>
      </c>
      <c r="C62" s="26" t="s">
        <v>518</v>
      </c>
      <c r="D62" s="26">
        <v>7</v>
      </c>
      <c r="E62" s="26">
        <v>12821</v>
      </c>
      <c r="F62" s="26">
        <v>162.798</v>
      </c>
      <c r="G62" s="26">
        <v>-0.253</v>
      </c>
      <c r="H62" s="26">
        <v>36.253</v>
      </c>
      <c r="I62" s="26"/>
      <c r="J62" s="31">
        <f>AVERAGE(G61:G62)</f>
        <v>-0.254</v>
      </c>
      <c r="K62" s="31">
        <f>STDEV(G61:G62)</f>
        <v>1.4142135623730963E-3</v>
      </c>
      <c r="L62" s="26"/>
      <c r="M62" s="27">
        <f>AVERAGE(E61:E62)</f>
        <v>13302.5</v>
      </c>
      <c r="N62" s="27">
        <f>STDEV(E61:E62)</f>
        <v>680.94383028264531</v>
      </c>
      <c r="O62" s="28"/>
      <c r="P62" s="29">
        <f>AVERAGE(H61:H62)</f>
        <v>36.278500000000001</v>
      </c>
      <c r="Q62" s="29">
        <f>STDEV(H61:H62)</f>
        <v>3.6062445840515295E-2</v>
      </c>
      <c r="R62" s="28"/>
      <c r="S62" s="29">
        <f>J62-(M62-Standards!$N$124)*Standards!$AA$55</f>
        <v>-0.24365926724137932</v>
      </c>
      <c r="T62" s="29">
        <f>S62-(A62-Standards!$A$124)*Standards!$AA$4</f>
        <v>-0.22140443965517242</v>
      </c>
      <c r="U62" s="29"/>
      <c r="V62" s="28"/>
      <c r="W62" s="29">
        <f>P62-(M62-Standards!$N$124)*Standards!$AL$54</f>
        <v>36.266091120689659</v>
      </c>
      <c r="X62" s="29">
        <f>W62-(A62-Standards!$A$124)*Standards!$AL$5</f>
        <v>36.269016637931038</v>
      </c>
      <c r="Y62" s="111"/>
      <c r="Z62" s="19">
        <f>(T62*Standards!$O$159)+Standards!$O$160</f>
        <v>-0.54730034050583365</v>
      </c>
      <c r="AA62" s="20">
        <f>(X62*Standards!$U$159)+Standards!$U$160</f>
        <v>25.783488959355463</v>
      </c>
    </row>
    <row r="63" spans="1:27" s="30" customFormat="1" ht="24.95" customHeight="1" x14ac:dyDescent="0.25">
      <c r="A63" s="27">
        <v>32</v>
      </c>
      <c r="B63" s="26" t="s">
        <v>922</v>
      </c>
      <c r="C63" s="26" t="s">
        <v>339</v>
      </c>
      <c r="D63" s="26">
        <v>6</v>
      </c>
      <c r="E63" s="26">
        <v>12615</v>
      </c>
      <c r="F63" s="26">
        <v>155.08500000000001</v>
      </c>
      <c r="G63" s="26">
        <v>-0.68400000000000005</v>
      </c>
      <c r="H63" s="26">
        <v>36.011000000000003</v>
      </c>
      <c r="I63" s="26"/>
      <c r="J63" s="31"/>
      <c r="K63" s="31"/>
      <c r="L63" s="26"/>
      <c r="M63" s="27"/>
      <c r="N63" s="27"/>
      <c r="O63" s="28"/>
      <c r="P63" s="29"/>
      <c r="Q63" s="29"/>
      <c r="R63" s="28"/>
      <c r="S63" s="29"/>
      <c r="T63" s="29"/>
      <c r="U63" s="29"/>
      <c r="V63" s="28"/>
      <c r="W63" s="29"/>
      <c r="X63" s="29"/>
      <c r="Y63" s="111"/>
      <c r="Z63" s="19"/>
      <c r="AA63" s="20"/>
    </row>
    <row r="64" spans="1:27" s="30" customFormat="1" ht="24.95" customHeight="1" x14ac:dyDescent="0.25">
      <c r="A64" s="27">
        <v>32</v>
      </c>
      <c r="B64" s="26" t="s">
        <v>922</v>
      </c>
      <c r="C64" s="26" t="s">
        <v>339</v>
      </c>
      <c r="D64" s="26">
        <v>7</v>
      </c>
      <c r="E64" s="26">
        <v>11872</v>
      </c>
      <c r="F64" s="26">
        <v>145.22399999999999</v>
      </c>
      <c r="G64" s="26">
        <v>-0.66800000000000004</v>
      </c>
      <c r="H64" s="26">
        <v>36.040999999999997</v>
      </c>
      <c r="I64" s="26"/>
      <c r="J64" s="31">
        <f>AVERAGE(G63:G64)</f>
        <v>-0.67600000000000005</v>
      </c>
      <c r="K64" s="31">
        <f>STDEV(G63:G64)</f>
        <v>1.1313708498984771E-2</v>
      </c>
      <c r="L64" s="26"/>
      <c r="M64" s="27">
        <f>AVERAGE(E63:E64)</f>
        <v>12243.5</v>
      </c>
      <c r="N64" s="27">
        <f>STDEV(E63:E64)</f>
        <v>525.38033842160485</v>
      </c>
      <c r="O64" s="28"/>
      <c r="P64" s="29">
        <f>AVERAGE(H63:H64)</f>
        <v>36.025999999999996</v>
      </c>
      <c r="Q64" s="29">
        <f>STDEV(H63:H64)</f>
        <v>2.1213203435592205E-2</v>
      </c>
      <c r="R64" s="28"/>
      <c r="S64" s="29">
        <f>J64-(M64-Standards!$N$124)*Standards!$AA$55</f>
        <v>-0.65242176724137935</v>
      </c>
      <c r="T64" s="29">
        <f>S64-(A64-Standards!$A$124)*Standards!$AA$4</f>
        <v>-0.63059293965517249</v>
      </c>
      <c r="U64" s="29"/>
      <c r="V64" s="28"/>
      <c r="W64" s="29">
        <f>P64-(M64-Standards!$N$124)*Standards!$AL$54</f>
        <v>35.997706120689649</v>
      </c>
      <c r="X64" s="29">
        <f>W64-(A64-Standards!$A$124)*Standards!$AL$5</f>
        <v>36.000575637931028</v>
      </c>
      <c r="Y64" s="111"/>
      <c r="Z64" s="19">
        <f>(T64*Standards!$O$159)+Standards!$O$160</f>
        <v>-0.95953835348425143</v>
      </c>
      <c r="AA64" s="20">
        <f>(X64*Standards!$U$159)+Standards!$U$160</f>
        <v>25.520386720143417</v>
      </c>
    </row>
    <row r="65" spans="1:27" s="30" customFormat="1" ht="24.95" customHeight="1" x14ac:dyDescent="0.25">
      <c r="A65" s="27">
        <v>33</v>
      </c>
      <c r="B65" s="26" t="s">
        <v>926</v>
      </c>
      <c r="C65" s="26" t="s">
        <v>505</v>
      </c>
      <c r="D65" s="26">
        <v>6</v>
      </c>
      <c r="E65" s="26">
        <v>13220</v>
      </c>
      <c r="F65" s="26">
        <v>168.738</v>
      </c>
      <c r="G65" s="26">
        <v>-1.196</v>
      </c>
      <c r="H65" s="26">
        <v>35.984000000000002</v>
      </c>
      <c r="I65" s="26"/>
      <c r="J65" s="31"/>
      <c r="K65" s="31"/>
      <c r="L65" s="26"/>
      <c r="M65" s="27"/>
      <c r="N65" s="27"/>
      <c r="O65" s="28"/>
      <c r="P65" s="29"/>
      <c r="Q65" s="29"/>
      <c r="R65" s="28"/>
      <c r="S65" s="29"/>
      <c r="T65" s="29"/>
      <c r="U65" s="29"/>
      <c r="V65" s="28"/>
      <c r="W65" s="29"/>
      <c r="X65" s="29"/>
      <c r="Y65" s="111"/>
      <c r="Z65" s="19"/>
      <c r="AA65" s="20"/>
    </row>
    <row r="66" spans="1:27" s="30" customFormat="1" ht="24.95" customHeight="1" x14ac:dyDescent="0.25">
      <c r="A66" s="27">
        <v>33</v>
      </c>
      <c r="B66" s="26" t="s">
        <v>926</v>
      </c>
      <c r="C66" s="26" t="s">
        <v>505</v>
      </c>
      <c r="D66" s="26">
        <v>7</v>
      </c>
      <c r="E66" s="26">
        <v>12325</v>
      </c>
      <c r="F66" s="26">
        <v>156.80799999999999</v>
      </c>
      <c r="G66" s="26">
        <v>-1.196</v>
      </c>
      <c r="H66" s="26">
        <v>35.917000000000002</v>
      </c>
      <c r="I66" s="26"/>
      <c r="J66" s="31">
        <f>AVERAGE(G65:G66)</f>
        <v>-1.196</v>
      </c>
      <c r="K66" s="31">
        <f>STDEV(G65:G66)</f>
        <v>0</v>
      </c>
      <c r="L66" s="26"/>
      <c r="M66" s="27">
        <f>AVERAGE(E65:E66)</f>
        <v>12772.5</v>
      </c>
      <c r="N66" s="27">
        <f>STDEV(E65:E66)</f>
        <v>632.86056916196003</v>
      </c>
      <c r="O66" s="28"/>
      <c r="P66" s="29">
        <f>AVERAGE(H65:H66)</f>
        <v>35.950500000000005</v>
      </c>
      <c r="Q66" s="29">
        <f>STDEV(H65:H66)</f>
        <v>4.7376154339498801E-2</v>
      </c>
      <c r="R66" s="28"/>
      <c r="S66" s="29">
        <f>J66-(M66-Standards!$N$124)*Standards!$AA$55</f>
        <v>-1.1790342672413792</v>
      </c>
      <c r="T66" s="29">
        <f>S66-(A66-Standards!$A$124)*Standards!$AA$4</f>
        <v>-1.1576314396551723</v>
      </c>
      <c r="U66" s="29"/>
      <c r="V66" s="28"/>
      <c r="W66" s="29">
        <f>P66-(M66-Standards!$N$124)*Standards!$AL$54</f>
        <v>35.930141120689662</v>
      </c>
      <c r="X66" s="29">
        <f>W66-(A66-Standards!$A$124)*Standards!$AL$5</f>
        <v>35.93295463793104</v>
      </c>
      <c r="Y66" s="111"/>
      <c r="Z66" s="19">
        <f>(T66*Standards!$O$159)+Standards!$O$160</f>
        <v>-1.4905046538644569</v>
      </c>
      <c r="AA66" s="20">
        <f>(X66*Standards!$U$159)+Standards!$U$160</f>
        <v>25.454110568148177</v>
      </c>
    </row>
    <row r="67" spans="1:27" s="30" customFormat="1" ht="24.95" customHeight="1" x14ac:dyDescent="0.25">
      <c r="A67" s="27">
        <v>34</v>
      </c>
      <c r="B67" s="26" t="s">
        <v>931</v>
      </c>
      <c r="C67" s="26" t="s">
        <v>232</v>
      </c>
      <c r="D67" s="26">
        <v>6</v>
      </c>
      <c r="E67" s="26">
        <v>12914</v>
      </c>
      <c r="F67" s="26">
        <v>157.36600000000001</v>
      </c>
      <c r="G67" s="26">
        <v>-1.39</v>
      </c>
      <c r="H67" s="26">
        <v>36.073999999999998</v>
      </c>
      <c r="I67" s="26"/>
      <c r="J67" s="31"/>
      <c r="K67" s="31"/>
      <c r="L67" s="26"/>
      <c r="M67" s="27"/>
      <c r="N67" s="27"/>
      <c r="O67" s="28"/>
      <c r="P67" s="29"/>
      <c r="Q67" s="29"/>
      <c r="R67" s="28"/>
      <c r="S67" s="29"/>
      <c r="T67" s="29"/>
      <c r="U67" s="29"/>
      <c r="V67" s="28"/>
      <c r="W67" s="29"/>
      <c r="X67" s="29"/>
      <c r="Y67" s="111"/>
      <c r="Z67" s="19"/>
      <c r="AA67" s="20"/>
    </row>
    <row r="68" spans="1:27" s="30" customFormat="1" ht="24.95" customHeight="1" x14ac:dyDescent="0.25">
      <c r="A68" s="27">
        <v>34</v>
      </c>
      <c r="B68" s="26" t="s">
        <v>931</v>
      </c>
      <c r="C68" s="26" t="s">
        <v>232</v>
      </c>
      <c r="D68" s="26">
        <v>7</v>
      </c>
      <c r="E68" s="26">
        <v>12115</v>
      </c>
      <c r="F68" s="26">
        <v>147.048</v>
      </c>
      <c r="G68" s="26">
        <v>-1.37</v>
      </c>
      <c r="H68" s="26">
        <v>36.06</v>
      </c>
      <c r="I68" s="26"/>
      <c r="J68" s="31">
        <f>AVERAGE(G67:G68)</f>
        <v>-1.38</v>
      </c>
      <c r="K68" s="31">
        <f>STDEV(G67:G68)</f>
        <v>1.4142135623730807E-2</v>
      </c>
      <c r="L68" s="26"/>
      <c r="M68" s="27">
        <f>AVERAGE(E67:E68)</f>
        <v>12514.5</v>
      </c>
      <c r="N68" s="27">
        <f>STDEV(E67:E68)</f>
        <v>564.97831816805149</v>
      </c>
      <c r="O68" s="28"/>
      <c r="P68" s="29">
        <f>AVERAGE(H67:H68)</f>
        <v>36.067</v>
      </c>
      <c r="Q68" s="29">
        <f>STDEV(H67:H68)</f>
        <v>9.8994949366086916E-3</v>
      </c>
      <c r="R68" s="28"/>
      <c r="S68" s="29">
        <f>J68-(M68-Standards!$N$124)*Standards!$AA$55</f>
        <v>-1.3598092672413793</v>
      </c>
      <c r="T68" s="29">
        <f>S68-(A68-Standards!$A$124)*Standards!$AA$4</f>
        <v>-1.3388324396551723</v>
      </c>
      <c r="U68" s="29"/>
      <c r="V68" s="28"/>
      <c r="W68" s="29">
        <f>P68-(M68-Standards!$N$124)*Standards!$AL$54</f>
        <v>36.042771120689657</v>
      </c>
      <c r="X68" s="29">
        <f>W68-(A68-Standards!$A$124)*Standards!$AL$5</f>
        <v>36.045528637931035</v>
      </c>
      <c r="Y68" s="111"/>
      <c r="Z68" s="19">
        <f>(T68*Standards!$O$159)+Standards!$O$160</f>
        <v>-1.6730560701180961</v>
      </c>
      <c r="AA68" s="20">
        <f>(X68*Standards!$U$159)+Standards!$U$160</f>
        <v>25.564445693844529</v>
      </c>
    </row>
    <row r="69" spans="1:27" s="200" customFormat="1" ht="24.95" customHeight="1" x14ac:dyDescent="0.25">
      <c r="A69" s="188">
        <v>35</v>
      </c>
      <c r="B69" s="189" t="s">
        <v>0</v>
      </c>
      <c r="C69" s="189" t="s">
        <v>729</v>
      </c>
      <c r="D69" s="189">
        <v>6</v>
      </c>
      <c r="E69" s="189">
        <v>14725</v>
      </c>
      <c r="F69" s="189">
        <v>187.21799999999999</v>
      </c>
      <c r="G69" s="189">
        <v>4.7469999999999999</v>
      </c>
      <c r="H69" s="189">
        <v>36.978000000000002</v>
      </c>
      <c r="I69" s="189"/>
      <c r="J69" s="196"/>
      <c r="K69" s="196"/>
      <c r="L69" s="189"/>
      <c r="M69" s="188"/>
      <c r="N69" s="188"/>
      <c r="O69" s="190"/>
      <c r="P69" s="191"/>
      <c r="Q69" s="191"/>
      <c r="R69" s="190"/>
      <c r="S69" s="191"/>
      <c r="T69" s="191"/>
      <c r="U69" s="191"/>
      <c r="V69" s="190"/>
      <c r="W69" s="191"/>
      <c r="X69" s="191"/>
      <c r="Y69" s="197"/>
      <c r="Z69" s="198"/>
      <c r="AA69" s="199"/>
    </row>
    <row r="70" spans="1:27" s="200" customFormat="1" ht="24.95" customHeight="1" x14ac:dyDescent="0.25">
      <c r="A70" s="188">
        <v>35</v>
      </c>
      <c r="B70" s="189" t="s">
        <v>0</v>
      </c>
      <c r="C70" s="189" t="s">
        <v>729</v>
      </c>
      <c r="D70" s="189">
        <v>7</v>
      </c>
      <c r="E70" s="189">
        <v>13732</v>
      </c>
      <c r="F70" s="189">
        <v>173.92599999999999</v>
      </c>
      <c r="G70" s="189">
        <v>4.8170000000000002</v>
      </c>
      <c r="H70" s="189">
        <v>37.018000000000001</v>
      </c>
      <c r="I70" s="189"/>
      <c r="J70" s="196">
        <f>AVERAGE(G69:G70)</f>
        <v>4.782</v>
      </c>
      <c r="K70" s="196">
        <f>STDEV(G69:G70)</f>
        <v>4.9497474683058526E-2</v>
      </c>
      <c r="L70" s="189"/>
      <c r="M70" s="188">
        <f>AVERAGE(E69:E70)</f>
        <v>14228.5</v>
      </c>
      <c r="N70" s="188">
        <f>STDEV(E69:E70)</f>
        <v>702.15703371824168</v>
      </c>
      <c r="O70" s="190"/>
      <c r="P70" s="191">
        <f>AVERAGE(H69:H70)</f>
        <v>36.998000000000005</v>
      </c>
      <c r="Q70" s="191">
        <f>STDEV(H69:H70)</f>
        <v>2.8284271247461298E-2</v>
      </c>
      <c r="R70" s="190"/>
      <c r="S70" s="191">
        <f>J70-(M70-Standards!$N$124)*Standards!$AA$55</f>
        <v>4.7807657327586206</v>
      </c>
      <c r="T70" s="191">
        <f>S70-(A70-Standards!$A$124)*Standards!$AA$4</f>
        <v>4.8013165603448273</v>
      </c>
      <c r="U70" s="191"/>
      <c r="V70" s="190"/>
      <c r="W70" s="191">
        <f>P70-(M70-Standards!$N$124)*Standards!$AL$54</f>
        <v>36.999481120689659</v>
      </c>
      <c r="X70" s="191">
        <f>W70-(A70-Standards!$A$124)*Standards!$AL$5</f>
        <v>37.002182637931035</v>
      </c>
      <c r="Y70" s="197"/>
      <c r="Z70" s="198">
        <f>(T70*Standards!$O$159)+Standards!$O$160</f>
        <v>4.5128529257393586</v>
      </c>
      <c r="AA70" s="199">
        <f>(X70*Standards!$U$159)+Standards!$U$160</f>
        <v>26.502073737068745</v>
      </c>
    </row>
    <row r="71" spans="1:27" s="200" customFormat="1" ht="24.95" customHeight="1" x14ac:dyDescent="0.25">
      <c r="A71" s="188">
        <v>36</v>
      </c>
      <c r="B71" s="189" t="s">
        <v>0</v>
      </c>
      <c r="C71" s="189" t="s">
        <v>725</v>
      </c>
      <c r="D71" s="189">
        <v>6</v>
      </c>
      <c r="E71" s="189">
        <v>17746</v>
      </c>
      <c r="F71" s="189">
        <v>214.78299999999999</v>
      </c>
      <c r="G71" s="189">
        <v>4.71</v>
      </c>
      <c r="H71" s="189">
        <v>36.938000000000002</v>
      </c>
      <c r="I71" s="189"/>
      <c r="J71" s="196"/>
      <c r="K71" s="196"/>
      <c r="L71" s="189"/>
      <c r="M71" s="188"/>
      <c r="N71" s="188"/>
      <c r="O71" s="190"/>
      <c r="P71" s="191"/>
      <c r="Q71" s="191"/>
      <c r="R71" s="190"/>
      <c r="S71" s="191"/>
      <c r="T71" s="191"/>
      <c r="U71" s="191"/>
      <c r="V71" s="190"/>
      <c r="W71" s="191"/>
      <c r="X71" s="191"/>
      <c r="Y71" s="197"/>
      <c r="Z71" s="198"/>
      <c r="AA71" s="199"/>
    </row>
    <row r="72" spans="1:27" s="200" customFormat="1" ht="24.95" customHeight="1" x14ac:dyDescent="0.25">
      <c r="A72" s="188">
        <v>36</v>
      </c>
      <c r="B72" s="189" t="s">
        <v>0</v>
      </c>
      <c r="C72" s="189" t="s">
        <v>725</v>
      </c>
      <c r="D72" s="189">
        <v>7</v>
      </c>
      <c r="E72" s="189">
        <v>16472</v>
      </c>
      <c r="F72" s="189">
        <v>201.999</v>
      </c>
      <c r="G72" s="189">
        <v>4.6909999999999998</v>
      </c>
      <c r="H72" s="189">
        <v>36.963000000000001</v>
      </c>
      <c r="I72" s="189"/>
      <c r="J72" s="196">
        <f>AVERAGE(G71:G72)</f>
        <v>4.7004999999999999</v>
      </c>
      <c r="K72" s="196">
        <f>STDEV(G71:G72)</f>
        <v>1.3435028842544494E-2</v>
      </c>
      <c r="L72" s="189"/>
      <c r="M72" s="188">
        <f>AVERAGE(E71:E72)</f>
        <v>17109</v>
      </c>
      <c r="N72" s="188">
        <f>STDEV(E71:E72)</f>
        <v>900.85403923166155</v>
      </c>
      <c r="O72" s="190"/>
      <c r="P72" s="191">
        <f>AVERAGE(H71:H72)</f>
        <v>36.950500000000005</v>
      </c>
      <c r="Q72" s="191">
        <f>STDEV(H71:H72)</f>
        <v>1.7677669529662685E-2</v>
      </c>
      <c r="R72" s="190"/>
      <c r="S72" s="191">
        <f>J72-(M72-Standards!$N$124)*Standards!$AA$55</f>
        <v>4.6632594827586207</v>
      </c>
      <c r="T72" s="191">
        <f>S72-(A72-Standards!$A$124)*Standards!$AA$4</f>
        <v>4.6833843103448274</v>
      </c>
      <c r="U72" s="191"/>
      <c r="V72" s="190"/>
      <c r="W72" s="191">
        <f>P72-(M72-Standards!$N$124)*Standards!$AL$54</f>
        <v>36.99518862068966</v>
      </c>
      <c r="X72" s="191">
        <f>W72-(A72-Standards!$A$124)*Standards!$AL$5</f>
        <v>36.997834137931036</v>
      </c>
      <c r="Y72" s="197"/>
      <c r="Z72" s="198">
        <f>(T72*Standards!$O$159)+Standards!$O$160</f>
        <v>4.3940417753622736</v>
      </c>
      <c r="AA72" s="199">
        <f>(X72*Standards!$U$159)+Standards!$U$160</f>
        <v>26.497811720136855</v>
      </c>
    </row>
    <row r="73" spans="1:27" ht="24.95" customHeight="1" x14ac:dyDescent="0.25">
      <c r="A73" s="27">
        <v>37</v>
      </c>
      <c r="B73" s="26" t="s">
        <v>946</v>
      </c>
      <c r="C73" s="26" t="s">
        <v>287</v>
      </c>
      <c r="D73" s="26">
        <v>6</v>
      </c>
      <c r="E73" s="26">
        <v>12279</v>
      </c>
      <c r="F73" s="26">
        <v>156.11799999999999</v>
      </c>
      <c r="G73" s="26">
        <v>-1.5249999999999999</v>
      </c>
      <c r="H73" s="26">
        <v>36.170999999999999</v>
      </c>
      <c r="I73" s="26"/>
      <c r="J73" s="31"/>
      <c r="K73" s="31"/>
      <c r="L73" s="26"/>
      <c r="M73" s="27"/>
      <c r="N73" s="27"/>
      <c r="O73" s="28"/>
      <c r="P73" s="29"/>
      <c r="Q73" s="29"/>
      <c r="R73" s="28"/>
      <c r="S73" s="29"/>
      <c r="T73" s="29"/>
      <c r="U73" s="29"/>
      <c r="V73" s="28"/>
      <c r="W73" s="29"/>
      <c r="X73" s="29"/>
      <c r="Y73" s="111"/>
      <c r="Z73" s="19"/>
      <c r="AA73" s="20"/>
    </row>
    <row r="74" spans="1:27" ht="24.95" customHeight="1" x14ac:dyDescent="0.25">
      <c r="A74" s="27">
        <v>37</v>
      </c>
      <c r="B74" s="26" t="s">
        <v>946</v>
      </c>
      <c r="C74" s="26" t="s">
        <v>287</v>
      </c>
      <c r="D74" s="26">
        <v>7</v>
      </c>
      <c r="E74" s="26">
        <v>11458</v>
      </c>
      <c r="F74" s="26">
        <v>145.16399999999999</v>
      </c>
      <c r="G74" s="26">
        <v>-1.504</v>
      </c>
      <c r="H74" s="26">
        <v>36.15</v>
      </c>
      <c r="I74" s="26"/>
      <c r="J74" s="31">
        <f>AVERAGE(G73:G74)</f>
        <v>-1.5145</v>
      </c>
      <c r="K74" s="31">
        <f>STDEV(G73:G74)</f>
        <v>1.4849242404917433E-2</v>
      </c>
      <c r="L74" s="26"/>
      <c r="M74" s="27">
        <f>AVERAGE(E73:E74)</f>
        <v>11868.5</v>
      </c>
      <c r="N74" s="27">
        <f>STDEV(E73:E74)</f>
        <v>580.53466735415554</v>
      </c>
      <c r="O74" s="28"/>
      <c r="P74" s="29">
        <f>AVERAGE(H73:H74)</f>
        <v>36.160499999999999</v>
      </c>
      <c r="Q74" s="29">
        <f>STDEV(H73:H74)</f>
        <v>1.4849242404918061E-2</v>
      </c>
      <c r="R74" s="28"/>
      <c r="S74" s="29">
        <f>J74-(M74-Standards!$N$124)*Standards!$AA$55</f>
        <v>-1.4862342672413793</v>
      </c>
      <c r="T74" s="29">
        <f>S74-(A74-Standards!$A$124)*Standards!$AA$4</f>
        <v>-1.4665354396551724</v>
      </c>
      <c r="U74" s="29"/>
      <c r="V74" s="28"/>
      <c r="W74" s="29">
        <f>P74-(M74-Standards!$N$124)*Standards!$AL$54</f>
        <v>36.126581120689657</v>
      </c>
      <c r="X74" s="29">
        <f>W74-(A74-Standards!$A$124)*Standards!$AL$5</f>
        <v>36.12917063793104</v>
      </c>
      <c r="Y74" s="111"/>
      <c r="Z74" s="19">
        <f>(T74*Standards!$O$159)+Standards!$O$160</f>
        <v>-1.8017107878615881</v>
      </c>
      <c r="AA74" s="20">
        <f>(X74*Standards!$U$159)+Standards!$U$160</f>
        <v>25.646424219822958</v>
      </c>
    </row>
    <row r="75" spans="1:27" ht="24.95" customHeight="1" x14ac:dyDescent="0.25">
      <c r="A75" s="27">
        <v>38</v>
      </c>
      <c r="B75" s="26" t="s">
        <v>952</v>
      </c>
      <c r="C75" s="26" t="s">
        <v>289</v>
      </c>
      <c r="D75" s="26">
        <v>6</v>
      </c>
      <c r="E75" s="26">
        <v>15252</v>
      </c>
      <c r="F75" s="26">
        <v>187.4</v>
      </c>
      <c r="G75" s="26">
        <v>-1.2110000000000001</v>
      </c>
      <c r="H75" s="26">
        <v>36.167999999999999</v>
      </c>
      <c r="I75" s="26"/>
      <c r="J75" s="31"/>
      <c r="K75" s="31"/>
      <c r="L75" s="26"/>
      <c r="M75" s="27"/>
      <c r="N75" s="27"/>
      <c r="O75" s="28"/>
      <c r="P75" s="29"/>
      <c r="Q75" s="29"/>
      <c r="R75" s="28"/>
      <c r="S75" s="29"/>
      <c r="T75" s="29"/>
      <c r="U75" s="29"/>
      <c r="V75" s="28"/>
      <c r="W75" s="29"/>
      <c r="X75" s="29"/>
      <c r="Y75" s="111"/>
      <c r="Z75" s="19"/>
      <c r="AA75" s="20"/>
    </row>
    <row r="76" spans="1:27" ht="24.95" customHeight="1" x14ac:dyDescent="0.25">
      <c r="A76" s="27">
        <v>38</v>
      </c>
      <c r="B76" s="26" t="s">
        <v>952</v>
      </c>
      <c r="C76" s="26" t="s">
        <v>289</v>
      </c>
      <c r="D76" s="26">
        <v>7</v>
      </c>
      <c r="E76" s="26">
        <v>14114</v>
      </c>
      <c r="F76" s="26">
        <v>175.803</v>
      </c>
      <c r="G76" s="26">
        <v>-1.224</v>
      </c>
      <c r="H76" s="26">
        <v>36.188000000000002</v>
      </c>
      <c r="I76" s="26"/>
      <c r="J76" s="31">
        <f>AVERAGE(G75:G76)</f>
        <v>-1.2175</v>
      </c>
      <c r="K76" s="31">
        <f>STDEV(G75:G76)</f>
        <v>9.1923881554250471E-3</v>
      </c>
      <c r="L76" s="26"/>
      <c r="M76" s="27">
        <f>AVERAGE(E75:E76)</f>
        <v>14683</v>
      </c>
      <c r="N76" s="27">
        <f>STDEV(E75:E76)</f>
        <v>804.6875169902911</v>
      </c>
      <c r="O76" s="28"/>
      <c r="P76" s="29">
        <f>AVERAGE(H75:H76)</f>
        <v>36.177999999999997</v>
      </c>
      <c r="Q76" s="29">
        <f>STDEV(H75:H76)</f>
        <v>1.4142135623733162E-2</v>
      </c>
      <c r="R76" s="28"/>
      <c r="S76" s="29">
        <f>J76-(M76-Standards!$N$124)*Standards!$AA$55</f>
        <v>-1.2244155172413793</v>
      </c>
      <c r="T76" s="29">
        <f>S76-(A76-Standards!$A$124)*Standards!$AA$4</f>
        <v>-1.2051426896551725</v>
      </c>
      <c r="U76" s="29"/>
      <c r="V76" s="28"/>
      <c r="W76" s="29">
        <f>P76-(M76-Standards!$N$124)*Standards!$AL$54</f>
        <v>36.186298620689655</v>
      </c>
      <c r="X76" s="29">
        <f>W76-(A76-Standards!$A$124)*Standards!$AL$5</f>
        <v>36.188832137931037</v>
      </c>
      <c r="Y76" s="111"/>
      <c r="Z76" s="19">
        <f>(T76*Standards!$O$159)+Standards!$O$160</f>
        <v>-1.538369985598171</v>
      </c>
      <c r="AA76" s="20">
        <f>(X76*Standards!$U$159)+Standards!$U$160</f>
        <v>25.704899170537448</v>
      </c>
    </row>
    <row r="77" spans="1:27" ht="24.95" customHeight="1" x14ac:dyDescent="0.25">
      <c r="A77" s="27">
        <v>39</v>
      </c>
      <c r="B77" s="26" t="s">
        <v>955</v>
      </c>
      <c r="C77" s="26" t="s">
        <v>296</v>
      </c>
      <c r="D77" s="26">
        <v>6</v>
      </c>
      <c r="E77" s="26">
        <v>14260</v>
      </c>
      <c r="F77" s="26">
        <v>180.286</v>
      </c>
      <c r="G77" s="26">
        <v>-1.2030000000000001</v>
      </c>
      <c r="H77" s="26">
        <v>35.817</v>
      </c>
      <c r="I77" s="26"/>
      <c r="J77" s="31"/>
      <c r="K77" s="31"/>
      <c r="L77" s="26"/>
      <c r="M77" s="27"/>
      <c r="N77" s="27"/>
      <c r="O77" s="28"/>
      <c r="P77" s="29"/>
      <c r="Q77" s="29"/>
      <c r="R77" s="28"/>
      <c r="S77" s="29"/>
      <c r="T77" s="29"/>
      <c r="U77" s="29"/>
      <c r="V77" s="28"/>
      <c r="W77" s="29"/>
      <c r="X77" s="29"/>
      <c r="Y77" s="111"/>
      <c r="Z77" s="19"/>
      <c r="AA77" s="20"/>
    </row>
    <row r="78" spans="1:27" ht="24.95" customHeight="1" x14ac:dyDescent="0.25">
      <c r="A78" s="27">
        <v>39</v>
      </c>
      <c r="B78" s="26" t="s">
        <v>955</v>
      </c>
      <c r="C78" s="26" t="s">
        <v>296</v>
      </c>
      <c r="D78" s="26">
        <v>7</v>
      </c>
      <c r="E78" s="26">
        <v>13381</v>
      </c>
      <c r="F78" s="26">
        <v>169.84399999999999</v>
      </c>
      <c r="G78" s="26">
        <v>-1.2470000000000001</v>
      </c>
      <c r="H78" s="26">
        <v>35.863999999999997</v>
      </c>
      <c r="I78" s="26"/>
      <c r="J78" s="31">
        <f>AVERAGE(G77:G78)</f>
        <v>-1.2250000000000001</v>
      </c>
      <c r="K78" s="31">
        <f>STDEV(G77:G78)</f>
        <v>3.111269837220812E-2</v>
      </c>
      <c r="L78" s="26"/>
      <c r="M78" s="27">
        <f>AVERAGE(E77:E78)</f>
        <v>13820.5</v>
      </c>
      <c r="N78" s="27">
        <f>STDEV(E77:E78)</f>
        <v>621.54686066297529</v>
      </c>
      <c r="O78" s="28"/>
      <c r="P78" s="29">
        <f>AVERAGE(H77:H78)</f>
        <v>35.840499999999999</v>
      </c>
      <c r="Q78" s="29">
        <f>STDEV(H77:H78)</f>
        <v>3.3234018715765645E-2</v>
      </c>
      <c r="R78" s="28"/>
      <c r="S78" s="29">
        <f>J78-(M78-Standards!$N$124)*Standards!$AA$55</f>
        <v>-1.2211342672413794</v>
      </c>
      <c r="T78" s="29">
        <f>S78-(A78-Standards!$A$124)*Standards!$AA$4</f>
        <v>-1.2022874396551726</v>
      </c>
      <c r="U78" s="29"/>
      <c r="V78" s="28"/>
      <c r="W78" s="29">
        <f>P78-(M78-Standards!$N$124)*Standards!$AL$54</f>
        <v>35.835861120689657</v>
      </c>
      <c r="X78" s="29">
        <f>W78-(A78-Standards!$A$124)*Standards!$AL$5</f>
        <v>35.838338637931038</v>
      </c>
      <c r="Y78" s="111"/>
      <c r="Z78" s="19">
        <f>(T78*Standards!$O$159)+Standards!$O$160</f>
        <v>-1.5354934565985618</v>
      </c>
      <c r="AA78" s="20">
        <f>(X78*Standards!$U$159)+Standards!$U$160</f>
        <v>25.361376293334398</v>
      </c>
    </row>
    <row r="79" spans="1:27" ht="24.95" customHeight="1" x14ac:dyDescent="0.25">
      <c r="A79" s="27">
        <v>40</v>
      </c>
      <c r="B79" s="26" t="s">
        <v>959</v>
      </c>
      <c r="C79" s="26" t="s">
        <v>318</v>
      </c>
      <c r="D79" s="26">
        <v>6</v>
      </c>
      <c r="E79" s="26">
        <v>15788</v>
      </c>
      <c r="F79" s="26">
        <v>197.303</v>
      </c>
      <c r="G79" s="26">
        <v>-1.329</v>
      </c>
      <c r="H79" s="26">
        <v>35.774999999999999</v>
      </c>
      <c r="I79" s="26"/>
      <c r="J79" s="31"/>
      <c r="K79" s="31"/>
      <c r="L79" s="26"/>
      <c r="M79" s="27"/>
      <c r="N79" s="27"/>
      <c r="O79" s="28"/>
      <c r="P79" s="29"/>
      <c r="Q79" s="29"/>
      <c r="R79" s="28"/>
      <c r="S79" s="29"/>
      <c r="T79" s="29"/>
      <c r="U79" s="29"/>
      <c r="V79" s="28"/>
      <c r="W79" s="29"/>
      <c r="X79" s="29"/>
      <c r="Y79" s="111"/>
      <c r="Z79" s="19"/>
      <c r="AA79" s="20"/>
    </row>
    <row r="80" spans="1:27" ht="24.95" customHeight="1" x14ac:dyDescent="0.25">
      <c r="A80" s="27">
        <v>40</v>
      </c>
      <c r="B80" s="26" t="s">
        <v>959</v>
      </c>
      <c r="C80" s="26" t="s">
        <v>318</v>
      </c>
      <c r="D80" s="26">
        <v>7</v>
      </c>
      <c r="E80" s="26">
        <v>14655</v>
      </c>
      <c r="F80" s="26">
        <v>185.49600000000001</v>
      </c>
      <c r="G80" s="26">
        <v>-1.347</v>
      </c>
      <c r="H80" s="26">
        <v>35.847999999999999</v>
      </c>
      <c r="I80" s="26"/>
      <c r="J80" s="31">
        <f>AVERAGE(G79:G80)</f>
        <v>-1.3380000000000001</v>
      </c>
      <c r="K80" s="31">
        <f>STDEV(G79:G80)</f>
        <v>1.2727922061357868E-2</v>
      </c>
      <c r="L80" s="26"/>
      <c r="M80" s="27">
        <f>AVERAGE(E79:E80)</f>
        <v>15221.5</v>
      </c>
      <c r="N80" s="27">
        <f>STDEV(E79:E80)</f>
        <v>801.15198308435833</v>
      </c>
      <c r="O80" s="28"/>
      <c r="P80" s="29">
        <f>AVERAGE(H79:H80)</f>
        <v>35.811499999999995</v>
      </c>
      <c r="Q80" s="29">
        <f>STDEV(H79:H80)</f>
        <v>5.1618795026618251E-2</v>
      </c>
      <c r="R80" s="28"/>
      <c r="S80" s="29">
        <f>J80-(M80-Standards!$N$124)*Standards!$AA$55</f>
        <v>-1.3516467672413794</v>
      </c>
      <c r="T80" s="29">
        <f>S80-(A80-Standards!$A$124)*Standards!$AA$4</f>
        <v>-1.3332259396551724</v>
      </c>
      <c r="U80" s="29"/>
      <c r="V80" s="28"/>
      <c r="W80" s="29">
        <f>P80-(M80-Standards!$N$124)*Standards!$AL$54</f>
        <v>35.827876120689652</v>
      </c>
      <c r="X80" s="29">
        <f>W80-(A80-Standards!$A$124)*Standards!$AL$5</f>
        <v>35.830297637931032</v>
      </c>
      <c r="Y80" s="111"/>
      <c r="Z80" s="19">
        <f>(T80*Standards!$O$159)+Standards!$O$160</f>
        <v>-1.6674077871879467</v>
      </c>
      <c r="AA80" s="20">
        <f>(X80*Standards!$U$159)+Standards!$U$160</f>
        <v>25.353495212927509</v>
      </c>
    </row>
    <row r="81" spans="1:27" ht="24.95" customHeight="1" x14ac:dyDescent="0.25">
      <c r="A81" s="27">
        <v>41</v>
      </c>
      <c r="B81" s="26" t="s">
        <v>962</v>
      </c>
      <c r="C81" s="26" t="s">
        <v>221</v>
      </c>
      <c r="D81" s="26">
        <v>6</v>
      </c>
      <c r="E81" s="26">
        <v>14312</v>
      </c>
      <c r="F81" s="26">
        <v>178.31800000000001</v>
      </c>
      <c r="G81" s="26">
        <v>-1.012</v>
      </c>
      <c r="H81" s="26">
        <v>35.765000000000001</v>
      </c>
      <c r="I81" s="26"/>
      <c r="J81" s="31"/>
      <c r="K81" s="31"/>
      <c r="L81" s="26"/>
      <c r="M81" s="27"/>
      <c r="N81" s="27"/>
      <c r="O81" s="28"/>
      <c r="P81" s="29"/>
      <c r="Q81" s="29"/>
      <c r="R81" s="28"/>
      <c r="S81" s="29"/>
      <c r="T81" s="29"/>
      <c r="U81" s="29"/>
      <c r="V81" s="28"/>
      <c r="W81" s="29"/>
      <c r="X81" s="29"/>
      <c r="Y81" s="111"/>
      <c r="Z81" s="19"/>
      <c r="AA81" s="20"/>
    </row>
    <row r="82" spans="1:27" ht="24.95" customHeight="1" x14ac:dyDescent="0.25">
      <c r="A82" s="27">
        <v>41</v>
      </c>
      <c r="B82" s="26" t="s">
        <v>962</v>
      </c>
      <c r="C82" s="26" t="s">
        <v>221</v>
      </c>
      <c r="D82" s="26">
        <v>7</v>
      </c>
      <c r="E82" s="26">
        <v>13481</v>
      </c>
      <c r="F82" s="26">
        <v>166.42699999999999</v>
      </c>
      <c r="G82" s="26">
        <v>-0.96099999999999997</v>
      </c>
      <c r="H82" s="26">
        <v>35.738</v>
      </c>
      <c r="I82" s="26"/>
      <c r="J82" s="31">
        <f>AVERAGE(G81:G82)</f>
        <v>-0.98649999999999993</v>
      </c>
      <c r="K82" s="31">
        <f>STDEV(G81:G82)</f>
        <v>3.6062445840513956E-2</v>
      </c>
      <c r="L82" s="26"/>
      <c r="M82" s="27">
        <f>AVERAGE(E81:E82)</f>
        <v>13896.5</v>
      </c>
      <c r="N82" s="27">
        <f>STDEV(E81:E82)</f>
        <v>587.60573516602096</v>
      </c>
      <c r="O82" s="28"/>
      <c r="P82" s="29">
        <f>AVERAGE(H81:H82)</f>
        <v>35.7515</v>
      </c>
      <c r="Q82" s="29">
        <f>STDEV(H81:H82)</f>
        <v>1.9091883092037507E-2</v>
      </c>
      <c r="R82" s="28"/>
      <c r="S82" s="29">
        <f>J82-(M82-Standards!$N$124)*Standards!$AA$55</f>
        <v>-0.98358426724137926</v>
      </c>
      <c r="T82" s="29">
        <f>S82-(A82-Standards!$A$124)*Standards!$AA$4</f>
        <v>-0.96558943965517241</v>
      </c>
      <c r="U82" s="29"/>
      <c r="V82" s="28"/>
      <c r="W82" s="29">
        <f>P82-(M82-Standards!$N$124)*Standards!$AL$54</f>
        <v>35.748001120689658</v>
      </c>
      <c r="X82" s="29">
        <f>W82-(A82-Standards!$A$124)*Standards!$AL$5</f>
        <v>35.750366637931037</v>
      </c>
      <c r="Y82" s="111"/>
      <c r="Z82" s="19">
        <f>(T82*Standards!$O$159)+Standards!$O$160</f>
        <v>-1.297031444112958</v>
      </c>
      <c r="AA82" s="20">
        <f>(X82*Standards!$U$159)+Standards!$U$160</f>
        <v>25.275153882495662</v>
      </c>
    </row>
    <row r="83" spans="1:27" ht="24.95" customHeight="1" x14ac:dyDescent="0.25">
      <c r="A83" s="27">
        <v>42</v>
      </c>
      <c r="B83" s="26" t="s">
        <v>965</v>
      </c>
      <c r="C83" s="26" t="s">
        <v>518</v>
      </c>
      <c r="D83" s="26">
        <v>6</v>
      </c>
      <c r="E83" s="26">
        <v>13310</v>
      </c>
      <c r="F83" s="26">
        <v>168.976</v>
      </c>
      <c r="G83" s="26">
        <v>-1.2470000000000001</v>
      </c>
      <c r="H83" s="26">
        <v>35.906999999999996</v>
      </c>
      <c r="I83" s="26"/>
      <c r="J83" s="31"/>
      <c r="K83" s="31"/>
      <c r="L83" s="26"/>
      <c r="M83" s="27"/>
      <c r="N83" s="27"/>
      <c r="O83" s="28"/>
      <c r="P83" s="29"/>
      <c r="Q83" s="29"/>
      <c r="R83" s="28"/>
      <c r="S83" s="29"/>
      <c r="T83" s="29"/>
      <c r="U83" s="29"/>
      <c r="V83" s="28"/>
      <c r="W83" s="29"/>
      <c r="X83" s="29"/>
      <c r="Y83" s="111"/>
      <c r="Z83" s="19"/>
      <c r="AA83" s="20"/>
    </row>
    <row r="84" spans="1:27" ht="24.95" customHeight="1" x14ac:dyDescent="0.25">
      <c r="A84" s="27">
        <v>42</v>
      </c>
      <c r="B84" s="26" t="s">
        <v>965</v>
      </c>
      <c r="C84" s="26" t="s">
        <v>518</v>
      </c>
      <c r="D84" s="26">
        <v>7</v>
      </c>
      <c r="E84" s="26">
        <v>12374</v>
      </c>
      <c r="F84" s="26">
        <v>157.02099999999999</v>
      </c>
      <c r="G84" s="26">
        <v>-1.228</v>
      </c>
      <c r="H84" s="26">
        <v>35.906999999999996</v>
      </c>
      <c r="I84" s="26"/>
      <c r="J84" s="31">
        <f>AVERAGE(G83:G84)</f>
        <v>-1.2375</v>
      </c>
      <c r="K84" s="31">
        <f>STDEV(G83:G84)</f>
        <v>1.3435028842544494E-2</v>
      </c>
      <c r="L84" s="26"/>
      <c r="M84" s="27">
        <f>AVERAGE(E83:E84)</f>
        <v>12842</v>
      </c>
      <c r="N84" s="27">
        <f>STDEV(E83:E84)</f>
        <v>661.85194719060848</v>
      </c>
      <c r="O84" s="28"/>
      <c r="P84" s="29">
        <f>AVERAGE(H83:H84)</f>
        <v>35.906999999999996</v>
      </c>
      <c r="Q84" s="29">
        <f>STDEV(H83:H84)</f>
        <v>0</v>
      </c>
      <c r="R84" s="28"/>
      <c r="S84" s="29">
        <f>J84-(M84-Standards!$N$124)*Standards!$AA$55</f>
        <v>-1.2214030172413795</v>
      </c>
      <c r="T84" s="29">
        <f>S84-(A84-Standards!$A$124)*Standards!$AA$4</f>
        <v>-1.2038341896551725</v>
      </c>
      <c r="U84" s="29"/>
      <c r="V84" s="28"/>
      <c r="W84" s="29">
        <f>P84-(M84-Standards!$N$124)*Standards!$AL$54</f>
        <v>35.88768362068965</v>
      </c>
      <c r="X84" s="29">
        <f>W84-(A84-Standards!$A$124)*Standards!$AL$5</f>
        <v>35.889993137931029</v>
      </c>
      <c r="Y84" s="111"/>
      <c r="Z84" s="19">
        <f>(T84*Standards!$O$159)+Standards!$O$160</f>
        <v>-1.5370517338878169</v>
      </c>
      <c r="AA84" s="20">
        <f>(X84*Standards!$U$159)+Standards!$U$160</f>
        <v>25.412003487449216</v>
      </c>
    </row>
    <row r="85" spans="1:27" ht="24.95" customHeight="1" x14ac:dyDescent="0.25">
      <c r="A85" s="27">
        <v>43</v>
      </c>
      <c r="B85" s="26" t="s">
        <v>970</v>
      </c>
      <c r="C85" s="26" t="s">
        <v>232</v>
      </c>
      <c r="D85" s="26">
        <v>6</v>
      </c>
      <c r="E85" s="26">
        <v>13271</v>
      </c>
      <c r="F85" s="26">
        <v>162.959</v>
      </c>
      <c r="G85" s="26">
        <v>-1.5669999999999999</v>
      </c>
      <c r="H85" s="26">
        <v>36.064999999999998</v>
      </c>
      <c r="I85" s="26"/>
      <c r="J85" s="31"/>
      <c r="K85" s="31"/>
      <c r="L85" s="26"/>
      <c r="M85" s="27"/>
      <c r="N85" s="27"/>
      <c r="O85" s="28"/>
      <c r="P85" s="29"/>
      <c r="Q85" s="29"/>
      <c r="R85" s="28"/>
      <c r="S85" s="29"/>
      <c r="T85" s="29"/>
      <c r="U85" s="29"/>
      <c r="V85" s="28"/>
      <c r="W85" s="29"/>
      <c r="X85" s="29"/>
      <c r="Y85" s="29"/>
      <c r="Z85" s="37"/>
      <c r="AA85" s="38"/>
    </row>
    <row r="86" spans="1:27" ht="24.95" customHeight="1" x14ac:dyDescent="0.25">
      <c r="A86" s="27">
        <v>43</v>
      </c>
      <c r="B86" s="26" t="s">
        <v>970</v>
      </c>
      <c r="C86" s="26" t="s">
        <v>232</v>
      </c>
      <c r="D86" s="26">
        <v>7</v>
      </c>
      <c r="E86" s="26">
        <v>12500</v>
      </c>
      <c r="F86" s="26">
        <v>152.38499999999999</v>
      </c>
      <c r="G86" s="26">
        <v>-1.506</v>
      </c>
      <c r="H86" s="26">
        <v>36.07</v>
      </c>
      <c r="I86" s="26"/>
      <c r="J86" s="31">
        <f>AVERAGE(G85:G86)</f>
        <v>-1.5365</v>
      </c>
      <c r="K86" s="31">
        <f>STDEV(G85:G86)</f>
        <v>4.3133513652379357E-2</v>
      </c>
      <c r="L86" s="26"/>
      <c r="M86" s="27">
        <f>AVERAGE(E85:E86)</f>
        <v>12885.5</v>
      </c>
      <c r="N86" s="27">
        <f>STDEV(E85:E86)</f>
        <v>545.17932829482811</v>
      </c>
      <c r="O86" s="28"/>
      <c r="P86" s="29">
        <f>AVERAGE(H85:H86)</f>
        <v>36.067499999999995</v>
      </c>
      <c r="Q86" s="29">
        <f>STDEV(H85:H86)</f>
        <v>3.5355339059345461E-3</v>
      </c>
      <c r="R86" s="28"/>
      <c r="S86" s="29">
        <f>J86-(M86-Standards!$N$124)*Standards!$AA$55</f>
        <v>-1.5209467672413792</v>
      </c>
      <c r="T86" s="29">
        <f>S86-(A86-Standards!$A$124)*Standards!$AA$4</f>
        <v>-1.5038039396551723</v>
      </c>
      <c r="U86" s="29"/>
      <c r="V86" s="28"/>
      <c r="W86" s="29">
        <f>P86-(M86-Standards!$N$124)*Standards!$AL$54</f>
        <v>36.04883612068965</v>
      </c>
      <c r="X86" s="29">
        <f>W86-(A86-Standards!$A$124)*Standards!$AL$5</f>
        <v>36.051089637931028</v>
      </c>
      <c r="Y86" s="111"/>
      <c r="Z86" s="19">
        <f>(T86*Standards!$O$159)+Standards!$O$160</f>
        <v>-1.8392570346077362</v>
      </c>
      <c r="AA86" s="20">
        <f>(X86*Standards!$U$159)+Standards!$U$160</f>
        <v>25.569896096548501</v>
      </c>
    </row>
    <row r="87" spans="1:27" ht="24.75" customHeight="1" x14ac:dyDescent="0.25">
      <c r="A87" s="27">
        <v>44</v>
      </c>
      <c r="B87" s="26" t="s">
        <v>974</v>
      </c>
      <c r="C87" s="26" t="s">
        <v>229</v>
      </c>
      <c r="D87" s="26">
        <v>6</v>
      </c>
      <c r="E87" s="26">
        <v>14098</v>
      </c>
      <c r="F87" s="26">
        <v>179.733</v>
      </c>
      <c r="G87" s="26">
        <v>-0.83699999999999997</v>
      </c>
      <c r="H87" s="26">
        <v>36.32</v>
      </c>
      <c r="I87" s="26"/>
      <c r="J87" s="31"/>
      <c r="K87" s="31"/>
      <c r="L87" s="26"/>
      <c r="M87" s="27"/>
      <c r="N87" s="27"/>
      <c r="O87" s="28"/>
      <c r="P87" s="29"/>
      <c r="Q87" s="29"/>
      <c r="R87" s="28"/>
      <c r="S87" s="29"/>
      <c r="T87" s="29"/>
      <c r="U87" s="29"/>
      <c r="V87" s="28"/>
      <c r="W87" s="29"/>
      <c r="X87" s="29"/>
      <c r="Y87" s="29"/>
      <c r="Z87" s="37"/>
      <c r="AA87" s="38"/>
    </row>
    <row r="88" spans="1:27" ht="24.95" customHeight="1" x14ac:dyDescent="0.25">
      <c r="A88" s="27">
        <v>44</v>
      </c>
      <c r="B88" s="26" t="s">
        <v>974</v>
      </c>
      <c r="C88" s="26" t="s">
        <v>229</v>
      </c>
      <c r="D88" s="26">
        <v>7</v>
      </c>
      <c r="E88" s="26">
        <v>13153</v>
      </c>
      <c r="F88" s="26">
        <v>166.976</v>
      </c>
      <c r="G88" s="26">
        <v>-0.83499999999999996</v>
      </c>
      <c r="H88" s="26">
        <v>36.316000000000003</v>
      </c>
      <c r="I88" s="26"/>
      <c r="J88" s="31">
        <f>AVERAGE(G87:G88)</f>
        <v>-0.83599999999999997</v>
      </c>
      <c r="K88" s="31">
        <f>STDEV(G87:G88)</f>
        <v>1.4142135623730963E-3</v>
      </c>
      <c r="L88" s="26"/>
      <c r="M88" s="27">
        <f>AVERAGE(E87:E88)</f>
        <v>13625.5</v>
      </c>
      <c r="N88" s="27">
        <f>STDEV(E87:E88)</f>
        <v>668.21590822128746</v>
      </c>
      <c r="O88" s="28"/>
      <c r="P88" s="29">
        <f>AVERAGE(H87:H88)</f>
        <v>36.317999999999998</v>
      </c>
      <c r="Q88" s="29">
        <f>STDEV(H87:H88)</f>
        <v>2.8284271247446227E-3</v>
      </c>
      <c r="R88" s="28"/>
      <c r="S88" s="29">
        <f>J88-(M88-Standards!$N$124)*Standards!$AA$55</f>
        <v>-0.82969676724137931</v>
      </c>
      <c r="T88" s="29">
        <f>S88-(A88-Standards!$A$124)*Standards!$AA$4</f>
        <v>-0.81297993965517246</v>
      </c>
      <c r="U88" s="29"/>
      <c r="V88" s="28"/>
      <c r="W88" s="29">
        <f>P88-(M88-Standards!$N$124)*Standards!$AL$54</f>
        <v>36.310436120689651</v>
      </c>
      <c r="X88" s="29">
        <f>W88-(A88-Standards!$A$124)*Standards!$AL$5</f>
        <v>36.312633637931029</v>
      </c>
      <c r="Y88" s="111"/>
      <c r="Z88" s="19">
        <f>(T88*Standards!$O$159)+Standards!$O$160</f>
        <v>-1.1432846085063124</v>
      </c>
      <c r="AA88" s="20">
        <f>(X88*Standards!$U$159)+Standards!$U$160</f>
        <v>25.826238503455318</v>
      </c>
    </row>
    <row r="89" spans="1:27" ht="24.95" customHeight="1" x14ac:dyDescent="0.25">
      <c r="A89" s="27">
        <v>45</v>
      </c>
      <c r="B89" s="26" t="s">
        <v>980</v>
      </c>
      <c r="C89" s="26" t="s">
        <v>296</v>
      </c>
      <c r="D89" s="26">
        <v>6</v>
      </c>
      <c r="E89" s="26">
        <v>14541</v>
      </c>
      <c r="F89" s="26">
        <v>176.65199999999999</v>
      </c>
      <c r="G89" s="26">
        <v>-0.44</v>
      </c>
      <c r="H89" s="26">
        <v>36.253999999999998</v>
      </c>
      <c r="I89" s="26"/>
      <c r="J89" s="31"/>
      <c r="K89" s="31"/>
      <c r="L89" s="26"/>
      <c r="M89" s="27"/>
      <c r="N89" s="27"/>
      <c r="O89" s="28"/>
      <c r="P89" s="29"/>
      <c r="Q89" s="29"/>
      <c r="R89" s="28"/>
      <c r="S89" s="29"/>
      <c r="T89" s="29"/>
      <c r="U89" s="29"/>
      <c r="V89" s="28"/>
      <c r="W89" s="29"/>
      <c r="X89" s="29"/>
      <c r="Y89" s="29"/>
      <c r="Z89" s="37"/>
      <c r="AA89" s="38"/>
    </row>
    <row r="90" spans="1:27" ht="24.95" customHeight="1" x14ac:dyDescent="0.25">
      <c r="A90" s="27">
        <v>45</v>
      </c>
      <c r="B90" s="26" t="s">
        <v>980</v>
      </c>
      <c r="C90" s="26" t="s">
        <v>296</v>
      </c>
      <c r="D90" s="26">
        <v>7</v>
      </c>
      <c r="E90" s="26">
        <v>13658</v>
      </c>
      <c r="F90" s="26">
        <v>166.95699999999999</v>
      </c>
      <c r="G90" s="26">
        <v>-0.46200000000000002</v>
      </c>
      <c r="H90" s="26">
        <v>36.301000000000002</v>
      </c>
      <c r="I90" s="26"/>
      <c r="J90" s="31">
        <f>AVERAGE(G89:G90)</f>
        <v>-0.45100000000000001</v>
      </c>
      <c r="K90" s="31">
        <f>STDEV(G89:G90)</f>
        <v>1.555634918610406E-2</v>
      </c>
      <c r="L90" s="26"/>
      <c r="M90" s="27">
        <f>AVERAGE(E89:E90)</f>
        <v>14099.5</v>
      </c>
      <c r="N90" s="27">
        <f>STDEV(E89:E90)</f>
        <v>624.3752877877215</v>
      </c>
      <c r="O90" s="28"/>
      <c r="P90" s="29">
        <f>AVERAGE(H89:H90)</f>
        <v>36.277500000000003</v>
      </c>
      <c r="Q90" s="29">
        <f>STDEV(H89:H90)</f>
        <v>3.3234018715770669E-2</v>
      </c>
      <c r="R90" s="28"/>
      <c r="S90" s="29">
        <f>J90-(M90-Standards!$N$124)*Standards!$AA$55</f>
        <v>-0.45062176724137931</v>
      </c>
      <c r="T90" s="29">
        <f>S90-(A90-Standards!$A$124)*Standards!$AA$4</f>
        <v>-0.43433093965517244</v>
      </c>
      <c r="U90" s="29"/>
      <c r="V90" s="28"/>
      <c r="W90" s="29">
        <f>P90-(M90-Standards!$N$124)*Standards!$AL$54</f>
        <v>36.277046120689661</v>
      </c>
      <c r="X90" s="29">
        <f>W90-(A90-Standards!$A$124)*Standards!$AL$5</f>
        <v>36.279187637931038</v>
      </c>
      <c r="Y90" s="111"/>
      <c r="Z90" s="19">
        <f>(T90*Standards!$O$159)+Standards!$O$160</f>
        <v>-0.76181369381475861</v>
      </c>
      <c r="AA90" s="20">
        <f>(X90*Standards!$U$159)+Standards!$U$160</f>
        <v>25.79345767827331</v>
      </c>
    </row>
    <row r="91" spans="1:27" ht="24.95" customHeight="1" x14ac:dyDescent="0.25">
      <c r="A91" s="27">
        <v>46</v>
      </c>
      <c r="B91" s="26" t="s">
        <v>984</v>
      </c>
      <c r="C91" s="26" t="s">
        <v>513</v>
      </c>
      <c r="D91" s="26">
        <v>6</v>
      </c>
      <c r="E91" s="26">
        <v>7973</v>
      </c>
      <c r="F91" s="26">
        <v>102.246</v>
      </c>
      <c r="G91" s="26">
        <v>-0.84399999999999997</v>
      </c>
      <c r="H91" s="26">
        <v>36.134</v>
      </c>
      <c r="I91" s="26"/>
      <c r="J91" s="31"/>
      <c r="K91" s="31"/>
      <c r="L91" s="26"/>
      <c r="M91" s="27"/>
      <c r="N91" s="27"/>
      <c r="O91" s="28"/>
      <c r="P91" s="29"/>
      <c r="Q91" s="29"/>
      <c r="R91" s="28"/>
      <c r="S91" s="29"/>
      <c r="T91" s="29"/>
      <c r="U91" s="29"/>
      <c r="V91" s="28"/>
      <c r="W91" s="29"/>
      <c r="X91" s="29"/>
      <c r="Y91" s="29"/>
      <c r="Z91" s="39"/>
      <c r="AA91" s="40"/>
    </row>
    <row r="92" spans="1:27" ht="24.95" customHeight="1" x14ac:dyDescent="0.25">
      <c r="A92" s="27">
        <v>46</v>
      </c>
      <c r="B92" s="26" t="s">
        <v>984</v>
      </c>
      <c r="C92" s="26" t="s">
        <v>513</v>
      </c>
      <c r="D92" s="26">
        <v>7</v>
      </c>
      <c r="E92" s="26">
        <v>7455</v>
      </c>
      <c r="F92" s="26">
        <v>95.177999999999997</v>
      </c>
      <c r="G92" s="26">
        <v>-0.77400000000000002</v>
      </c>
      <c r="H92" s="26">
        <v>36.168999999999997</v>
      </c>
      <c r="I92" s="26"/>
      <c r="J92" s="31">
        <f>AVERAGE(G91:G92)</f>
        <v>-0.80899999999999994</v>
      </c>
      <c r="K92" s="31">
        <f>STDEV(G91:G92)</f>
        <v>4.949747468305829E-2</v>
      </c>
      <c r="L92" s="26"/>
      <c r="M92" s="27">
        <f>AVERAGE(E91:E92)</f>
        <v>7714</v>
      </c>
      <c r="N92" s="27">
        <f>STDEV(E91:E92)</f>
        <v>366.28131265463162</v>
      </c>
      <c r="O92" s="28"/>
      <c r="P92" s="29">
        <f>AVERAGE(H91:H92)</f>
        <v>36.151499999999999</v>
      </c>
      <c r="Q92" s="29">
        <f>STDEV(H91:H92)</f>
        <v>2.4748737341526751E-2</v>
      </c>
      <c r="R92" s="28"/>
      <c r="S92" s="29">
        <f>J92-(M92-Standards!$N$124)*Standards!$AA$55</f>
        <v>-0.72880301724137919</v>
      </c>
      <c r="T92" s="29">
        <f>S92-(A92-Standards!$A$124)*Standards!$AA$4</f>
        <v>-0.71293818965517231</v>
      </c>
      <c r="U92" s="29"/>
      <c r="V92" s="28"/>
      <c r="W92" s="29">
        <f>P92-(M92-Standards!$N$124)*Standards!$AL$54</f>
        <v>36.055263620689651</v>
      </c>
      <c r="X92" s="29">
        <f>W92-(A92-Standards!$A$124)*Standards!$AL$5</f>
        <v>36.057349137931027</v>
      </c>
      <c r="Y92" s="111"/>
      <c r="Z92" s="19">
        <f>(T92*Standards!$O$159)+Standards!$O$160</f>
        <v>-1.0424972886405692</v>
      </c>
      <c r="AA92" s="20">
        <f>(X92*Standards!$U$159)+Standards!$U$160</f>
        <v>25.576031107468399</v>
      </c>
    </row>
    <row r="93" spans="1:27" s="195" customFormat="1" ht="24.95" customHeight="1" x14ac:dyDescent="0.25">
      <c r="A93" s="188">
        <v>47</v>
      </c>
      <c r="B93" s="189" t="s">
        <v>0</v>
      </c>
      <c r="C93" s="189" t="s">
        <v>513</v>
      </c>
      <c r="D93" s="189">
        <v>6</v>
      </c>
      <c r="E93" s="189">
        <v>14203</v>
      </c>
      <c r="F93" s="189">
        <v>172.30099999999999</v>
      </c>
      <c r="G93" s="189">
        <v>4.6859999999999999</v>
      </c>
      <c r="H93" s="189">
        <v>37.036000000000001</v>
      </c>
      <c r="I93" s="189"/>
      <c r="J93" s="196"/>
      <c r="K93" s="196"/>
      <c r="L93" s="189"/>
      <c r="M93" s="188"/>
      <c r="N93" s="188"/>
      <c r="O93" s="190"/>
      <c r="P93" s="191"/>
      <c r="Q93" s="191"/>
      <c r="R93" s="190"/>
      <c r="S93" s="191"/>
      <c r="T93" s="191"/>
      <c r="U93" s="191"/>
      <c r="V93" s="190"/>
      <c r="W93" s="191"/>
      <c r="X93" s="191"/>
      <c r="Y93" s="197"/>
      <c r="Z93" s="198"/>
      <c r="AA93" s="199"/>
    </row>
    <row r="94" spans="1:27" s="195" customFormat="1" ht="24.95" customHeight="1" x14ac:dyDescent="0.25">
      <c r="A94" s="188">
        <v>47</v>
      </c>
      <c r="B94" s="189" t="s">
        <v>0</v>
      </c>
      <c r="C94" s="189" t="s">
        <v>513</v>
      </c>
      <c r="D94" s="189">
        <v>7</v>
      </c>
      <c r="E94" s="189">
        <v>13205</v>
      </c>
      <c r="F94" s="189">
        <v>160.077</v>
      </c>
      <c r="G94" s="189">
        <v>4.7640000000000002</v>
      </c>
      <c r="H94" s="189">
        <v>37.055</v>
      </c>
      <c r="I94" s="189"/>
      <c r="J94" s="196">
        <f>AVERAGE(G93:G94)</f>
        <v>4.7249999999999996</v>
      </c>
      <c r="K94" s="196">
        <f>STDEV(G93:G94)</f>
        <v>5.5154328932550914E-2</v>
      </c>
      <c r="L94" s="189"/>
      <c r="M94" s="188">
        <f>AVERAGE(E93:E94)</f>
        <v>13704</v>
      </c>
      <c r="N94" s="188">
        <f>STDEV(E93:E94)</f>
        <v>705.69256762417444</v>
      </c>
      <c r="O94" s="190"/>
      <c r="P94" s="191">
        <f>AVERAGE(H93:H94)</f>
        <v>37.045500000000004</v>
      </c>
      <c r="Q94" s="191">
        <f>STDEV(H93:H94)</f>
        <v>1.3435028842543236E-2</v>
      </c>
      <c r="R94" s="190"/>
      <c r="S94" s="191">
        <f>J94-(M94-Standards!$N$124)*Standards!$AA$55</f>
        <v>4.7303219827586203</v>
      </c>
      <c r="T94" s="191">
        <f>S94-(A94-Standards!$A$124)*Standards!$AA$4</f>
        <v>4.7457608103448274</v>
      </c>
      <c r="U94" s="191"/>
      <c r="V94" s="190"/>
      <c r="W94" s="191">
        <f>P94-(M94-Standards!$N$124)*Standards!$AL$54</f>
        <v>37.039113620689662</v>
      </c>
      <c r="X94" s="191">
        <f>W94-(A94-Standards!$A$124)*Standards!$AL$5</f>
        <v>37.041143137931044</v>
      </c>
      <c r="Y94" s="197"/>
      <c r="Z94" s="198">
        <f>(T94*Standards!$O$159)+Standards!$O$160</f>
        <v>4.4568831416678956</v>
      </c>
      <c r="AA94" s="199">
        <f>(X94*Standards!$U$159)+Standards!$U$160</f>
        <v>26.540259389747821</v>
      </c>
    </row>
    <row r="95" spans="1:27" s="208" customFormat="1" ht="24.95" customHeight="1" x14ac:dyDescent="0.25">
      <c r="A95" s="201">
        <v>48</v>
      </c>
      <c r="B95" s="202" t="s">
        <v>0</v>
      </c>
      <c r="C95" s="202" t="s">
        <v>380</v>
      </c>
      <c r="D95" s="202">
        <v>6</v>
      </c>
      <c r="E95" s="202">
        <v>14153</v>
      </c>
      <c r="F95" s="202">
        <v>179.643</v>
      </c>
      <c r="G95" s="202">
        <v>4.718</v>
      </c>
      <c r="H95" s="202">
        <v>36.865000000000002</v>
      </c>
      <c r="I95" s="202"/>
      <c r="J95" s="203"/>
      <c r="K95" s="203"/>
      <c r="L95" s="202"/>
      <c r="M95" s="201"/>
      <c r="N95" s="201"/>
      <c r="O95" s="204"/>
      <c r="P95" s="205"/>
      <c r="Q95" s="205"/>
      <c r="R95" s="204"/>
      <c r="S95" s="205"/>
      <c r="T95" s="205"/>
      <c r="U95" s="205"/>
      <c r="V95" s="204"/>
      <c r="W95" s="205"/>
      <c r="X95" s="205"/>
      <c r="Y95" s="205"/>
      <c r="Z95" s="206"/>
      <c r="AA95" s="207"/>
    </row>
    <row r="96" spans="1:27" s="208" customFormat="1" ht="24.95" customHeight="1" x14ac:dyDescent="0.25">
      <c r="A96" s="201">
        <v>48</v>
      </c>
      <c r="B96" s="202" t="s">
        <v>0</v>
      </c>
      <c r="C96" s="202" t="s">
        <v>380</v>
      </c>
      <c r="D96" s="202">
        <v>7</v>
      </c>
      <c r="E96" s="202">
        <v>13202</v>
      </c>
      <c r="F96" s="202">
        <v>167.017</v>
      </c>
      <c r="G96" s="202">
        <v>4.7709999999999999</v>
      </c>
      <c r="H96" s="202">
        <v>36.909999999999997</v>
      </c>
      <c r="I96" s="202"/>
      <c r="J96" s="196">
        <f>AVERAGE(G95:G96)</f>
        <v>4.7445000000000004</v>
      </c>
      <c r="K96" s="196">
        <f>STDEV(G95:G96)</f>
        <v>3.7476659402886976E-2</v>
      </c>
      <c r="L96" s="189"/>
      <c r="M96" s="188">
        <f>AVERAGE(E95:E96)</f>
        <v>13677.5</v>
      </c>
      <c r="N96" s="188">
        <f>STDEV(E95:E96)</f>
        <v>672.45854890840667</v>
      </c>
      <c r="O96" s="190"/>
      <c r="P96" s="191">
        <f>AVERAGE(H95:H96)</f>
        <v>36.887500000000003</v>
      </c>
      <c r="Q96" s="191">
        <f>STDEV(H95:H96)</f>
        <v>3.181980515339082E-2</v>
      </c>
      <c r="R96" s="190"/>
      <c r="S96" s="191">
        <f>J96-(M96-Standards!$N$124)*Standards!$AA$55</f>
        <v>4.7501532327586213</v>
      </c>
      <c r="T96" s="191">
        <f>S96-(A96-Standards!$A$124)*Standards!$AA$4</f>
        <v>4.7651660603448285</v>
      </c>
      <c r="U96" s="191"/>
      <c r="V96" s="190"/>
      <c r="W96" s="191">
        <f>P96-(M96-Standards!$N$124)*Standards!$AL$54</f>
        <v>36.880716120689655</v>
      </c>
      <c r="X96" s="191">
        <f>W96-(A96-Standards!$A$124)*Standards!$AL$5</f>
        <v>36.882689637931037</v>
      </c>
      <c r="Y96" s="197"/>
      <c r="Z96" s="198">
        <f>(T96*Standards!$O$159)+Standards!$O$160</f>
        <v>4.476433010985704</v>
      </c>
      <c r="AA96" s="199">
        <f>(X96*Standards!$U$159)+Standards!$U$160</f>
        <v>26.384957216603677</v>
      </c>
    </row>
    <row r="97" spans="1:27" ht="24.95" customHeight="1" x14ac:dyDescent="0.25">
      <c r="A97" s="27">
        <v>49</v>
      </c>
      <c r="B97" s="26" t="s">
        <v>1000</v>
      </c>
      <c r="C97" s="26" t="s">
        <v>221</v>
      </c>
      <c r="D97" s="26">
        <v>6</v>
      </c>
      <c r="E97" s="26">
        <v>12993</v>
      </c>
      <c r="F97" s="26">
        <v>159.851</v>
      </c>
      <c r="G97" s="26">
        <v>-0.82499999999999996</v>
      </c>
      <c r="H97" s="26">
        <v>36.052999999999997</v>
      </c>
      <c r="I97" s="26"/>
      <c r="J97" s="31"/>
      <c r="K97" s="31"/>
      <c r="L97" s="26"/>
      <c r="M97" s="27"/>
      <c r="N97" s="27"/>
      <c r="O97" s="28"/>
      <c r="P97" s="29"/>
      <c r="Q97" s="29"/>
      <c r="R97" s="28"/>
      <c r="S97" s="29"/>
      <c r="T97" s="29"/>
      <c r="U97" s="29"/>
      <c r="V97" s="28"/>
      <c r="W97" s="29"/>
      <c r="X97" s="29"/>
      <c r="Y97" s="111"/>
      <c r="Z97" s="19"/>
      <c r="AA97" s="20"/>
    </row>
    <row r="98" spans="1:27" ht="24.95" customHeight="1" x14ac:dyDescent="0.25">
      <c r="A98" s="27">
        <v>49</v>
      </c>
      <c r="B98" s="26" t="s">
        <v>1000</v>
      </c>
      <c r="C98" s="26" t="s">
        <v>221</v>
      </c>
      <c r="D98" s="26">
        <v>7</v>
      </c>
      <c r="E98" s="26">
        <v>12031</v>
      </c>
      <c r="F98" s="26">
        <v>148.47300000000001</v>
      </c>
      <c r="G98" s="26">
        <v>-0.753</v>
      </c>
      <c r="H98" s="26">
        <v>36.106999999999999</v>
      </c>
      <c r="I98" s="26"/>
      <c r="J98" s="31">
        <f>AVERAGE(G97:G98)</f>
        <v>-0.78899999999999992</v>
      </c>
      <c r="K98" s="31">
        <f>STDEV(G97:G98)</f>
        <v>5.0911688245431387E-2</v>
      </c>
      <c r="L98" s="26"/>
      <c r="M98" s="27">
        <f>AVERAGE(E97:E98)</f>
        <v>12512</v>
      </c>
      <c r="N98" s="27">
        <f>STDEV(E97:E98)</f>
        <v>680.23672350145875</v>
      </c>
      <c r="O98" s="28"/>
      <c r="P98" s="29">
        <f>AVERAGE(H97:H98)</f>
        <v>36.08</v>
      </c>
      <c r="Q98" s="29">
        <f>STDEV(H97:H98)</f>
        <v>3.8183766184075013E-2</v>
      </c>
      <c r="R98" s="28"/>
      <c r="S98" s="29">
        <f>J98-(M98-Standards!$N$124)*Standards!$AA$55</f>
        <v>-0.76877801724137917</v>
      </c>
      <c r="T98" s="29">
        <f>S98-(A98-Standards!$A$124)*Standards!$AA$4</f>
        <v>-0.75419118965517229</v>
      </c>
      <c r="U98" s="29"/>
      <c r="V98" s="28"/>
      <c r="W98" s="29">
        <f>P98-(M98-Standards!$N$124)*Standards!$AL$54</f>
        <v>36.055733620689651</v>
      </c>
      <c r="X98" s="29">
        <f>W98-(A98-Standards!$A$124)*Standards!$AL$5</f>
        <v>36.057651137931032</v>
      </c>
      <c r="Y98" s="111"/>
      <c r="Z98" s="19">
        <f>(T98*Standards!$O$159)+Standards!$O$160</f>
        <v>-1.0840577302204246</v>
      </c>
      <c r="AA98" s="20">
        <f>(X98*Standards!$U$159)+Standards!$U$160</f>
        <v>25.576327101285447</v>
      </c>
    </row>
    <row r="99" spans="1:27" ht="24.95" customHeight="1" x14ac:dyDescent="0.25">
      <c r="A99" s="27">
        <v>50</v>
      </c>
      <c r="B99" s="26" t="s">
        <v>1006</v>
      </c>
      <c r="C99" s="26" t="s">
        <v>294</v>
      </c>
      <c r="D99" s="26">
        <v>6</v>
      </c>
      <c r="E99" s="26">
        <v>15140</v>
      </c>
      <c r="F99" s="26">
        <v>191.34200000000001</v>
      </c>
      <c r="G99" s="26">
        <v>-0.77600000000000002</v>
      </c>
      <c r="H99" s="26">
        <v>36.308999999999997</v>
      </c>
      <c r="I99" s="26"/>
      <c r="J99" s="31"/>
      <c r="K99" s="31"/>
      <c r="L99" s="26"/>
      <c r="M99" s="27"/>
      <c r="N99" s="27"/>
      <c r="O99" s="28"/>
      <c r="P99" s="29"/>
      <c r="Q99" s="29"/>
      <c r="R99" s="28"/>
      <c r="S99" s="29"/>
      <c r="T99" s="29"/>
      <c r="U99" s="29"/>
      <c r="V99" s="28"/>
      <c r="W99" s="29"/>
      <c r="X99" s="29"/>
      <c r="Y99" s="29"/>
      <c r="Z99" s="39"/>
      <c r="AA99" s="40"/>
    </row>
    <row r="100" spans="1:27" ht="24.95" customHeight="1" x14ac:dyDescent="0.25">
      <c r="A100" s="27">
        <v>50</v>
      </c>
      <c r="B100" s="26" t="s">
        <v>1006</v>
      </c>
      <c r="C100" s="26" t="s">
        <v>294</v>
      </c>
      <c r="D100" s="26">
        <v>7</v>
      </c>
      <c r="E100" s="26">
        <v>14165</v>
      </c>
      <c r="F100" s="26">
        <v>177.92</v>
      </c>
      <c r="G100" s="26">
        <v>-0.72299999999999998</v>
      </c>
      <c r="H100" s="26">
        <v>36.369999999999997</v>
      </c>
      <c r="I100" s="26"/>
      <c r="J100" s="31">
        <f>AVERAGE(G99:G100)</f>
        <v>-0.74950000000000006</v>
      </c>
      <c r="K100" s="31">
        <f>STDEV(G99:G100)</f>
        <v>3.7476659402887053E-2</v>
      </c>
      <c r="L100" s="26"/>
      <c r="M100" s="27">
        <f>AVERAGE(E99:E100)</f>
        <v>14652.5</v>
      </c>
      <c r="N100" s="27">
        <f>STDEV(E99:E100)</f>
        <v>689.42911165688383</v>
      </c>
      <c r="O100" s="28"/>
      <c r="P100" s="29">
        <f>AVERAGE(H99:H100)</f>
        <v>36.339500000000001</v>
      </c>
      <c r="Q100" s="29">
        <f>STDEV(H99:H100)</f>
        <v>4.3133513652379357E-2</v>
      </c>
      <c r="R100" s="28"/>
      <c r="S100" s="29">
        <f>J100-(M100-Standards!$N$124)*Standards!$AA$55</f>
        <v>-0.75603426724137934</v>
      </c>
      <c r="T100" s="29">
        <f>S100-(A100-Standards!$A$124)*Standards!$AA$4</f>
        <v>-0.7418734396551725</v>
      </c>
      <c r="U100" s="29"/>
      <c r="V100" s="28"/>
      <c r="W100" s="29">
        <f>P100-(M100-Standards!$N$124)*Standards!$AL$54</f>
        <v>36.347341120689656</v>
      </c>
      <c r="X100" s="29">
        <f>W100-(A100-Standards!$A$124)*Standards!$AL$5</f>
        <v>36.349202637931036</v>
      </c>
      <c r="Y100" s="111"/>
      <c r="Z100" s="19">
        <f>(T100*Standards!$O$159)+Standards!$O$160</f>
        <v>-1.0716481811144141</v>
      </c>
      <c r="AA100" s="20">
        <f>(X100*Standards!$U$159)+Standards!$U$160</f>
        <v>25.862080218341443</v>
      </c>
    </row>
    <row r="101" spans="1:27" ht="24.95" customHeight="1" x14ac:dyDescent="0.25">
      <c r="A101" s="27">
        <v>51</v>
      </c>
      <c r="B101" s="26" t="s">
        <v>1011</v>
      </c>
      <c r="C101" s="26" t="s">
        <v>267</v>
      </c>
      <c r="D101" s="26">
        <v>6</v>
      </c>
      <c r="E101" s="26">
        <v>16455</v>
      </c>
      <c r="F101" s="26">
        <v>205.22399999999999</v>
      </c>
      <c r="G101" s="26">
        <v>-0.91300000000000003</v>
      </c>
      <c r="H101" s="26">
        <v>36.319000000000003</v>
      </c>
      <c r="I101" s="26"/>
      <c r="J101" s="31"/>
      <c r="K101" s="31"/>
      <c r="L101" s="26"/>
      <c r="M101" s="27"/>
      <c r="N101" s="27"/>
      <c r="O101" s="28"/>
      <c r="P101" s="29"/>
      <c r="Q101" s="29"/>
      <c r="R101" s="28"/>
      <c r="S101" s="29"/>
      <c r="T101" s="29"/>
      <c r="U101" s="29"/>
      <c r="V101" s="28"/>
      <c r="W101" s="29"/>
      <c r="X101" s="29"/>
      <c r="Y101" s="111"/>
      <c r="Z101" s="19"/>
      <c r="AA101" s="20"/>
    </row>
    <row r="102" spans="1:27" ht="24.95" customHeight="1" x14ac:dyDescent="0.25">
      <c r="A102" s="27">
        <v>51</v>
      </c>
      <c r="B102" s="26" t="s">
        <v>1011</v>
      </c>
      <c r="C102" s="26" t="s">
        <v>267</v>
      </c>
      <c r="D102" s="26">
        <v>7</v>
      </c>
      <c r="E102" s="26">
        <v>15244</v>
      </c>
      <c r="F102" s="26">
        <v>192.48599999999999</v>
      </c>
      <c r="G102" s="26">
        <v>-0.92200000000000004</v>
      </c>
      <c r="H102" s="26">
        <v>36.365000000000002</v>
      </c>
      <c r="I102" s="26"/>
      <c r="J102" s="31">
        <f>AVERAGE(G101:G102)</f>
        <v>-0.91749999999999998</v>
      </c>
      <c r="K102" s="31">
        <f>STDEV(G101:G102)</f>
        <v>6.3639610306789338E-3</v>
      </c>
      <c r="L102" s="26"/>
      <c r="M102" s="27">
        <f>AVERAGE(E101:E102)</f>
        <v>15849.5</v>
      </c>
      <c r="N102" s="27">
        <f>STDEV(E101:E102)</f>
        <v>856.30631201690903</v>
      </c>
      <c r="O102" s="28"/>
      <c r="P102" s="29">
        <f>AVERAGE(H101:H102)</f>
        <v>36.341999999999999</v>
      </c>
      <c r="Q102" s="29">
        <f>STDEV(H101:H102)</f>
        <v>3.2526911934580745E-2</v>
      </c>
      <c r="R102" s="28"/>
      <c r="S102" s="29">
        <f>J102-(M102-Standards!$N$124)*Standards!$AA$55</f>
        <v>-0.93899676724137926</v>
      </c>
      <c r="T102" s="29">
        <f>S102-(A102-Standards!$A$124)*Standards!$AA$4</f>
        <v>-0.92526193965517234</v>
      </c>
      <c r="U102" s="29"/>
      <c r="V102" s="28"/>
      <c r="W102" s="29">
        <f>P102-(M102-Standards!$N$124)*Standards!$AL$54</f>
        <v>36.367796120689654</v>
      </c>
      <c r="X102" s="29">
        <f>W102-(A102-Standards!$A$124)*Standards!$AL$5</f>
        <v>36.369601637931034</v>
      </c>
      <c r="Y102" s="111"/>
      <c r="Z102" s="19">
        <f>(T102*Standards!$O$159)+Standards!$O$160</f>
        <v>-1.2564033999025581</v>
      </c>
      <c r="AA102" s="20">
        <f>(X102*Standards!$U$159)+Standards!$U$160</f>
        <v>25.882073522559825</v>
      </c>
    </row>
    <row r="103" spans="1:27" ht="24.95" customHeight="1" x14ac:dyDescent="0.25">
      <c r="A103" s="27">
        <v>52</v>
      </c>
      <c r="B103" s="26" t="s">
        <v>1015</v>
      </c>
      <c r="C103" s="26" t="s">
        <v>286</v>
      </c>
      <c r="D103" s="26">
        <v>6</v>
      </c>
      <c r="E103" s="26">
        <v>14181</v>
      </c>
      <c r="F103" s="26">
        <v>176.53700000000001</v>
      </c>
      <c r="G103" s="26">
        <v>-1.611</v>
      </c>
      <c r="H103" s="26">
        <v>36.314</v>
      </c>
      <c r="I103" s="26"/>
      <c r="J103" s="31"/>
      <c r="K103" s="31"/>
      <c r="L103" s="26"/>
      <c r="M103" s="27"/>
      <c r="N103" s="27"/>
      <c r="O103" s="28"/>
      <c r="P103" s="29"/>
      <c r="Q103" s="29"/>
      <c r="R103" s="28"/>
      <c r="S103" s="29"/>
      <c r="T103" s="29"/>
      <c r="U103" s="29"/>
      <c r="V103" s="28"/>
      <c r="W103" s="29"/>
      <c r="X103" s="29"/>
      <c r="Y103" s="111"/>
      <c r="Z103" s="19"/>
      <c r="AA103" s="20"/>
    </row>
    <row r="104" spans="1:27" ht="24.95" customHeight="1" x14ac:dyDescent="0.25">
      <c r="A104" s="27">
        <v>52</v>
      </c>
      <c r="B104" s="26" t="s">
        <v>1015</v>
      </c>
      <c r="C104" s="26" t="s">
        <v>286</v>
      </c>
      <c r="D104" s="26">
        <v>7</v>
      </c>
      <c r="E104" s="26">
        <v>13394</v>
      </c>
      <c r="F104" s="26">
        <v>166.98599999999999</v>
      </c>
      <c r="G104" s="26">
        <v>-1.665</v>
      </c>
      <c r="H104" s="26">
        <v>36.357999999999997</v>
      </c>
      <c r="I104" s="26"/>
      <c r="J104" s="31">
        <f>AVERAGE(G103:G104)</f>
        <v>-1.6379999999999999</v>
      </c>
      <c r="K104" s="31">
        <f>STDEV(G103:G104)</f>
        <v>3.8183766184073605E-2</v>
      </c>
      <c r="L104" s="26"/>
      <c r="M104" s="27">
        <f>AVERAGE(E103:E104)</f>
        <v>13787.5</v>
      </c>
      <c r="N104" s="27">
        <f>STDEV(E103:E104)</f>
        <v>556.49303679381285</v>
      </c>
      <c r="O104" s="28"/>
      <c r="P104" s="29">
        <f>AVERAGE(H103:H104)</f>
        <v>36.335999999999999</v>
      </c>
      <c r="Q104" s="29">
        <f>STDEV(H103:H104)</f>
        <v>3.111269837220592E-2</v>
      </c>
      <c r="R104" s="28"/>
      <c r="S104" s="29">
        <f>J104-(M104-Standards!$N$124)*Standards!$AA$55</f>
        <v>-1.6337217672413793</v>
      </c>
      <c r="T104" s="29">
        <f>S104-(A104-Standards!$A$124)*Standards!$AA$4</f>
        <v>-1.6204129396551723</v>
      </c>
      <c r="U104" s="29"/>
      <c r="V104" s="28"/>
      <c r="W104" s="29">
        <f>P104-(M104-Standards!$N$124)*Standards!$AL$54</f>
        <v>36.330866120689656</v>
      </c>
      <c r="X104" s="29">
        <f>W104-(A104-Standards!$A$124)*Standards!$AL$5</f>
        <v>36.332615637931035</v>
      </c>
      <c r="Y104" s="111"/>
      <c r="Z104" s="19">
        <f>(T104*Standards!$O$159)+Standards!$O$160</f>
        <v>-1.956735073348806</v>
      </c>
      <c r="AA104" s="20">
        <f>(X104*Standards!$U$159)+Standards!$U$160</f>
        <v>25.845823100979306</v>
      </c>
    </row>
    <row r="105" spans="1:27" s="155" customFormat="1" ht="24.95" customHeight="1" x14ac:dyDescent="0.25">
      <c r="A105" s="63">
        <v>53</v>
      </c>
      <c r="B105" s="47" t="s">
        <v>1019</v>
      </c>
      <c r="C105" s="47" t="s">
        <v>688</v>
      </c>
      <c r="D105" s="47">
        <v>6</v>
      </c>
      <c r="E105" s="47">
        <v>18380</v>
      </c>
      <c r="F105" s="47">
        <v>232.15100000000001</v>
      </c>
      <c r="G105" s="47">
        <v>-1.226</v>
      </c>
      <c r="H105" s="47">
        <v>36.015999999999998</v>
      </c>
      <c r="I105" s="47"/>
      <c r="J105" s="72"/>
      <c r="K105" s="72"/>
      <c r="L105" s="47"/>
      <c r="M105" s="63"/>
      <c r="N105" s="63"/>
      <c r="O105" s="73"/>
      <c r="P105" s="151"/>
      <c r="Q105" s="151"/>
      <c r="R105" s="73"/>
      <c r="S105" s="151"/>
      <c r="T105" s="151"/>
      <c r="U105" s="151"/>
      <c r="V105" s="73"/>
      <c r="W105" s="151"/>
      <c r="X105" s="151"/>
      <c r="Y105" s="152"/>
      <c r="Z105" s="153"/>
      <c r="AA105" s="154"/>
    </row>
    <row r="106" spans="1:27" ht="24.95" customHeight="1" x14ac:dyDescent="0.25">
      <c r="A106" s="27">
        <v>53</v>
      </c>
      <c r="B106" s="26" t="s">
        <v>1019</v>
      </c>
      <c r="C106" s="26" t="s">
        <v>688</v>
      </c>
      <c r="D106" s="26">
        <v>7</v>
      </c>
      <c r="E106" s="26">
        <v>17109</v>
      </c>
      <c r="F106" s="26">
        <v>218.13200000000001</v>
      </c>
      <c r="G106" s="26">
        <v>-1.2629999999999999</v>
      </c>
      <c r="H106" s="26">
        <v>36.075000000000003</v>
      </c>
      <c r="I106" s="26"/>
      <c r="J106" s="31">
        <f>AVERAGE(G105:G106)</f>
        <v>-1.2444999999999999</v>
      </c>
      <c r="K106" s="31">
        <f>STDEV(G105:G106)</f>
        <v>2.6162950903902204E-2</v>
      </c>
      <c r="L106" s="26"/>
      <c r="M106" s="27">
        <f>AVERAGE(E105:E106)</f>
        <v>17744.5</v>
      </c>
      <c r="N106" s="27">
        <f>STDEV(E105:E106)</f>
        <v>898.73271888810189</v>
      </c>
      <c r="O106" s="28"/>
      <c r="P106" s="29">
        <f>AVERAGE(H105:H106)</f>
        <v>36.045500000000004</v>
      </c>
      <c r="Q106" s="29">
        <f>STDEV(H105:H106)</f>
        <v>4.1719300090009563E-2</v>
      </c>
      <c r="R106" s="28"/>
      <c r="S106" s="29">
        <f>J106-(M106-Standards!$N$124)*Standards!$AA$55</f>
        <v>-1.2896842672413793</v>
      </c>
      <c r="T106" s="29">
        <f>S106-(A106-Standards!$A$124)*Standards!$AA$4</f>
        <v>-1.2768014396551723</v>
      </c>
      <c r="U106" s="29"/>
      <c r="V106" s="28"/>
      <c r="W106" s="29">
        <f>P106-(M106-Standards!$N$124)*Standards!$AL$54</f>
        <v>36.099721120689658</v>
      </c>
      <c r="X106" s="29">
        <f>W106-(A106-Standards!$A$124)*Standards!$AL$5</f>
        <v>36.101414637931036</v>
      </c>
      <c r="Y106" s="111"/>
      <c r="Z106" s="19">
        <f>(T106*Standards!$O$159)+Standards!$O$160</f>
        <v>-1.6105627786813519</v>
      </c>
      <c r="AA106" s="20">
        <f>(X106*Standards!$U$159)+Standards!$U$160</f>
        <v>25.619220231789942</v>
      </c>
    </row>
    <row r="107" spans="1:27" s="66" customFormat="1" ht="24.95" customHeight="1" x14ac:dyDescent="0.25">
      <c r="A107" s="123">
        <v>54</v>
      </c>
      <c r="B107" s="124" t="s">
        <v>1025</v>
      </c>
      <c r="C107" s="124" t="s">
        <v>251</v>
      </c>
      <c r="D107" s="124">
        <v>6</v>
      </c>
      <c r="E107" s="124">
        <v>15081</v>
      </c>
      <c r="F107" s="124">
        <v>184.21100000000001</v>
      </c>
      <c r="G107" s="124">
        <v>-1.407</v>
      </c>
      <c r="H107" s="124">
        <v>35.896999999999998</v>
      </c>
      <c r="I107" s="124"/>
      <c r="J107" s="148"/>
      <c r="K107" s="148"/>
      <c r="L107" s="124"/>
      <c r="M107" s="123"/>
      <c r="N107" s="123"/>
      <c r="O107" s="149"/>
      <c r="P107" s="125"/>
      <c r="Q107" s="125"/>
      <c r="R107" s="149"/>
      <c r="S107" s="125"/>
      <c r="T107" s="125"/>
      <c r="U107" s="125"/>
      <c r="V107" s="149"/>
      <c r="W107" s="125"/>
      <c r="X107" s="125"/>
      <c r="Y107" s="150"/>
      <c r="Z107" s="19"/>
      <c r="AA107" s="20"/>
    </row>
    <row r="108" spans="1:27" s="66" customFormat="1" ht="24.95" customHeight="1" x14ac:dyDescent="0.25">
      <c r="A108" s="123">
        <v>54</v>
      </c>
      <c r="B108" s="124" t="s">
        <v>1025</v>
      </c>
      <c r="C108" s="124" t="s">
        <v>251</v>
      </c>
      <c r="D108" s="124">
        <v>7</v>
      </c>
      <c r="E108" s="124">
        <v>14168</v>
      </c>
      <c r="F108" s="124">
        <v>172.40299999999999</v>
      </c>
      <c r="G108" s="124">
        <v>-1.393</v>
      </c>
      <c r="H108" s="124">
        <v>35.881</v>
      </c>
      <c r="I108" s="124"/>
      <c r="J108" s="31">
        <f>AVERAGE(G107:G108)</f>
        <v>-1.4</v>
      </c>
      <c r="K108" s="31">
        <f>STDEV(G107:G108)</f>
        <v>9.8994949366116736E-3</v>
      </c>
      <c r="L108" s="26"/>
      <c r="M108" s="27">
        <f>AVERAGE(E107:E108)</f>
        <v>14624.5</v>
      </c>
      <c r="N108" s="27">
        <f>STDEV(E107:E108)</f>
        <v>645.58849122331787</v>
      </c>
      <c r="O108" s="28"/>
      <c r="P108" s="29">
        <f>AVERAGE(H107:H108)</f>
        <v>35.888999999999996</v>
      </c>
      <c r="Q108" s="29">
        <f>STDEV(H107:H108)</f>
        <v>1.1313708498983515E-2</v>
      </c>
      <c r="R108" s="28"/>
      <c r="S108" s="29">
        <f>J108-(M108-Standards!$N$124)*Standards!$AA$55</f>
        <v>-1.4061842672413791</v>
      </c>
      <c r="T108" s="29">
        <f>S108-(A108-Standards!$A$124)*Standards!$AA$4</f>
        <v>-1.3937274396551722</v>
      </c>
      <c r="U108" s="29"/>
      <c r="V108" s="28"/>
      <c r="W108" s="29">
        <f>P108-(M108-Standards!$N$124)*Standards!$AL$54</f>
        <v>35.896421120689652</v>
      </c>
      <c r="X108" s="29">
        <f>W108-(A108-Standards!$A$124)*Standards!$AL$5</f>
        <v>35.89805863793103</v>
      </c>
      <c r="Y108" s="111"/>
      <c r="Z108" s="19">
        <f>(T108*Standards!$O$159)+Standards!$O$160</f>
        <v>-1.7283601798925647</v>
      </c>
      <c r="AA108" s="20">
        <f>(X108*Standards!$U$159)+Standards!$U$160</f>
        <v>25.419908580599536</v>
      </c>
    </row>
    <row r="109" spans="1:27" ht="24.95" customHeight="1" x14ac:dyDescent="0.25">
      <c r="A109" s="27">
        <v>55</v>
      </c>
      <c r="B109" s="26" t="s">
        <v>1030</v>
      </c>
      <c r="C109" s="26" t="s">
        <v>294</v>
      </c>
      <c r="D109" s="26">
        <v>6</v>
      </c>
      <c r="E109" s="26">
        <v>14590</v>
      </c>
      <c r="F109" s="26">
        <v>185.75800000000001</v>
      </c>
      <c r="G109" s="26">
        <v>-0.85699999999999998</v>
      </c>
      <c r="H109" s="26">
        <v>35.945999999999998</v>
      </c>
      <c r="I109" s="26"/>
      <c r="J109" s="31"/>
      <c r="K109" s="31"/>
      <c r="L109" s="26"/>
      <c r="M109" s="27"/>
      <c r="N109" s="27"/>
      <c r="O109" s="28"/>
      <c r="P109" s="29"/>
      <c r="Q109" s="29"/>
      <c r="R109" s="28"/>
      <c r="S109" s="29"/>
      <c r="T109" s="29"/>
      <c r="U109" s="29"/>
      <c r="V109" s="28"/>
      <c r="W109" s="29"/>
      <c r="X109" s="29"/>
      <c r="Y109" s="111"/>
      <c r="Z109" s="19"/>
      <c r="AA109" s="20"/>
    </row>
    <row r="110" spans="1:27" ht="24.95" customHeight="1" x14ac:dyDescent="0.25">
      <c r="A110" s="27">
        <v>55</v>
      </c>
      <c r="B110" s="26" t="s">
        <v>1030</v>
      </c>
      <c r="C110" s="26" t="s">
        <v>294</v>
      </c>
      <c r="D110" s="26">
        <v>7</v>
      </c>
      <c r="E110" s="26">
        <v>13610</v>
      </c>
      <c r="F110" s="26">
        <v>172.738</v>
      </c>
      <c r="G110" s="26">
        <v>-0.78900000000000003</v>
      </c>
      <c r="H110" s="26">
        <v>36.005000000000003</v>
      </c>
      <c r="I110" s="26"/>
      <c r="J110" s="31">
        <f>AVERAGE(G109:G110)</f>
        <v>-0.82299999999999995</v>
      </c>
      <c r="K110" s="31">
        <f>STDEV(G109:G110)</f>
        <v>4.8083261120685193E-2</v>
      </c>
      <c r="L110" s="26"/>
      <c r="M110" s="27">
        <f>AVERAGE(E109:E110)</f>
        <v>14100</v>
      </c>
      <c r="N110" s="27">
        <f>STDEV(E109:E110)</f>
        <v>692.9646455628166</v>
      </c>
      <c r="O110" s="28"/>
      <c r="P110" s="29">
        <f>AVERAGE(H109:H110)</f>
        <v>35.975499999999997</v>
      </c>
      <c r="Q110" s="29">
        <f>STDEV(H109:H110)</f>
        <v>4.1719300090009563E-2</v>
      </c>
      <c r="R110" s="28"/>
      <c r="S110" s="29">
        <f>J110-(M110-Standards!$N$124)*Standards!$AA$55</f>
        <v>-0.82262801724137924</v>
      </c>
      <c r="T110" s="29">
        <f>S110-(A110-Standards!$A$124)*Standards!$AA$4</f>
        <v>-0.81059718965517236</v>
      </c>
      <c r="U110" s="29"/>
      <c r="V110" s="28"/>
      <c r="W110" s="29">
        <f>P110-(M110-Standards!$N$124)*Standards!$AL$54</f>
        <v>35.97505362068965</v>
      </c>
      <c r="X110" s="29">
        <f>W110-(A110-Standards!$A$124)*Standards!$AL$5</f>
        <v>35.976635137931027</v>
      </c>
      <c r="Y110" s="111"/>
      <c r="Z110" s="19">
        <f>(T110*Standards!$O$159)+Standards!$O$160</f>
        <v>-1.1408841008541561</v>
      </c>
      <c r="AA110" s="20">
        <f>(X110*Standards!$U$159)+Standards!$U$160</f>
        <v>25.496922349358567</v>
      </c>
    </row>
    <row r="111" spans="1:27" ht="24.95" customHeight="1" x14ac:dyDescent="0.25">
      <c r="A111" s="27">
        <v>56</v>
      </c>
      <c r="B111" s="26" t="s">
        <v>1034</v>
      </c>
      <c r="C111" s="26" t="s">
        <v>260</v>
      </c>
      <c r="D111" s="26">
        <v>6</v>
      </c>
      <c r="E111" s="26">
        <v>13554</v>
      </c>
      <c r="F111" s="26">
        <v>164.46600000000001</v>
      </c>
      <c r="G111" s="26">
        <v>-1.633</v>
      </c>
      <c r="H111" s="26">
        <v>36.091000000000001</v>
      </c>
      <c r="I111" s="26"/>
      <c r="J111" s="31"/>
      <c r="K111" s="31"/>
      <c r="L111" s="26"/>
      <c r="M111" s="27"/>
      <c r="N111" s="27"/>
      <c r="O111" s="28"/>
      <c r="P111" s="29"/>
      <c r="Q111" s="29"/>
      <c r="R111" s="28"/>
      <c r="S111" s="29"/>
      <c r="T111" s="29"/>
      <c r="U111" s="29"/>
      <c r="V111" s="28"/>
      <c r="W111" s="29"/>
      <c r="X111" s="29"/>
      <c r="Y111" s="111"/>
      <c r="Z111" s="19"/>
      <c r="AA111" s="20"/>
    </row>
    <row r="112" spans="1:27" ht="24.95" customHeight="1" x14ac:dyDescent="0.25">
      <c r="A112" s="27">
        <v>56</v>
      </c>
      <c r="B112" s="26" t="s">
        <v>1034</v>
      </c>
      <c r="C112" s="26" t="s">
        <v>260</v>
      </c>
      <c r="D112" s="26">
        <v>7</v>
      </c>
      <c r="E112" s="26">
        <v>12696</v>
      </c>
      <c r="F112" s="26">
        <v>153.80000000000001</v>
      </c>
      <c r="G112" s="26">
        <v>-1.583</v>
      </c>
      <c r="H112" s="26">
        <v>36.124000000000002</v>
      </c>
      <c r="I112" s="26"/>
      <c r="J112" s="31">
        <f>AVERAGE(G111:G112)</f>
        <v>-1.6080000000000001</v>
      </c>
      <c r="K112" s="31">
        <f>STDEV(G111:G112)</f>
        <v>3.5355339059327411E-2</v>
      </c>
      <c r="L112" s="26"/>
      <c r="M112" s="27">
        <f>AVERAGE(E111:E112)</f>
        <v>13125</v>
      </c>
      <c r="N112" s="27">
        <f>STDEV(E111:E112)</f>
        <v>606.69761825805779</v>
      </c>
      <c r="O112" s="28"/>
      <c r="P112" s="29">
        <f>AVERAGE(H111:H112)</f>
        <v>36.107500000000002</v>
      </c>
      <c r="Q112" s="29">
        <f>STDEV(H111:H112)</f>
        <v>2.3334523779156954E-2</v>
      </c>
      <c r="R112" s="28"/>
      <c r="S112" s="29">
        <f>J112-(M112-Standards!$N$124)*Standards!$AA$55</f>
        <v>-1.5954405172413795</v>
      </c>
      <c r="T112" s="29">
        <f>S112-(A112-Standards!$A$124)*Standards!$AA$4</f>
        <v>-1.5838356896551726</v>
      </c>
      <c r="U112" s="29"/>
      <c r="V112" s="28"/>
      <c r="W112" s="29">
        <f>P112-(M112-Standards!$N$124)*Standards!$AL$54</f>
        <v>36.09242862068966</v>
      </c>
      <c r="X112" s="29">
        <f>W112-(A112-Standards!$A$124)*Standards!$AL$5</f>
        <v>36.093954137931036</v>
      </c>
      <c r="Y112" s="111"/>
      <c r="Z112" s="19">
        <f>(T112*Standards!$O$159)+Standards!$O$160</f>
        <v>-1.9198852282035619</v>
      </c>
      <c r="AA112" s="20">
        <f>(X112*Standards!$U$159)+Standards!$U$160</f>
        <v>25.611908106385695</v>
      </c>
    </row>
    <row r="113" spans="1:27" ht="24.95" customHeight="1" x14ac:dyDescent="0.25">
      <c r="A113" s="27">
        <v>57</v>
      </c>
      <c r="B113" s="26" t="s">
        <v>1038</v>
      </c>
      <c r="C113" s="26" t="s">
        <v>505</v>
      </c>
      <c r="D113" s="26">
        <v>6</v>
      </c>
      <c r="E113" s="26">
        <v>12828</v>
      </c>
      <c r="F113" s="26">
        <v>163.62899999999999</v>
      </c>
      <c r="G113" s="26">
        <v>-1.331</v>
      </c>
      <c r="H113" s="26">
        <v>36.304000000000002</v>
      </c>
      <c r="I113" s="26"/>
      <c r="J113" s="31"/>
      <c r="K113" s="31"/>
      <c r="L113" s="26"/>
      <c r="M113" s="27"/>
      <c r="N113" s="27"/>
      <c r="O113" s="28"/>
      <c r="P113" s="29"/>
      <c r="Q113" s="29"/>
      <c r="R113" s="28"/>
      <c r="S113" s="29"/>
      <c r="T113" s="29"/>
      <c r="U113" s="29"/>
      <c r="V113" s="28"/>
      <c r="W113" s="29"/>
      <c r="X113" s="29"/>
      <c r="Y113" s="111"/>
      <c r="Z113" s="19"/>
      <c r="AA113" s="20"/>
    </row>
    <row r="114" spans="1:27" ht="24.95" customHeight="1" x14ac:dyDescent="0.25">
      <c r="A114" s="27">
        <v>57</v>
      </c>
      <c r="B114" s="26" t="s">
        <v>1038</v>
      </c>
      <c r="C114" s="26" t="s">
        <v>505</v>
      </c>
      <c r="D114" s="26">
        <v>7</v>
      </c>
      <c r="E114" s="26">
        <v>11967</v>
      </c>
      <c r="F114" s="26">
        <v>151.98400000000001</v>
      </c>
      <c r="G114" s="26">
        <v>-1.28</v>
      </c>
      <c r="H114" s="26">
        <v>36.305999999999997</v>
      </c>
      <c r="I114" s="26"/>
      <c r="J114" s="31">
        <f>AVERAGE(G113:G114)</f>
        <v>-1.3054999999999999</v>
      </c>
      <c r="K114" s="31">
        <f>STDEV(G113:G114)</f>
        <v>3.6062445840513872E-2</v>
      </c>
      <c r="L114" s="26"/>
      <c r="M114" s="27">
        <f>AVERAGE(E113:E114)</f>
        <v>12397.5</v>
      </c>
      <c r="N114" s="27">
        <f>STDEV(E113:E114)</f>
        <v>608.81893860161745</v>
      </c>
      <c r="O114" s="28"/>
      <c r="P114" s="29">
        <f>AVERAGE(H113:H114)</f>
        <v>36.305</v>
      </c>
      <c r="Q114" s="29">
        <f>STDEV(H113:H114)</f>
        <v>1.4142135623697993E-3</v>
      </c>
      <c r="R114" s="28"/>
      <c r="S114" s="29">
        <f>J114-(M114-Standards!$N$124)*Standards!$AA$55</f>
        <v>-1.2838467672413791</v>
      </c>
      <c r="T114" s="29">
        <f>S114-(A114-Standards!$A$124)*Standards!$AA$4</f>
        <v>-1.2726679396551723</v>
      </c>
      <c r="U114" s="29"/>
      <c r="V114" s="28"/>
      <c r="W114" s="29">
        <f>P114-(M114-Standards!$N$124)*Standards!$AL$54</f>
        <v>36.279016120689654</v>
      </c>
      <c r="X114" s="29">
        <f>W114-(A114-Standards!$A$124)*Standards!$AL$5</f>
        <v>36.280485637931037</v>
      </c>
      <c r="Y114" s="111"/>
      <c r="Z114" s="19">
        <f>(T114*Standards!$O$159)+Standards!$O$160</f>
        <v>-1.6063984734121513</v>
      </c>
      <c r="AA114" s="20">
        <f>(X114*Standards!$U$159)+Standards!$U$160</f>
        <v>25.794729863619427</v>
      </c>
    </row>
    <row r="115" spans="1:27" ht="24.95" customHeight="1" x14ac:dyDescent="0.25">
      <c r="A115" s="27">
        <v>58</v>
      </c>
      <c r="B115" s="26" t="s">
        <v>1042</v>
      </c>
      <c r="C115" s="26" t="s">
        <v>1043</v>
      </c>
      <c r="D115" s="26">
        <v>6</v>
      </c>
      <c r="E115" s="26">
        <v>18990</v>
      </c>
      <c r="F115" s="26">
        <v>228.87700000000001</v>
      </c>
      <c r="G115" s="26">
        <v>-1.123</v>
      </c>
      <c r="H115" s="26">
        <v>36.369</v>
      </c>
      <c r="I115" s="26"/>
      <c r="J115" s="31"/>
      <c r="K115" s="31"/>
      <c r="L115" s="26"/>
      <c r="M115" s="27"/>
      <c r="N115" s="27"/>
      <c r="O115" s="28"/>
      <c r="P115" s="29"/>
      <c r="Q115" s="29"/>
      <c r="R115" s="28"/>
      <c r="S115" s="29"/>
      <c r="T115" s="29"/>
      <c r="U115" s="29"/>
      <c r="V115" s="28"/>
      <c r="W115" s="29"/>
      <c r="X115" s="29"/>
      <c r="Y115" s="111"/>
      <c r="Z115" s="19"/>
      <c r="AA115" s="20"/>
    </row>
    <row r="116" spans="1:27" ht="24.95" customHeight="1" x14ac:dyDescent="0.25">
      <c r="A116" s="27">
        <v>58</v>
      </c>
      <c r="B116" s="26" t="s">
        <v>1042</v>
      </c>
      <c r="C116" s="26" t="s">
        <v>1043</v>
      </c>
      <c r="D116" s="26">
        <v>7</v>
      </c>
      <c r="E116" s="26">
        <v>17679</v>
      </c>
      <c r="F116" s="26">
        <v>213.08199999999999</v>
      </c>
      <c r="G116" s="26">
        <v>-1.0569999999999999</v>
      </c>
      <c r="H116" s="26">
        <v>36.356000000000002</v>
      </c>
      <c r="I116" s="26"/>
      <c r="J116" s="31">
        <f>AVERAGE(G115:G116)</f>
        <v>-1.0899999999999999</v>
      </c>
      <c r="K116" s="31">
        <f>STDEV(G115:G116)</f>
        <v>4.6669047558312179E-2</v>
      </c>
      <c r="L116" s="26"/>
      <c r="M116" s="27">
        <f>AVERAGE(E115:E116)</f>
        <v>18334.5</v>
      </c>
      <c r="N116" s="27">
        <f>STDEV(E115:E116)</f>
        <v>927.01699013556379</v>
      </c>
      <c r="O116" s="28"/>
      <c r="P116" s="29">
        <f>AVERAGE(H115:H116)</f>
        <v>36.362499999999997</v>
      </c>
      <c r="Q116" s="29">
        <f>STDEV(H115:H116)</f>
        <v>9.1923881554237911E-3</v>
      </c>
      <c r="R116" s="28"/>
      <c r="S116" s="29">
        <f>J116-(M116-Standards!$N$124)*Standards!$AA$55</f>
        <v>-1.1425592672413791</v>
      </c>
      <c r="T116" s="29">
        <f>S116-(A116-Standards!$A$124)*Standards!$AA$4</f>
        <v>-1.1318064396551721</v>
      </c>
      <c r="U116" s="29"/>
      <c r="V116" s="28"/>
      <c r="W116" s="29">
        <f>P116-(M116-Standards!$N$124)*Standards!$AL$54</f>
        <v>36.425571120689654</v>
      </c>
      <c r="X116" s="29">
        <f>W116-(A116-Standards!$A$124)*Standards!$AL$5</f>
        <v>36.426984637931035</v>
      </c>
      <c r="Y116" s="111"/>
      <c r="Z116" s="19">
        <f>(T116*Standards!$O$159)+Standards!$O$160</f>
        <v>-1.4644871907999579</v>
      </c>
      <c r="AA116" s="20">
        <f>(X116*Standards!$U$159)+Standards!$U$160</f>
        <v>25.93831528813477</v>
      </c>
    </row>
    <row r="117" spans="1:27" s="195" customFormat="1" ht="24.95" customHeight="1" x14ac:dyDescent="0.25">
      <c r="A117" s="188">
        <v>59</v>
      </c>
      <c r="B117" s="189" t="s">
        <v>0</v>
      </c>
      <c r="C117" s="189" t="s">
        <v>289</v>
      </c>
      <c r="D117" s="189">
        <v>6</v>
      </c>
      <c r="E117" s="189">
        <v>14088</v>
      </c>
      <c r="F117" s="189">
        <v>178.83799999999999</v>
      </c>
      <c r="G117" s="189">
        <v>4.7409999999999997</v>
      </c>
      <c r="H117" s="189">
        <v>37</v>
      </c>
      <c r="I117" s="189"/>
      <c r="J117" s="196"/>
      <c r="K117" s="196"/>
      <c r="L117" s="189"/>
      <c r="M117" s="188"/>
      <c r="N117" s="188"/>
      <c r="O117" s="190"/>
      <c r="P117" s="191"/>
      <c r="Q117" s="191"/>
      <c r="R117" s="190"/>
      <c r="S117" s="191"/>
      <c r="T117" s="191"/>
      <c r="U117" s="191"/>
      <c r="V117" s="190"/>
      <c r="W117" s="191"/>
      <c r="X117" s="191"/>
      <c r="Y117" s="197"/>
      <c r="Z117" s="198"/>
      <c r="AA117" s="199"/>
    </row>
    <row r="118" spans="1:27" s="195" customFormat="1" ht="24.95" customHeight="1" x14ac:dyDescent="0.25">
      <c r="A118" s="188">
        <v>59</v>
      </c>
      <c r="B118" s="189" t="s">
        <v>0</v>
      </c>
      <c r="C118" s="189" t="s">
        <v>289</v>
      </c>
      <c r="D118" s="189">
        <v>7</v>
      </c>
      <c r="E118" s="189">
        <v>13137</v>
      </c>
      <c r="F118" s="189">
        <v>166.16300000000001</v>
      </c>
      <c r="G118" s="189">
        <v>4.7779999999999996</v>
      </c>
      <c r="H118" s="189">
        <v>37.03</v>
      </c>
      <c r="I118" s="189"/>
      <c r="J118" s="196">
        <f>AVERAGE(G117:G118)</f>
        <v>4.7594999999999992</v>
      </c>
      <c r="K118" s="196">
        <f>STDEV(G117:G118)</f>
        <v>2.6162950903902204E-2</v>
      </c>
      <c r="L118" s="189"/>
      <c r="M118" s="188">
        <f>AVERAGE(E117:E118)</f>
        <v>13612.5</v>
      </c>
      <c r="N118" s="188">
        <f>STDEV(E117:E118)</f>
        <v>672.45854890840667</v>
      </c>
      <c r="O118" s="190"/>
      <c r="P118" s="191">
        <f>AVERAGE(H117:H118)</f>
        <v>37.015000000000001</v>
      </c>
      <c r="Q118" s="191">
        <f>STDEV(H117:H118)</f>
        <v>2.1213203435597228E-2</v>
      </c>
      <c r="R118" s="190"/>
      <c r="S118" s="191">
        <f>J118-(M118-Standards!$N$124)*Standards!$AA$55</f>
        <v>4.7659657327586196</v>
      </c>
      <c r="T118" s="191">
        <f>S118-(A118-Standards!$A$124)*Standards!$AA$4</f>
        <v>4.7762925603448263</v>
      </c>
      <c r="U118" s="191"/>
      <c r="V118" s="190"/>
      <c r="W118" s="191">
        <f>P118-(M118-Standards!$N$124)*Standards!$AL$54</f>
        <v>37.007241120689656</v>
      </c>
      <c r="X118" s="191">
        <f>W118-(A118-Standards!$A$124)*Standards!$AL$5</f>
        <v>37.008598637931037</v>
      </c>
      <c r="Y118" s="197"/>
      <c r="Z118" s="198">
        <f>(T118*Standards!$O$159)+Standards!$O$160</f>
        <v>4.4876424321972079</v>
      </c>
      <c r="AA118" s="199">
        <f>(X118*Standards!$U$159)+Standards!$U$160</f>
        <v>26.508362135513043</v>
      </c>
    </row>
    <row r="119" spans="1:27" s="195" customFormat="1" ht="24.95" customHeight="1" x14ac:dyDescent="0.25">
      <c r="A119" s="188">
        <v>60</v>
      </c>
      <c r="B119" s="189" t="s">
        <v>0</v>
      </c>
      <c r="C119" s="189" t="s">
        <v>380</v>
      </c>
      <c r="D119" s="189">
        <v>6</v>
      </c>
      <c r="E119" s="189">
        <v>15759</v>
      </c>
      <c r="F119" s="189">
        <v>193.91399999999999</v>
      </c>
      <c r="G119" s="189">
        <v>4.7169999999999996</v>
      </c>
      <c r="H119" s="189">
        <v>36.959000000000003</v>
      </c>
      <c r="I119" s="189"/>
      <c r="J119" s="196"/>
      <c r="K119" s="196"/>
      <c r="L119" s="189"/>
      <c r="M119" s="188"/>
      <c r="N119" s="188"/>
      <c r="O119" s="190"/>
      <c r="P119" s="191"/>
      <c r="Q119" s="191"/>
      <c r="R119" s="190"/>
      <c r="S119" s="191"/>
      <c r="T119" s="191"/>
      <c r="U119" s="191"/>
      <c r="V119" s="190"/>
      <c r="W119" s="191"/>
      <c r="X119" s="191"/>
      <c r="Y119" s="197"/>
      <c r="Z119" s="198"/>
      <c r="AA119" s="199"/>
    </row>
    <row r="120" spans="1:27" s="195" customFormat="1" ht="24.95" customHeight="1" x14ac:dyDescent="0.25">
      <c r="A120" s="188">
        <v>60</v>
      </c>
      <c r="B120" s="189" t="s">
        <v>0</v>
      </c>
      <c r="C120" s="189" t="s">
        <v>380</v>
      </c>
      <c r="D120" s="189">
        <v>7</v>
      </c>
      <c r="E120" s="189">
        <v>14551</v>
      </c>
      <c r="F120" s="189">
        <v>179.70099999999999</v>
      </c>
      <c r="G120" s="189">
        <v>4.7759999999999998</v>
      </c>
      <c r="H120" s="189">
        <v>36.981999999999999</v>
      </c>
      <c r="I120" s="189"/>
      <c r="J120" s="196">
        <f>AVERAGE(G119:G120)</f>
        <v>4.7464999999999993</v>
      </c>
      <c r="K120" s="196">
        <f>STDEV(G119:G120)</f>
        <v>4.171930009000642E-2</v>
      </c>
      <c r="L120" s="189"/>
      <c r="M120" s="188">
        <f>AVERAGE(E119:E120)</f>
        <v>15155</v>
      </c>
      <c r="N120" s="188">
        <f>STDEV(E119:E120)</f>
        <v>854.18499167334937</v>
      </c>
      <c r="O120" s="190"/>
      <c r="P120" s="191">
        <f>AVERAGE(H119:H120)</f>
        <v>36.970500000000001</v>
      </c>
      <c r="Q120" s="191">
        <f>STDEV(H119:H120)</f>
        <v>1.626345596728786E-2</v>
      </c>
      <c r="R120" s="190"/>
      <c r="S120" s="191">
        <f>J120-(M120-Standards!$N$124)*Standards!$AA$55</f>
        <v>4.73368448275862</v>
      </c>
      <c r="T120" s="191">
        <f>S120-(A120-Standards!$A$124)*Standards!$AA$4</f>
        <v>4.7435853103448267</v>
      </c>
      <c r="U120" s="191"/>
      <c r="V120" s="190"/>
      <c r="W120" s="191">
        <f>P120-(M120-Standards!$N$124)*Standards!$AL$54</f>
        <v>36.985878620689654</v>
      </c>
      <c r="X120" s="191">
        <f>W120-(A120-Standards!$A$124)*Standards!$AL$5</f>
        <v>36.987180137931034</v>
      </c>
      <c r="Y120" s="197"/>
      <c r="Z120" s="198">
        <f>(T120*Standards!$O$159)+Standards!$O$160</f>
        <v>4.4546914285644368</v>
      </c>
      <c r="AA120" s="199">
        <f>(X120*Standards!$U$159)+Standards!$U$160</f>
        <v>26.487369607134131</v>
      </c>
    </row>
    <row r="121" spans="1:27" ht="24.95" customHeight="1" x14ac:dyDescent="0.25">
      <c r="A121" s="27">
        <v>61</v>
      </c>
      <c r="B121" s="26" t="s">
        <v>1058</v>
      </c>
      <c r="C121" s="26" t="s">
        <v>335</v>
      </c>
      <c r="D121" s="26">
        <v>6</v>
      </c>
      <c r="E121" s="26">
        <v>12532</v>
      </c>
      <c r="F121" s="26">
        <v>158.46700000000001</v>
      </c>
      <c r="G121" s="26">
        <v>-1.284</v>
      </c>
      <c r="H121" s="26">
        <v>36.347000000000001</v>
      </c>
      <c r="I121" s="26"/>
      <c r="J121" s="31"/>
      <c r="K121" s="31"/>
      <c r="L121" s="26"/>
      <c r="M121" s="27"/>
      <c r="N121" s="27"/>
      <c r="O121" s="28"/>
      <c r="P121" s="29"/>
      <c r="Q121" s="29"/>
      <c r="R121" s="28"/>
      <c r="S121" s="29"/>
      <c r="T121" s="29"/>
      <c r="U121" s="29"/>
      <c r="V121" s="28"/>
      <c r="W121" s="29"/>
      <c r="X121" s="29"/>
      <c r="Y121" s="111"/>
      <c r="Z121" s="19"/>
      <c r="AA121" s="20"/>
    </row>
    <row r="122" spans="1:27" ht="24.95" customHeight="1" x14ac:dyDescent="0.25">
      <c r="A122" s="27">
        <v>61</v>
      </c>
      <c r="B122" s="26" t="s">
        <v>1058</v>
      </c>
      <c r="C122" s="26" t="s">
        <v>335</v>
      </c>
      <c r="D122" s="26">
        <v>7</v>
      </c>
      <c r="E122" s="26">
        <v>11776</v>
      </c>
      <c r="F122" s="26">
        <v>147.62299999999999</v>
      </c>
      <c r="G122" s="26">
        <v>-1.226</v>
      </c>
      <c r="H122" s="26">
        <v>36.363999999999997</v>
      </c>
      <c r="I122" s="26"/>
      <c r="J122" s="31">
        <f>AVERAGE(G121:G122)</f>
        <v>-1.2549999999999999</v>
      </c>
      <c r="K122" s="31">
        <f>STDEV(G121:G122)</f>
        <v>4.1012193308819792E-2</v>
      </c>
      <c r="L122" s="26"/>
      <c r="M122" s="27">
        <f>AVERAGE(E121:E122)</f>
        <v>12154</v>
      </c>
      <c r="N122" s="27">
        <f>STDEV(E121:E122)</f>
        <v>534.57272657702993</v>
      </c>
      <c r="O122" s="28"/>
      <c r="P122" s="29">
        <f>AVERAGE(H121:H122)</f>
        <v>36.355499999999999</v>
      </c>
      <c r="Q122" s="29">
        <f>STDEV(H121:H122)</f>
        <v>1.2020815280168415E-2</v>
      </c>
      <c r="R122" s="28"/>
      <c r="S122" s="29">
        <f>J122-(M122-Standards!$N$124)*Standards!$AA$55</f>
        <v>-1.2303030172413791</v>
      </c>
      <c r="T122" s="29">
        <f>S122-(A122-Standards!$A$124)*Standards!$AA$4</f>
        <v>-1.2208281896551723</v>
      </c>
      <c r="U122" s="29"/>
      <c r="V122" s="28"/>
      <c r="W122" s="29">
        <f>P122-(M122-Standards!$N$124)*Standards!$AL$54</f>
        <v>36.325863620689653</v>
      </c>
      <c r="X122" s="29">
        <f>W122-(A122-Standards!$A$124)*Standards!$AL$5</f>
        <v>36.327109137931032</v>
      </c>
      <c r="Y122" s="111"/>
      <c r="Z122" s="19">
        <f>(T122*Standards!$O$159)+Standards!$O$160</f>
        <v>-1.5541723831547321</v>
      </c>
      <c r="AA122" s="20">
        <f>(X122*Standards!$U$159)+Standards!$U$160</f>
        <v>25.840426114378072</v>
      </c>
    </row>
    <row r="123" spans="1:27" ht="24.95" customHeight="1" x14ac:dyDescent="0.25">
      <c r="A123" s="27">
        <v>62</v>
      </c>
      <c r="B123" s="26" t="s">
        <v>1061</v>
      </c>
      <c r="C123" s="26" t="s">
        <v>322</v>
      </c>
      <c r="D123" s="26">
        <v>6</v>
      </c>
      <c r="E123" s="26">
        <v>17297</v>
      </c>
      <c r="F123" s="26">
        <v>216.47800000000001</v>
      </c>
      <c r="G123" s="26">
        <v>-1.3560000000000001</v>
      </c>
      <c r="H123" s="26">
        <v>35.979999999999997</v>
      </c>
      <c r="I123" s="26"/>
      <c r="J123" s="31"/>
      <c r="K123" s="31"/>
      <c r="L123" s="26"/>
      <c r="M123" s="27"/>
      <c r="N123" s="27"/>
      <c r="O123" s="28"/>
      <c r="P123" s="29"/>
      <c r="Q123" s="29"/>
      <c r="R123" s="28"/>
      <c r="S123" s="29"/>
      <c r="T123" s="29"/>
      <c r="U123" s="29"/>
      <c r="V123" s="28"/>
      <c r="W123" s="29"/>
      <c r="X123" s="29"/>
      <c r="Y123" s="111"/>
      <c r="Z123" s="19"/>
      <c r="AA123" s="20"/>
    </row>
    <row r="124" spans="1:27" ht="24.95" customHeight="1" x14ac:dyDescent="0.25">
      <c r="A124" s="27">
        <v>62</v>
      </c>
      <c r="B124" s="26" t="s">
        <v>1061</v>
      </c>
      <c r="C124" s="26" t="s">
        <v>322</v>
      </c>
      <c r="D124" s="26">
        <v>7</v>
      </c>
      <c r="E124" s="26">
        <v>16012</v>
      </c>
      <c r="F124" s="26">
        <v>203.15100000000001</v>
      </c>
      <c r="G124" s="26">
        <v>-1.383</v>
      </c>
      <c r="H124" s="26">
        <v>36.011000000000003</v>
      </c>
      <c r="I124" s="26"/>
      <c r="J124" s="31">
        <f>AVERAGE(G123:G124)</f>
        <v>-1.3694999999999999</v>
      </c>
      <c r="K124" s="31">
        <f>STDEV(G123:G124)</f>
        <v>1.9091883092036722E-2</v>
      </c>
      <c r="L124" s="26"/>
      <c r="M124" s="27">
        <f>AVERAGE(E123:E124)</f>
        <v>16654.5</v>
      </c>
      <c r="N124" s="27">
        <f>STDEV(E123:E124)</f>
        <v>908.63221382471352</v>
      </c>
      <c r="O124" s="28"/>
      <c r="P124" s="29">
        <f>AVERAGE(H123:H124)</f>
        <v>35.9955</v>
      </c>
      <c r="Q124" s="29">
        <f>STDEV(H123:H124)</f>
        <v>2.1920310216787153E-2</v>
      </c>
      <c r="R124" s="28"/>
      <c r="S124" s="29">
        <f>J124-(M124-Standards!$N$124)*Standards!$AA$55</f>
        <v>-1.4010592672413793</v>
      </c>
      <c r="T124" s="29">
        <f>S124-(A124-Standards!$A$124)*Standards!$AA$4</f>
        <v>-1.3920104396551725</v>
      </c>
      <c r="U124" s="29"/>
      <c r="V124" s="28"/>
      <c r="W124" s="29">
        <f>P124-(M124-Standards!$N$124)*Standards!$AL$54</f>
        <v>36.033371120689658</v>
      </c>
      <c r="X124" s="29">
        <f>W124-(A124-Standards!$A$124)*Standards!$AL$5</f>
        <v>36.034560637931037</v>
      </c>
      <c r="Y124" s="111"/>
      <c r="Z124" s="19">
        <f>(T124*Standards!$O$159)+Standards!$O$160</f>
        <v>-1.7266303838003387</v>
      </c>
      <c r="AA124" s="20">
        <f>(X124*Standards!$U$159)+Standards!$U$160</f>
        <v>25.553695825681036</v>
      </c>
    </row>
    <row r="125" spans="1:27" ht="24.95" customHeight="1" x14ac:dyDescent="0.25">
      <c r="A125" s="27">
        <v>63</v>
      </c>
      <c r="B125" s="26" t="s">
        <v>1065</v>
      </c>
      <c r="C125" s="26" t="s">
        <v>513</v>
      </c>
      <c r="D125" s="26">
        <v>6</v>
      </c>
      <c r="E125" s="26">
        <v>14482</v>
      </c>
      <c r="F125" s="26">
        <v>180.27099999999999</v>
      </c>
      <c r="G125" s="26">
        <v>-1.7150000000000001</v>
      </c>
      <c r="H125" s="26">
        <v>35.744</v>
      </c>
      <c r="I125" s="26"/>
      <c r="J125" s="31"/>
      <c r="K125" s="31"/>
      <c r="L125" s="26"/>
      <c r="M125" s="27"/>
      <c r="N125" s="27"/>
      <c r="O125" s="28"/>
      <c r="P125" s="29"/>
      <c r="Q125" s="29"/>
      <c r="R125" s="28"/>
      <c r="S125" s="29"/>
      <c r="T125" s="29"/>
      <c r="U125" s="29"/>
      <c r="V125" s="28"/>
      <c r="W125" s="29"/>
      <c r="X125" s="29"/>
      <c r="Y125" s="111"/>
      <c r="Z125" s="19"/>
      <c r="AA125" s="20"/>
    </row>
    <row r="126" spans="1:27" ht="24.95" customHeight="1" x14ac:dyDescent="0.25">
      <c r="A126" s="27">
        <v>63</v>
      </c>
      <c r="B126" s="26" t="s">
        <v>1065</v>
      </c>
      <c r="C126" s="26" t="s">
        <v>513</v>
      </c>
      <c r="D126" s="26">
        <v>7</v>
      </c>
      <c r="E126" s="26">
        <v>13652</v>
      </c>
      <c r="F126" s="26">
        <v>168.47399999999999</v>
      </c>
      <c r="G126" s="26">
        <v>-1.6739999999999999</v>
      </c>
      <c r="H126" s="26">
        <v>35.74</v>
      </c>
      <c r="I126" s="26"/>
      <c r="J126" s="31">
        <f>AVERAGE(G125:G126)</f>
        <v>-1.6945000000000001</v>
      </c>
      <c r="K126" s="31">
        <f>STDEV(G125:G126)</f>
        <v>2.8991378028648554E-2</v>
      </c>
      <c r="L126" s="26"/>
      <c r="M126" s="27">
        <f>AVERAGE(E125:E126)</f>
        <v>14067</v>
      </c>
      <c r="N126" s="27">
        <f>STDEV(E125:E126)</f>
        <v>586.89862838483441</v>
      </c>
      <c r="O126" s="28"/>
      <c r="P126" s="29">
        <f>AVERAGE(H125:H126)</f>
        <v>35.742000000000004</v>
      </c>
      <c r="Q126" s="29">
        <f>STDEV(H125:H126)</f>
        <v>2.8284271247446227E-3</v>
      </c>
      <c r="R126" s="28"/>
      <c r="S126" s="29">
        <f>J126-(M126-Standards!$N$124)*Standards!$AA$55</f>
        <v>-1.6937155172413794</v>
      </c>
      <c r="T126" s="29">
        <f>S126-(A126-Standards!$A$124)*Standards!$AA$4</f>
        <v>-1.6850926896551726</v>
      </c>
      <c r="U126" s="29"/>
      <c r="V126" s="28"/>
      <c r="W126" s="29">
        <f>P126-(M126-Standards!$N$124)*Standards!$AL$54</f>
        <v>35.741058620689657</v>
      </c>
      <c r="X126" s="29">
        <f>W126-(A126-Standards!$A$124)*Standards!$AL$5</f>
        <v>35.742192137931035</v>
      </c>
      <c r="Y126" s="111"/>
      <c r="Z126" s="19">
        <f>(T126*Standards!$O$159)+Standards!$O$160</f>
        <v>-2.0218968548259024</v>
      </c>
      <c r="AA126" s="20">
        <f>(X126*Standards!$U$159)+Standards!$U$160</f>
        <v>25.267141957139845</v>
      </c>
    </row>
    <row r="127" spans="1:27" ht="24.95" customHeight="1" x14ac:dyDescent="0.25">
      <c r="A127" s="27">
        <v>64</v>
      </c>
      <c r="B127" s="26" t="s">
        <v>1068</v>
      </c>
      <c r="C127" s="26" t="s">
        <v>269</v>
      </c>
      <c r="D127" s="26">
        <v>6</v>
      </c>
      <c r="E127" s="26">
        <v>13280</v>
      </c>
      <c r="F127" s="26">
        <v>168.73</v>
      </c>
      <c r="G127" s="26">
        <v>-1.3939999999999999</v>
      </c>
      <c r="H127" s="26">
        <v>35.787999999999997</v>
      </c>
      <c r="I127" s="26"/>
      <c r="J127" s="31"/>
      <c r="K127" s="31"/>
      <c r="L127" s="26"/>
      <c r="M127" s="27"/>
      <c r="N127" s="27"/>
      <c r="O127" s="28"/>
      <c r="P127" s="29"/>
      <c r="Q127" s="29"/>
      <c r="R127" s="28"/>
      <c r="S127" s="29"/>
      <c r="T127" s="29"/>
      <c r="U127" s="29"/>
      <c r="V127" s="28"/>
      <c r="W127" s="29"/>
      <c r="X127" s="29"/>
      <c r="Y127" s="111"/>
      <c r="Z127" s="19"/>
      <c r="AA127" s="20"/>
    </row>
    <row r="128" spans="1:27" ht="24.95" customHeight="1" x14ac:dyDescent="0.25">
      <c r="A128" s="27">
        <v>64</v>
      </c>
      <c r="B128" s="26" t="s">
        <v>1068</v>
      </c>
      <c r="C128" s="26" t="s">
        <v>269</v>
      </c>
      <c r="D128" s="26">
        <v>7</v>
      </c>
      <c r="E128" s="26">
        <v>12313</v>
      </c>
      <c r="F128" s="26">
        <v>156.42400000000001</v>
      </c>
      <c r="G128" s="26">
        <v>-1.36</v>
      </c>
      <c r="H128" s="26">
        <v>35.76</v>
      </c>
      <c r="I128" s="26"/>
      <c r="J128" s="31">
        <f>AVERAGE(G127:G128)</f>
        <v>-1.377</v>
      </c>
      <c r="K128" s="31">
        <f>STDEV(G127:G128)</f>
        <v>2.4041630560342479E-2</v>
      </c>
      <c r="L128" s="26"/>
      <c r="M128" s="27">
        <f>AVERAGE(E127:E128)</f>
        <v>12796.5</v>
      </c>
      <c r="N128" s="27">
        <f>STDEV(E127:E128)</f>
        <v>683.77225740739141</v>
      </c>
      <c r="O128" s="28"/>
      <c r="P128" s="29">
        <f>AVERAGE(H127:H128)</f>
        <v>35.774000000000001</v>
      </c>
      <c r="Q128" s="29">
        <f>STDEV(H127:H128)</f>
        <v>1.9798989873222407E-2</v>
      </c>
      <c r="R128" s="28"/>
      <c r="S128" s="29">
        <f>J128-(M128-Standards!$N$124)*Standards!$AA$55</f>
        <v>-1.3603342672413794</v>
      </c>
      <c r="T128" s="29">
        <f>S128-(A128-Standards!$A$124)*Standards!$AA$4</f>
        <v>-1.3521374396551724</v>
      </c>
      <c r="U128" s="29"/>
      <c r="V128" s="28"/>
      <c r="W128" s="29">
        <f>P128-(M128-Standards!$N$124)*Standards!$AL$54</f>
        <v>35.754001120689658</v>
      </c>
      <c r="X128" s="29">
        <f>W128-(A128-Standards!$A$124)*Standards!$AL$5</f>
        <v>35.755078637931035</v>
      </c>
      <c r="Y128" s="111"/>
      <c r="Z128" s="19">
        <f>(T128*Standards!$O$159)+Standards!$O$160</f>
        <v>-1.6864602267908224</v>
      </c>
      <c r="AA128" s="20">
        <f>(X128*Standards!$U$159)+Standards!$U$160</f>
        <v>25.279772170131178</v>
      </c>
    </row>
    <row r="129" spans="1:27" ht="24.95" customHeight="1" x14ac:dyDescent="0.25">
      <c r="A129" s="27">
        <v>65</v>
      </c>
      <c r="B129" s="26" t="s">
        <v>1073</v>
      </c>
      <c r="C129" s="26" t="s">
        <v>518</v>
      </c>
      <c r="D129" s="26">
        <v>6</v>
      </c>
      <c r="E129" s="26">
        <v>13686</v>
      </c>
      <c r="F129" s="26">
        <v>167.84800000000001</v>
      </c>
      <c r="G129" s="26">
        <v>-1.6379999999999999</v>
      </c>
      <c r="H129" s="26">
        <v>35.871000000000002</v>
      </c>
      <c r="I129" s="26"/>
      <c r="J129" s="31"/>
      <c r="K129" s="31"/>
      <c r="L129" s="26"/>
      <c r="M129" s="27"/>
      <c r="N129" s="27"/>
      <c r="O129" s="28"/>
      <c r="P129" s="29"/>
      <c r="Q129" s="29"/>
      <c r="R129" s="28"/>
      <c r="S129" s="29"/>
      <c r="T129" s="29"/>
      <c r="U129" s="29"/>
      <c r="V129" s="28"/>
      <c r="W129" s="29"/>
      <c r="X129" s="29"/>
      <c r="Y129" s="111"/>
      <c r="Z129" s="19"/>
      <c r="AA129" s="20"/>
    </row>
    <row r="130" spans="1:27" ht="24.95" customHeight="1" x14ac:dyDescent="0.25">
      <c r="A130" s="27">
        <v>65</v>
      </c>
      <c r="B130" s="26" t="s">
        <v>1073</v>
      </c>
      <c r="C130" s="26" t="s">
        <v>518</v>
      </c>
      <c r="D130" s="26">
        <v>7</v>
      </c>
      <c r="E130" s="26">
        <v>12903</v>
      </c>
      <c r="F130" s="26">
        <v>157.03</v>
      </c>
      <c r="G130" s="26">
        <v>-1.542</v>
      </c>
      <c r="H130" s="26">
        <v>35.880000000000003</v>
      </c>
      <c r="I130" s="26"/>
      <c r="J130" s="31">
        <f>AVERAGE(G129:G130)</f>
        <v>-1.5899999999999999</v>
      </c>
      <c r="K130" s="31">
        <f>STDEV(G129:G130)</f>
        <v>6.7882250993908461E-2</v>
      </c>
      <c r="L130" s="26"/>
      <c r="M130" s="27">
        <f>AVERAGE(E129:E130)</f>
        <v>13294.5</v>
      </c>
      <c r="N130" s="27">
        <f>STDEV(E129:E130)</f>
        <v>553.66460966906675</v>
      </c>
      <c r="O130" s="28"/>
      <c r="P130" s="29">
        <f>AVERAGE(H129:H130)</f>
        <v>35.875500000000002</v>
      </c>
      <c r="Q130" s="29">
        <f>STDEV(H129:H130)</f>
        <v>6.3639610306791689E-3</v>
      </c>
      <c r="R130" s="28"/>
      <c r="S130" s="29">
        <f>J130-(M130-Standards!$N$124)*Standards!$AA$55</f>
        <v>-1.5795592672413792</v>
      </c>
      <c r="T130" s="29">
        <f>S130-(A130-Standards!$A$124)*Standards!$AA$4</f>
        <v>-1.5717884396551722</v>
      </c>
      <c r="U130" s="29"/>
      <c r="V130" s="28"/>
      <c r="W130" s="29">
        <f>P130-(M130-Standards!$N$124)*Standards!$AL$54</f>
        <v>35.862971120689657</v>
      </c>
      <c r="X130" s="29">
        <f>W130-(A130-Standards!$A$124)*Standards!$AL$5</f>
        <v>35.863992637931034</v>
      </c>
      <c r="Y130" s="111"/>
      <c r="Z130" s="19">
        <f>(T130*Standards!$O$159)+Standards!$O$160</f>
        <v>-1.9077481950223889</v>
      </c>
      <c r="AA130" s="20">
        <f>(X130*Standards!$U$159)+Standards!$U$160</f>
        <v>25.386520085991794</v>
      </c>
    </row>
    <row r="131" spans="1:27" ht="24.95" customHeight="1" x14ac:dyDescent="0.25">
      <c r="A131" s="27">
        <v>66</v>
      </c>
      <c r="B131" s="26" t="s">
        <v>1078</v>
      </c>
      <c r="C131" s="26" t="s">
        <v>551</v>
      </c>
      <c r="D131" s="26">
        <v>6</v>
      </c>
      <c r="E131" s="26">
        <v>13464</v>
      </c>
      <c r="F131" s="26">
        <v>171.72499999999999</v>
      </c>
      <c r="G131" s="26">
        <v>-1.8149999999999999</v>
      </c>
      <c r="H131" s="26">
        <v>36.042999999999999</v>
      </c>
      <c r="I131" s="26"/>
      <c r="J131" s="26"/>
      <c r="K131" s="26"/>
      <c r="L131" s="26"/>
      <c r="M131" s="27"/>
      <c r="N131" s="27"/>
      <c r="O131" s="28"/>
      <c r="P131" s="29"/>
      <c r="Q131" s="29"/>
      <c r="R131" s="28"/>
      <c r="S131" s="28"/>
      <c r="T131" s="28"/>
      <c r="U131" s="28"/>
      <c r="V131" s="28"/>
      <c r="W131" s="28"/>
      <c r="X131" s="28"/>
      <c r="Y131" s="111"/>
      <c r="Z131" s="51"/>
      <c r="AA131" s="52"/>
    </row>
    <row r="132" spans="1:27" ht="24.95" customHeight="1" x14ac:dyDescent="0.25">
      <c r="A132" s="27">
        <v>66</v>
      </c>
      <c r="B132" s="26" t="s">
        <v>1078</v>
      </c>
      <c r="C132" s="26" t="s">
        <v>551</v>
      </c>
      <c r="D132" s="26">
        <v>7</v>
      </c>
      <c r="E132" s="26">
        <v>12547</v>
      </c>
      <c r="F132" s="26">
        <v>159.626</v>
      </c>
      <c r="G132" s="26">
        <v>-1.7490000000000001</v>
      </c>
      <c r="H132" s="26">
        <v>36.125999999999998</v>
      </c>
      <c r="I132" s="26"/>
      <c r="J132" s="31">
        <f>AVERAGE(G131:G132)</f>
        <v>-1.782</v>
      </c>
      <c r="K132" s="31">
        <f>STDEV(G131:G132)</f>
        <v>4.666904755831202E-2</v>
      </c>
      <c r="L132" s="26"/>
      <c r="M132" s="27">
        <f>AVERAGE(E131:E132)</f>
        <v>13005.5</v>
      </c>
      <c r="N132" s="27">
        <f>STDEV(E131:E132)</f>
        <v>648.41691834806409</v>
      </c>
      <c r="O132" s="28"/>
      <c r="P132" s="29">
        <f>AVERAGE(H131:H132)</f>
        <v>36.084499999999998</v>
      </c>
      <c r="Q132" s="29">
        <f>STDEV(H131:H132)</f>
        <v>5.8689862838482321E-2</v>
      </c>
      <c r="R132" s="28"/>
      <c r="S132" s="29">
        <f>J132-(M132-Standards!$N$124)*Standards!$AA$55</f>
        <v>-1.7679467672413793</v>
      </c>
      <c r="T132" s="29">
        <f>S132-(A132-Standards!$A$124)*Standards!$AA$4</f>
        <v>-1.7606019396551724</v>
      </c>
      <c r="U132" s="29"/>
      <c r="V132" s="28"/>
      <c r="W132" s="29">
        <f>P132-(M132-Standards!$N$124)*Standards!$AL$54</f>
        <v>36.067636120689656</v>
      </c>
      <c r="X132" s="29">
        <f>W132-(A132-Standards!$A$124)*Standards!$AL$5</f>
        <v>36.068601637931032</v>
      </c>
      <c r="Y132" s="111"/>
      <c r="Z132" s="19">
        <f>(T132*Standards!$O$159)+Standards!$O$160</f>
        <v>-2.0979688440961057</v>
      </c>
      <c r="AA132" s="20">
        <f>(X132*Standards!$U$159)+Standards!$U$160</f>
        <v>25.587059817489351</v>
      </c>
    </row>
    <row r="133" spans="1:27" ht="24.95" customHeight="1" x14ac:dyDescent="0.25">
      <c r="A133" s="27">
        <v>67</v>
      </c>
      <c r="B133" s="26" t="s">
        <v>1081</v>
      </c>
      <c r="C133" s="26" t="s">
        <v>269</v>
      </c>
      <c r="D133" s="26">
        <v>6</v>
      </c>
      <c r="E133" s="26">
        <v>14264</v>
      </c>
      <c r="F133" s="26">
        <v>173.017</v>
      </c>
      <c r="G133" s="26">
        <v>-1.625</v>
      </c>
      <c r="H133" s="26">
        <v>36.113</v>
      </c>
      <c r="I133" s="26"/>
      <c r="J133" s="26"/>
      <c r="K133" s="26"/>
      <c r="L133" s="26"/>
      <c r="M133" s="53"/>
      <c r="N133" s="27"/>
      <c r="O133" s="28"/>
      <c r="P133" s="29"/>
      <c r="Q133" s="29"/>
      <c r="R133" s="28"/>
      <c r="S133" s="28"/>
      <c r="T133" s="28"/>
      <c r="U133" s="28"/>
      <c r="V133" s="28"/>
      <c r="W133" s="28"/>
      <c r="X133" s="28"/>
      <c r="Y133" s="32"/>
      <c r="Z133" s="33"/>
      <c r="AA133" s="34"/>
    </row>
    <row r="134" spans="1:27" ht="24.95" customHeight="1" x14ac:dyDescent="0.25">
      <c r="A134" s="27">
        <v>67</v>
      </c>
      <c r="B134" s="26" t="s">
        <v>1081</v>
      </c>
      <c r="C134" s="26" t="s">
        <v>269</v>
      </c>
      <c r="D134" s="26">
        <v>7</v>
      </c>
      <c r="E134" s="26">
        <v>13339</v>
      </c>
      <c r="F134" s="26">
        <v>161.63300000000001</v>
      </c>
      <c r="G134" s="26">
        <v>-1.571</v>
      </c>
      <c r="H134" s="26">
        <v>36.180999999999997</v>
      </c>
      <c r="I134" s="26"/>
      <c r="J134" s="31">
        <f>AVERAGE(G133:G134)</f>
        <v>-1.5979999999999999</v>
      </c>
      <c r="K134" s="31">
        <f>STDEV(G133:G134)</f>
        <v>3.8183766184073605E-2</v>
      </c>
      <c r="L134" s="26"/>
      <c r="M134" s="27">
        <f>AVERAGE(E133:E134)</f>
        <v>13801.5</v>
      </c>
      <c r="N134" s="27">
        <f>STDEV(E133:E134)</f>
        <v>654.07377259755651</v>
      </c>
      <c r="O134" s="28"/>
      <c r="P134" s="29">
        <f>AVERAGE(H133:H134)</f>
        <v>36.146999999999998</v>
      </c>
      <c r="Q134" s="29">
        <f>STDEV(H133:H134)</f>
        <v>4.8083261120683708E-2</v>
      </c>
      <c r="R134" s="28"/>
      <c r="S134" s="29">
        <f>J134-(M134-Standards!$N$124)*Standards!$AA$55</f>
        <v>-1.5938967672413791</v>
      </c>
      <c r="T134" s="29">
        <f>S134-(A134-Standards!$A$124)*Standards!$AA$4</f>
        <v>-1.5869779396551722</v>
      </c>
      <c r="U134" s="29"/>
      <c r="V134" s="28"/>
      <c r="W134" s="29">
        <f>P134-(M134-Standards!$N$124)*Standards!$AL$54</f>
        <v>36.142076120689651</v>
      </c>
      <c r="X134" s="29">
        <f>W134-(A134-Standards!$A$124)*Standards!$AL$5</f>
        <v>36.142985637931034</v>
      </c>
      <c r="Y134" s="111"/>
      <c r="Z134" s="19">
        <f>(T134*Standards!$O$159)+Standards!$O$160</f>
        <v>-1.9230508960956978</v>
      </c>
      <c r="AA134" s="20">
        <f>(X134*Standards!$U$159)+Standards!$U$160</f>
        <v>25.65996446678491</v>
      </c>
    </row>
    <row r="135" spans="1:27" ht="24.95" customHeight="1" x14ac:dyDescent="0.25">
      <c r="A135" s="27">
        <v>68</v>
      </c>
      <c r="B135" s="26" t="s">
        <v>1084</v>
      </c>
      <c r="C135" s="26" t="s">
        <v>229</v>
      </c>
      <c r="D135" s="26">
        <v>6</v>
      </c>
      <c r="E135" s="26">
        <v>13882</v>
      </c>
      <c r="F135" s="26">
        <v>176.63399999999999</v>
      </c>
      <c r="G135" s="26">
        <v>-1.423</v>
      </c>
      <c r="H135" s="26">
        <v>36.058</v>
      </c>
      <c r="I135" s="26"/>
      <c r="J135" s="26"/>
      <c r="K135" s="26"/>
      <c r="L135" s="26"/>
      <c r="M135" s="27"/>
      <c r="N135" s="27"/>
      <c r="O135" s="28"/>
      <c r="P135" s="29"/>
      <c r="Q135" s="29"/>
      <c r="R135" s="28"/>
      <c r="S135" s="28"/>
      <c r="T135" s="28"/>
      <c r="U135" s="28"/>
      <c r="V135" s="28"/>
      <c r="W135" s="28"/>
      <c r="X135" s="28"/>
      <c r="Y135" s="32"/>
      <c r="Z135" s="33"/>
      <c r="AA135" s="34"/>
    </row>
    <row r="136" spans="1:27" ht="24.95" customHeight="1" x14ac:dyDescent="0.25">
      <c r="A136" s="27">
        <v>68</v>
      </c>
      <c r="B136" s="26" t="s">
        <v>1084</v>
      </c>
      <c r="C136" s="26" t="s">
        <v>229</v>
      </c>
      <c r="D136" s="26">
        <v>7</v>
      </c>
      <c r="E136" s="26">
        <v>12928</v>
      </c>
      <c r="F136" s="26">
        <v>163.90100000000001</v>
      </c>
      <c r="G136" s="26">
        <v>-1.3580000000000001</v>
      </c>
      <c r="H136" s="26">
        <v>36.082999999999998</v>
      </c>
      <c r="I136" s="26"/>
      <c r="J136" s="31">
        <f>AVERAGE(G135:G136)</f>
        <v>-1.3905000000000001</v>
      </c>
      <c r="K136" s="31">
        <f>STDEV(G135:G136)</f>
        <v>4.5961940777125551E-2</v>
      </c>
      <c r="L136" s="26"/>
      <c r="M136" s="27">
        <f>AVERAGE(E135:E136)</f>
        <v>13405</v>
      </c>
      <c r="N136" s="27">
        <f>STDEV(E135:E136)</f>
        <v>674.57986925196633</v>
      </c>
      <c r="O136" s="28"/>
      <c r="P136" s="29">
        <f>AVERAGE(H135:H136)</f>
        <v>36.070499999999996</v>
      </c>
      <c r="Q136" s="29">
        <f>STDEV(H135:H136)</f>
        <v>1.7677669529662685E-2</v>
      </c>
      <c r="R136" s="28"/>
      <c r="S136" s="29">
        <f>J136-(M136-Standards!$N$124)*Standards!$AA$55</f>
        <v>-1.3814405172413793</v>
      </c>
      <c r="T136" s="29">
        <f>S136-(A136-Standards!$A$124)*Standards!$AA$4</f>
        <v>-1.3749476896551724</v>
      </c>
      <c r="U136" s="29"/>
      <c r="V136" s="28"/>
      <c r="W136" s="29">
        <f>P136-(M136-Standards!$N$124)*Standards!$AL$54</f>
        <v>36.059628620689651</v>
      </c>
      <c r="X136" s="29">
        <f>W136-(A136-Standards!$A$124)*Standards!$AL$5</f>
        <v>36.060482137931032</v>
      </c>
      <c r="Y136" s="111"/>
      <c r="Z136" s="19">
        <f>(T136*Standards!$O$159)+Standards!$O$160</f>
        <v>-1.7094404721680532</v>
      </c>
      <c r="AA136" s="20">
        <f>(X136*Standards!$U$159)+Standards!$U$160</f>
        <v>25.579101798292275</v>
      </c>
    </row>
    <row r="137" spans="1:27" ht="24.95" customHeight="1" x14ac:dyDescent="0.25">
      <c r="A137" s="27">
        <v>69</v>
      </c>
      <c r="B137" s="26" t="s">
        <v>1091</v>
      </c>
      <c r="C137" s="26" t="s">
        <v>283</v>
      </c>
      <c r="D137" s="26">
        <v>6</v>
      </c>
      <c r="E137" s="26">
        <v>14168</v>
      </c>
      <c r="F137" s="26">
        <v>173.20599999999999</v>
      </c>
      <c r="G137" s="26">
        <v>-1.5620000000000001</v>
      </c>
      <c r="H137" s="26">
        <v>36.021999999999998</v>
      </c>
      <c r="I137" s="26"/>
      <c r="J137" s="31"/>
      <c r="K137" s="31"/>
      <c r="L137" s="26"/>
      <c r="M137" s="27"/>
      <c r="N137" s="27"/>
      <c r="O137" s="28"/>
      <c r="P137" s="29"/>
      <c r="Q137" s="29"/>
      <c r="R137" s="28"/>
      <c r="S137" s="28"/>
      <c r="T137" s="28"/>
      <c r="U137" s="28"/>
      <c r="V137" s="29"/>
      <c r="W137" s="28"/>
      <c r="X137" s="28"/>
      <c r="Y137" s="32"/>
      <c r="Z137" s="33"/>
      <c r="AA137" s="34"/>
    </row>
    <row r="138" spans="1:27" ht="24.95" customHeight="1" x14ac:dyDescent="0.25">
      <c r="A138" s="27">
        <v>69</v>
      </c>
      <c r="B138" s="26" t="s">
        <v>1091</v>
      </c>
      <c r="C138" s="26" t="s">
        <v>283</v>
      </c>
      <c r="D138" s="26">
        <v>7</v>
      </c>
      <c r="E138" s="26">
        <v>13124</v>
      </c>
      <c r="F138" s="26">
        <v>160.71700000000001</v>
      </c>
      <c r="G138" s="26">
        <v>-1.5029999999999999</v>
      </c>
      <c r="H138" s="26">
        <v>36.042000000000002</v>
      </c>
      <c r="I138" s="26"/>
      <c r="J138" s="31">
        <f>AVERAGE(G137:G138)</f>
        <v>-1.5325</v>
      </c>
      <c r="K138" s="31">
        <f>STDEV(G137:G138)</f>
        <v>4.171930009000642E-2</v>
      </c>
      <c r="L138" s="26"/>
      <c r="M138" s="27">
        <f>AVERAGE(E137:E138)</f>
        <v>13646</v>
      </c>
      <c r="N138" s="27">
        <f>STDEV(E137:E138)</f>
        <v>738.21947955875567</v>
      </c>
      <c r="O138" s="28"/>
      <c r="P138" s="29">
        <f>AVERAGE(H137:H138)</f>
        <v>36.031999999999996</v>
      </c>
      <c r="Q138" s="29">
        <f>STDEV(H137:H138)</f>
        <v>1.4142135623733162E-2</v>
      </c>
      <c r="R138" s="28"/>
      <c r="S138" s="29">
        <f>J138-(M138-Standards!$N$124)*Standards!$AA$55</f>
        <v>-1.5264530172413793</v>
      </c>
      <c r="T138" s="29">
        <f>S138-(A138-Standards!$A$124)*Standards!$AA$4</f>
        <v>-1.5203861896551725</v>
      </c>
      <c r="U138" s="29"/>
      <c r="V138" s="28"/>
      <c r="W138" s="29">
        <f>P138-(M138-Standards!$N$124)*Standards!$AL$54</f>
        <v>36.024743620689655</v>
      </c>
      <c r="X138" s="29">
        <f>W138-(A138-Standards!$A$124)*Standards!$AL$5</f>
        <v>36.025541137931036</v>
      </c>
      <c r="Y138" s="111"/>
      <c r="Z138" s="19">
        <f>(T138*Standards!$O$159)+Standards!$O$160</f>
        <v>-1.8559628652718712</v>
      </c>
      <c r="AA138" s="20">
        <f>(X138*Standards!$U$159)+Standards!$U$160</f>
        <v>25.544855705704681</v>
      </c>
    </row>
    <row r="139" spans="1:27" ht="24.95" customHeight="1" x14ac:dyDescent="0.25">
      <c r="A139" s="27">
        <v>70</v>
      </c>
      <c r="B139" s="26" t="s">
        <v>1096</v>
      </c>
      <c r="C139" s="26" t="s">
        <v>283</v>
      </c>
      <c r="D139" s="26">
        <v>6</v>
      </c>
      <c r="E139" s="26">
        <v>12683</v>
      </c>
      <c r="F139" s="26">
        <v>160.99100000000001</v>
      </c>
      <c r="G139" s="26">
        <v>-1.212</v>
      </c>
      <c r="H139" s="26">
        <v>35.799999999999997</v>
      </c>
      <c r="I139" s="26"/>
      <c r="J139" s="26"/>
      <c r="K139" s="26"/>
      <c r="L139" s="26"/>
      <c r="M139" s="27"/>
      <c r="N139" s="27"/>
      <c r="O139" s="28"/>
      <c r="P139" s="29"/>
      <c r="Q139" s="29"/>
      <c r="R139" s="28"/>
      <c r="S139" s="28"/>
      <c r="T139" s="28"/>
      <c r="U139" s="28"/>
      <c r="V139" s="28"/>
      <c r="W139" s="28"/>
      <c r="X139" s="28"/>
      <c r="Y139" s="32"/>
      <c r="Z139" s="33"/>
      <c r="AA139" s="34"/>
    </row>
    <row r="140" spans="1:27" ht="24.95" customHeight="1" x14ac:dyDescent="0.25">
      <c r="A140" s="27">
        <v>70</v>
      </c>
      <c r="B140" s="26" t="s">
        <v>1096</v>
      </c>
      <c r="C140" s="26" t="s">
        <v>283</v>
      </c>
      <c r="D140" s="26">
        <v>7</v>
      </c>
      <c r="E140" s="26">
        <v>11840</v>
      </c>
      <c r="F140" s="26">
        <v>149.66200000000001</v>
      </c>
      <c r="G140" s="26">
        <v>-1.161</v>
      </c>
      <c r="H140" s="26">
        <v>35.786999999999999</v>
      </c>
      <c r="I140" s="26"/>
      <c r="J140" s="31">
        <f>AVERAGE(G139:G140)</f>
        <v>-1.1865000000000001</v>
      </c>
      <c r="K140" s="31">
        <f>STDEV(G139:G140)</f>
        <v>3.6062445840513872E-2</v>
      </c>
      <c r="L140" s="26"/>
      <c r="M140" s="27">
        <f>AVERAGE(E139:E140)</f>
        <v>12261.5</v>
      </c>
      <c r="N140" s="27">
        <f>STDEV(E139:E140)</f>
        <v>596.0910165402596</v>
      </c>
      <c r="O140" s="28"/>
      <c r="P140" s="29">
        <f>AVERAGE(H139:H140)</f>
        <v>35.793499999999995</v>
      </c>
      <c r="Q140" s="29">
        <f>STDEV(H139:H140)</f>
        <v>9.1923881554237911E-3</v>
      </c>
      <c r="R140" s="28"/>
      <c r="S140" s="29">
        <f>J140-(M140-Standards!$N$124)*Standards!$AA$55</f>
        <v>-1.1631467672413793</v>
      </c>
      <c r="T140" s="29">
        <f>S140-(A140-Standards!$A$124)*Standards!$AA$4</f>
        <v>-1.1575059396551723</v>
      </c>
      <c r="U140" s="29"/>
      <c r="V140" s="28"/>
      <c r="W140" s="29">
        <f>P140-(M140-Standards!$N$124)*Standards!$AL$54</f>
        <v>35.765476120689648</v>
      </c>
      <c r="X140" s="29">
        <f>W140-(A140-Standards!$A$124)*Standards!$AL$5</f>
        <v>35.766217637931028</v>
      </c>
      <c r="Y140" s="111"/>
      <c r="Z140" s="19">
        <f>(T140*Standards!$O$159)+Standards!$O$160</f>
        <v>-1.4903782185647629</v>
      </c>
      <c r="AA140" s="20">
        <f>(X140*Standards!$U$159)+Standards!$U$160</f>
        <v>25.290689637442735</v>
      </c>
    </row>
    <row r="141" spans="1:27" s="195" customFormat="1" ht="24.95" customHeight="1" x14ac:dyDescent="0.25">
      <c r="A141" s="188">
        <v>71</v>
      </c>
      <c r="B141" s="189" t="s">
        <v>0</v>
      </c>
      <c r="C141" s="189" t="s">
        <v>518</v>
      </c>
      <c r="D141" s="189">
        <v>6</v>
      </c>
      <c r="E141" s="189">
        <v>14004</v>
      </c>
      <c r="F141" s="189">
        <v>174.72</v>
      </c>
      <c r="G141" s="189">
        <v>4.7130000000000001</v>
      </c>
      <c r="H141" s="189">
        <v>36.993000000000002</v>
      </c>
      <c r="I141" s="189"/>
      <c r="J141" s="189"/>
      <c r="K141" s="189"/>
      <c r="L141" s="189"/>
      <c r="M141" s="188"/>
      <c r="N141" s="188"/>
      <c r="O141" s="190"/>
      <c r="P141" s="191"/>
      <c r="Q141" s="191"/>
      <c r="R141" s="190"/>
      <c r="S141" s="190"/>
      <c r="T141" s="190"/>
      <c r="U141" s="190"/>
      <c r="V141" s="190"/>
      <c r="W141" s="190"/>
      <c r="X141" s="190"/>
      <c r="Y141" s="192"/>
      <c r="Z141" s="193"/>
      <c r="AA141" s="194"/>
    </row>
    <row r="142" spans="1:27" s="195" customFormat="1" ht="24.95" customHeight="1" x14ac:dyDescent="0.25">
      <c r="A142" s="188">
        <v>71</v>
      </c>
      <c r="B142" s="189" t="s">
        <v>0</v>
      </c>
      <c r="C142" s="189" t="s">
        <v>518</v>
      </c>
      <c r="D142" s="189">
        <v>7</v>
      </c>
      <c r="E142" s="189">
        <v>12984</v>
      </c>
      <c r="F142" s="189">
        <v>164.16800000000001</v>
      </c>
      <c r="G142" s="189">
        <v>4.6870000000000003</v>
      </c>
      <c r="H142" s="189">
        <v>37.01</v>
      </c>
      <c r="I142" s="189"/>
      <c r="J142" s="196">
        <f>AVERAGE(G141:G142)</f>
        <v>4.7</v>
      </c>
      <c r="K142" s="196">
        <f>STDEV(G141:G142)</f>
        <v>1.8384776310850094E-2</v>
      </c>
      <c r="L142" s="189"/>
      <c r="M142" s="188">
        <f>AVERAGE(E141:E142)</f>
        <v>13494</v>
      </c>
      <c r="N142" s="188">
        <f>STDEV(E141:E142)</f>
        <v>721.2489168102785</v>
      </c>
      <c r="O142" s="190"/>
      <c r="P142" s="191">
        <f>AVERAGE(H141:H142)</f>
        <v>37.0015</v>
      </c>
      <c r="Q142" s="191">
        <f>STDEV(H141:H142)</f>
        <v>1.2020815280168415E-2</v>
      </c>
      <c r="R142" s="190"/>
      <c r="S142" s="191">
        <f>J142-(M142-Standards!$N$124)*Standards!$AA$55</f>
        <v>4.7079469827586209</v>
      </c>
      <c r="T142" s="191">
        <f>S142-(A142-Standards!$A$124)*Standards!$AA$4</f>
        <v>4.7131618103448281</v>
      </c>
      <c r="U142" s="191"/>
      <c r="V142" s="190"/>
      <c r="W142" s="191">
        <f>P142-(M142-Standards!$N$124)*Standards!$AL$54</f>
        <v>36.991963620689653</v>
      </c>
      <c r="X142" s="191">
        <f>W142-(A142-Standards!$A$124)*Standards!$AL$5</f>
        <v>36.992649137931032</v>
      </c>
      <c r="Y142" s="197"/>
      <c r="Z142" s="198">
        <f>(T142*Standards!$O$159)+Standards!$O$160</f>
        <v>4.4240411947776899</v>
      </c>
      <c r="AA142" s="199">
        <f>(X142*Standards!$U$159)+Standards!$U$160</f>
        <v>26.492729839536221</v>
      </c>
    </row>
    <row r="143" spans="1:27" s="195" customFormat="1" ht="24.95" customHeight="1" x14ac:dyDescent="0.25">
      <c r="A143" s="188">
        <v>72</v>
      </c>
      <c r="B143" s="189" t="s">
        <v>0</v>
      </c>
      <c r="C143" s="189" t="s">
        <v>576</v>
      </c>
      <c r="D143" s="189">
        <v>6</v>
      </c>
      <c r="E143" s="189">
        <v>13499</v>
      </c>
      <c r="F143" s="189">
        <v>169.52199999999999</v>
      </c>
      <c r="G143" s="189">
        <v>4.6559999999999997</v>
      </c>
      <c r="H143" s="189">
        <v>37.054000000000002</v>
      </c>
      <c r="I143" s="189"/>
      <c r="J143" s="189"/>
      <c r="K143" s="189"/>
      <c r="L143" s="189"/>
      <c r="M143" s="188"/>
      <c r="N143" s="188"/>
      <c r="O143" s="190"/>
      <c r="P143" s="191"/>
      <c r="Q143" s="191"/>
      <c r="R143" s="190"/>
      <c r="S143" s="190"/>
      <c r="T143" s="190"/>
      <c r="U143" s="190"/>
      <c r="V143" s="190"/>
      <c r="W143" s="190"/>
      <c r="X143" s="190"/>
      <c r="Y143" s="192"/>
      <c r="Z143" s="193"/>
      <c r="AA143" s="194"/>
    </row>
    <row r="144" spans="1:27" s="195" customFormat="1" ht="24.95" customHeight="1" x14ac:dyDescent="0.25">
      <c r="A144" s="188">
        <v>72</v>
      </c>
      <c r="B144" s="189" t="s">
        <v>0</v>
      </c>
      <c r="C144" s="189" t="s">
        <v>576</v>
      </c>
      <c r="D144" s="189">
        <v>7</v>
      </c>
      <c r="E144" s="189">
        <v>12719</v>
      </c>
      <c r="F144" s="189">
        <v>158.21299999999999</v>
      </c>
      <c r="G144" s="189">
        <v>4.7300000000000004</v>
      </c>
      <c r="H144" s="189">
        <v>37.061999999999998</v>
      </c>
      <c r="I144" s="189"/>
      <c r="J144" s="196">
        <f>AVERAGE(G143:G144)</f>
        <v>4.6929999999999996</v>
      </c>
      <c r="K144" s="196">
        <f>STDEV(G143:G144)</f>
        <v>5.2325901807805032E-2</v>
      </c>
      <c r="L144" s="189"/>
      <c r="M144" s="188">
        <f>AVERAGE(E143:E144)</f>
        <v>13109</v>
      </c>
      <c r="N144" s="188">
        <f>STDEV(E143:E144)</f>
        <v>551.54328932550709</v>
      </c>
      <c r="O144" s="190"/>
      <c r="P144" s="191">
        <f>AVERAGE(H143:H144)</f>
        <v>37.058</v>
      </c>
      <c r="Q144" s="191">
        <f>STDEV(H143:H144)</f>
        <v>5.6568542494892455E-3</v>
      </c>
      <c r="R144" s="190"/>
      <c r="S144" s="191">
        <f>J144-(M144-Standards!$N$124)*Standards!$AA$55</f>
        <v>4.7057594827586202</v>
      </c>
      <c r="T144" s="191">
        <f>S144-(A144-Standards!$A$124)*Standards!$AA$4</f>
        <v>4.7105483103448273</v>
      </c>
      <c r="U144" s="191"/>
      <c r="V144" s="190"/>
      <c r="W144" s="191">
        <f>P144-(M144-Standards!$N$124)*Standards!$AL$54</f>
        <v>37.042688620689653</v>
      </c>
      <c r="X144" s="191">
        <f>W144-(A144-Standards!$A$124)*Standards!$AL$5</f>
        <v>37.043318137931031</v>
      </c>
      <c r="Y144" s="197"/>
      <c r="Z144" s="198">
        <f>(T144*Standards!$O$159)+Standards!$O$160</f>
        <v>4.4214082174410354</v>
      </c>
      <c r="AA144" s="199">
        <f>(X144*Standards!$U$159)+Standards!$U$160</f>
        <v>26.542391133297738</v>
      </c>
    </row>
    <row r="145" spans="1:27" ht="24.95" customHeight="1" x14ac:dyDescent="0.25">
      <c r="A145" s="27">
        <v>73</v>
      </c>
      <c r="B145" s="26" t="s">
        <v>1105</v>
      </c>
      <c r="C145" s="26" t="s">
        <v>729</v>
      </c>
      <c r="D145" s="26">
        <v>6</v>
      </c>
      <c r="E145" s="26">
        <v>14937</v>
      </c>
      <c r="F145" s="26">
        <v>188.40899999999999</v>
      </c>
      <c r="G145" s="26">
        <v>-1.4219999999999999</v>
      </c>
      <c r="H145" s="26">
        <v>35.69</v>
      </c>
      <c r="I145" s="26"/>
      <c r="J145" s="31"/>
      <c r="K145" s="31"/>
      <c r="L145" s="26"/>
      <c r="M145" s="27"/>
      <c r="N145" s="27"/>
      <c r="O145" s="28"/>
      <c r="P145" s="29"/>
      <c r="Q145" s="29"/>
      <c r="R145" s="28"/>
      <c r="S145" s="29"/>
      <c r="T145" s="29"/>
      <c r="U145" s="29"/>
      <c r="V145" s="29"/>
      <c r="W145" s="29"/>
      <c r="X145" s="29"/>
      <c r="Y145" s="32"/>
      <c r="Z145" s="35"/>
      <c r="AA145" s="36"/>
    </row>
    <row r="146" spans="1:27" ht="24.95" customHeight="1" x14ac:dyDescent="0.25">
      <c r="A146" s="27">
        <v>73</v>
      </c>
      <c r="B146" s="26" t="s">
        <v>1105</v>
      </c>
      <c r="C146" s="26" t="s">
        <v>729</v>
      </c>
      <c r="D146" s="26">
        <v>7</v>
      </c>
      <c r="E146" s="26">
        <v>13820</v>
      </c>
      <c r="F146" s="26">
        <v>174.65799999999999</v>
      </c>
      <c r="G146" s="26">
        <v>-1.357</v>
      </c>
      <c r="H146" s="26">
        <v>35.719000000000001</v>
      </c>
      <c r="I146" s="26"/>
      <c r="J146" s="31">
        <f>AVERAGE(G145:G146)</f>
        <v>-1.3895</v>
      </c>
      <c r="K146" s="31">
        <f>STDEV(G145:G146)</f>
        <v>4.5961940777125551E-2</v>
      </c>
      <c r="L146" s="26"/>
      <c r="M146" s="27">
        <f>AVERAGE(E145:E146)</f>
        <v>14378.5</v>
      </c>
      <c r="N146" s="27">
        <f>STDEV(E145:E146)</f>
        <v>789.8382745853736</v>
      </c>
      <c r="O146" s="28"/>
      <c r="P146" s="29">
        <f>AVERAGE(H145:H146)</f>
        <v>35.704499999999996</v>
      </c>
      <c r="Q146" s="29">
        <f>STDEV(H145:H146)</f>
        <v>2.0506096654412328E-2</v>
      </c>
      <c r="R146" s="28"/>
      <c r="S146" s="29">
        <f>J146-(M146-Standards!$N$124)*Standards!$AA$55</f>
        <v>-1.3926092672413792</v>
      </c>
      <c r="T146" s="29">
        <f>S146-(A146-Standards!$A$124)*Standards!$AA$4</f>
        <v>-1.3882464396551724</v>
      </c>
      <c r="U146" s="29"/>
      <c r="V146" s="28"/>
      <c r="W146" s="29">
        <f>P146-(M146-Standards!$N$124)*Standards!$AL$54</f>
        <v>35.708231120689653</v>
      </c>
      <c r="X146" s="29">
        <f>W146-(A146-Standards!$A$124)*Standards!$AL$5</f>
        <v>35.708804637931031</v>
      </c>
      <c r="Y146" s="111"/>
      <c r="Z146" s="19">
        <f>(T146*Standards!$O$159)+Standards!$O$160</f>
        <v>-1.7228383322621093</v>
      </c>
      <c r="AA146" s="20">
        <f>(X146*Standards!$U$159)+Standards!$U$160</f>
        <v>25.234418468508483</v>
      </c>
    </row>
    <row r="147" spans="1:27" ht="24.95" customHeight="1" x14ac:dyDescent="0.25">
      <c r="A147" s="27">
        <v>74</v>
      </c>
      <c r="B147" s="26" t="s">
        <v>1111</v>
      </c>
      <c r="C147" s="26" t="s">
        <v>518</v>
      </c>
      <c r="D147" s="26">
        <v>6</v>
      </c>
      <c r="E147" s="26">
        <v>13729</v>
      </c>
      <c r="F147" s="26">
        <v>170.12200000000001</v>
      </c>
      <c r="G147" s="26">
        <v>-1.6459999999999999</v>
      </c>
      <c r="H147" s="26">
        <v>35.951999999999998</v>
      </c>
      <c r="I147" s="26"/>
      <c r="J147" s="26"/>
      <c r="K147" s="26"/>
      <c r="L147" s="26"/>
      <c r="M147" s="27"/>
      <c r="N147" s="27"/>
      <c r="O147" s="28"/>
      <c r="P147" s="29"/>
      <c r="Q147" s="29"/>
      <c r="R147" s="28"/>
      <c r="S147" s="28"/>
      <c r="T147" s="28"/>
      <c r="U147" s="28"/>
      <c r="V147" s="28"/>
      <c r="W147" s="28"/>
      <c r="X147" s="28"/>
      <c r="Y147" s="32"/>
      <c r="Z147" s="33"/>
      <c r="AA147" s="34"/>
    </row>
    <row r="148" spans="1:27" ht="24.95" customHeight="1" x14ac:dyDescent="0.25">
      <c r="A148" s="27">
        <v>74</v>
      </c>
      <c r="B148" s="26" t="s">
        <v>1111</v>
      </c>
      <c r="C148" s="26" t="s">
        <v>518</v>
      </c>
      <c r="D148" s="26">
        <v>7</v>
      </c>
      <c r="E148" s="26">
        <v>12953</v>
      </c>
      <c r="F148" s="26">
        <v>159.03</v>
      </c>
      <c r="G148" s="26">
        <v>-1.573</v>
      </c>
      <c r="H148" s="26">
        <v>35.954999999999998</v>
      </c>
      <c r="I148" s="26"/>
      <c r="J148" s="31">
        <f>AVERAGE(G147:G148)</f>
        <v>-1.6094999999999999</v>
      </c>
      <c r="K148" s="31">
        <f>STDEV(G147:G148)</f>
        <v>5.1618795026617939E-2</v>
      </c>
      <c r="L148" s="26"/>
      <c r="M148" s="27">
        <f>AVERAGE(E147:E148)</f>
        <v>13341</v>
      </c>
      <c r="N148" s="27">
        <f>STDEV(E147:E148)</f>
        <v>548.71486220076088</v>
      </c>
      <c r="O148" s="28"/>
      <c r="P148" s="29">
        <f>AVERAGE(H147:H148)</f>
        <v>35.953499999999998</v>
      </c>
      <c r="Q148" s="29">
        <f>STDEV(H147:H148)</f>
        <v>2.1213203435597231E-3</v>
      </c>
      <c r="R148" s="28"/>
      <c r="S148" s="29">
        <f>J148-(M148-Standards!$N$124)*Standards!$AA$55</f>
        <v>-1.5996405172413792</v>
      </c>
      <c r="T148" s="29">
        <f>S148-(A148-Standards!$A$124)*Standards!$AA$4</f>
        <v>-1.5957036896551724</v>
      </c>
      <c r="U148" s="29"/>
      <c r="V148" s="28"/>
      <c r="W148" s="29">
        <f>P148-(M148-Standards!$N$124)*Standards!$AL$54</f>
        <v>35.941668620689654</v>
      </c>
      <c r="X148" s="29">
        <f>W148-(A148-Standards!$A$124)*Standards!$AL$5</f>
        <v>35.942186137931031</v>
      </c>
      <c r="Y148" s="111"/>
      <c r="Z148" s="19">
        <f>(T148*Standards!$O$159)+Standards!$O$160</f>
        <v>-1.9318416755084782</v>
      </c>
      <c r="AA148" s="20">
        <f>(X148*Standards!$U$159)+Standards!$U$160</f>
        <v>25.463158471863647</v>
      </c>
    </row>
    <row r="149" spans="1:27" ht="24.95" customHeight="1" x14ac:dyDescent="0.25">
      <c r="A149" s="27">
        <v>75</v>
      </c>
      <c r="B149" s="26" t="s">
        <v>1115</v>
      </c>
      <c r="C149" s="26" t="s">
        <v>635</v>
      </c>
      <c r="D149" s="26">
        <v>6</v>
      </c>
      <c r="E149" s="26">
        <v>14160</v>
      </c>
      <c r="F149" s="26">
        <v>180.126</v>
      </c>
      <c r="G149" s="26">
        <v>-1.486</v>
      </c>
      <c r="H149" s="26">
        <v>36.070999999999998</v>
      </c>
      <c r="I149" s="26"/>
      <c r="J149" s="26"/>
      <c r="K149" s="26"/>
      <c r="L149" s="26"/>
      <c r="M149" s="27"/>
      <c r="N149" s="27"/>
      <c r="O149" s="28"/>
      <c r="P149" s="29"/>
      <c r="Q149" s="29"/>
      <c r="R149" s="28"/>
      <c r="S149" s="28"/>
      <c r="T149" s="28"/>
      <c r="U149" s="28"/>
      <c r="V149" s="28"/>
      <c r="W149" s="28"/>
      <c r="X149" s="28"/>
      <c r="Y149" s="32"/>
      <c r="Z149" s="33"/>
      <c r="AA149" s="34"/>
    </row>
    <row r="150" spans="1:27" ht="24.95" customHeight="1" x14ac:dyDescent="0.25">
      <c r="A150" s="27">
        <v>75</v>
      </c>
      <c r="B150" s="26" t="s">
        <v>1115</v>
      </c>
      <c r="C150" s="26" t="s">
        <v>635</v>
      </c>
      <c r="D150" s="26">
        <v>7</v>
      </c>
      <c r="E150" s="26">
        <v>13142</v>
      </c>
      <c r="F150" s="26">
        <v>167.089</v>
      </c>
      <c r="G150" s="26">
        <v>-1.4370000000000001</v>
      </c>
      <c r="H150" s="26">
        <v>36.11</v>
      </c>
      <c r="I150" s="26"/>
      <c r="J150" s="31">
        <f>AVERAGE(G149:G150)</f>
        <v>-1.4615</v>
      </c>
      <c r="K150" s="31">
        <f>STDEV(G149:G150)</f>
        <v>3.4648232278140782E-2</v>
      </c>
      <c r="L150" s="26"/>
      <c r="M150" s="27">
        <f>AVERAGE(E149:E150)</f>
        <v>13651</v>
      </c>
      <c r="N150" s="27">
        <f>STDEV(E149:E150)</f>
        <v>719.8347032479054</v>
      </c>
      <c r="O150" s="28"/>
      <c r="P150" s="29">
        <f>AVERAGE(H149:H150)</f>
        <v>36.090499999999999</v>
      </c>
      <c r="Q150" s="29">
        <f>STDEV(H149:H150)</f>
        <v>2.7577164466276401E-2</v>
      </c>
      <c r="R150" s="28"/>
      <c r="S150" s="29">
        <f>J150-(M150-Standards!$N$124)*Standards!$AA$55</f>
        <v>-1.4555155172413794</v>
      </c>
      <c r="T150" s="29">
        <f>S150-(A150-Standards!$A$124)*Standards!$AA$4</f>
        <v>-1.4520046896551726</v>
      </c>
      <c r="U150" s="29"/>
      <c r="V150" s="28"/>
      <c r="W150" s="29">
        <f>P150-(M150-Standards!$N$124)*Standards!$AL$54</f>
        <v>36.083318620689653</v>
      </c>
      <c r="X150" s="29">
        <f>W150-(A150-Standards!$A$124)*Standards!$AL$5</f>
        <v>36.083780137931029</v>
      </c>
      <c r="Y150" s="111"/>
      <c r="Z150" s="19">
        <f>(T150*Standards!$O$159)+Standards!$O$160</f>
        <v>-1.7870717461800989</v>
      </c>
      <c r="AA150" s="20">
        <f>(X150*Standards!$U$159)+Standards!$U$160</f>
        <v>25.601936447131916</v>
      </c>
    </row>
    <row r="151" spans="1:27" ht="24.95" customHeight="1" x14ac:dyDescent="0.25">
      <c r="A151" s="27">
        <v>76</v>
      </c>
      <c r="B151" s="26" t="s">
        <v>1121</v>
      </c>
      <c r="C151" s="26" t="s">
        <v>267</v>
      </c>
      <c r="D151" s="26">
        <v>6</v>
      </c>
      <c r="E151" s="26">
        <v>14321</v>
      </c>
      <c r="F151" s="26">
        <v>175.31800000000001</v>
      </c>
      <c r="G151" s="26">
        <v>-1.464</v>
      </c>
      <c r="H151" s="26">
        <v>36.006999999999998</v>
      </c>
      <c r="I151" s="26"/>
      <c r="J151" s="26"/>
      <c r="K151" s="26"/>
      <c r="L151" s="26"/>
      <c r="M151" s="27"/>
      <c r="N151" s="27"/>
      <c r="O151" s="28"/>
      <c r="P151" s="29"/>
      <c r="Q151" s="29"/>
      <c r="R151" s="28"/>
      <c r="S151" s="28"/>
      <c r="T151" s="28"/>
      <c r="U151" s="28"/>
      <c r="V151" s="28"/>
      <c r="W151" s="28"/>
      <c r="X151" s="28"/>
      <c r="Y151" s="32"/>
      <c r="Z151" s="33"/>
      <c r="AA151" s="34"/>
    </row>
    <row r="152" spans="1:27" ht="24.95" customHeight="1" x14ac:dyDescent="0.25">
      <c r="A152" s="27">
        <v>76</v>
      </c>
      <c r="B152" s="26" t="s">
        <v>1121</v>
      </c>
      <c r="C152" s="26" t="s">
        <v>267</v>
      </c>
      <c r="D152" s="26">
        <v>7</v>
      </c>
      <c r="E152" s="26">
        <v>13483</v>
      </c>
      <c r="F152" s="26">
        <v>163.94</v>
      </c>
      <c r="G152" s="26">
        <v>-1.3839999999999999</v>
      </c>
      <c r="H152" s="26">
        <v>36.055</v>
      </c>
      <c r="I152" s="26"/>
      <c r="J152" s="31">
        <f>AVERAGE(G151:G152)</f>
        <v>-1.4239999999999999</v>
      </c>
      <c r="K152" s="31">
        <f>STDEV(G151:G152)</f>
        <v>5.6568542494923851E-2</v>
      </c>
      <c r="L152" s="26"/>
      <c r="M152" s="27">
        <f>AVERAGE(E151:E152)</f>
        <v>13902</v>
      </c>
      <c r="N152" s="27">
        <f>STDEV(E151:E152)</f>
        <v>592.55548263432684</v>
      </c>
      <c r="O152" s="28"/>
      <c r="P152" s="29">
        <f>AVERAGE(H151:H152)</f>
        <v>36.030999999999999</v>
      </c>
      <c r="Q152" s="29">
        <f>STDEV(H151:H152)</f>
        <v>3.394112549695557E-2</v>
      </c>
      <c r="R152" s="28"/>
      <c r="S152" s="29">
        <f>J152-(M152-Standards!$N$124)*Standards!$AA$55</f>
        <v>-1.4211530172413793</v>
      </c>
      <c r="T152" s="29">
        <f>S152-(A152-Standards!$A$124)*Standards!$AA$4</f>
        <v>-1.4180681896551723</v>
      </c>
      <c r="U152" s="29"/>
      <c r="V152" s="28"/>
      <c r="W152" s="29">
        <f>P152-(M152-Standards!$N$124)*Standards!$AL$54</f>
        <v>36.027583620689654</v>
      </c>
      <c r="X152" s="29">
        <f>W152-(A152-Standards!$A$124)*Standards!$AL$5</f>
        <v>36.027989137931037</v>
      </c>
      <c r="Y152" s="111"/>
      <c r="Z152" s="19">
        <f>(T152*Standards!$O$159)+Standards!$O$160</f>
        <v>-1.7528823314545088</v>
      </c>
      <c r="AA152" s="20">
        <f>(X152*Standards!$U$159)+Standards!$U$160</f>
        <v>25.547255019824323</v>
      </c>
    </row>
    <row r="153" spans="1:27" ht="24.95" customHeight="1" x14ac:dyDescent="0.25">
      <c r="A153" s="27">
        <v>77</v>
      </c>
      <c r="B153" s="26" t="s">
        <v>1126</v>
      </c>
      <c r="C153" s="26" t="s">
        <v>286</v>
      </c>
      <c r="D153" s="26">
        <v>6</v>
      </c>
      <c r="E153" s="26">
        <v>12869</v>
      </c>
      <c r="F153" s="26">
        <v>164.41499999999999</v>
      </c>
      <c r="G153" s="26">
        <v>-1.51</v>
      </c>
      <c r="H153" s="26">
        <v>35.951000000000001</v>
      </c>
      <c r="I153" s="26"/>
      <c r="J153" s="31"/>
      <c r="K153" s="31"/>
      <c r="L153" s="26"/>
      <c r="M153" s="27"/>
      <c r="N153" s="27"/>
      <c r="O153" s="28"/>
      <c r="P153" s="29"/>
      <c r="Q153" s="29"/>
      <c r="R153" s="28"/>
      <c r="S153" s="29"/>
      <c r="T153" s="29"/>
      <c r="U153" s="29"/>
      <c r="V153" s="29"/>
      <c r="W153" s="29"/>
      <c r="X153" s="29"/>
      <c r="Y153" s="32"/>
      <c r="Z153" s="19"/>
      <c r="AA153" s="20"/>
    </row>
    <row r="154" spans="1:27" ht="24.95" customHeight="1" x14ac:dyDescent="0.25">
      <c r="A154" s="27">
        <v>77</v>
      </c>
      <c r="B154" s="26" t="s">
        <v>1126</v>
      </c>
      <c r="C154" s="26" t="s">
        <v>286</v>
      </c>
      <c r="D154" s="26">
        <v>7</v>
      </c>
      <c r="E154" s="26">
        <v>12003</v>
      </c>
      <c r="F154" s="26">
        <v>152.78800000000001</v>
      </c>
      <c r="G154" s="26">
        <v>-1.4419999999999999</v>
      </c>
      <c r="H154" s="26">
        <v>35.994</v>
      </c>
      <c r="I154" s="26"/>
      <c r="J154" s="31">
        <f>AVERAGE(G153:G154)</f>
        <v>-1.476</v>
      </c>
      <c r="K154" s="31">
        <f>STDEV(G153:G154)</f>
        <v>4.8083261120685276E-2</v>
      </c>
      <c r="L154" s="26"/>
      <c r="M154" s="27">
        <f>AVERAGE(E153:E154)</f>
        <v>12436</v>
      </c>
      <c r="N154" s="27">
        <f>STDEV(E153:E154)</f>
        <v>612.35447250755021</v>
      </c>
      <c r="O154" s="28"/>
      <c r="P154" s="29">
        <f>AVERAGE(H153:H154)</f>
        <v>35.972499999999997</v>
      </c>
      <c r="Q154" s="29">
        <f>STDEV(H153:H154)</f>
        <v>3.0405591591021019E-2</v>
      </c>
      <c r="R154" s="28"/>
      <c r="S154" s="29">
        <f>J154-(M154-Standards!$N$124)*Standards!$AA$55</f>
        <v>-1.4548280172413792</v>
      </c>
      <c r="T154" s="29">
        <f>S154-(A154-Standards!$A$124)*Standards!$AA$4</f>
        <v>-1.4521691896551723</v>
      </c>
      <c r="U154" s="29"/>
      <c r="V154" s="28"/>
      <c r="W154" s="29">
        <f>P154-(M154-Standards!$N$124)*Standards!$AL$54</f>
        <v>35.94709362068965</v>
      </c>
      <c r="X154" s="29">
        <f>W154-(A154-Standards!$A$124)*Standards!$AL$5</f>
        <v>35.947443137931032</v>
      </c>
      <c r="Y154" s="111"/>
      <c r="Z154" s="19">
        <f>(T154*Standards!$O$159)+Standards!$O$160</f>
        <v>-1.7872374721306934</v>
      </c>
      <c r="AA154" s="20">
        <f>(X154*Standards!$U$159)+Standards!$U$160</f>
        <v>25.468310920526623</v>
      </c>
    </row>
    <row r="155" spans="1:27" ht="24.95" customHeight="1" x14ac:dyDescent="0.25">
      <c r="A155" s="27">
        <v>78</v>
      </c>
      <c r="B155" s="26" t="s">
        <v>1131</v>
      </c>
      <c r="C155" s="26" t="s">
        <v>289</v>
      </c>
      <c r="D155" s="26">
        <v>6</v>
      </c>
      <c r="E155" s="26">
        <v>14232</v>
      </c>
      <c r="F155" s="26">
        <v>172.82</v>
      </c>
      <c r="G155" s="26">
        <v>-1.206</v>
      </c>
      <c r="H155" s="26">
        <v>35.777999999999999</v>
      </c>
      <c r="I155" s="26"/>
      <c r="J155" s="26"/>
      <c r="K155" s="26"/>
      <c r="L155" s="26"/>
      <c r="M155" s="27"/>
      <c r="N155" s="27"/>
      <c r="O155" s="28"/>
      <c r="P155" s="29"/>
      <c r="Q155" s="29"/>
      <c r="R155" s="28"/>
      <c r="S155" s="28"/>
      <c r="T155" s="28"/>
      <c r="U155" s="28"/>
      <c r="V155" s="28"/>
      <c r="W155" s="28"/>
      <c r="X155" s="28"/>
      <c r="Y155" s="32"/>
      <c r="Z155" s="33"/>
      <c r="AA155" s="34"/>
    </row>
    <row r="156" spans="1:27" ht="24.95" customHeight="1" x14ac:dyDescent="0.25">
      <c r="A156" s="27">
        <v>78</v>
      </c>
      <c r="B156" s="26" t="s">
        <v>1131</v>
      </c>
      <c r="C156" s="26" t="s">
        <v>289</v>
      </c>
      <c r="D156" s="26">
        <v>7</v>
      </c>
      <c r="E156" s="26">
        <v>13384</v>
      </c>
      <c r="F156" s="26">
        <v>161.65700000000001</v>
      </c>
      <c r="G156" s="26">
        <v>-1.119</v>
      </c>
      <c r="H156" s="26">
        <v>35.817999999999998</v>
      </c>
      <c r="I156" s="26"/>
      <c r="J156" s="31">
        <f>AVERAGE(G155:G156)</f>
        <v>-1.1625000000000001</v>
      </c>
      <c r="K156" s="31">
        <f>STDEV(G155:G156)</f>
        <v>6.1518289963229611E-2</v>
      </c>
      <c r="L156" s="26"/>
      <c r="M156" s="27">
        <f>AVERAGE(E155:E156)</f>
        <v>13808</v>
      </c>
      <c r="N156" s="27">
        <f>STDEV(E155:E156)</f>
        <v>599.62655044619225</v>
      </c>
      <c r="O156" s="28"/>
      <c r="P156" s="29">
        <f>AVERAGE(H155:H156)</f>
        <v>35.798000000000002</v>
      </c>
      <c r="Q156" s="29">
        <f>STDEV(H155:H156)</f>
        <v>2.8284271247461298E-2</v>
      </c>
      <c r="R156" s="28"/>
      <c r="S156" s="29">
        <f>J156-(M156-Standards!$N$124)*Standards!$AA$55</f>
        <v>-1.1584780172413793</v>
      </c>
      <c r="T156" s="29">
        <f>S156-(A156-Standards!$A$124)*Standards!$AA$4</f>
        <v>-1.1562451896551724</v>
      </c>
      <c r="U156" s="29"/>
      <c r="V156" s="28"/>
      <c r="W156" s="29">
        <f>P156-(M156-Standards!$N$124)*Standards!$AL$54</f>
        <v>35.793173620689657</v>
      </c>
      <c r="X156" s="29">
        <f>W156-(A156-Standards!$A$124)*Standards!$AL$5</f>
        <v>35.793467137931039</v>
      </c>
      <c r="Y156" s="111"/>
      <c r="Z156" s="19">
        <f>(T156*Standards!$O$159)+Standards!$O$160</f>
        <v>-1.4891080727154478</v>
      </c>
      <c r="AA156" s="20">
        <f>(X156*Standards!$U$159)+Standards!$U$160</f>
        <v>25.317397198759412</v>
      </c>
    </row>
    <row r="157" spans="1:27" ht="24.95" customHeight="1" x14ac:dyDescent="0.25">
      <c r="A157" s="27">
        <v>79</v>
      </c>
      <c r="B157" s="26" t="s">
        <v>1135</v>
      </c>
      <c r="C157" s="26" t="s">
        <v>505</v>
      </c>
      <c r="D157" s="26">
        <v>6</v>
      </c>
      <c r="E157" s="26">
        <v>12631</v>
      </c>
      <c r="F157" s="26">
        <v>161.13300000000001</v>
      </c>
      <c r="G157" s="26">
        <v>-1.2589999999999999</v>
      </c>
      <c r="H157" s="26">
        <v>35.856000000000002</v>
      </c>
      <c r="I157" s="26"/>
      <c r="J157" s="26"/>
      <c r="K157" s="26"/>
      <c r="L157" s="26"/>
      <c r="M157" s="27"/>
      <c r="N157" s="27"/>
      <c r="O157" s="28"/>
      <c r="P157" s="29"/>
      <c r="Q157" s="29"/>
      <c r="R157" s="28"/>
      <c r="S157" s="28"/>
      <c r="T157" s="28"/>
      <c r="U157" s="28"/>
      <c r="V157" s="28"/>
      <c r="W157" s="28"/>
      <c r="X157" s="28"/>
      <c r="Y157" s="32"/>
      <c r="Z157" s="33"/>
      <c r="AA157" s="34"/>
    </row>
    <row r="158" spans="1:27" ht="24.95" customHeight="1" x14ac:dyDescent="0.25">
      <c r="A158" s="27">
        <v>79</v>
      </c>
      <c r="B158" s="26" t="s">
        <v>1135</v>
      </c>
      <c r="C158" s="26" t="s">
        <v>505</v>
      </c>
      <c r="D158" s="26">
        <v>7</v>
      </c>
      <c r="E158" s="26">
        <v>11774</v>
      </c>
      <c r="F158" s="26">
        <v>149.68899999999999</v>
      </c>
      <c r="G158" s="26">
        <v>-1.2170000000000001</v>
      </c>
      <c r="H158" s="26">
        <v>35.871000000000002</v>
      </c>
      <c r="I158" s="26"/>
      <c r="J158" s="31">
        <f>AVERAGE(G157:G158)</f>
        <v>-1.238</v>
      </c>
      <c r="K158" s="31">
        <f>STDEV(G157:G158)</f>
        <v>2.9698484809834867E-2</v>
      </c>
      <c r="L158" s="26"/>
      <c r="M158" s="27">
        <f>AVERAGE(E157:E158)</f>
        <v>12202.5</v>
      </c>
      <c r="N158" s="27">
        <f>STDEV(E157:E158)</f>
        <v>605.99051147687123</v>
      </c>
      <c r="O158" s="28"/>
      <c r="P158" s="29">
        <f>AVERAGE(H157:H158)</f>
        <v>35.863500000000002</v>
      </c>
      <c r="Q158" s="29">
        <f>STDEV(H157:H158)</f>
        <v>1.0606601717798614E-2</v>
      </c>
      <c r="R158" s="28"/>
      <c r="S158" s="29">
        <f>J158-(M158-Standards!$N$124)*Standards!$AA$55</f>
        <v>-1.2139092672413794</v>
      </c>
      <c r="T158" s="29">
        <f>S158-(A158-Standards!$A$124)*Standards!$AA$4</f>
        <v>-1.2121024396551725</v>
      </c>
      <c r="U158" s="29"/>
      <c r="V158" s="28"/>
      <c r="W158" s="29">
        <f>P158-(M158-Standards!$N$124)*Standards!$AL$54</f>
        <v>35.834591120689659</v>
      </c>
      <c r="X158" s="29">
        <f>W158-(A158-Standards!$A$124)*Standards!$AL$5</f>
        <v>35.834828637931039</v>
      </c>
      <c r="Y158" s="111"/>
      <c r="Z158" s="19">
        <f>(T158*Standards!$O$159)+Standards!$O$160</f>
        <v>-1.5453816037419521</v>
      </c>
      <c r="AA158" s="20">
        <f>(X158*Standards!$U$159)+Standards!$U$160</f>
        <v>25.357936100295202</v>
      </c>
    </row>
    <row r="159" spans="1:27" ht="24.95" customHeight="1" x14ac:dyDescent="0.25">
      <c r="A159" s="27">
        <v>80</v>
      </c>
      <c r="B159" s="26" t="s">
        <v>1138</v>
      </c>
      <c r="C159" s="26" t="s">
        <v>328</v>
      </c>
      <c r="D159" s="26">
        <v>6</v>
      </c>
      <c r="E159" s="26">
        <v>16257</v>
      </c>
      <c r="F159" s="26">
        <v>197.03100000000001</v>
      </c>
      <c r="G159" s="26">
        <v>-1.627</v>
      </c>
      <c r="H159" s="26">
        <v>35.93</v>
      </c>
      <c r="I159" s="26"/>
      <c r="J159" s="26"/>
      <c r="K159" s="26"/>
      <c r="L159" s="26"/>
      <c r="M159" s="27"/>
      <c r="N159" s="27"/>
      <c r="O159" s="28"/>
      <c r="P159" s="29"/>
      <c r="Q159" s="29"/>
      <c r="R159" s="28"/>
      <c r="S159" s="28"/>
      <c r="T159" s="28"/>
      <c r="U159" s="28"/>
      <c r="V159" s="28"/>
      <c r="W159" s="28"/>
      <c r="X159" s="28"/>
      <c r="Y159" s="111"/>
      <c r="Z159" s="51"/>
      <c r="AA159" s="52"/>
    </row>
    <row r="160" spans="1:27" ht="24.95" customHeight="1" x14ac:dyDescent="0.25">
      <c r="A160" s="27">
        <v>80</v>
      </c>
      <c r="B160" s="26" t="s">
        <v>1138</v>
      </c>
      <c r="C160" s="26" t="s">
        <v>328</v>
      </c>
      <c r="D160" s="26">
        <v>7</v>
      </c>
      <c r="E160" s="26">
        <v>15144</v>
      </c>
      <c r="F160" s="26">
        <v>185.51900000000001</v>
      </c>
      <c r="G160" s="26">
        <v>-1.625</v>
      </c>
      <c r="H160" s="26">
        <v>35.953000000000003</v>
      </c>
      <c r="I160" s="26"/>
      <c r="J160" s="31">
        <f>AVERAGE(G159:G160)</f>
        <v>-1.6259999999999999</v>
      </c>
      <c r="K160" s="31">
        <f>STDEV(G159:G160)</f>
        <v>1.4142135623730963E-3</v>
      </c>
      <c r="L160" s="26"/>
      <c r="M160" s="27">
        <f>AVERAGE(E159:E160)</f>
        <v>15700.5</v>
      </c>
      <c r="N160" s="27">
        <f>STDEV(E159:E160)</f>
        <v>787.00984746062738</v>
      </c>
      <c r="O160" s="28"/>
      <c r="P160" s="29">
        <f>AVERAGE(H159:H160)</f>
        <v>35.941500000000005</v>
      </c>
      <c r="Q160" s="29">
        <f>STDEV(H159:H160)</f>
        <v>1.6263455967292884E-2</v>
      </c>
      <c r="R160" s="28"/>
      <c r="S160" s="29">
        <f>J160-(M160-Standards!$N$124)*Standards!$AA$55</f>
        <v>-1.6456342672413793</v>
      </c>
      <c r="T160" s="29">
        <f>S160-(A160-Standards!$A$124)*Standards!$AA$4</f>
        <v>-1.6442534396551725</v>
      </c>
      <c r="U160" s="29"/>
      <c r="V160" s="28"/>
      <c r="W160" s="29">
        <f>P160-(M160-Standards!$N$124)*Standards!$AL$54</f>
        <v>35.965061120689661</v>
      </c>
      <c r="X160" s="29">
        <f>W160-(A160-Standards!$A$124)*Standards!$AL$5</f>
        <v>35.965242637931041</v>
      </c>
      <c r="Y160" s="111"/>
      <c r="Z160" s="19">
        <f>(T160*Standards!$O$159)+Standards!$O$160</f>
        <v>-1.9807532467540019</v>
      </c>
      <c r="AA160" s="20">
        <f>(X160*Standards!$U$159)+Standards!$U$160</f>
        <v>25.485756423660856</v>
      </c>
    </row>
    <row r="161" spans="1:27" ht="24.95" customHeight="1" x14ac:dyDescent="0.25">
      <c r="A161" s="27">
        <v>81</v>
      </c>
      <c r="B161" s="26" t="s">
        <v>1142</v>
      </c>
      <c r="C161" s="26" t="s">
        <v>232</v>
      </c>
      <c r="D161" s="26">
        <v>6</v>
      </c>
      <c r="E161" s="26">
        <v>12871</v>
      </c>
      <c r="F161" s="26">
        <v>163.66399999999999</v>
      </c>
      <c r="G161" s="26">
        <v>-1.389</v>
      </c>
      <c r="H161" s="26">
        <v>36.159999999999997</v>
      </c>
      <c r="I161" s="26"/>
      <c r="J161" s="26"/>
      <c r="K161" s="26"/>
      <c r="L161" s="26"/>
      <c r="M161" s="53"/>
      <c r="N161" s="27"/>
      <c r="O161" s="28"/>
      <c r="P161" s="29"/>
      <c r="Q161" s="29"/>
      <c r="R161" s="28"/>
      <c r="S161" s="28"/>
      <c r="T161" s="28"/>
      <c r="U161" s="28"/>
      <c r="V161" s="28"/>
      <c r="W161" s="28"/>
      <c r="X161" s="28"/>
      <c r="Y161" s="32"/>
      <c r="Z161" s="33"/>
      <c r="AA161" s="34"/>
    </row>
    <row r="162" spans="1:27" ht="24.95" customHeight="1" x14ac:dyDescent="0.25">
      <c r="A162" s="27">
        <v>81</v>
      </c>
      <c r="B162" s="26" t="s">
        <v>1142</v>
      </c>
      <c r="C162" s="26" t="s">
        <v>232</v>
      </c>
      <c r="D162" s="26">
        <v>7</v>
      </c>
      <c r="E162" s="26">
        <v>12009</v>
      </c>
      <c r="F162" s="26">
        <v>152.071</v>
      </c>
      <c r="G162" s="26">
        <v>-1.34</v>
      </c>
      <c r="H162" s="26">
        <v>36.186999999999998</v>
      </c>
      <c r="I162" s="26"/>
      <c r="J162" s="31">
        <f>AVERAGE(G161:G162)</f>
        <v>-1.3645</v>
      </c>
      <c r="K162" s="31">
        <f>STDEV(G161:G162)</f>
        <v>3.4648232278140782E-2</v>
      </c>
      <c r="L162" s="26"/>
      <c r="M162" s="27">
        <f>AVERAGE(E161:E162)</f>
        <v>12440</v>
      </c>
      <c r="N162" s="27">
        <f>STDEV(E161:E162)</f>
        <v>609.526045382804</v>
      </c>
      <c r="O162" s="28"/>
      <c r="P162" s="29">
        <f>AVERAGE(H161:H162)</f>
        <v>36.173499999999997</v>
      </c>
      <c r="Q162" s="29">
        <f>STDEV(H161:H162)</f>
        <v>1.9091883092037507E-2</v>
      </c>
      <c r="R162" s="28"/>
      <c r="S162" s="29">
        <f>J162-(M162-Standards!$N$124)*Standards!$AA$55</f>
        <v>-1.3433780172413794</v>
      </c>
      <c r="T162" s="29">
        <f>S162-(A162-Standards!$A$124)*Standards!$AA$4</f>
        <v>-1.3424231896551726</v>
      </c>
      <c r="U162" s="29"/>
      <c r="V162" s="28"/>
      <c r="W162" s="29">
        <f>P162-(M162-Standards!$N$124)*Standards!$AL$54</f>
        <v>36.148153620689655</v>
      </c>
      <c r="X162" s="29">
        <f>W162-(A162-Standards!$A$124)*Standards!$AL$5</f>
        <v>36.148279137931034</v>
      </c>
      <c r="Y162" s="111"/>
      <c r="Z162" s="19">
        <f>(T162*Standards!$O$159)+Standards!$O$160</f>
        <v>-1.676673580495593</v>
      </c>
      <c r="AA162" s="20">
        <f>(X162*Standards!$U$159)+Standards!$U$160</f>
        <v>25.665152689535045</v>
      </c>
    </row>
    <row r="163" spans="1:27" ht="24.95" customHeight="1" x14ac:dyDescent="0.25">
      <c r="A163" s="27">
        <v>82</v>
      </c>
      <c r="B163" s="26" t="s">
        <v>1147</v>
      </c>
      <c r="C163" s="26" t="s">
        <v>227</v>
      </c>
      <c r="D163" s="26">
        <v>6</v>
      </c>
      <c r="E163" s="26">
        <v>13282</v>
      </c>
      <c r="F163" s="26">
        <v>163.73400000000001</v>
      </c>
      <c r="G163" s="26">
        <v>-1.1890000000000001</v>
      </c>
      <c r="H163" s="26">
        <v>36.229999999999997</v>
      </c>
      <c r="I163" s="26"/>
      <c r="J163" s="26"/>
      <c r="K163" s="26"/>
      <c r="L163" s="26"/>
      <c r="M163" s="27"/>
      <c r="N163" s="27"/>
      <c r="O163" s="28"/>
      <c r="P163" s="29"/>
      <c r="Q163" s="29"/>
      <c r="R163" s="28"/>
      <c r="S163" s="28"/>
      <c r="T163" s="28"/>
      <c r="U163" s="28"/>
      <c r="V163" s="28"/>
      <c r="W163" s="28"/>
      <c r="X163" s="28"/>
      <c r="Y163" s="32"/>
      <c r="Z163" s="33"/>
      <c r="AA163" s="34"/>
    </row>
    <row r="164" spans="1:27" ht="24.95" customHeight="1" x14ac:dyDescent="0.25">
      <c r="A164" s="27">
        <v>82</v>
      </c>
      <c r="B164" s="26" t="s">
        <v>1147</v>
      </c>
      <c r="C164" s="26" t="s">
        <v>227</v>
      </c>
      <c r="D164" s="26">
        <v>7</v>
      </c>
      <c r="E164" s="26">
        <v>12284</v>
      </c>
      <c r="F164" s="26">
        <v>151.84700000000001</v>
      </c>
      <c r="G164" s="26">
        <v>-1.165</v>
      </c>
      <c r="H164" s="26">
        <v>36.204000000000001</v>
      </c>
      <c r="I164" s="26"/>
      <c r="J164" s="31">
        <f>AVERAGE(G163:G164)</f>
        <v>-1.177</v>
      </c>
      <c r="K164" s="31">
        <f>STDEV(G163:G164)</f>
        <v>1.6970562748477157E-2</v>
      </c>
      <c r="L164" s="26"/>
      <c r="M164" s="27">
        <f>AVERAGE(E163:E164)</f>
        <v>12783</v>
      </c>
      <c r="N164" s="27">
        <f>STDEV(E163:E164)</f>
        <v>705.69256762417444</v>
      </c>
      <c r="O164" s="28"/>
      <c r="P164" s="29">
        <f>AVERAGE(H163:H164)</f>
        <v>36.216999999999999</v>
      </c>
      <c r="Q164" s="29">
        <f>STDEV(H163:H164)</f>
        <v>1.8384776310847582E-2</v>
      </c>
      <c r="R164" s="28"/>
      <c r="S164" s="29">
        <f>J164-(M164-Standards!$N$124)*Standards!$AA$55</f>
        <v>-1.1601655172413794</v>
      </c>
      <c r="T164" s="29">
        <f>S164-(A164-Standards!$A$124)*Standards!$AA$4</f>
        <v>-1.1596366896551724</v>
      </c>
      <c r="U164" s="29"/>
      <c r="V164" s="28"/>
      <c r="W164" s="29">
        <f>P164-(M164-Standards!$N$124)*Standards!$AL$54</f>
        <v>36.196798620689655</v>
      </c>
      <c r="X164" s="29">
        <f>W164-(A164-Standards!$A$124)*Standards!$AL$5</f>
        <v>36.196868137931034</v>
      </c>
      <c r="Y164" s="111"/>
      <c r="Z164" s="19">
        <f>(T164*Standards!$O$159)+Standards!$O$160</f>
        <v>-1.4925248481649442</v>
      </c>
      <c r="AA164" s="20">
        <f>(X164*Standards!$U$159)+Standards!$U$160</f>
        <v>25.712775350384444</v>
      </c>
    </row>
    <row r="165" spans="1:27" s="195" customFormat="1" ht="24.95" customHeight="1" x14ac:dyDescent="0.25">
      <c r="A165" s="188">
        <v>83</v>
      </c>
      <c r="B165" s="189" t="s">
        <v>0</v>
      </c>
      <c r="C165" s="189" t="s">
        <v>518</v>
      </c>
      <c r="D165" s="189">
        <v>6</v>
      </c>
      <c r="E165" s="189">
        <v>13181</v>
      </c>
      <c r="F165" s="189">
        <v>166.489</v>
      </c>
      <c r="G165" s="189">
        <v>4.7</v>
      </c>
      <c r="H165" s="189">
        <v>37.012999999999998</v>
      </c>
      <c r="I165" s="189"/>
      <c r="J165" s="196"/>
      <c r="K165" s="196"/>
      <c r="L165" s="189"/>
      <c r="M165" s="188"/>
      <c r="N165" s="188"/>
      <c r="O165" s="190"/>
      <c r="P165" s="191"/>
      <c r="Q165" s="191"/>
      <c r="R165" s="190"/>
      <c r="S165" s="190"/>
      <c r="T165" s="190"/>
      <c r="U165" s="190"/>
      <c r="V165" s="191"/>
      <c r="W165" s="190"/>
      <c r="X165" s="190"/>
      <c r="Y165" s="192"/>
      <c r="Z165" s="193"/>
      <c r="AA165" s="194"/>
    </row>
    <row r="166" spans="1:27" s="195" customFormat="1" ht="24.95" customHeight="1" x14ac:dyDescent="0.25">
      <c r="A166" s="188">
        <v>83</v>
      </c>
      <c r="B166" s="189" t="s">
        <v>0</v>
      </c>
      <c r="C166" s="189" t="s">
        <v>518</v>
      </c>
      <c r="D166" s="189">
        <v>7</v>
      </c>
      <c r="E166" s="189">
        <v>12366</v>
      </c>
      <c r="F166" s="189">
        <v>154.828</v>
      </c>
      <c r="G166" s="189">
        <v>4.7549999999999999</v>
      </c>
      <c r="H166" s="189">
        <v>37.040999999999997</v>
      </c>
      <c r="I166" s="189"/>
      <c r="J166" s="196">
        <f>AVERAGE(G165:G166)</f>
        <v>4.7275</v>
      </c>
      <c r="K166" s="196">
        <f>STDEV(G165:G166)</f>
        <v>3.8890872965259914E-2</v>
      </c>
      <c r="L166" s="189"/>
      <c r="M166" s="188">
        <f>AVERAGE(E165:E166)</f>
        <v>12773.5</v>
      </c>
      <c r="N166" s="188">
        <f>STDEV(E165:E166)</f>
        <v>576.29202666703623</v>
      </c>
      <c r="O166" s="190"/>
      <c r="P166" s="191">
        <f>AVERAGE(H165:H166)</f>
        <v>37.027000000000001</v>
      </c>
      <c r="Q166" s="191">
        <f>STDEV(H165:H166)</f>
        <v>1.9798989873222407E-2</v>
      </c>
      <c r="R166" s="190"/>
      <c r="S166" s="191">
        <f>J166-(M166-Standards!$N$124)*Standards!$AA$55</f>
        <v>4.7444532327586204</v>
      </c>
      <c r="T166" s="191">
        <f>S166-(A166-Standards!$A$124)*Standards!$AA$4</f>
        <v>4.7445560603448271</v>
      </c>
      <c r="U166" s="191"/>
      <c r="V166" s="190"/>
      <c r="W166" s="191">
        <f>P166-(M166-Standards!$N$124)*Standards!$AL$54</f>
        <v>37.006656120689655</v>
      </c>
      <c r="X166" s="191">
        <f>W166-(A166-Standards!$A$124)*Standards!$AL$5</f>
        <v>37.006669637931033</v>
      </c>
      <c r="Y166" s="197"/>
      <c r="Z166" s="198">
        <f>(T166*Standards!$O$159)+Standards!$O$160</f>
        <v>4.4556694131634638</v>
      </c>
      <c r="AA166" s="199">
        <f>(X166*Standards!$U$159)+Standards!$U$160</f>
        <v>26.506471499509448</v>
      </c>
    </row>
    <row r="167" spans="1:27" s="195" customFormat="1" ht="24.95" customHeight="1" x14ac:dyDescent="0.25">
      <c r="A167" s="188">
        <v>84</v>
      </c>
      <c r="B167" s="189" t="s">
        <v>0</v>
      </c>
      <c r="C167" s="189" t="s">
        <v>269</v>
      </c>
      <c r="D167" s="189">
        <v>6</v>
      </c>
      <c r="E167" s="189">
        <v>12830</v>
      </c>
      <c r="F167" s="189">
        <v>161.59299999999999</v>
      </c>
      <c r="G167" s="189">
        <v>4.6849999999999996</v>
      </c>
      <c r="H167" s="189">
        <v>37.058999999999997</v>
      </c>
      <c r="I167" s="189"/>
      <c r="J167" s="189"/>
      <c r="K167" s="189"/>
      <c r="L167" s="189"/>
      <c r="M167" s="188"/>
      <c r="N167" s="188"/>
      <c r="O167" s="190"/>
      <c r="P167" s="191"/>
      <c r="Q167" s="191"/>
      <c r="R167" s="190"/>
      <c r="S167" s="190"/>
      <c r="T167" s="190"/>
      <c r="U167" s="190"/>
      <c r="V167" s="190"/>
      <c r="W167" s="190"/>
      <c r="X167" s="190"/>
      <c r="Y167" s="192"/>
      <c r="Z167" s="193"/>
      <c r="AA167" s="194"/>
    </row>
    <row r="168" spans="1:27" s="195" customFormat="1" ht="24.95" customHeight="1" x14ac:dyDescent="0.25">
      <c r="A168" s="188">
        <v>84</v>
      </c>
      <c r="B168" s="189" t="s">
        <v>0</v>
      </c>
      <c r="C168" s="189" t="s">
        <v>269</v>
      </c>
      <c r="D168" s="189">
        <v>7</v>
      </c>
      <c r="E168" s="189">
        <v>11911</v>
      </c>
      <c r="F168" s="189">
        <v>151.83500000000001</v>
      </c>
      <c r="G168" s="189">
        <v>4.6580000000000004</v>
      </c>
      <c r="H168" s="189">
        <v>37.079000000000001</v>
      </c>
      <c r="I168" s="189"/>
      <c r="J168" s="196">
        <f>AVERAGE(G167:G168)</f>
        <v>4.6715</v>
      </c>
      <c r="K168" s="196">
        <f>STDEV(G167:G168)</f>
        <v>1.9091883092036251E-2</v>
      </c>
      <c r="L168" s="189"/>
      <c r="M168" s="188">
        <f>AVERAGE(E167:E168)</f>
        <v>12370.5</v>
      </c>
      <c r="N168" s="188">
        <f>STDEV(E167:E168)</f>
        <v>649.83113191043719</v>
      </c>
      <c r="O168" s="190"/>
      <c r="P168" s="191">
        <f>AVERAGE(H167:H168)</f>
        <v>37.069000000000003</v>
      </c>
      <c r="Q168" s="191">
        <f>STDEV(H167:H168)</f>
        <v>1.4142135623733162E-2</v>
      </c>
      <c r="R168" s="190"/>
      <c r="S168" s="191">
        <f>J168-(M168-Standards!$N$124)*Standards!$AA$55</f>
        <v>4.6934907327586206</v>
      </c>
      <c r="T168" s="191">
        <f>S168-(A168-Standards!$A$124)*Standards!$AA$4</f>
        <v>4.6931675603448273</v>
      </c>
      <c r="U168" s="191"/>
      <c r="V168" s="190"/>
      <c r="W168" s="191">
        <f>P168-(M168-Standards!$N$124)*Standards!$AL$54</f>
        <v>37.042611120689656</v>
      </c>
      <c r="X168" s="191">
        <f>W168-(A168-Standards!$A$124)*Standards!$AL$5</f>
        <v>37.042568637931033</v>
      </c>
      <c r="Y168" s="197"/>
      <c r="Z168" s="198">
        <f>(T168*Standards!$O$159)+Standards!$O$160</f>
        <v>4.40389793588602</v>
      </c>
      <c r="AA168" s="199">
        <f>(X168*Standards!$U$159)+Standards!$U$160</f>
        <v>26.541656539370994</v>
      </c>
    </row>
    <row r="169" spans="1:27" ht="24.95" customHeight="1" x14ac:dyDescent="0.25">
      <c r="A169" s="27">
        <v>85</v>
      </c>
      <c r="B169" s="26" t="s">
        <v>1158</v>
      </c>
      <c r="C169" s="26" t="s">
        <v>260</v>
      </c>
      <c r="D169" s="26">
        <v>6</v>
      </c>
      <c r="E169" s="26">
        <v>13750</v>
      </c>
      <c r="F169" s="26">
        <v>173.81100000000001</v>
      </c>
      <c r="G169" s="26">
        <v>-1.143</v>
      </c>
      <c r="H169" s="26">
        <v>36.133000000000003</v>
      </c>
      <c r="I169" s="26"/>
      <c r="J169" s="26"/>
      <c r="K169" s="26"/>
      <c r="L169" s="26"/>
      <c r="M169" s="27"/>
      <c r="N169" s="27"/>
      <c r="O169" s="28"/>
      <c r="P169" s="29"/>
      <c r="Q169" s="29"/>
      <c r="R169" s="28"/>
      <c r="S169" s="28"/>
      <c r="T169" s="28"/>
      <c r="U169" s="28"/>
      <c r="V169" s="28"/>
      <c r="W169" s="28"/>
      <c r="X169" s="28"/>
      <c r="Y169" s="32"/>
      <c r="Z169" s="33"/>
      <c r="AA169" s="34"/>
    </row>
    <row r="170" spans="1:27" ht="24.95" customHeight="1" x14ac:dyDescent="0.25">
      <c r="A170" s="27">
        <v>85</v>
      </c>
      <c r="B170" s="26" t="s">
        <v>1158</v>
      </c>
      <c r="C170" s="26" t="s">
        <v>260</v>
      </c>
      <c r="D170" s="26">
        <v>7</v>
      </c>
      <c r="E170" s="26">
        <v>12754</v>
      </c>
      <c r="F170" s="26">
        <v>161.33600000000001</v>
      </c>
      <c r="G170" s="26">
        <v>-1.087</v>
      </c>
      <c r="H170" s="26">
        <v>36.164999999999999</v>
      </c>
      <c r="I170" s="26"/>
      <c r="J170" s="31">
        <f>AVERAGE(G169:G170)</f>
        <v>-1.115</v>
      </c>
      <c r="K170" s="31">
        <f>STDEV(G169:G170)</f>
        <v>3.9597979746446695E-2</v>
      </c>
      <c r="L170" s="26"/>
      <c r="M170" s="27">
        <f>AVERAGE(E169:E170)</f>
        <v>13252</v>
      </c>
      <c r="N170" s="27">
        <f>STDEV(E169:E170)</f>
        <v>704.27835406180134</v>
      </c>
      <c r="O170" s="28"/>
      <c r="P170" s="29">
        <f>AVERAGE(H169:H170)</f>
        <v>36.149000000000001</v>
      </c>
      <c r="Q170" s="29">
        <f>STDEV(H169:H170)</f>
        <v>2.2627416997967029E-2</v>
      </c>
      <c r="R170" s="28"/>
      <c r="S170" s="29">
        <f>J170-(M170-Standards!$N$124)*Standards!$AA$55</f>
        <v>-1.1040280172413792</v>
      </c>
      <c r="T170" s="29">
        <f>S170-(A170-Standards!$A$124)*Standards!$AA$4</f>
        <v>-1.1047771896551724</v>
      </c>
      <c r="U170" s="29"/>
      <c r="V170" s="28"/>
      <c r="W170" s="29">
        <f>P170-(M170-Standards!$N$124)*Standards!$AL$54</f>
        <v>36.13583362068966</v>
      </c>
      <c r="X170" s="29">
        <f>W170-(A170-Standards!$A$124)*Standards!$AL$5</f>
        <v>36.135735137931036</v>
      </c>
      <c r="Y170" s="111"/>
      <c r="Z170" s="19">
        <f>(T170*Standards!$O$159)+Standards!$O$160</f>
        <v>-1.4372565029573212</v>
      </c>
      <c r="AA170" s="20">
        <f>(X170*Standards!$U$159)+Standards!$U$160</f>
        <v>25.652858164895829</v>
      </c>
    </row>
    <row r="171" spans="1:27" ht="24.95" customHeight="1" x14ac:dyDescent="0.25">
      <c r="A171" s="27">
        <v>86</v>
      </c>
      <c r="B171" s="26" t="s">
        <v>1161</v>
      </c>
      <c r="C171" s="26" t="s">
        <v>518</v>
      </c>
      <c r="D171" s="26">
        <v>6</v>
      </c>
      <c r="E171" s="26">
        <v>13371</v>
      </c>
      <c r="F171" s="26">
        <v>164.892</v>
      </c>
      <c r="G171" s="26">
        <v>-1.1279999999999999</v>
      </c>
      <c r="H171" s="26">
        <v>36.000999999999998</v>
      </c>
      <c r="I171" s="26"/>
      <c r="J171" s="26"/>
      <c r="K171" s="26"/>
      <c r="L171" s="26"/>
      <c r="M171" s="27"/>
      <c r="N171" s="27"/>
      <c r="O171" s="28"/>
      <c r="P171" s="29"/>
      <c r="Q171" s="29"/>
      <c r="R171" s="28"/>
      <c r="S171" s="28"/>
      <c r="T171" s="28"/>
      <c r="U171" s="28"/>
      <c r="V171" s="28"/>
      <c r="W171" s="28"/>
      <c r="X171" s="28"/>
      <c r="Y171" s="32"/>
      <c r="Z171" s="33"/>
      <c r="AA171" s="34"/>
    </row>
    <row r="172" spans="1:27" ht="24.95" customHeight="1" x14ac:dyDescent="0.25">
      <c r="A172" s="27">
        <v>86</v>
      </c>
      <c r="B172" s="26" t="s">
        <v>1161</v>
      </c>
      <c r="C172" s="26" t="s">
        <v>518</v>
      </c>
      <c r="D172" s="26">
        <v>7</v>
      </c>
      <c r="E172" s="26">
        <v>12608</v>
      </c>
      <c r="F172" s="26">
        <v>154.32499999999999</v>
      </c>
      <c r="G172" s="26">
        <v>-1.046</v>
      </c>
      <c r="H172" s="26">
        <v>36.039000000000001</v>
      </c>
      <c r="I172" s="26"/>
      <c r="J172" s="31">
        <f>AVERAGE(G171:G172)</f>
        <v>-1.087</v>
      </c>
      <c r="K172" s="31">
        <f>STDEV(G171:G172)</f>
        <v>5.7982756057296789E-2</v>
      </c>
      <c r="L172" s="26"/>
      <c r="M172" s="27">
        <f>AVERAGE(E171:E172)</f>
        <v>12989.5</v>
      </c>
      <c r="N172" s="27">
        <f>STDEV(E171:E172)</f>
        <v>539.5224740453358</v>
      </c>
      <c r="O172" s="28"/>
      <c r="P172" s="29">
        <f>AVERAGE(H171:H172)</f>
        <v>36.019999999999996</v>
      </c>
      <c r="Q172" s="29">
        <f>STDEV(H171:H172)</f>
        <v>2.68700576850915E-2</v>
      </c>
      <c r="R172" s="28"/>
      <c r="S172" s="29">
        <f>J172-(M172-Standards!$N$124)*Standards!$AA$55</f>
        <v>-1.0727467672413793</v>
      </c>
      <c r="T172" s="29">
        <f>S172-(A172-Standards!$A$124)*Standards!$AA$4</f>
        <v>-1.0739219396551725</v>
      </c>
      <c r="U172" s="29"/>
      <c r="V172" s="28"/>
      <c r="W172" s="29">
        <f>P172-(M172-Standards!$N$124)*Standards!$AL$54</f>
        <v>36.002896120689648</v>
      </c>
      <c r="X172" s="29">
        <f>W172-(A172-Standards!$A$124)*Standards!$AL$5</f>
        <v>36.002741637931031</v>
      </c>
      <c r="Y172" s="111"/>
      <c r="Z172" s="19">
        <f>(T172*Standards!$O$159)+Standards!$O$160</f>
        <v>-1.4061713015160482</v>
      </c>
      <c r="AA172" s="20">
        <f>(X172*Standards!$U$159)+Standards!$U$160</f>
        <v>25.522509642685559</v>
      </c>
    </row>
    <row r="173" spans="1:27" ht="24.95" customHeight="1" x14ac:dyDescent="0.25">
      <c r="A173" s="27">
        <v>87</v>
      </c>
      <c r="B173" s="26" t="s">
        <v>1165</v>
      </c>
      <c r="C173" s="26" t="s">
        <v>269</v>
      </c>
      <c r="D173" s="26">
        <v>6</v>
      </c>
      <c r="E173" s="26">
        <v>13071</v>
      </c>
      <c r="F173" s="26">
        <v>166.56</v>
      </c>
      <c r="G173" s="26">
        <v>-1.0429999999999999</v>
      </c>
      <c r="H173" s="26">
        <v>36.25</v>
      </c>
      <c r="I173" s="26"/>
      <c r="J173" s="31"/>
      <c r="K173" s="31"/>
      <c r="L173" s="26"/>
      <c r="M173" s="27"/>
      <c r="N173" s="27"/>
      <c r="O173" s="28"/>
      <c r="P173" s="29"/>
      <c r="Q173" s="29"/>
      <c r="R173" s="28"/>
      <c r="S173" s="29"/>
      <c r="T173" s="29"/>
      <c r="U173" s="29"/>
      <c r="V173" s="29"/>
      <c r="W173" s="29"/>
      <c r="X173" s="29"/>
      <c r="Y173" s="32"/>
      <c r="Z173" s="35"/>
      <c r="AA173" s="36"/>
    </row>
    <row r="174" spans="1:27" ht="24.95" customHeight="1" x14ac:dyDescent="0.25">
      <c r="A174" s="27">
        <v>87</v>
      </c>
      <c r="B174" s="26" t="s">
        <v>1165</v>
      </c>
      <c r="C174" s="26" t="s">
        <v>269</v>
      </c>
      <c r="D174" s="26">
        <v>7</v>
      </c>
      <c r="E174" s="26">
        <v>12180</v>
      </c>
      <c r="F174" s="26">
        <v>154.971</v>
      </c>
      <c r="G174" s="26">
        <v>-1.212</v>
      </c>
      <c r="H174" s="26">
        <v>35.976999999999997</v>
      </c>
      <c r="I174" s="26"/>
      <c r="J174" s="31">
        <f>AVERAGE(G173:G174)</f>
        <v>-1.1274999999999999</v>
      </c>
      <c r="K174" s="31">
        <f>STDEV(G173:G174)</f>
        <v>0.11950104602052657</v>
      </c>
      <c r="L174" s="26"/>
      <c r="M174" s="27">
        <f>AVERAGE(E173:E174)</f>
        <v>12625.5</v>
      </c>
      <c r="N174" s="27">
        <f>STDEV(E173:E174)</f>
        <v>630.03214203721382</v>
      </c>
      <c r="O174" s="28"/>
      <c r="P174" s="29">
        <f>AVERAGE(H173:H174)</f>
        <v>36.113500000000002</v>
      </c>
      <c r="Q174" s="29">
        <f>STDEV(H173:H174)</f>
        <v>0.19304015126392976</v>
      </c>
      <c r="R174" s="28"/>
      <c r="S174" s="29">
        <f>J174-(M174-Standards!$N$124)*Standards!$AA$55</f>
        <v>-1.1086967672413792</v>
      </c>
      <c r="T174" s="29">
        <f>S174-(A174-Standards!$A$124)*Standards!$AA$4</f>
        <v>-1.1102979396551724</v>
      </c>
      <c r="U174" s="29"/>
      <c r="V174" s="28"/>
      <c r="W174" s="29">
        <f>P174-(M174-Standards!$N$124)*Standards!$AL$54</f>
        <v>36.090936120689655</v>
      </c>
      <c r="X174" s="29">
        <f>W174-(A174-Standards!$A$124)*Standards!$AL$5</f>
        <v>36.090725637931037</v>
      </c>
      <c r="Y174" s="111"/>
      <c r="Z174" s="19">
        <f>(T174*Standards!$O$159)+Standards!$O$160</f>
        <v>-1.4428183968281181</v>
      </c>
      <c r="AA174" s="20">
        <f>(X174*Standards!$U$159)+Standards!$U$160</f>
        <v>25.608743814868024</v>
      </c>
    </row>
    <row r="175" spans="1:27" ht="24.95" customHeight="1" x14ac:dyDescent="0.25">
      <c r="A175" s="27">
        <v>88</v>
      </c>
      <c r="B175" s="26" t="s">
        <v>1170</v>
      </c>
      <c r="C175" s="26" t="s">
        <v>229</v>
      </c>
      <c r="D175" s="26">
        <v>6</v>
      </c>
      <c r="E175" s="26">
        <v>15838</v>
      </c>
      <c r="F175" s="26">
        <v>192.73</v>
      </c>
      <c r="G175" s="26">
        <v>-1.589</v>
      </c>
      <c r="H175" s="26">
        <v>36.112000000000002</v>
      </c>
      <c r="I175" s="26"/>
      <c r="J175" s="26"/>
      <c r="K175" s="26"/>
      <c r="L175" s="26"/>
      <c r="M175" s="27"/>
      <c r="N175" s="27"/>
      <c r="O175" s="28"/>
      <c r="P175" s="29"/>
      <c r="Q175" s="29"/>
      <c r="R175" s="28"/>
      <c r="S175" s="28"/>
      <c r="T175" s="28"/>
      <c r="U175" s="28"/>
      <c r="V175" s="28"/>
      <c r="W175" s="28"/>
      <c r="X175" s="28"/>
      <c r="Y175" s="32"/>
      <c r="Z175" s="33"/>
      <c r="AA175" s="34"/>
    </row>
    <row r="176" spans="1:27" ht="24.95" customHeight="1" x14ac:dyDescent="0.25">
      <c r="A176" s="27">
        <v>88</v>
      </c>
      <c r="B176" s="26" t="s">
        <v>1170</v>
      </c>
      <c r="C176" s="26" t="s">
        <v>229</v>
      </c>
      <c r="D176" s="26">
        <v>7</v>
      </c>
      <c r="E176" s="26">
        <v>14921</v>
      </c>
      <c r="F176" s="26">
        <v>182.52500000000001</v>
      </c>
      <c r="G176" s="26">
        <v>-1.6259999999999999</v>
      </c>
      <c r="H176" s="26">
        <v>36.146000000000001</v>
      </c>
      <c r="I176" s="26"/>
      <c r="J176" s="31">
        <f>AVERAGE(G175:G176)</f>
        <v>-1.6074999999999999</v>
      </c>
      <c r="K176" s="31">
        <f>STDEV(G175:G176)</f>
        <v>2.6162950903902204E-2</v>
      </c>
      <c r="L176" s="26"/>
      <c r="M176" s="27">
        <f>AVERAGE(E175:E176)</f>
        <v>15379.5</v>
      </c>
      <c r="N176" s="27">
        <f>STDEV(E175:E176)</f>
        <v>648.41691834806409</v>
      </c>
      <c r="O176" s="28"/>
      <c r="P176" s="29">
        <f>AVERAGE(H175:H176)</f>
        <v>36.129000000000005</v>
      </c>
      <c r="Q176" s="29">
        <f>STDEV(H175:H176)</f>
        <v>2.4041630560341854E-2</v>
      </c>
      <c r="R176" s="28"/>
      <c r="S176" s="29">
        <f>J176-(M176-Standards!$N$124)*Standards!$AA$55</f>
        <v>-1.6231217672413791</v>
      </c>
      <c r="T176" s="29">
        <f>S176-(A176-Standards!$A$124)*Standards!$AA$4</f>
        <v>-1.6251489396551722</v>
      </c>
      <c r="U176" s="29"/>
      <c r="V176" s="28"/>
      <c r="W176" s="29">
        <f>P176-(M176-Standards!$N$124)*Standards!$AL$54</f>
        <v>36.147746120689661</v>
      </c>
      <c r="X176" s="29">
        <f>W176-(A176-Standards!$A$124)*Standards!$AL$5</f>
        <v>36.147479637931042</v>
      </c>
      <c r="Y176" s="111"/>
      <c r="Z176" s="19">
        <f>(T176*Standards!$O$159)+Standards!$O$160</f>
        <v>-1.9615063688017957</v>
      </c>
      <c r="AA176" s="20">
        <f>(X176*Standards!$U$159)+Standards!$U$160</f>
        <v>25.664369090009455</v>
      </c>
    </row>
    <row r="177" spans="1:27" ht="24.95" customHeight="1" x14ac:dyDescent="0.25">
      <c r="A177" s="27">
        <v>89</v>
      </c>
      <c r="B177" s="26" t="s">
        <v>1174</v>
      </c>
      <c r="C177" s="26" t="s">
        <v>537</v>
      </c>
      <c r="D177" s="26">
        <v>6</v>
      </c>
      <c r="E177" s="26">
        <v>11779</v>
      </c>
      <c r="F177" s="26">
        <v>150.273</v>
      </c>
      <c r="G177" s="26">
        <v>-2.0209999999999999</v>
      </c>
      <c r="H177" s="26">
        <v>36.331000000000003</v>
      </c>
      <c r="I177" s="26"/>
      <c r="J177" s="31"/>
      <c r="K177" s="31"/>
      <c r="L177" s="26"/>
      <c r="M177" s="27"/>
      <c r="N177" s="27"/>
      <c r="O177" s="28"/>
      <c r="P177" s="29"/>
      <c r="Q177" s="29"/>
      <c r="R177" s="28"/>
      <c r="S177" s="29"/>
      <c r="T177" s="29"/>
      <c r="U177" s="29"/>
      <c r="V177" s="28"/>
      <c r="W177" s="29"/>
      <c r="X177" s="29"/>
      <c r="Y177" s="111"/>
      <c r="Z177" s="19"/>
      <c r="AA177" s="20"/>
    </row>
    <row r="178" spans="1:27" ht="24.95" customHeight="1" x14ac:dyDescent="0.25">
      <c r="A178" s="27">
        <v>89</v>
      </c>
      <c r="B178" s="26" t="s">
        <v>1174</v>
      </c>
      <c r="C178" s="26" t="s">
        <v>537</v>
      </c>
      <c r="D178" s="26">
        <v>7</v>
      </c>
      <c r="E178" s="26">
        <v>10989</v>
      </c>
      <c r="F178" s="26">
        <v>139.714</v>
      </c>
      <c r="G178" s="26">
        <v>-2.0249999999999999</v>
      </c>
      <c r="H178" s="26">
        <v>36.295999999999999</v>
      </c>
      <c r="I178" s="26"/>
      <c r="J178" s="31">
        <f>AVERAGE(G177:G178)</f>
        <v>-2.0229999999999997</v>
      </c>
      <c r="K178" s="31">
        <f>STDEV(G177:G178)</f>
        <v>2.8284271247461927E-3</v>
      </c>
      <c r="L178" s="26"/>
      <c r="M178" s="27">
        <f>AVERAGE(E177:E178)</f>
        <v>11384</v>
      </c>
      <c r="N178" s="27">
        <f>STDEV(E177:E178)</f>
        <v>558.61435713737251</v>
      </c>
      <c r="O178" s="28"/>
      <c r="P178" s="29">
        <f>AVERAGE(H177:H178)</f>
        <v>36.313500000000005</v>
      </c>
      <c r="Q178" s="29">
        <f>STDEV(H177:H178)</f>
        <v>2.4748737341531775E-2</v>
      </c>
      <c r="R178" s="28"/>
      <c r="S178" s="29">
        <f>J178-(M178-Standards!$N$124)*Standards!$AA$55</f>
        <v>-1.9886780172413789</v>
      </c>
      <c r="T178" s="29">
        <f>S178-(A178-Standards!$A$124)*Standards!$AA$4</f>
        <v>-1.991131189655172</v>
      </c>
      <c r="U178" s="29"/>
      <c r="V178" s="28"/>
      <c r="W178" s="29">
        <f>P178-(M178-Standards!$N$124)*Standards!$AL$54</f>
        <v>36.272313620689658</v>
      </c>
      <c r="X178" s="29">
        <f>W178-(A178-Standards!$A$124)*Standards!$AL$5</f>
        <v>36.271991137931039</v>
      </c>
      <c r="Y178" s="111"/>
      <c r="Z178" s="19">
        <f>(T178*Standards!$O$159)+Standards!$O$160</f>
        <v>-2.3302161334344049</v>
      </c>
      <c r="AA178" s="20">
        <f>(X178*Standards!$U$159)+Standards!$U$160</f>
        <v>25.786404302430991</v>
      </c>
    </row>
    <row r="179" spans="1:27" ht="24.95" customHeight="1" x14ac:dyDescent="0.25">
      <c r="A179" s="27">
        <v>90</v>
      </c>
      <c r="B179" s="26" t="s">
        <v>1179</v>
      </c>
      <c r="C179" s="26" t="s">
        <v>339</v>
      </c>
      <c r="D179" s="26">
        <v>6</v>
      </c>
      <c r="E179" s="26">
        <v>15481</v>
      </c>
      <c r="F179" s="26">
        <v>187.35499999999999</v>
      </c>
      <c r="G179" s="26">
        <v>-1.7270000000000001</v>
      </c>
      <c r="H179" s="26">
        <v>36.423000000000002</v>
      </c>
      <c r="I179" s="26"/>
      <c r="J179" s="31"/>
      <c r="K179" s="31"/>
      <c r="L179" s="26"/>
      <c r="M179" s="27"/>
      <c r="N179" s="27"/>
      <c r="O179" s="28"/>
      <c r="P179" s="29"/>
      <c r="Q179" s="29"/>
      <c r="R179" s="28"/>
      <c r="S179" s="29"/>
      <c r="T179" s="29"/>
      <c r="U179" s="29"/>
      <c r="V179" s="28"/>
      <c r="W179" s="29"/>
      <c r="X179" s="29"/>
      <c r="Y179" s="67"/>
      <c r="Z179" s="157"/>
      <c r="AA179" s="107"/>
    </row>
    <row r="180" spans="1:27" ht="24.95" customHeight="1" x14ac:dyDescent="0.25">
      <c r="A180" s="27">
        <v>90</v>
      </c>
      <c r="B180" s="26" t="s">
        <v>1179</v>
      </c>
      <c r="C180" s="26" t="s">
        <v>339</v>
      </c>
      <c r="D180" s="26">
        <v>7</v>
      </c>
      <c r="E180" s="26">
        <v>14418</v>
      </c>
      <c r="F180" s="26">
        <v>174.16200000000001</v>
      </c>
      <c r="G180" s="26">
        <v>-1.679</v>
      </c>
      <c r="H180" s="26">
        <v>36.473999999999997</v>
      </c>
      <c r="I180" s="26"/>
      <c r="J180" s="31">
        <f>AVERAGE(G179:G180)</f>
        <v>-1.7030000000000001</v>
      </c>
      <c r="K180" s="31">
        <f>STDEV(G179:G180)</f>
        <v>3.3941125496954314E-2</v>
      </c>
      <c r="L180" s="26"/>
      <c r="M180" s="27">
        <f>AVERAGE(E179:E180)</f>
        <v>14949.5</v>
      </c>
      <c r="N180" s="27">
        <f>STDEV(E179:E180)</f>
        <v>751.65450840130006</v>
      </c>
      <c r="O180" s="28"/>
      <c r="P180" s="29">
        <f>AVERAGE(H179:H180)</f>
        <v>36.448499999999996</v>
      </c>
      <c r="Q180" s="29">
        <f>STDEV(H179:H180)</f>
        <v>3.6062445840510271E-2</v>
      </c>
      <c r="R180" s="28"/>
      <c r="S180" s="29">
        <f>J180-(M180-Standards!$N$124)*Standards!$AA$55</f>
        <v>-1.7132467672413794</v>
      </c>
      <c r="T180" s="29">
        <f>S180-(A180-Standards!$A$124)*Standards!$AA$4</f>
        <v>-1.7161259396551725</v>
      </c>
      <c r="U180" s="29"/>
      <c r="V180" s="28"/>
      <c r="W180" s="29">
        <f>P180-(M180-Standards!$N$124)*Standards!$AL$54</f>
        <v>36.46079612068965</v>
      </c>
      <c r="X180" s="29">
        <f>W180-(A180-Standards!$A$124)*Standards!$AL$5</f>
        <v>36.46041763793103</v>
      </c>
      <c r="Y180" s="111"/>
      <c r="Z180" s="19">
        <f>(T180*Standards!$O$159)+Standards!$O$160</f>
        <v>-2.0531613828276973</v>
      </c>
      <c r="AA180" s="20">
        <f>(X180*Standards!$U$159)+Standards!$U$160</f>
        <v>25.971083371861088</v>
      </c>
    </row>
    <row r="181" spans="1:27" ht="24.95" customHeight="1" x14ac:dyDescent="0.25">
      <c r="A181" s="27">
        <v>91</v>
      </c>
      <c r="B181" s="26" t="s">
        <v>1182</v>
      </c>
      <c r="C181" s="26" t="s">
        <v>296</v>
      </c>
      <c r="D181" s="26">
        <v>6</v>
      </c>
      <c r="E181" s="26">
        <v>14670</v>
      </c>
      <c r="F181" s="26">
        <v>186.44399999999999</v>
      </c>
      <c r="G181" s="26">
        <v>-1.409</v>
      </c>
      <c r="H181" s="26">
        <v>36.438000000000002</v>
      </c>
      <c r="I181" s="26"/>
      <c r="J181" s="26"/>
      <c r="K181" s="26"/>
      <c r="L181" s="26"/>
      <c r="M181" s="27"/>
      <c r="N181" s="27"/>
      <c r="O181" s="28"/>
      <c r="P181" s="29"/>
      <c r="Q181" s="29"/>
      <c r="R181" s="28"/>
      <c r="S181" s="28"/>
      <c r="T181" s="28"/>
      <c r="U181" s="28"/>
      <c r="V181" s="28"/>
      <c r="W181" s="28"/>
      <c r="X181" s="28"/>
      <c r="Y181" s="67"/>
      <c r="Z181" s="33"/>
      <c r="AA181" s="34"/>
    </row>
    <row r="182" spans="1:27" ht="24.95" customHeight="1" x14ac:dyDescent="0.25">
      <c r="A182" s="27">
        <v>91</v>
      </c>
      <c r="B182" s="26" t="s">
        <v>1182</v>
      </c>
      <c r="C182" s="26" t="s">
        <v>296</v>
      </c>
      <c r="D182" s="26">
        <v>7</v>
      </c>
      <c r="E182" s="26">
        <v>13675</v>
      </c>
      <c r="F182" s="26">
        <v>172.95699999999999</v>
      </c>
      <c r="G182" s="26">
        <v>-1.3819999999999999</v>
      </c>
      <c r="H182" s="26">
        <v>36.514000000000003</v>
      </c>
      <c r="I182" s="26"/>
      <c r="J182" s="31">
        <f>AVERAGE(G181:G182)</f>
        <v>-1.3955</v>
      </c>
      <c r="K182" s="31">
        <f>STDEV(G181:G182)</f>
        <v>1.9091883092036879E-2</v>
      </c>
      <c r="L182" s="26"/>
      <c r="M182" s="27">
        <f>AVERAGE(E181:E182)</f>
        <v>14172.5</v>
      </c>
      <c r="N182" s="27">
        <f>STDEV(E181:E182)</f>
        <v>703.57124728061478</v>
      </c>
      <c r="O182" s="28"/>
      <c r="P182" s="29">
        <f>AVERAGE(H181:H182)</f>
        <v>36.475999999999999</v>
      </c>
      <c r="Q182" s="29">
        <f>STDEV(H181:H182)</f>
        <v>5.3740115370177977E-2</v>
      </c>
      <c r="R182" s="28"/>
      <c r="S182" s="29">
        <f>J182-(M182-Standards!$N$124)*Standards!$AA$55</f>
        <v>-1.3960342672413792</v>
      </c>
      <c r="T182" s="29">
        <f>S182-(A182-Standards!$A$124)*Standards!$AA$4</f>
        <v>-1.3993394396551724</v>
      </c>
      <c r="U182" s="29"/>
      <c r="V182" s="28"/>
      <c r="W182" s="29">
        <f>P182-(M182-Standards!$N$124)*Standards!$AL$54</f>
        <v>36.476641120689656</v>
      </c>
      <c r="X182" s="29">
        <f>W182-(A182-Standards!$A$124)*Standards!$AL$5</f>
        <v>36.476206637931035</v>
      </c>
      <c r="Y182" s="111"/>
      <c r="Z182" s="19">
        <f>(T182*Standards!$O$159)+Standards!$O$160</f>
        <v>-1.734014003811944</v>
      </c>
      <c r="AA182" s="20">
        <f>(X182*Standards!$U$159)+Standards!$U$160</f>
        <v>25.986558359865601</v>
      </c>
    </row>
    <row r="183" spans="1:27" ht="24.95" customHeight="1" x14ac:dyDescent="0.25">
      <c r="A183" s="27">
        <v>92</v>
      </c>
      <c r="B183" s="26" t="s">
        <v>1185</v>
      </c>
      <c r="C183" s="26" t="s">
        <v>229</v>
      </c>
      <c r="D183" s="26">
        <v>6</v>
      </c>
      <c r="E183" s="26">
        <v>14943</v>
      </c>
      <c r="F183" s="26">
        <v>181.815</v>
      </c>
      <c r="G183" s="26">
        <v>-1.2949999999999999</v>
      </c>
      <c r="H183" s="26">
        <v>36.277000000000001</v>
      </c>
      <c r="I183" s="26"/>
      <c r="J183" s="26"/>
      <c r="K183" s="26"/>
      <c r="L183" s="26"/>
      <c r="M183" s="53"/>
      <c r="N183" s="27"/>
      <c r="O183" s="28"/>
      <c r="P183" s="29"/>
      <c r="Q183" s="29"/>
      <c r="R183" s="28"/>
      <c r="S183" s="28"/>
      <c r="T183" s="28"/>
      <c r="U183" s="28"/>
      <c r="V183" s="28"/>
      <c r="W183" s="28"/>
      <c r="X183" s="28"/>
      <c r="Y183" s="67"/>
      <c r="Z183" s="33"/>
      <c r="AA183" s="34"/>
    </row>
    <row r="184" spans="1:27" ht="24.95" customHeight="1" x14ac:dyDescent="0.25">
      <c r="A184" s="27">
        <v>92</v>
      </c>
      <c r="B184" s="26" t="s">
        <v>1185</v>
      </c>
      <c r="C184" s="26" t="s">
        <v>229</v>
      </c>
      <c r="D184" s="26">
        <v>7</v>
      </c>
      <c r="E184" s="26">
        <v>13809</v>
      </c>
      <c r="F184" s="26">
        <v>168.69499999999999</v>
      </c>
      <c r="G184" s="26">
        <v>-1.2310000000000001</v>
      </c>
      <c r="H184" s="26">
        <v>36.326000000000001</v>
      </c>
      <c r="I184" s="26"/>
      <c r="J184" s="31">
        <f>AVERAGE(G183:G184)</f>
        <v>-1.2629999999999999</v>
      </c>
      <c r="K184" s="31">
        <f>STDEV(G183:G184)</f>
        <v>4.5254833995938923E-2</v>
      </c>
      <c r="L184" s="26"/>
      <c r="M184" s="27">
        <f>AVERAGE(E183:E184)</f>
        <v>14376</v>
      </c>
      <c r="N184" s="27">
        <f>STDEV(E183:E184)</f>
        <v>801.85908986554489</v>
      </c>
      <c r="O184" s="28"/>
      <c r="P184" s="29">
        <f>AVERAGE(H183:H184)</f>
        <v>36.301500000000004</v>
      </c>
      <c r="Q184" s="29">
        <f>STDEV(H183:H184)</f>
        <v>3.464823227814047E-2</v>
      </c>
      <c r="R184" s="28"/>
      <c r="S184" s="29">
        <f>J184-(M184-Standards!$N$124)*Standards!$AA$55</f>
        <v>-1.2660780172413792</v>
      </c>
      <c r="T184" s="29">
        <f>S184-(A184-Standards!$A$124)*Standards!$AA$4</f>
        <v>-1.2698091896551724</v>
      </c>
      <c r="U184" s="29"/>
      <c r="V184" s="28"/>
      <c r="W184" s="29">
        <f>P184-(M184-Standards!$N$124)*Standards!$AL$54</f>
        <v>36.305193620689657</v>
      </c>
      <c r="X184" s="29">
        <f>W184-(A184-Standards!$A$124)*Standards!$AL$5</f>
        <v>36.304703137931035</v>
      </c>
      <c r="Y184" s="111"/>
      <c r="Z184" s="19">
        <f>(T184*Standards!$O$159)+Standards!$O$160</f>
        <v>-1.6035184183284867</v>
      </c>
      <c r="AA184" s="20">
        <f>(X184*Standards!$U$159)+Standards!$U$160</f>
        <v>25.818465725421898</v>
      </c>
    </row>
    <row r="185" spans="1:27" ht="24.95" customHeight="1" x14ac:dyDescent="0.25">
      <c r="A185" s="27">
        <v>93</v>
      </c>
      <c r="B185" s="26" t="s">
        <v>1190</v>
      </c>
      <c r="C185" s="26" t="s">
        <v>635</v>
      </c>
      <c r="D185" s="26">
        <v>6</v>
      </c>
      <c r="E185" s="26">
        <v>13508</v>
      </c>
      <c r="F185" s="26">
        <v>171.56200000000001</v>
      </c>
      <c r="G185" s="26">
        <v>-1.1859999999999999</v>
      </c>
      <c r="H185" s="26">
        <v>36.003999999999998</v>
      </c>
      <c r="I185" s="26"/>
      <c r="J185" s="26"/>
      <c r="K185" s="26"/>
      <c r="L185" s="26"/>
      <c r="M185" s="27"/>
      <c r="N185" s="27"/>
      <c r="O185" s="28"/>
      <c r="P185" s="29"/>
      <c r="Q185" s="29"/>
      <c r="R185" s="28"/>
      <c r="S185" s="28"/>
      <c r="T185" s="28"/>
      <c r="U185" s="28"/>
      <c r="V185" s="28"/>
      <c r="W185" s="28"/>
      <c r="X185" s="28"/>
      <c r="Y185" s="32"/>
      <c r="Z185" s="33"/>
      <c r="AA185" s="34"/>
    </row>
    <row r="186" spans="1:27" ht="24.95" customHeight="1" x14ac:dyDescent="0.25">
      <c r="A186" s="27">
        <v>93</v>
      </c>
      <c r="B186" s="26" t="s">
        <v>1190</v>
      </c>
      <c r="C186" s="26" t="s">
        <v>635</v>
      </c>
      <c r="D186" s="26">
        <v>7</v>
      </c>
      <c r="E186" s="26">
        <v>12613</v>
      </c>
      <c r="F186" s="26">
        <v>159.559</v>
      </c>
      <c r="G186" s="26">
        <v>-1.171</v>
      </c>
      <c r="H186" s="26">
        <v>35.97</v>
      </c>
      <c r="I186" s="26"/>
      <c r="J186" s="31">
        <f>AVERAGE(G185:G186)</f>
        <v>-1.1785000000000001</v>
      </c>
      <c r="K186" s="31">
        <f>STDEV(G185:G186)</f>
        <v>1.0606601717798144E-2</v>
      </c>
      <c r="L186" s="26"/>
      <c r="M186" s="27">
        <f>AVERAGE(E185:E186)</f>
        <v>13060.5</v>
      </c>
      <c r="N186" s="27">
        <f>STDEV(E185:E186)</f>
        <v>632.86056916196003</v>
      </c>
      <c r="O186" s="28"/>
      <c r="P186" s="29">
        <f>AVERAGE(H185:H186)</f>
        <v>35.986999999999995</v>
      </c>
      <c r="Q186" s="29">
        <f>STDEV(H185:H186)</f>
        <v>2.4041630560341854E-2</v>
      </c>
      <c r="R186" s="28"/>
      <c r="S186" s="29">
        <f>J186-(M186-Standards!$N$124)*Standards!$AA$55</f>
        <v>-1.1651342672413794</v>
      </c>
      <c r="T186" s="29">
        <f>S186-(A186-Standards!$A$124)*Standards!$AA$4</f>
        <v>-1.1692914396551726</v>
      </c>
      <c r="U186" s="29"/>
      <c r="V186" s="28"/>
      <c r="W186" s="29">
        <f>P186-(M186-Standards!$N$124)*Standards!$AL$54</f>
        <v>35.970961120689651</v>
      </c>
      <c r="X186" s="29">
        <f>W186-(A186-Standards!$A$124)*Standards!$AL$5</f>
        <v>35.970414637931029</v>
      </c>
      <c r="Y186" s="111"/>
      <c r="Z186" s="19">
        <f>(T186*Standards!$O$159)+Standards!$O$160</f>
        <v>-1.5022515510312355</v>
      </c>
      <c r="AA186" s="20">
        <f>(X186*Standards!$U$159)+Standards!$U$160</f>
        <v>25.490825562805778</v>
      </c>
    </row>
    <row r="187" spans="1:27" ht="24.95" customHeight="1" x14ac:dyDescent="0.25">
      <c r="A187" s="27">
        <v>94</v>
      </c>
      <c r="B187" s="26" t="s">
        <v>1194</v>
      </c>
      <c r="C187" s="26" t="s">
        <v>296</v>
      </c>
      <c r="D187" s="26">
        <v>6</v>
      </c>
      <c r="E187" s="26">
        <v>15123</v>
      </c>
      <c r="F187" s="26">
        <v>186.93899999999999</v>
      </c>
      <c r="G187" s="26">
        <v>-1.1859999999999999</v>
      </c>
      <c r="H187" s="26">
        <v>36.183999999999997</v>
      </c>
      <c r="I187" s="26"/>
      <c r="J187" s="31"/>
      <c r="K187" s="31"/>
      <c r="L187" s="26"/>
      <c r="M187" s="27"/>
      <c r="N187" s="27"/>
      <c r="O187" s="28"/>
      <c r="P187" s="29"/>
      <c r="Q187" s="29"/>
      <c r="R187" s="28"/>
      <c r="S187" s="28"/>
      <c r="T187" s="28"/>
      <c r="U187" s="28"/>
      <c r="V187" s="29"/>
      <c r="W187" s="28"/>
      <c r="X187" s="28"/>
      <c r="Y187" s="32"/>
      <c r="Z187" s="33"/>
      <c r="AA187" s="34"/>
    </row>
    <row r="188" spans="1:27" ht="24.95" customHeight="1" x14ac:dyDescent="0.25">
      <c r="A188" s="27">
        <v>94</v>
      </c>
      <c r="B188" s="26" t="s">
        <v>1194</v>
      </c>
      <c r="C188" s="26" t="s">
        <v>296</v>
      </c>
      <c r="D188" s="26">
        <v>7</v>
      </c>
      <c r="E188" s="26">
        <v>13957</v>
      </c>
      <c r="F188" s="26">
        <v>173.42500000000001</v>
      </c>
      <c r="G188" s="26">
        <v>-1.357</v>
      </c>
      <c r="H188" s="26">
        <v>35.884</v>
      </c>
      <c r="I188" s="26"/>
      <c r="J188" s="31">
        <f>AVERAGE(G187:G188)</f>
        <v>-1.2715000000000001</v>
      </c>
      <c r="K188" s="31">
        <f>STDEV(G187:G188)</f>
        <v>0.12091525958289966</v>
      </c>
      <c r="L188" s="26"/>
      <c r="M188" s="27">
        <f>AVERAGE(E187:E188)</f>
        <v>14540</v>
      </c>
      <c r="N188" s="27">
        <f>STDEV(E187:E188)</f>
        <v>824.48650686351436</v>
      </c>
      <c r="O188" s="28"/>
      <c r="P188" s="29">
        <f>AVERAGE(H187:H188)</f>
        <v>36.033999999999999</v>
      </c>
      <c r="Q188" s="29">
        <f>STDEV(H187:H188)</f>
        <v>0.21213203435596223</v>
      </c>
      <c r="R188" s="28"/>
      <c r="S188" s="29">
        <f>J188-(M188-Standards!$N$124)*Standards!$AA$55</f>
        <v>-1.2766280172413793</v>
      </c>
      <c r="T188" s="29">
        <f>S188-(A188-Standards!$A$124)*Standards!$AA$4</f>
        <v>-1.2812111896551723</v>
      </c>
      <c r="U188" s="29"/>
      <c r="V188" s="28"/>
      <c r="W188" s="29">
        <f>P188-(M188-Standards!$N$124)*Standards!$AL$54</f>
        <v>36.040153620689651</v>
      </c>
      <c r="X188" s="29">
        <f>W188-(A188-Standards!$A$124)*Standards!$AL$5</f>
        <v>36.039551137931028</v>
      </c>
      <c r="Y188" s="111"/>
      <c r="Z188" s="19">
        <f>(T188*Standards!$O$159)+Standards!$O$160</f>
        <v>-1.615005392727767</v>
      </c>
      <c r="AA188" s="20">
        <f>(X188*Standards!$U$159)+Standards!$U$160</f>
        <v>25.558587074502139</v>
      </c>
    </row>
    <row r="189" spans="1:27" s="195" customFormat="1" ht="24.95" customHeight="1" x14ac:dyDescent="0.25">
      <c r="A189" s="201">
        <v>95</v>
      </c>
      <c r="B189" s="202" t="s">
        <v>0</v>
      </c>
      <c r="C189" s="202" t="s">
        <v>513</v>
      </c>
      <c r="D189" s="202">
        <v>6</v>
      </c>
      <c r="E189" s="189">
        <v>12129</v>
      </c>
      <c r="F189" s="189">
        <v>153.238</v>
      </c>
      <c r="G189" s="189">
        <v>4.6479999999999997</v>
      </c>
      <c r="H189" s="189">
        <v>36.911000000000001</v>
      </c>
      <c r="I189" s="189"/>
      <c r="J189" s="189"/>
      <c r="K189" s="189"/>
      <c r="L189" s="189"/>
      <c r="M189" s="188"/>
      <c r="N189" s="188"/>
      <c r="O189" s="190"/>
      <c r="P189" s="191"/>
      <c r="Q189" s="191"/>
      <c r="R189" s="190"/>
      <c r="S189" s="190"/>
      <c r="T189" s="190"/>
      <c r="U189" s="190"/>
      <c r="V189" s="190"/>
      <c r="W189" s="190"/>
      <c r="X189" s="190"/>
      <c r="Y189" s="192"/>
      <c r="Z189" s="193"/>
      <c r="AA189" s="194"/>
    </row>
    <row r="190" spans="1:27" s="195" customFormat="1" ht="24.95" customHeight="1" x14ac:dyDescent="0.25">
      <c r="A190" s="201">
        <v>95</v>
      </c>
      <c r="B190" s="202" t="s">
        <v>0</v>
      </c>
      <c r="C190" s="202" t="s">
        <v>513</v>
      </c>
      <c r="D190" s="202">
        <v>7</v>
      </c>
      <c r="E190" s="189">
        <v>11396</v>
      </c>
      <c r="F190" s="189">
        <v>142.67400000000001</v>
      </c>
      <c r="G190" s="189">
        <v>4.7300000000000004</v>
      </c>
      <c r="H190" s="189">
        <v>36.923000000000002</v>
      </c>
      <c r="I190" s="189"/>
      <c r="J190" s="196">
        <f>AVERAGE(G189:G190)</f>
        <v>4.6890000000000001</v>
      </c>
      <c r="K190" s="196">
        <f>STDEV(G189:G190)</f>
        <v>5.798275605729742E-2</v>
      </c>
      <c r="L190" s="189"/>
      <c r="M190" s="188">
        <f>AVERAGE(E189:E190)</f>
        <v>11762.5</v>
      </c>
      <c r="N190" s="188">
        <f>STDEV(E189:E190)</f>
        <v>518.30927060973931</v>
      </c>
      <c r="O190" s="190"/>
      <c r="P190" s="191">
        <f>AVERAGE(H189:H190)</f>
        <v>36.917000000000002</v>
      </c>
      <c r="Q190" s="191">
        <f>STDEV(H189:H190)</f>
        <v>8.4852813742388924E-3</v>
      </c>
      <c r="R190" s="190"/>
      <c r="S190" s="191">
        <f>J190-(M190-Standards!$N$124)*Standards!$AA$55</f>
        <v>4.7185907327586207</v>
      </c>
      <c r="T190" s="191">
        <f>S190-(A190-Standards!$A$124)*Standards!$AA$4</f>
        <v>4.7135815603448279</v>
      </c>
      <c r="U190" s="191"/>
      <c r="V190" s="190"/>
      <c r="W190" s="191">
        <f>P190-(M190-Standards!$N$124)*Standards!$AL$54</f>
        <v>36.88149112068966</v>
      </c>
      <c r="X190" s="191">
        <f>W190-(A190-Standards!$A$124)*Standards!$AL$5</f>
        <v>36.880832637931036</v>
      </c>
      <c r="Y190" s="197"/>
      <c r="Z190" s="198">
        <f>(T190*Standards!$O$159)+Standards!$O$160</f>
        <v>4.4244640730011673</v>
      </c>
      <c r="AA190" s="199">
        <f>(X190*Standards!$U$159)+Standards!$U$160</f>
        <v>26.383137148662431</v>
      </c>
    </row>
    <row r="191" spans="1:27" s="195" customFormat="1" ht="24.95" customHeight="1" x14ac:dyDescent="0.25">
      <c r="A191" s="188">
        <v>96</v>
      </c>
      <c r="B191" s="189" t="s">
        <v>0</v>
      </c>
      <c r="C191" s="189" t="s">
        <v>1202</v>
      </c>
      <c r="D191" s="189">
        <v>6</v>
      </c>
      <c r="E191" s="189">
        <v>16636</v>
      </c>
      <c r="F191" s="189">
        <v>208.79400000000001</v>
      </c>
      <c r="G191" s="189">
        <v>4.7670000000000003</v>
      </c>
      <c r="H191" s="189">
        <v>37.091999999999999</v>
      </c>
      <c r="I191" s="189"/>
      <c r="J191" s="189"/>
      <c r="K191" s="189"/>
      <c r="L191" s="189"/>
      <c r="M191" s="188"/>
      <c r="N191" s="188"/>
      <c r="O191" s="190"/>
      <c r="P191" s="191"/>
      <c r="Q191" s="191"/>
      <c r="R191" s="190"/>
      <c r="S191" s="190"/>
      <c r="T191" s="190"/>
      <c r="U191" s="190"/>
      <c r="V191" s="190"/>
      <c r="W191" s="190"/>
      <c r="X191" s="190"/>
      <c r="Y191" s="197"/>
      <c r="Z191" s="209"/>
      <c r="AA191" s="210"/>
    </row>
    <row r="192" spans="1:27" s="195" customFormat="1" ht="24.95" customHeight="1" x14ac:dyDescent="0.25">
      <c r="A192" s="188">
        <v>96</v>
      </c>
      <c r="B192" s="189" t="s">
        <v>0</v>
      </c>
      <c r="C192" s="189" t="s">
        <v>1202</v>
      </c>
      <c r="D192" s="189">
        <v>7</v>
      </c>
      <c r="E192" s="189">
        <v>15435</v>
      </c>
      <c r="F192" s="189">
        <v>194.173</v>
      </c>
      <c r="G192" s="189">
        <v>4.8099999999999996</v>
      </c>
      <c r="H192" s="189">
        <v>37.109000000000002</v>
      </c>
      <c r="I192" s="189"/>
      <c r="J192" s="196">
        <f>AVERAGE(G191:G192)</f>
        <v>4.7885</v>
      </c>
      <c r="K192" s="196">
        <f>STDEV(G191:G192)</f>
        <v>3.0405591591021019E-2</v>
      </c>
      <c r="L192" s="189"/>
      <c r="M192" s="188">
        <f>AVERAGE(E191:E192)</f>
        <v>16035.5</v>
      </c>
      <c r="N192" s="188">
        <f>STDEV(E191:E192)</f>
        <v>849.23524420504361</v>
      </c>
      <c r="O192" s="190"/>
      <c r="P192" s="191">
        <f>AVERAGE(H191:H192)</f>
        <v>37.100499999999997</v>
      </c>
      <c r="Q192" s="191">
        <f>STDEV(H191:H192)</f>
        <v>1.2020815280173439E-2</v>
      </c>
      <c r="R192" s="190"/>
      <c r="S192" s="191">
        <f>J192-(M192-Standards!$N$124)*Standards!$AA$55</f>
        <v>4.7646782327586203</v>
      </c>
      <c r="T192" s="191">
        <f>S192-(A192-Standards!$A$124)*Standards!$AA$4</f>
        <v>4.7592430603448275</v>
      </c>
      <c r="U192" s="191"/>
      <c r="V192" s="190"/>
      <c r="W192" s="191">
        <f>P192-(M192-Standards!$N$124)*Standards!$AL$54</f>
        <v>37.129086120689649</v>
      </c>
      <c r="X192" s="191">
        <f>W192-(A192-Standards!$A$124)*Standards!$AL$5</f>
        <v>37.128371637931032</v>
      </c>
      <c r="Y192" s="197"/>
      <c r="Z192" s="198">
        <f>(T192*Standards!$O$159)+Standards!$O$160</f>
        <v>4.4704658693117043</v>
      </c>
      <c r="AA192" s="199">
        <f>(X192*Standards!$U$159)+Standards!$U$160</f>
        <v>26.625753087331663</v>
      </c>
    </row>
    <row r="193" spans="1:27" s="195" customFormat="1" ht="24.95" customHeight="1" x14ac:dyDescent="0.25">
      <c r="A193" s="188">
        <v>98</v>
      </c>
      <c r="B193" s="189" t="s">
        <v>0</v>
      </c>
      <c r="C193" s="189" t="s">
        <v>299</v>
      </c>
      <c r="D193" s="189">
        <v>6</v>
      </c>
      <c r="E193" s="189">
        <v>14717</v>
      </c>
      <c r="F193" s="189">
        <v>187.13</v>
      </c>
      <c r="G193" s="189">
        <v>4.774</v>
      </c>
      <c r="H193" s="189">
        <v>37.034999999999997</v>
      </c>
      <c r="I193" s="189"/>
      <c r="J193" s="189"/>
      <c r="K193" s="189"/>
      <c r="L193" s="189"/>
      <c r="M193" s="211"/>
      <c r="N193" s="188"/>
      <c r="O193" s="190"/>
      <c r="P193" s="191"/>
      <c r="Q193" s="191"/>
      <c r="R193" s="190"/>
      <c r="S193" s="190"/>
      <c r="T193" s="190"/>
      <c r="U193" s="190"/>
      <c r="V193" s="190"/>
      <c r="W193" s="190"/>
      <c r="X193" s="190"/>
      <c r="Y193" s="192"/>
      <c r="Z193" s="193"/>
      <c r="AA193" s="194"/>
    </row>
    <row r="194" spans="1:27" s="212" customFormat="1" ht="24.95" customHeight="1" x14ac:dyDescent="0.25">
      <c r="A194" s="188">
        <v>98</v>
      </c>
      <c r="B194" s="189" t="s">
        <v>0</v>
      </c>
      <c r="C194" s="189" t="s">
        <v>299</v>
      </c>
      <c r="D194" s="189">
        <v>7</v>
      </c>
      <c r="E194" s="189">
        <v>13705</v>
      </c>
      <c r="F194" s="189">
        <v>173.839</v>
      </c>
      <c r="G194" s="189">
        <v>4.8230000000000004</v>
      </c>
      <c r="H194" s="189">
        <v>37.082000000000001</v>
      </c>
      <c r="I194" s="189"/>
      <c r="J194" s="196">
        <f>AVERAGE(G193:G194)</f>
        <v>4.7985000000000007</v>
      </c>
      <c r="K194" s="196">
        <f>STDEV(G193:G194)</f>
        <v>3.4648232278141095E-2</v>
      </c>
      <c r="L194" s="189"/>
      <c r="M194" s="188">
        <f>AVERAGE(E193:E194)</f>
        <v>14211</v>
      </c>
      <c r="N194" s="188">
        <f>STDEV(E193:E194)</f>
        <v>715.59206256078608</v>
      </c>
      <c r="O194" s="190"/>
      <c r="P194" s="191">
        <f>AVERAGE(H193:H194)</f>
        <v>37.058499999999995</v>
      </c>
      <c r="Q194" s="191">
        <f>STDEV(H193:H194)</f>
        <v>3.3234018715770669E-2</v>
      </c>
      <c r="R194" s="190"/>
      <c r="S194" s="191">
        <f>J194-(M194-Standards!$N$124)*Standards!$AA$55</f>
        <v>4.7974844827586214</v>
      </c>
      <c r="T194" s="191">
        <f>S194-(A194-Standards!$A$124)*Standards!$AA$4</f>
        <v>4.7911973103448284</v>
      </c>
      <c r="U194" s="191"/>
      <c r="V194" s="190"/>
      <c r="W194" s="191">
        <f>P194-(M194-Standards!$N$124)*Standards!$AL$54</f>
        <v>37.059718620689651</v>
      </c>
      <c r="X194" s="191">
        <f>W194-(A194-Standards!$A$124)*Standards!$AL$5</f>
        <v>37.058892137931032</v>
      </c>
      <c r="Y194" s="197"/>
      <c r="Z194" s="198">
        <f>(T194*Standards!$O$159)+Standards!$O$160</f>
        <v>4.5026582611463128</v>
      </c>
      <c r="AA194" s="199">
        <f>(X194*Standards!$U$159)+Standards!$U$160</f>
        <v>26.557655397227197</v>
      </c>
    </row>
    <row r="195" spans="1:27" s="195" customFormat="1" ht="24.95" customHeight="1" x14ac:dyDescent="0.25">
      <c r="A195" s="188">
        <v>99</v>
      </c>
      <c r="B195" s="189" t="s">
        <v>0</v>
      </c>
      <c r="C195" s="189" t="s">
        <v>286</v>
      </c>
      <c r="D195" s="189">
        <v>6</v>
      </c>
      <c r="E195" s="189">
        <v>14843</v>
      </c>
      <c r="F195" s="189">
        <v>180.15299999999999</v>
      </c>
      <c r="G195" s="189">
        <v>4.6929999999999996</v>
      </c>
      <c r="H195" s="189">
        <v>37.020000000000003</v>
      </c>
      <c r="I195" s="189"/>
      <c r="J195" s="189"/>
      <c r="K195" s="189"/>
      <c r="L195" s="189"/>
      <c r="M195" s="188"/>
      <c r="N195" s="188"/>
      <c r="O195" s="190"/>
      <c r="P195" s="191"/>
      <c r="Q195" s="191"/>
      <c r="R195" s="190"/>
      <c r="S195" s="190"/>
      <c r="T195" s="190"/>
      <c r="U195" s="190"/>
      <c r="V195" s="190"/>
      <c r="W195" s="190"/>
      <c r="X195" s="190"/>
      <c r="Y195" s="192"/>
      <c r="Z195" s="193"/>
      <c r="AA195" s="194"/>
    </row>
    <row r="196" spans="1:27" s="195" customFormat="1" ht="24.95" customHeight="1" x14ac:dyDescent="0.25">
      <c r="A196" s="188">
        <v>99</v>
      </c>
      <c r="B196" s="189" t="s">
        <v>0</v>
      </c>
      <c r="C196" s="189" t="s">
        <v>286</v>
      </c>
      <c r="D196" s="189">
        <v>7</v>
      </c>
      <c r="E196" s="189">
        <v>13984</v>
      </c>
      <c r="F196" s="189">
        <v>170.92</v>
      </c>
      <c r="G196" s="189">
        <v>4.681</v>
      </c>
      <c r="H196" s="189">
        <v>37.064</v>
      </c>
      <c r="I196" s="189"/>
      <c r="J196" s="196">
        <f>AVERAGE(G195:G196)</f>
        <v>4.6869999999999994</v>
      </c>
      <c r="K196" s="196">
        <f>STDEV(G195:G196)</f>
        <v>8.4852813742382644E-3</v>
      </c>
      <c r="L196" s="189"/>
      <c r="M196" s="188">
        <f>AVERAGE(E195:E196)</f>
        <v>14413.5</v>
      </c>
      <c r="N196" s="188">
        <f>STDEV(E195:E196)</f>
        <v>607.40472503924434</v>
      </c>
      <c r="O196" s="190"/>
      <c r="P196" s="191">
        <f>AVERAGE(H195:H196)</f>
        <v>37.042000000000002</v>
      </c>
      <c r="Q196" s="191">
        <f>STDEV(H195:H196)</f>
        <v>3.111269837220592E-2</v>
      </c>
      <c r="R196" s="190"/>
      <c r="S196" s="191">
        <f>J196-(M196-Standards!$N$124)*Standards!$AA$55</f>
        <v>4.6834532327586205</v>
      </c>
      <c r="T196" s="191">
        <f>S196-(A196-Standards!$A$124)*Standards!$AA$4</f>
        <v>4.6767400603448275</v>
      </c>
      <c r="U196" s="191"/>
      <c r="V196" s="190"/>
      <c r="W196" s="191">
        <f>P196-(M196-Standards!$N$124)*Standards!$AL$54</f>
        <v>37.046256120689655</v>
      </c>
      <c r="X196" s="191">
        <f>W196-(A196-Standards!$A$124)*Standards!$AL$5</f>
        <v>37.045373637931036</v>
      </c>
      <c r="Y196" s="197"/>
      <c r="Z196" s="198">
        <f>(T196*Standards!$O$159)+Standards!$O$160</f>
        <v>4.3873480085097549</v>
      </c>
      <c r="AA196" s="199">
        <f>(X196*Standards!$U$159)+Standards!$U$160</f>
        <v>26.544405753466418</v>
      </c>
    </row>
    <row r="197" spans="1:27" ht="24.95" customHeight="1" x14ac:dyDescent="0.25">
      <c r="A197" s="27">
        <v>100</v>
      </c>
      <c r="B197" s="26" t="s">
        <v>1215</v>
      </c>
      <c r="C197" s="26" t="s">
        <v>537</v>
      </c>
      <c r="D197" s="26">
        <v>6</v>
      </c>
      <c r="E197" s="26">
        <v>12272</v>
      </c>
      <c r="F197" s="26">
        <v>156.43700000000001</v>
      </c>
      <c r="G197" s="26">
        <v>-1.113</v>
      </c>
      <c r="H197" s="26">
        <v>36.112000000000002</v>
      </c>
      <c r="I197" s="26"/>
      <c r="J197" s="31"/>
      <c r="K197" s="31"/>
      <c r="L197" s="26"/>
      <c r="M197" s="27"/>
      <c r="N197" s="27"/>
      <c r="O197" s="28"/>
      <c r="P197" s="29"/>
      <c r="Q197" s="29"/>
      <c r="R197" s="28"/>
      <c r="S197" s="28"/>
      <c r="T197" s="28"/>
      <c r="U197" s="28"/>
      <c r="V197" s="29"/>
      <c r="W197" s="28"/>
      <c r="X197" s="28"/>
      <c r="Y197" s="32"/>
      <c r="Z197" s="33"/>
      <c r="AA197" s="34"/>
    </row>
    <row r="198" spans="1:27" ht="24.95" customHeight="1" x14ac:dyDescent="0.25">
      <c r="A198" s="27">
        <v>100</v>
      </c>
      <c r="B198" s="26" t="s">
        <v>1215</v>
      </c>
      <c r="C198" s="26" t="s">
        <v>537</v>
      </c>
      <c r="D198" s="26">
        <v>7</v>
      </c>
      <c r="E198" s="26">
        <v>11454</v>
      </c>
      <c r="F198" s="26">
        <v>145.48400000000001</v>
      </c>
      <c r="G198" s="26">
        <v>-1.0960000000000001</v>
      </c>
      <c r="H198" s="26">
        <v>36.085999999999999</v>
      </c>
      <c r="I198" s="26"/>
      <c r="J198" s="31">
        <f>AVERAGE(G197:G198)</f>
        <v>-1.1045</v>
      </c>
      <c r="K198" s="31">
        <f>STDEV(G197:G198)</f>
        <v>1.2020815280171239E-2</v>
      </c>
      <c r="L198" s="26"/>
      <c r="M198" s="27">
        <f>AVERAGE(E197:E198)</f>
        <v>11863</v>
      </c>
      <c r="N198" s="27">
        <f>STDEV(E197:E198)</f>
        <v>578.41334701059588</v>
      </c>
      <c r="O198" s="28"/>
      <c r="P198" s="29">
        <f>AVERAGE(H197:H198)</f>
        <v>36.099000000000004</v>
      </c>
      <c r="Q198" s="29">
        <f>STDEV(H197:H198)</f>
        <v>1.8384776310852606E-2</v>
      </c>
      <c r="R198" s="28"/>
      <c r="S198" s="29">
        <f>J198-(M198-Standards!$N$124)*Standards!$AA$55</f>
        <v>-1.0761655172413793</v>
      </c>
      <c r="T198" s="29">
        <f>S198-(A198-Standards!$A$124)*Standards!$AA$4</f>
        <v>-1.0833046896551723</v>
      </c>
      <c r="U198" s="29"/>
      <c r="V198" s="28"/>
      <c r="W198" s="29">
        <f>P198-(M198-Standards!$N$124)*Standards!$AL$54</f>
        <v>36.064998620689657</v>
      </c>
      <c r="X198" s="29">
        <f>W198-(A198-Standards!$A$124)*Standards!$AL$5</f>
        <v>36.064060137931037</v>
      </c>
      <c r="Y198" s="111"/>
      <c r="Z198" s="19">
        <f>(T198*Standards!$O$159)+Standards!$O$160</f>
        <v>-1.4156239772786203</v>
      </c>
      <c r="AA198" s="20">
        <f>(X198*Standards!$U$159)+Standards!$U$160</f>
        <v>25.58260863894591</v>
      </c>
    </row>
    <row r="199" spans="1:27" ht="24.95" customHeight="1" x14ac:dyDescent="0.25">
      <c r="A199" s="27">
        <v>101</v>
      </c>
      <c r="B199" s="26" t="s">
        <v>1219</v>
      </c>
      <c r="C199" s="26" t="s">
        <v>297</v>
      </c>
      <c r="D199" s="26">
        <v>6</v>
      </c>
      <c r="E199" s="26">
        <v>15789</v>
      </c>
      <c r="F199" s="26">
        <v>190.989</v>
      </c>
      <c r="G199" s="26">
        <v>-1.5580000000000001</v>
      </c>
      <c r="H199" s="26">
        <v>35.966999999999999</v>
      </c>
      <c r="I199" s="26"/>
      <c r="J199" s="26"/>
      <c r="K199" s="26"/>
      <c r="L199" s="26"/>
      <c r="M199" s="27"/>
      <c r="N199" s="27"/>
      <c r="O199" s="28"/>
      <c r="P199" s="29"/>
      <c r="Q199" s="29"/>
      <c r="R199" s="28"/>
      <c r="S199" s="28"/>
      <c r="T199" s="28"/>
      <c r="U199" s="28"/>
      <c r="V199" s="28"/>
      <c r="W199" s="28"/>
      <c r="X199" s="28"/>
      <c r="Y199" s="32"/>
      <c r="Z199" s="33"/>
      <c r="AA199" s="34"/>
    </row>
    <row r="200" spans="1:27" ht="24.95" customHeight="1" x14ac:dyDescent="0.25">
      <c r="A200" s="27">
        <v>101</v>
      </c>
      <c r="B200" s="26" t="s">
        <v>1219</v>
      </c>
      <c r="C200" s="26" t="s">
        <v>297</v>
      </c>
      <c r="D200" s="26">
        <v>7</v>
      </c>
      <c r="E200" s="26">
        <v>14726</v>
      </c>
      <c r="F200" s="26">
        <v>180.03700000000001</v>
      </c>
      <c r="G200" s="26">
        <v>-1.5740000000000001</v>
      </c>
      <c r="H200" s="26">
        <v>36.048000000000002</v>
      </c>
      <c r="I200" s="26"/>
      <c r="J200" s="31">
        <f>AVERAGE(G199:G200)</f>
        <v>-1.5660000000000001</v>
      </c>
      <c r="K200" s="31">
        <f>STDEV(G199:G200)</f>
        <v>1.1313708498984771E-2</v>
      </c>
      <c r="L200" s="26"/>
      <c r="M200" s="27">
        <f>AVERAGE(E199:E200)</f>
        <v>15257.5</v>
      </c>
      <c r="N200" s="27">
        <f>STDEV(E199:E200)</f>
        <v>751.65450840130006</v>
      </c>
      <c r="O200" s="28"/>
      <c r="P200" s="29">
        <f>AVERAGE(H199:H200)</f>
        <v>36.0075</v>
      </c>
      <c r="Q200" s="29">
        <f>STDEV(H199:H200)</f>
        <v>5.727564927611252E-2</v>
      </c>
      <c r="R200" s="28"/>
      <c r="S200" s="29">
        <f>J200-(M200-Standards!$N$124)*Standards!$AA$55</f>
        <v>-1.5800967672413793</v>
      </c>
      <c r="T200" s="29">
        <f>S200-(A200-Standards!$A$124)*Standards!$AA$4</f>
        <v>-1.5876619396551723</v>
      </c>
      <c r="U200" s="29"/>
      <c r="V200" s="28"/>
      <c r="W200" s="29">
        <f>P200-(M200-Standards!$N$124)*Standards!$AL$54</f>
        <v>36.024416120689658</v>
      </c>
      <c r="X200" s="29">
        <f>W200-(A200-Standards!$A$124)*Standards!$AL$5</f>
        <v>36.023421637931037</v>
      </c>
      <c r="Y200" s="111"/>
      <c r="Z200" s="19">
        <f>(T200*Standards!$O$159)+Standards!$O$160</f>
        <v>-1.9237399936653443</v>
      </c>
      <c r="AA200" s="20">
        <f>(X200*Standards!$U$159)+Standards!$U$160</f>
        <v>25.542778358369471</v>
      </c>
    </row>
    <row r="201" spans="1:27" ht="24.95" customHeight="1" x14ac:dyDescent="0.25">
      <c r="A201" s="27">
        <v>102</v>
      </c>
      <c r="B201" s="26" t="s">
        <v>1223</v>
      </c>
      <c r="C201" s="26" t="s">
        <v>752</v>
      </c>
      <c r="D201" s="26">
        <v>6</v>
      </c>
      <c r="E201" s="26">
        <v>16691</v>
      </c>
      <c r="F201" s="26">
        <v>211.148</v>
      </c>
      <c r="G201" s="26">
        <v>-1.38</v>
      </c>
      <c r="H201" s="26">
        <v>36.078000000000003</v>
      </c>
      <c r="I201" s="26"/>
      <c r="J201" s="26"/>
      <c r="K201" s="26"/>
      <c r="L201" s="26"/>
      <c r="M201" s="27"/>
      <c r="N201" s="27"/>
      <c r="O201" s="28"/>
      <c r="P201" s="29"/>
      <c r="Q201" s="29"/>
      <c r="R201" s="28"/>
      <c r="S201" s="28"/>
      <c r="T201" s="28"/>
      <c r="U201" s="28"/>
      <c r="V201" s="28"/>
      <c r="W201" s="28"/>
      <c r="X201" s="28"/>
      <c r="Y201" s="32"/>
      <c r="Z201" s="33"/>
      <c r="AA201" s="34"/>
    </row>
    <row r="202" spans="1:27" ht="24.95" customHeight="1" x14ac:dyDescent="0.25">
      <c r="A202" s="27">
        <v>102</v>
      </c>
      <c r="B202" s="26" t="s">
        <v>1223</v>
      </c>
      <c r="C202" s="26" t="s">
        <v>752</v>
      </c>
      <c r="D202" s="26">
        <v>7</v>
      </c>
      <c r="E202" s="26">
        <v>15545</v>
      </c>
      <c r="F202" s="26">
        <v>196.21899999999999</v>
      </c>
      <c r="G202" s="26">
        <v>-1.33</v>
      </c>
      <c r="H202" s="26">
        <v>36.122</v>
      </c>
      <c r="I202" s="26"/>
      <c r="J202" s="31">
        <f>AVERAGE(G201:G202)</f>
        <v>-1.355</v>
      </c>
      <c r="K202" s="31">
        <f>STDEV(G201:G202)</f>
        <v>3.5355339059327251E-2</v>
      </c>
      <c r="L202" s="26"/>
      <c r="M202" s="27">
        <f>AVERAGE(E201:E202)</f>
        <v>16118</v>
      </c>
      <c r="N202" s="27">
        <f>STDEV(E201:E202)</f>
        <v>810.34437123978341</v>
      </c>
      <c r="O202" s="28"/>
      <c r="P202" s="29">
        <f>AVERAGE(H201:H202)</f>
        <v>36.1</v>
      </c>
      <c r="Q202" s="29">
        <f>STDEV(H201:H202)</f>
        <v>3.111269837220592E-2</v>
      </c>
      <c r="R202" s="28"/>
      <c r="S202" s="29">
        <f>J202-(M202-Standards!$N$124)*Standards!$AA$55</f>
        <v>-1.3798530172413792</v>
      </c>
      <c r="T202" s="29">
        <f>S202-(A202-Standards!$A$124)*Standards!$AA$4</f>
        <v>-1.3878441896551723</v>
      </c>
      <c r="U202" s="29"/>
      <c r="V202" s="28"/>
      <c r="W202" s="29">
        <f>P202-(M202-Standards!$N$124)*Standards!$AL$54</f>
        <v>36.129823620689656</v>
      </c>
      <c r="X202" s="29">
        <f>W202-(A202-Standards!$A$124)*Standards!$AL$5</f>
        <v>36.128773137931034</v>
      </c>
      <c r="Y202" s="111"/>
      <c r="Z202" s="19">
        <f>(T202*Standards!$O$159)+Standards!$O$160</f>
        <v>-1.7224330844589071</v>
      </c>
      <c r="AA202" s="20">
        <f>(X202*Standards!$U$159)+Standards!$U$160</f>
        <v>25.646034625312101</v>
      </c>
    </row>
    <row r="203" spans="1:27" ht="24.95" customHeight="1" x14ac:dyDescent="0.25">
      <c r="A203" s="27">
        <v>103</v>
      </c>
      <c r="B203" s="26" t="s">
        <v>1228</v>
      </c>
      <c r="C203" s="26" t="s">
        <v>254</v>
      </c>
      <c r="D203" s="26">
        <v>6</v>
      </c>
      <c r="E203" s="26">
        <v>14966</v>
      </c>
      <c r="F203" s="26">
        <v>183.86600000000001</v>
      </c>
      <c r="G203" s="26">
        <v>-1.2749999999999999</v>
      </c>
      <c r="H203" s="26">
        <v>35.936</v>
      </c>
      <c r="I203" s="26"/>
      <c r="J203" s="26"/>
      <c r="K203" s="26"/>
      <c r="L203" s="26"/>
      <c r="M203" s="27"/>
      <c r="N203" s="27"/>
      <c r="O203" s="28"/>
      <c r="P203" s="29"/>
      <c r="Q203" s="29"/>
      <c r="R203" s="28"/>
      <c r="S203" s="28"/>
      <c r="T203" s="28"/>
      <c r="U203" s="28"/>
      <c r="V203" s="28"/>
      <c r="W203" s="28"/>
      <c r="X203" s="28"/>
      <c r="Y203" s="32"/>
      <c r="Z203" s="33"/>
      <c r="AA203" s="34"/>
    </row>
    <row r="204" spans="1:27" ht="24.95" customHeight="1" x14ac:dyDescent="0.25">
      <c r="A204" s="27">
        <v>103</v>
      </c>
      <c r="B204" s="26" t="s">
        <v>1228</v>
      </c>
      <c r="C204" s="26" t="s">
        <v>254</v>
      </c>
      <c r="D204" s="26">
        <v>7</v>
      </c>
      <c r="E204" s="26">
        <v>13823</v>
      </c>
      <c r="F204" s="26">
        <v>170.726</v>
      </c>
      <c r="G204" s="26">
        <v>-1.2070000000000001</v>
      </c>
      <c r="H204" s="26">
        <v>35.979999999999997</v>
      </c>
      <c r="I204" s="26"/>
      <c r="J204" s="31">
        <f>AVERAGE(G203:G204)</f>
        <v>-1.2410000000000001</v>
      </c>
      <c r="K204" s="31">
        <f>STDEV(G203:G204)</f>
        <v>4.8083261120685117E-2</v>
      </c>
      <c r="L204" s="26"/>
      <c r="M204" s="27">
        <f>AVERAGE(E203:E204)</f>
        <v>14394.5</v>
      </c>
      <c r="N204" s="27">
        <f>STDEV(E203:E204)</f>
        <v>808.22305089622387</v>
      </c>
      <c r="O204" s="28"/>
      <c r="P204" s="29">
        <f>AVERAGE(H203:H204)</f>
        <v>35.957999999999998</v>
      </c>
      <c r="Q204" s="29">
        <f>STDEV(H203:H204)</f>
        <v>3.111269837220592E-2</v>
      </c>
      <c r="R204" s="28"/>
      <c r="S204" s="29">
        <f>J204-(M204-Standards!$N$124)*Standards!$AA$55</f>
        <v>-1.2443092672413794</v>
      </c>
      <c r="T204" s="29">
        <f>S204-(A204-Standards!$A$124)*Standards!$AA$4</f>
        <v>-1.2527264396551725</v>
      </c>
      <c r="U204" s="29"/>
      <c r="V204" s="28"/>
      <c r="W204" s="29">
        <f>P204-(M204-Standards!$N$124)*Standards!$AL$54</f>
        <v>35.961971120689654</v>
      </c>
      <c r="X204" s="29">
        <f>W204-(A204-Standards!$A$124)*Standards!$AL$5</f>
        <v>35.960864637931031</v>
      </c>
      <c r="Y204" s="111"/>
      <c r="Z204" s="19">
        <f>(T204*Standards!$O$159)+Standards!$O$160</f>
        <v>-1.5863083576444572</v>
      </c>
      <c r="AA204" s="20">
        <f>(X204*Standards!$U$159)+Standards!$U$160</f>
        <v>25.481465493425635</v>
      </c>
    </row>
    <row r="205" spans="1:27" ht="24.95" customHeight="1" x14ac:dyDescent="0.25">
      <c r="A205" s="27">
        <v>104</v>
      </c>
      <c r="B205" s="26" t="s">
        <v>1231</v>
      </c>
      <c r="C205" s="26" t="s">
        <v>227</v>
      </c>
      <c r="D205" s="26">
        <v>6</v>
      </c>
      <c r="E205" s="26">
        <v>12688</v>
      </c>
      <c r="F205" s="26">
        <v>160.41</v>
      </c>
      <c r="G205" s="26">
        <v>-1.2250000000000001</v>
      </c>
      <c r="H205" s="26">
        <v>35.859000000000002</v>
      </c>
      <c r="I205" s="26"/>
      <c r="J205" s="31"/>
      <c r="K205" s="31"/>
      <c r="L205" s="26"/>
      <c r="M205" s="27"/>
      <c r="N205" s="27"/>
      <c r="O205" s="28"/>
      <c r="P205" s="29"/>
      <c r="Q205" s="29"/>
      <c r="R205" s="28"/>
      <c r="S205" s="29"/>
      <c r="T205" s="29"/>
      <c r="U205" s="29"/>
      <c r="V205" s="29"/>
      <c r="W205" s="29"/>
      <c r="X205" s="29"/>
      <c r="Y205" s="32"/>
      <c r="Z205" s="35"/>
      <c r="AA205" s="36"/>
    </row>
    <row r="206" spans="1:27" ht="24.95" customHeight="1" x14ac:dyDescent="0.25">
      <c r="A206" s="27">
        <v>104</v>
      </c>
      <c r="B206" s="26" t="s">
        <v>1231</v>
      </c>
      <c r="C206" s="26" t="s">
        <v>227</v>
      </c>
      <c r="D206" s="26">
        <v>7</v>
      </c>
      <c r="E206" s="26">
        <v>11897</v>
      </c>
      <c r="F206" s="26">
        <v>149.19300000000001</v>
      </c>
      <c r="G206" s="26">
        <v>-1.175</v>
      </c>
      <c r="H206" s="26">
        <v>35.883000000000003</v>
      </c>
      <c r="I206" s="26"/>
      <c r="J206" s="31">
        <f>AVERAGE(G205:G206)</f>
        <v>-1.2000000000000002</v>
      </c>
      <c r="K206" s="31">
        <f>STDEV(G205:G206)</f>
        <v>3.5355339059327411E-2</v>
      </c>
      <c r="L206" s="26"/>
      <c r="M206" s="27">
        <f>AVERAGE(E205:E206)</f>
        <v>12292.5</v>
      </c>
      <c r="N206" s="27">
        <f>STDEV(E205:E206)</f>
        <v>559.32146391855906</v>
      </c>
      <c r="O206" s="28"/>
      <c r="P206" s="29">
        <f>AVERAGE(H205:H206)</f>
        <v>35.871000000000002</v>
      </c>
      <c r="Q206" s="29">
        <f>STDEV(H205:H206)</f>
        <v>1.6970562748477785E-2</v>
      </c>
      <c r="R206" s="28"/>
      <c r="S206" s="29">
        <f>J206-(M206-Standards!$N$124)*Standards!$AA$55</f>
        <v>-1.1770342672413794</v>
      </c>
      <c r="T206" s="29">
        <f>S206-(A206-Standards!$A$124)*Standards!$AA$4</f>
        <v>-1.1858774396551726</v>
      </c>
      <c r="U206" s="29"/>
      <c r="V206" s="28"/>
      <c r="W206" s="29">
        <f>P206-(M206-Standards!$N$124)*Standards!$AL$54</f>
        <v>35.843441120689654</v>
      </c>
      <c r="X206" s="29">
        <f>W206-(A206-Standards!$A$124)*Standards!$AL$5</f>
        <v>35.842278637931031</v>
      </c>
      <c r="Y206" s="111"/>
      <c r="Z206" s="19">
        <f>(T206*Standards!$O$159)+Standards!$O$160</f>
        <v>-1.5189611596425725</v>
      </c>
      <c r="AA206" s="20">
        <f>(X206*Standards!$U$159)+Standards!$U$160</f>
        <v>25.365237934523687</v>
      </c>
    </row>
    <row r="207" spans="1:27" ht="24.95" customHeight="1" x14ac:dyDescent="0.25">
      <c r="A207" s="27">
        <v>105</v>
      </c>
      <c r="B207" s="26" t="s">
        <v>1234</v>
      </c>
      <c r="C207" s="26" t="s">
        <v>286</v>
      </c>
      <c r="D207" s="26">
        <v>6</v>
      </c>
      <c r="E207" s="26">
        <v>13966</v>
      </c>
      <c r="F207" s="26">
        <v>175.637</v>
      </c>
      <c r="G207" s="26">
        <v>-1.3680000000000001</v>
      </c>
      <c r="H207" s="26">
        <v>35.915999999999997</v>
      </c>
      <c r="I207" s="26"/>
      <c r="J207" s="26"/>
      <c r="K207" s="26"/>
      <c r="L207" s="26"/>
      <c r="M207" s="27"/>
      <c r="N207" s="27"/>
      <c r="O207" s="28"/>
      <c r="P207" s="29"/>
      <c r="Q207" s="29"/>
      <c r="R207" s="28"/>
      <c r="S207" s="28"/>
      <c r="T207" s="28"/>
      <c r="U207" s="28"/>
      <c r="V207" s="28"/>
      <c r="W207" s="28"/>
      <c r="X207" s="28"/>
      <c r="Y207" s="32"/>
      <c r="Z207" s="33"/>
      <c r="AA207" s="34"/>
    </row>
    <row r="208" spans="1:27" ht="24.95" customHeight="1" x14ac:dyDescent="0.25">
      <c r="A208" s="27">
        <v>105</v>
      </c>
      <c r="B208" s="26" t="s">
        <v>1234</v>
      </c>
      <c r="C208" s="26" t="s">
        <v>286</v>
      </c>
      <c r="D208" s="26">
        <v>7</v>
      </c>
      <c r="E208" s="26">
        <v>12932</v>
      </c>
      <c r="F208" s="26">
        <v>162.941</v>
      </c>
      <c r="G208" s="26">
        <v>-1.3089999999999999</v>
      </c>
      <c r="H208" s="26">
        <v>35.918999999999997</v>
      </c>
      <c r="I208" s="26"/>
      <c r="J208" s="31">
        <f>AVERAGE(G207:G208)</f>
        <v>-1.3385</v>
      </c>
      <c r="K208" s="31">
        <f>STDEV(G207:G208)</f>
        <v>4.171930009000642E-2</v>
      </c>
      <c r="L208" s="26"/>
      <c r="M208" s="27">
        <f>AVERAGE(E207:E208)</f>
        <v>13449</v>
      </c>
      <c r="N208" s="27">
        <f>STDEV(E207:E208)</f>
        <v>731.14841174689013</v>
      </c>
      <c r="O208" s="28"/>
      <c r="P208" s="29">
        <f>AVERAGE(H207:H208)</f>
        <v>35.917499999999997</v>
      </c>
      <c r="Q208" s="29">
        <f>STDEV(H207:H208)</f>
        <v>2.1213203435597231E-3</v>
      </c>
      <c r="R208" s="28"/>
      <c r="S208" s="29">
        <f>J208-(M208-Standards!$N$124)*Standards!$AA$55</f>
        <v>-1.3299905172413793</v>
      </c>
      <c r="T208" s="29">
        <f>S208-(A208-Standards!$A$124)*Standards!$AA$4</f>
        <v>-1.3392596896551725</v>
      </c>
      <c r="U208" s="29"/>
      <c r="V208" s="28"/>
      <c r="W208" s="29">
        <f>P208-(M208-Standards!$N$124)*Standards!$AL$54</f>
        <v>35.907288620689656</v>
      </c>
      <c r="X208" s="29">
        <f>W208-(A208-Standards!$A$124)*Standards!$AL$5</f>
        <v>35.906070137931032</v>
      </c>
      <c r="Y208" s="111"/>
      <c r="Z208" s="19">
        <f>(T208*Standards!$O$159)+Standards!$O$160</f>
        <v>-1.6734865042359786</v>
      </c>
      <c r="AA208" s="20">
        <f>(X208*Standards!$U$159)+Standards!$U$160</f>
        <v>25.4277607477031</v>
      </c>
    </row>
    <row r="209" spans="1:27" ht="24.95" customHeight="1" x14ac:dyDescent="0.25">
      <c r="A209" s="27">
        <v>106</v>
      </c>
      <c r="B209" s="26" t="s">
        <v>1239</v>
      </c>
      <c r="C209" s="26" t="s">
        <v>635</v>
      </c>
      <c r="D209" s="26">
        <v>6</v>
      </c>
      <c r="E209" s="26">
        <v>15574</v>
      </c>
      <c r="F209" s="26">
        <v>193.59100000000001</v>
      </c>
      <c r="G209" s="26">
        <v>-1.302</v>
      </c>
      <c r="H209" s="26">
        <v>35.868000000000002</v>
      </c>
      <c r="I209" s="26"/>
      <c r="J209" s="26"/>
      <c r="K209" s="26"/>
      <c r="L209" s="26"/>
      <c r="M209" s="27"/>
      <c r="N209" s="27"/>
      <c r="O209" s="28"/>
      <c r="P209" s="29"/>
      <c r="Q209" s="29"/>
      <c r="R209" s="28"/>
      <c r="S209" s="28"/>
      <c r="T209" s="28"/>
      <c r="U209" s="28"/>
      <c r="V209" s="28"/>
      <c r="W209" s="28"/>
      <c r="X209" s="28"/>
      <c r="Y209" s="32"/>
      <c r="Z209" s="33"/>
      <c r="AA209" s="34"/>
    </row>
    <row r="210" spans="1:27" ht="24.95" customHeight="1" x14ac:dyDescent="0.25">
      <c r="A210" s="27">
        <v>106</v>
      </c>
      <c r="B210" s="26" t="s">
        <v>1239</v>
      </c>
      <c r="C210" s="26" t="s">
        <v>635</v>
      </c>
      <c r="D210" s="26">
        <v>7</v>
      </c>
      <c r="E210" s="26">
        <v>14677</v>
      </c>
      <c r="F210" s="26">
        <v>180.739</v>
      </c>
      <c r="G210" s="26">
        <v>-1.266</v>
      </c>
      <c r="H210" s="26">
        <v>35.926000000000002</v>
      </c>
      <c r="I210" s="26"/>
      <c r="J210" s="31">
        <f>AVERAGE(G209:G210)</f>
        <v>-1.284</v>
      </c>
      <c r="K210" s="31">
        <f>STDEV(G209:G210)</f>
        <v>2.5455844122715732E-2</v>
      </c>
      <c r="L210" s="26"/>
      <c r="M210" s="27">
        <f>AVERAGE(E209:E210)</f>
        <v>15125.5</v>
      </c>
      <c r="N210" s="27">
        <f>STDEV(E209:E210)</f>
        <v>634.27478272433314</v>
      </c>
      <c r="O210" s="28"/>
      <c r="P210" s="29">
        <f>AVERAGE(H209:H210)</f>
        <v>35.897000000000006</v>
      </c>
      <c r="Q210" s="29">
        <f>STDEV(H209:H210)</f>
        <v>4.1012193308819632E-2</v>
      </c>
      <c r="R210" s="28"/>
      <c r="S210" s="29">
        <f>J210-(M210-Standards!$N$124)*Standards!$AA$55</f>
        <v>-1.2964467672413793</v>
      </c>
      <c r="T210" s="29">
        <f>S210-(A210-Standards!$A$124)*Standards!$AA$4</f>
        <v>-1.3061419396551723</v>
      </c>
      <c r="U210" s="29"/>
      <c r="V210" s="28"/>
      <c r="W210" s="29">
        <f>P210-(M210-Standards!$N$124)*Standards!$AL$54</f>
        <v>35.91193612068966</v>
      </c>
      <c r="X210" s="29">
        <f>W210-(A210-Standards!$A$124)*Standards!$AL$5</f>
        <v>35.910661637931042</v>
      </c>
      <c r="Y210" s="111"/>
      <c r="Z210" s="19">
        <f>(T210*Standards!$O$159)+Standards!$O$160</f>
        <v>-1.6401219413161601</v>
      </c>
      <c r="AA210" s="20">
        <f>(X210*Standards!$U$159)+Standards!$U$160</f>
        <v>25.432260931845402</v>
      </c>
    </row>
    <row r="211" spans="1:27" s="195" customFormat="1" ht="24.95" customHeight="1" x14ac:dyDescent="0.25">
      <c r="A211" s="188">
        <v>107</v>
      </c>
      <c r="B211" s="189" t="s">
        <v>0</v>
      </c>
      <c r="C211" s="189" t="s">
        <v>737</v>
      </c>
      <c r="D211" s="189">
        <v>6</v>
      </c>
      <c r="E211" s="189">
        <v>15094</v>
      </c>
      <c r="F211" s="189">
        <v>191.33099999999999</v>
      </c>
      <c r="G211" s="189">
        <v>4.75</v>
      </c>
      <c r="H211" s="189">
        <v>36.966999999999999</v>
      </c>
      <c r="I211" s="189"/>
      <c r="J211" s="196"/>
      <c r="K211" s="196"/>
      <c r="L211" s="189"/>
      <c r="M211" s="188"/>
      <c r="N211" s="188"/>
      <c r="O211" s="190"/>
      <c r="P211" s="191"/>
      <c r="Q211" s="191"/>
      <c r="R211" s="190"/>
      <c r="S211" s="191"/>
      <c r="T211" s="191"/>
      <c r="U211" s="191"/>
      <c r="V211" s="190"/>
      <c r="W211" s="191"/>
      <c r="X211" s="191"/>
      <c r="Y211" s="197"/>
      <c r="Z211" s="198"/>
      <c r="AA211" s="199"/>
    </row>
    <row r="212" spans="1:27" s="195" customFormat="1" ht="24.95" customHeight="1" x14ac:dyDescent="0.25">
      <c r="A212" s="188">
        <v>107</v>
      </c>
      <c r="B212" s="189" t="s">
        <v>0</v>
      </c>
      <c r="C212" s="189" t="s">
        <v>737</v>
      </c>
      <c r="D212" s="189">
        <v>7</v>
      </c>
      <c r="E212" s="189">
        <v>14029</v>
      </c>
      <c r="F212" s="189">
        <v>177.77500000000001</v>
      </c>
      <c r="G212" s="189">
        <v>4.7750000000000004</v>
      </c>
      <c r="H212" s="189">
        <v>36.991999999999997</v>
      </c>
      <c r="I212" s="189"/>
      <c r="J212" s="196">
        <f>AVERAGE(G211:G212)</f>
        <v>4.7625000000000002</v>
      </c>
      <c r="K212" s="196">
        <f>STDEV(G211:G212)</f>
        <v>1.7677669529663941E-2</v>
      </c>
      <c r="L212" s="189"/>
      <c r="M212" s="188">
        <f>AVERAGE(E211:E212)</f>
        <v>14561.5</v>
      </c>
      <c r="N212" s="188">
        <f>STDEV(E211:E212)</f>
        <v>753.06872196367317</v>
      </c>
      <c r="O212" s="190"/>
      <c r="P212" s="191">
        <f>AVERAGE(H211:H212)</f>
        <v>36.979500000000002</v>
      </c>
      <c r="Q212" s="191">
        <f>STDEV(H211:H212)</f>
        <v>1.7677669529662685E-2</v>
      </c>
      <c r="R212" s="190"/>
      <c r="S212" s="191">
        <f>J212-(M212-Standards!$N$124)*Standards!$AA$55</f>
        <v>4.7571032327586211</v>
      </c>
      <c r="T212" s="191">
        <f>S212-(A212-Standards!$A$124)*Standards!$AA$4</f>
        <v>4.7469820603448278</v>
      </c>
      <c r="U212" s="191"/>
      <c r="V212" s="190"/>
      <c r="W212" s="191">
        <f>P212-(M212-Standards!$N$124)*Standards!$AL$54</f>
        <v>36.985976120689656</v>
      </c>
      <c r="X212" s="191">
        <f>W212-(A212-Standards!$A$124)*Standards!$AL$5</f>
        <v>36.984645637931038</v>
      </c>
      <c r="Y212" s="197"/>
      <c r="Z212" s="198">
        <f>(T212*Standards!$O$159)+Standards!$O$160</f>
        <v>4.4581134931400168</v>
      </c>
      <c r="AA212" s="199">
        <f>(X212*Standards!$U$159)+Standards!$U$160</f>
        <v>26.484885513328482</v>
      </c>
    </row>
    <row r="213" spans="1:27" s="195" customFormat="1" ht="24.95" customHeight="1" x14ac:dyDescent="0.25">
      <c r="A213" s="213">
        <v>108</v>
      </c>
      <c r="B213" s="195" t="s">
        <v>0</v>
      </c>
      <c r="C213" s="195" t="s">
        <v>229</v>
      </c>
      <c r="D213" s="195">
        <v>6</v>
      </c>
      <c r="E213" s="195">
        <v>13925</v>
      </c>
      <c r="F213" s="195">
        <v>171.35900000000001</v>
      </c>
      <c r="G213" s="195">
        <v>4.6779999999999999</v>
      </c>
      <c r="H213" s="195">
        <v>37.01</v>
      </c>
      <c r="Y213" s="214"/>
      <c r="Z213" s="193"/>
      <c r="AA213" s="194"/>
    </row>
    <row r="214" spans="1:27" s="195" customFormat="1" ht="24.95" customHeight="1" x14ac:dyDescent="0.25">
      <c r="A214" s="213">
        <v>108</v>
      </c>
      <c r="B214" s="195" t="s">
        <v>0</v>
      </c>
      <c r="C214" s="195" t="s">
        <v>229</v>
      </c>
      <c r="D214" s="195">
        <v>7</v>
      </c>
      <c r="E214" s="195">
        <v>13110</v>
      </c>
      <c r="F214" s="195">
        <v>160.28</v>
      </c>
      <c r="G214" s="195">
        <v>4.7169999999999996</v>
      </c>
      <c r="H214" s="195">
        <v>37.064999999999998</v>
      </c>
      <c r="J214" s="196">
        <f>AVERAGE(G213:G214)</f>
        <v>4.6974999999999998</v>
      </c>
      <c r="K214" s="196">
        <f>STDEV(G213:G214)</f>
        <v>2.7577164466275145E-2</v>
      </c>
      <c r="L214" s="189"/>
      <c r="M214" s="188">
        <f>AVERAGE(E213:E214)</f>
        <v>13517.5</v>
      </c>
      <c r="N214" s="188">
        <f>STDEV(E213:E214)</f>
        <v>576.29202666703623</v>
      </c>
      <c r="O214" s="190"/>
      <c r="P214" s="191">
        <f>AVERAGE(H213:H214)</f>
        <v>37.037499999999994</v>
      </c>
      <c r="Q214" s="191">
        <f>STDEV(H213:H214)</f>
        <v>3.8890872965259914E-2</v>
      </c>
      <c r="R214" s="190"/>
      <c r="S214" s="191">
        <f>J214-(M214-Standards!$N$124)*Standards!$AA$55</f>
        <v>4.7051532327586205</v>
      </c>
      <c r="T214" s="191">
        <f>S214-(A214-Standards!$A$124)*Standards!$AA$4</f>
        <v>4.6946060603448272</v>
      </c>
      <c r="U214" s="191"/>
      <c r="V214" s="190"/>
      <c r="W214" s="191">
        <f>P214-(M214-Standards!$N$124)*Standards!$AL$54</f>
        <v>37.028316120689652</v>
      </c>
      <c r="X214" s="191">
        <f>W214-(A214-Standards!$A$124)*Standards!$AL$5</f>
        <v>37.026929637931033</v>
      </c>
      <c r="Y214" s="197"/>
      <c r="Z214" s="198">
        <f>(T214*Standards!$O$159)+Standards!$O$160</f>
        <v>4.4053471564327102</v>
      </c>
      <c r="AA214" s="199">
        <f>(X214*Standards!$U$159)+Standards!$U$160</f>
        <v>26.526328568163027</v>
      </c>
    </row>
    <row r="215" spans="1:27" ht="24.95" customHeight="1" x14ac:dyDescent="0.25">
      <c r="A215" s="108">
        <v>109</v>
      </c>
      <c r="B215" s="65" t="s">
        <v>1248</v>
      </c>
      <c r="C215" s="65" t="s">
        <v>513</v>
      </c>
      <c r="D215" s="65">
        <v>6</v>
      </c>
      <c r="E215" s="65">
        <v>14391</v>
      </c>
      <c r="F215" s="65">
        <v>183.39699999999999</v>
      </c>
      <c r="G215" s="65">
        <v>-1.637</v>
      </c>
      <c r="H215" s="65">
        <v>35.865000000000002</v>
      </c>
      <c r="Y215" s="67"/>
      <c r="Z215" s="157"/>
      <c r="AA215" s="107"/>
    </row>
    <row r="216" spans="1:27" ht="24.95" customHeight="1" x14ac:dyDescent="0.25">
      <c r="A216" s="108">
        <v>109</v>
      </c>
      <c r="B216" s="65" t="s">
        <v>1248</v>
      </c>
      <c r="C216" s="65" t="s">
        <v>513</v>
      </c>
      <c r="D216" s="65">
        <v>7</v>
      </c>
      <c r="E216" s="65">
        <v>13436</v>
      </c>
      <c r="F216" s="65">
        <v>172.32499999999999</v>
      </c>
      <c r="G216" s="65">
        <v>-1.661</v>
      </c>
      <c r="H216" s="65">
        <v>35.898000000000003</v>
      </c>
      <c r="J216" s="31">
        <f>AVERAGE(G215:G216)</f>
        <v>-1.649</v>
      </c>
      <c r="K216" s="31">
        <f>STDEV(G215:G216)</f>
        <v>1.6970562748477157E-2</v>
      </c>
      <c r="L216" s="26"/>
      <c r="M216" s="27">
        <f>AVERAGE(E215:E216)</f>
        <v>13913.5</v>
      </c>
      <c r="N216" s="27">
        <f>STDEV(E215:E216)</f>
        <v>675.28697603315288</v>
      </c>
      <c r="O216" s="28"/>
      <c r="P216" s="29">
        <f>AVERAGE(H215:H216)</f>
        <v>35.881500000000003</v>
      </c>
      <c r="Q216" s="29">
        <f>STDEV(H215:H216)</f>
        <v>2.3334523779156954E-2</v>
      </c>
      <c r="R216" s="28"/>
      <c r="S216" s="29">
        <f>J216-(M216-Standards!$N$124)*Standards!$AA$55</f>
        <v>-1.6462967672413793</v>
      </c>
      <c r="T216" s="29">
        <f>S216-(A216-Standards!$A$124)*Standards!$AA$4</f>
        <v>-1.6572699396551724</v>
      </c>
      <c r="U216" s="29"/>
      <c r="V216" s="28"/>
      <c r="W216" s="29">
        <f>P216-(M216-Standards!$N$124)*Standards!$AL$54</f>
        <v>35.878256120689656</v>
      </c>
      <c r="X216" s="29">
        <f>W216-(A216-Standards!$A$124)*Standards!$AL$5</f>
        <v>35.876813637931036</v>
      </c>
      <c r="Y216" s="111"/>
      <c r="Z216" s="19">
        <f>(T216*Standards!$O$159)+Standards!$O$160</f>
        <v>-1.9938667533553203</v>
      </c>
      <c r="AA216" s="20">
        <f>(X216*Standards!$U$159)+Standards!$U$160</f>
        <v>25.399086101648638</v>
      </c>
    </row>
    <row r="217" spans="1:27" ht="24.95" customHeight="1" x14ac:dyDescent="0.25">
      <c r="A217" s="108">
        <v>110</v>
      </c>
      <c r="B217" s="65" t="s">
        <v>1252</v>
      </c>
      <c r="C217" s="65" t="s">
        <v>551</v>
      </c>
      <c r="D217" s="65">
        <v>6</v>
      </c>
      <c r="E217" s="65">
        <v>12043</v>
      </c>
      <c r="F217" s="65">
        <v>147.126</v>
      </c>
      <c r="G217" s="65">
        <v>-1.718</v>
      </c>
      <c r="H217" s="65">
        <v>36.084000000000003</v>
      </c>
      <c r="Y217" s="67"/>
      <c r="Z217" s="157"/>
      <c r="AA217" s="107"/>
    </row>
    <row r="218" spans="1:27" ht="24.95" customHeight="1" x14ac:dyDescent="0.25">
      <c r="A218" s="108">
        <v>110</v>
      </c>
      <c r="B218" s="65" t="s">
        <v>1252</v>
      </c>
      <c r="C218" s="65" t="s">
        <v>551</v>
      </c>
      <c r="D218" s="65">
        <v>7</v>
      </c>
      <c r="E218" s="65">
        <v>11335</v>
      </c>
      <c r="F218" s="65">
        <v>137.703</v>
      </c>
      <c r="G218" s="65">
        <v>-1.64</v>
      </c>
      <c r="H218" s="65">
        <v>36.095999999999997</v>
      </c>
      <c r="J218" s="31">
        <f>AVERAGE(G217:G218)</f>
        <v>-1.6789999999999998</v>
      </c>
      <c r="K218" s="31">
        <f>STDEV(G217:G218)</f>
        <v>5.5154328932550761E-2</v>
      </c>
      <c r="L218" s="26"/>
      <c r="M218" s="27">
        <f>AVERAGE(E217:E218)</f>
        <v>11689</v>
      </c>
      <c r="N218" s="27">
        <f>STDEV(E217:E218)</f>
        <v>500.63160108007565</v>
      </c>
      <c r="O218" s="28"/>
      <c r="P218" s="29">
        <f>AVERAGE(H217:H218)</f>
        <v>36.090000000000003</v>
      </c>
      <c r="Q218" s="29">
        <f>STDEV(H217:H218)</f>
        <v>8.4852813742338669E-3</v>
      </c>
      <c r="R218" s="28"/>
      <c r="S218" s="29">
        <f>J218-(M218-Standards!$N$124)*Standards!$AA$55</f>
        <v>-1.6484905172413791</v>
      </c>
      <c r="T218" s="29">
        <f>S218-(A218-Standards!$A$124)*Standards!$AA$4</f>
        <v>-1.6598896896551723</v>
      </c>
      <c r="U218" s="29"/>
      <c r="V218" s="28"/>
      <c r="W218" s="29">
        <f>P218-(M218-Standards!$N$124)*Standards!$AL$54</f>
        <v>36.05338862068966</v>
      </c>
      <c r="X218" s="29">
        <f>W218-(A218-Standards!$A$124)*Standards!$AL$5</f>
        <v>36.051890137931039</v>
      </c>
      <c r="Y218" s="111"/>
      <c r="Z218" s="19">
        <f>(T218*Standards!$O$159)+Standards!$O$160</f>
        <v>-1.9965060272706432</v>
      </c>
      <c r="AA218" s="20">
        <f>(X218*Standards!$U$159)+Standards!$U$160</f>
        <v>25.570680676186083</v>
      </c>
    </row>
    <row r="219" spans="1:27" ht="24.95" customHeight="1" x14ac:dyDescent="0.25">
      <c r="A219" s="108">
        <v>111</v>
      </c>
      <c r="B219" s="65" t="s">
        <v>1257</v>
      </c>
      <c r="C219" s="65" t="s">
        <v>518</v>
      </c>
      <c r="D219" s="65">
        <v>6</v>
      </c>
      <c r="E219" s="65">
        <v>12680</v>
      </c>
      <c r="F219" s="65">
        <v>161.88200000000001</v>
      </c>
      <c r="G219" s="65">
        <v>-1.22</v>
      </c>
      <c r="H219" s="65">
        <v>36.142000000000003</v>
      </c>
      <c r="Y219" s="156"/>
      <c r="Z219" s="158"/>
      <c r="AA219" s="159"/>
    </row>
    <row r="220" spans="1:27" ht="24.95" customHeight="1" x14ac:dyDescent="0.25">
      <c r="A220" s="108">
        <v>111</v>
      </c>
      <c r="B220" s="65" t="s">
        <v>1257</v>
      </c>
      <c r="C220" s="65" t="s">
        <v>518</v>
      </c>
      <c r="D220" s="65">
        <v>7</v>
      </c>
      <c r="E220" s="65">
        <v>11824</v>
      </c>
      <c r="F220" s="65">
        <v>150.43</v>
      </c>
      <c r="G220" s="65">
        <v>-1.1499999999999999</v>
      </c>
      <c r="H220" s="65">
        <v>36.134</v>
      </c>
      <c r="J220" s="31">
        <f>AVERAGE(G219:G220)</f>
        <v>-1.1850000000000001</v>
      </c>
      <c r="K220" s="31">
        <f>STDEV(G219:G220)</f>
        <v>4.9497474683058366E-2</v>
      </c>
      <c r="L220" s="26"/>
      <c r="M220" s="27">
        <f>AVERAGE(E219:E220)</f>
        <v>12252</v>
      </c>
      <c r="N220" s="27">
        <f>STDEV(E219:E220)</f>
        <v>605.28340469568468</v>
      </c>
      <c r="O220" s="28"/>
      <c r="P220" s="29">
        <f>AVERAGE(H219:H220)</f>
        <v>36.138000000000005</v>
      </c>
      <c r="Q220" s="29">
        <f>STDEV(H219:H220)</f>
        <v>5.6568542494942701E-3</v>
      </c>
      <c r="R220" s="28"/>
      <c r="S220" s="29">
        <f>J220-(M220-Standards!$N$124)*Standards!$AA$55</f>
        <v>-1.1615280172413793</v>
      </c>
      <c r="T220" s="29">
        <f>S220-(A220-Standards!$A$124)*Standards!$AA$4</f>
        <v>-1.1733531896551723</v>
      </c>
      <c r="U220" s="29"/>
      <c r="V220" s="28"/>
      <c r="W220" s="29">
        <f>P220-(M220-Standards!$N$124)*Standards!$AL$54</f>
        <v>36.109833620689663</v>
      </c>
      <c r="X220" s="29">
        <f>W220-(A220-Standards!$A$124)*Standards!$AL$5</f>
        <v>36.108279137931042</v>
      </c>
      <c r="Y220" s="111"/>
      <c r="Z220" s="19">
        <f>(T220*Standards!$O$159)+Standards!$O$160</f>
        <v>-1.5063435715773041</v>
      </c>
      <c r="AA220" s="20">
        <f>(X220*Standards!$U$159)+Standards!$U$160</f>
        <v>25.62594821045592</v>
      </c>
    </row>
    <row r="221" spans="1:27" s="30" customFormat="1" ht="24.95" customHeight="1" x14ac:dyDescent="0.25">
      <c r="A221" s="178">
        <v>112</v>
      </c>
      <c r="B221" s="30" t="s">
        <v>1261</v>
      </c>
      <c r="C221" s="30" t="s">
        <v>783</v>
      </c>
      <c r="D221" s="30">
        <v>6</v>
      </c>
      <c r="E221" s="30">
        <v>17155</v>
      </c>
      <c r="F221" s="30">
        <v>207.27</v>
      </c>
      <c r="G221" s="30">
        <v>-1.264</v>
      </c>
      <c r="H221" s="30">
        <v>36.093000000000004</v>
      </c>
      <c r="Y221" s="156"/>
      <c r="Z221" s="158"/>
      <c r="AA221" s="159"/>
    </row>
    <row r="222" spans="1:27" s="30" customFormat="1" ht="24.95" customHeight="1" x14ac:dyDescent="0.25">
      <c r="A222" s="178">
        <v>112</v>
      </c>
      <c r="B222" s="30" t="s">
        <v>1261</v>
      </c>
      <c r="C222" s="30" t="s">
        <v>783</v>
      </c>
      <c r="D222" s="30">
        <v>7</v>
      </c>
      <c r="E222" s="30">
        <v>16081</v>
      </c>
      <c r="F222" s="30">
        <v>195.679</v>
      </c>
      <c r="G222" s="30">
        <v>-1.2709999999999999</v>
      </c>
      <c r="H222" s="30">
        <v>36.103000000000002</v>
      </c>
      <c r="J222" s="31">
        <f>AVERAGE(G221:G222)</f>
        <v>-1.2675000000000001</v>
      </c>
      <c r="K222" s="31">
        <f>STDEV(G221:G222)</f>
        <v>4.9497474683057588E-3</v>
      </c>
      <c r="L222" s="26"/>
      <c r="M222" s="27">
        <f>AVERAGE(E221:E222)</f>
        <v>16618</v>
      </c>
      <c r="N222" s="27">
        <f>STDEV(E221:E222)</f>
        <v>759.43268299435204</v>
      </c>
      <c r="O222" s="28"/>
      <c r="P222" s="29">
        <f>AVERAGE(H221:H222)</f>
        <v>36.097999999999999</v>
      </c>
      <c r="Q222" s="29">
        <f>STDEV(H221:H222)</f>
        <v>7.0710678118640685E-3</v>
      </c>
      <c r="R222" s="28"/>
      <c r="S222" s="29">
        <f>J222-(M222-Standards!$N$124)*Standards!$AA$55</f>
        <v>-1.2986030172413794</v>
      </c>
      <c r="T222" s="29">
        <f>S222-(A222-Standards!$A$124)*Standards!$AA$4</f>
        <v>-1.3108541896551724</v>
      </c>
      <c r="U222" s="29"/>
      <c r="V222" s="28"/>
      <c r="W222" s="29">
        <f>P222-(M222-Standards!$N$124)*Standards!$AL$54</f>
        <v>36.135323620689654</v>
      </c>
      <c r="X222" s="29">
        <f>W222-(A222-Standards!$A$124)*Standards!$AL$5</f>
        <v>36.133713137931032</v>
      </c>
      <c r="Y222" s="111"/>
      <c r="Z222" s="19">
        <f>(T222*Standards!$O$159)+Standards!$O$160</f>
        <v>-1.6448693097702041</v>
      </c>
      <c r="AA222" s="20">
        <f>(X222*Standards!$U$159)+Standards!$U$160</f>
        <v>25.650876378478376</v>
      </c>
    </row>
    <row r="223" spans="1:27" ht="24.95" customHeight="1" x14ac:dyDescent="0.25">
      <c r="A223" s="108">
        <v>113</v>
      </c>
      <c r="B223" s="65" t="s">
        <v>1264</v>
      </c>
      <c r="C223" s="65" t="s">
        <v>227</v>
      </c>
      <c r="D223" s="65">
        <v>6</v>
      </c>
      <c r="E223" s="65">
        <v>12200</v>
      </c>
      <c r="F223" s="65">
        <v>155.44999999999999</v>
      </c>
      <c r="G223" s="65">
        <v>-1.101</v>
      </c>
      <c r="H223" s="65">
        <v>35.853999999999999</v>
      </c>
      <c r="Y223" s="67"/>
      <c r="Z223" s="33"/>
      <c r="AA223" s="34"/>
    </row>
    <row r="224" spans="1:27" ht="24.95" customHeight="1" x14ac:dyDescent="0.25">
      <c r="A224" s="108">
        <v>113</v>
      </c>
      <c r="B224" s="65" t="s">
        <v>1264</v>
      </c>
      <c r="C224" s="65" t="s">
        <v>227</v>
      </c>
      <c r="D224" s="65">
        <v>7</v>
      </c>
      <c r="E224" s="65">
        <v>11384</v>
      </c>
      <c r="F224" s="65">
        <v>144.583</v>
      </c>
      <c r="G224" s="65">
        <v>-1.0669999999999999</v>
      </c>
      <c r="H224" s="65">
        <v>35.871000000000002</v>
      </c>
      <c r="J224" s="31">
        <f>AVERAGE(G223:G224)</f>
        <v>-1.0840000000000001</v>
      </c>
      <c r="K224" s="31">
        <f>STDEV(G223:G224)</f>
        <v>2.4041630560342638E-2</v>
      </c>
      <c r="L224" s="26"/>
      <c r="M224" s="27">
        <f>AVERAGE(E223:E224)</f>
        <v>11792</v>
      </c>
      <c r="N224" s="27">
        <f>STDEV(E223:E224)</f>
        <v>576.99913344822278</v>
      </c>
      <c r="O224" s="28"/>
      <c r="P224" s="29">
        <f>AVERAGE(H223:H224)</f>
        <v>35.862499999999997</v>
      </c>
      <c r="Q224" s="29">
        <f>STDEV(H223:H224)</f>
        <v>1.2020815280173439E-2</v>
      </c>
      <c r="R224" s="28"/>
      <c r="S224" s="29">
        <f>J224-(M224-Standards!$N$124)*Standards!$AA$55</f>
        <v>-1.0547780172413794</v>
      </c>
      <c r="T224" s="29">
        <f>S224-(A224-Standards!$A$124)*Standards!$AA$4</f>
        <v>-1.0674551896551725</v>
      </c>
      <c r="U224" s="29"/>
      <c r="V224" s="28"/>
      <c r="W224" s="29">
        <f>P224-(M224-Standards!$N$124)*Standards!$AL$54</f>
        <v>35.827433620689654</v>
      </c>
      <c r="X224" s="29">
        <f>W224-(A224-Standards!$A$124)*Standards!$AL$5</f>
        <v>35.825767137931031</v>
      </c>
      <c r="Y224" s="111"/>
      <c r="Z224" s="19">
        <f>(T224*Standards!$O$159)+Standards!$O$160</f>
        <v>-1.3996563574977581</v>
      </c>
      <c r="AA224" s="20">
        <f>(X224*Standards!$U$159)+Standards!$U$160</f>
        <v>25.349054815615805</v>
      </c>
    </row>
    <row r="225" spans="1:27" ht="24.95" customHeight="1" x14ac:dyDescent="0.25">
      <c r="A225" s="108">
        <v>114</v>
      </c>
      <c r="B225" s="65" t="s">
        <v>1268</v>
      </c>
      <c r="C225" s="65" t="s">
        <v>328</v>
      </c>
      <c r="D225" s="65">
        <v>6</v>
      </c>
      <c r="E225" s="65">
        <v>18483</v>
      </c>
      <c r="F225" s="65">
        <v>224.643</v>
      </c>
      <c r="G225" s="65">
        <v>-1.216</v>
      </c>
      <c r="H225" s="65">
        <v>35.863</v>
      </c>
      <c r="Y225" s="67"/>
      <c r="Z225" s="33"/>
      <c r="AA225" s="34"/>
    </row>
    <row r="226" spans="1:27" ht="24.95" customHeight="1" x14ac:dyDescent="0.25">
      <c r="A226" s="108">
        <v>114</v>
      </c>
      <c r="B226" s="65" t="s">
        <v>1268</v>
      </c>
      <c r="C226" s="65" t="s">
        <v>328</v>
      </c>
      <c r="D226" s="65">
        <v>7</v>
      </c>
      <c r="E226" s="65">
        <v>17056</v>
      </c>
      <c r="F226" s="65">
        <v>208.03399999999999</v>
      </c>
      <c r="G226" s="65">
        <v>-1.1499999999999999</v>
      </c>
      <c r="H226" s="65">
        <v>35.93</v>
      </c>
      <c r="J226" s="31">
        <f>AVERAGE(G225:G226)</f>
        <v>-1.1829999999999998</v>
      </c>
      <c r="K226" s="31">
        <f>STDEV(G225:G226)</f>
        <v>4.6669047558312179E-2</v>
      </c>
      <c r="L226" s="26"/>
      <c r="M226" s="27">
        <f>AVERAGE(E225:E226)</f>
        <v>17769.5</v>
      </c>
      <c r="N226" s="27">
        <f>STDEV(E225:E226)</f>
        <v>1009.0413767532033</v>
      </c>
      <c r="O226" s="28"/>
      <c r="P226" s="29">
        <f>AVERAGE(H225:H226)</f>
        <v>35.896500000000003</v>
      </c>
      <c r="Q226" s="29">
        <f>STDEV(H225:H226)</f>
        <v>4.7376154339498801E-2</v>
      </c>
      <c r="R226" s="28"/>
      <c r="S226" s="29">
        <f>J226-(M226-Standards!$N$124)*Standards!$AA$55</f>
        <v>-1.2284967672413791</v>
      </c>
      <c r="T226" s="29">
        <f>S226-(A226-Standards!$A$124)*Standards!$AA$4</f>
        <v>-1.2415999396551722</v>
      </c>
      <c r="U226" s="29"/>
      <c r="V226" s="28"/>
      <c r="W226" s="29">
        <f>P226-(M226-Standards!$N$124)*Standards!$AL$54</f>
        <v>35.951096120689655</v>
      </c>
      <c r="X226" s="29">
        <f>W226-(A226-Standards!$A$124)*Standards!$AL$5</f>
        <v>35.949373637931032</v>
      </c>
      <c r="Y226" s="111"/>
      <c r="Z226" s="19">
        <f>(T226*Standards!$O$159)+Standards!$O$160</f>
        <v>-1.5750989364329508</v>
      </c>
      <c r="AA226" s="20">
        <f>(X226*Standards!$U$159)+Standards!$U$160</f>
        <v>25.470203026698176</v>
      </c>
    </row>
    <row r="227" spans="1:27" ht="24.95" customHeight="1" x14ac:dyDescent="0.25">
      <c r="A227" s="108">
        <v>115</v>
      </c>
      <c r="B227" s="65" t="s">
        <v>1272</v>
      </c>
      <c r="C227" s="65" t="s">
        <v>518</v>
      </c>
      <c r="D227" s="65">
        <v>6</v>
      </c>
      <c r="E227" s="65">
        <v>14660</v>
      </c>
      <c r="F227" s="65">
        <v>185.523</v>
      </c>
      <c r="G227" s="65">
        <v>-1.7170000000000001</v>
      </c>
      <c r="H227" s="65">
        <v>35.749000000000002</v>
      </c>
      <c r="Y227" s="67"/>
      <c r="Z227" s="33"/>
      <c r="AA227" s="34"/>
    </row>
    <row r="228" spans="1:27" ht="24.95" customHeight="1" x14ac:dyDescent="0.25">
      <c r="A228" s="108">
        <v>115</v>
      </c>
      <c r="B228" s="65" t="s">
        <v>1272</v>
      </c>
      <c r="C228" s="65" t="s">
        <v>518</v>
      </c>
      <c r="D228" s="65">
        <v>7</v>
      </c>
      <c r="E228" s="65">
        <v>13663</v>
      </c>
      <c r="F228" s="65">
        <v>172.2</v>
      </c>
      <c r="G228" s="65">
        <v>-1.6559999999999999</v>
      </c>
      <c r="H228" s="65">
        <v>35.819000000000003</v>
      </c>
      <c r="J228" s="31">
        <f>AVERAGE(G227:G228)</f>
        <v>-1.6865000000000001</v>
      </c>
      <c r="K228" s="31">
        <f>STDEV(G227:G228)</f>
        <v>4.3133513652379517E-2</v>
      </c>
      <c r="L228" s="26"/>
      <c r="M228" s="27">
        <f>AVERAGE(E227:E228)</f>
        <v>14161.5</v>
      </c>
      <c r="N228" s="27">
        <f>STDEV(E227:E228)</f>
        <v>704.98546084298789</v>
      </c>
      <c r="O228" s="28"/>
      <c r="P228" s="29">
        <f>AVERAGE(H227:H228)</f>
        <v>35.784000000000006</v>
      </c>
      <c r="Q228" s="29">
        <f>STDEV(H227:H228)</f>
        <v>4.9497474683058526E-2</v>
      </c>
      <c r="R228" s="28"/>
      <c r="S228" s="29">
        <f>J228-(M228-Standards!$N$124)*Standards!$AA$55</f>
        <v>-1.6868967672413795</v>
      </c>
      <c r="T228" s="29">
        <f>S228-(A228-Standards!$A$124)*Standards!$AA$4</f>
        <v>-1.7004259396551726</v>
      </c>
      <c r="U228" s="29"/>
      <c r="V228" s="28"/>
      <c r="W228" s="29">
        <f>P228-(M228-Standards!$N$124)*Standards!$AL$54</f>
        <v>35.784476120689661</v>
      </c>
      <c r="X228" s="29">
        <f>W228-(A228-Standards!$A$124)*Standards!$AL$5</f>
        <v>35.782697637931037</v>
      </c>
      <c r="Y228" s="111"/>
      <c r="Z228" s="19">
        <f>(T228*Standards!$O$159)+Standards!$O$160</f>
        <v>-2.0373443772086217</v>
      </c>
      <c r="AA228" s="20">
        <f>(X228*Standards!$U$159)+Standards!$U$160</f>
        <v>25.306841882823345</v>
      </c>
    </row>
    <row r="229" spans="1:27" ht="24.95" customHeight="1" x14ac:dyDescent="0.25">
      <c r="A229" s="108">
        <v>116</v>
      </c>
      <c r="B229" s="65" t="s">
        <v>1277</v>
      </c>
      <c r="C229" s="65" t="s">
        <v>229</v>
      </c>
      <c r="D229" s="65">
        <v>6</v>
      </c>
      <c r="E229" s="65">
        <v>14689</v>
      </c>
      <c r="F229" s="65">
        <v>183.39</v>
      </c>
      <c r="G229" s="65">
        <v>-1.9470000000000001</v>
      </c>
      <c r="H229" s="65">
        <v>35.942999999999998</v>
      </c>
      <c r="Y229" s="67"/>
      <c r="Z229" s="33"/>
      <c r="AA229" s="34"/>
    </row>
    <row r="230" spans="1:27" ht="24.95" customHeight="1" x14ac:dyDescent="0.25">
      <c r="A230" s="108">
        <v>116</v>
      </c>
      <c r="B230" s="65" t="s">
        <v>1277</v>
      </c>
      <c r="C230" s="65" t="s">
        <v>229</v>
      </c>
      <c r="D230" s="65">
        <v>7</v>
      </c>
      <c r="E230" s="65">
        <v>13582</v>
      </c>
      <c r="F230" s="65">
        <v>170.23099999999999</v>
      </c>
      <c r="G230" s="65">
        <v>-1.885</v>
      </c>
      <c r="H230" s="65">
        <v>35.984999999999999</v>
      </c>
      <c r="J230" s="31">
        <f>AVERAGE(G229:G230)</f>
        <v>-1.9159999999999999</v>
      </c>
      <c r="K230" s="31">
        <f>STDEV(G229:G230)</f>
        <v>4.3840620433565985E-2</v>
      </c>
      <c r="L230" s="26"/>
      <c r="M230" s="27">
        <f>AVERAGE(E229:E230)</f>
        <v>14135.5</v>
      </c>
      <c r="N230" s="27">
        <f>STDEV(E229:E230)</f>
        <v>782.76720677350806</v>
      </c>
      <c r="O230" s="28"/>
      <c r="P230" s="29">
        <f>AVERAGE(H229:H230)</f>
        <v>35.963999999999999</v>
      </c>
      <c r="Q230" s="29">
        <f>STDEV(H229:H230)</f>
        <v>2.9698484809836122E-2</v>
      </c>
      <c r="R230" s="28"/>
      <c r="S230" s="29">
        <f>J230-(M230-Standards!$N$124)*Standards!$AA$55</f>
        <v>-1.9160717672413792</v>
      </c>
      <c r="T230" s="29">
        <f>S230-(A230-Standards!$A$124)*Standards!$AA$4</f>
        <v>-1.9300269396551724</v>
      </c>
      <c r="U230" s="29"/>
      <c r="V230" s="28"/>
      <c r="W230" s="29">
        <f>P230-(M230-Standards!$N$124)*Standards!$AL$54</f>
        <v>35.96408612068965</v>
      </c>
      <c r="X230" s="29">
        <f>W230-(A230-Standards!$A$124)*Standards!$AL$5</f>
        <v>35.962251637931033</v>
      </c>
      <c r="Y230" s="111"/>
      <c r="Z230" s="19">
        <f>(T230*Standards!$O$159)+Standards!$O$160</f>
        <v>-2.2686564986828506</v>
      </c>
      <c r="AA230" s="20">
        <f>(X230*Standards!$U$159)+Standards!$U$160</f>
        <v>25.482824908737708</v>
      </c>
    </row>
    <row r="231" spans="1:27" ht="24.95" customHeight="1" x14ac:dyDescent="0.25">
      <c r="A231" s="108">
        <v>117</v>
      </c>
      <c r="B231" s="65" t="s">
        <v>1280</v>
      </c>
      <c r="C231" s="65" t="s">
        <v>286</v>
      </c>
      <c r="D231" s="65">
        <v>6</v>
      </c>
      <c r="E231" s="65">
        <v>15153</v>
      </c>
      <c r="F231" s="65">
        <v>189.762</v>
      </c>
      <c r="G231" s="65">
        <v>-1.966</v>
      </c>
      <c r="H231" s="65">
        <v>36.101999999999997</v>
      </c>
      <c r="Y231" s="67"/>
      <c r="Z231" s="33"/>
      <c r="AA231" s="34"/>
    </row>
    <row r="232" spans="1:27" ht="24.95" customHeight="1" x14ac:dyDescent="0.25">
      <c r="A232" s="108">
        <v>117</v>
      </c>
      <c r="B232" s="65" t="s">
        <v>1280</v>
      </c>
      <c r="C232" s="65" t="s">
        <v>286</v>
      </c>
      <c r="D232" s="65">
        <v>7</v>
      </c>
      <c r="E232" s="65">
        <v>14261</v>
      </c>
      <c r="F232" s="65">
        <v>176.89099999999999</v>
      </c>
      <c r="G232" s="65">
        <v>-1.9359999999999999</v>
      </c>
      <c r="H232" s="65">
        <v>36.134999999999998</v>
      </c>
      <c r="J232" s="31">
        <f>AVERAGE(G231:G232)</f>
        <v>-1.9510000000000001</v>
      </c>
      <c r="K232" s="31">
        <f>STDEV(G231:G232)</f>
        <v>2.1213203435596444E-2</v>
      </c>
      <c r="L232" s="26"/>
      <c r="M232" s="27">
        <f>AVERAGE(E231:E232)</f>
        <v>14707</v>
      </c>
      <c r="N232" s="27">
        <f>STDEV(E231:E232)</f>
        <v>630.73924881840037</v>
      </c>
      <c r="O232" s="28"/>
      <c r="P232" s="29">
        <f>AVERAGE(H231:H232)</f>
        <v>36.118499999999997</v>
      </c>
      <c r="Q232" s="29">
        <f>STDEV(H231:H232)</f>
        <v>2.3334523779156954E-2</v>
      </c>
      <c r="R232" s="28"/>
      <c r="S232" s="29">
        <f>J232-(M232-Standards!$N$124)*Standards!$AA$55</f>
        <v>-1.9582155172413793</v>
      </c>
      <c r="T232" s="29">
        <f>S232-(A232-Standards!$A$124)*Standards!$AA$4</f>
        <v>-1.9725966896551723</v>
      </c>
      <c r="U232" s="29"/>
      <c r="V232" s="28"/>
      <c r="W232" s="29">
        <f>P232-(M232-Standards!$N$124)*Standards!$AL$54</f>
        <v>36.127158620689656</v>
      </c>
      <c r="X232" s="29">
        <f>W232-(A232-Standards!$A$124)*Standards!$AL$5</f>
        <v>36.125268137931037</v>
      </c>
      <c r="Y232" s="111"/>
      <c r="Z232" s="19">
        <f>(T232*Standards!$O$159)+Standards!$O$160</f>
        <v>-2.311543503456905</v>
      </c>
      <c r="AA232" s="20">
        <f>(X232*Standards!$U$159)+Standards!$U$160</f>
        <v>25.642599332832798</v>
      </c>
    </row>
    <row r="233" spans="1:27" ht="24.95" customHeight="1" x14ac:dyDescent="0.25">
      <c r="A233" s="108">
        <v>118</v>
      </c>
      <c r="B233" s="65" t="s">
        <v>1283</v>
      </c>
      <c r="C233" s="65" t="s">
        <v>296</v>
      </c>
      <c r="D233" s="65">
        <v>6</v>
      </c>
      <c r="E233" s="65">
        <v>14482</v>
      </c>
      <c r="F233" s="65">
        <v>182.965</v>
      </c>
      <c r="G233" s="65">
        <v>-1.321</v>
      </c>
      <c r="H233" s="65">
        <v>36.04</v>
      </c>
      <c r="Y233" s="67"/>
      <c r="Z233" s="33"/>
      <c r="AA233" s="34"/>
    </row>
    <row r="234" spans="1:27" ht="24.95" customHeight="1" x14ac:dyDescent="0.25">
      <c r="A234" s="108">
        <v>118</v>
      </c>
      <c r="B234" s="65" t="s">
        <v>1283</v>
      </c>
      <c r="C234" s="65" t="s">
        <v>296</v>
      </c>
      <c r="D234" s="65">
        <v>7</v>
      </c>
      <c r="E234" s="65">
        <v>13419</v>
      </c>
      <c r="F234" s="65">
        <v>169.81700000000001</v>
      </c>
      <c r="G234" s="65">
        <v>-1.2709999999999999</v>
      </c>
      <c r="H234" s="65">
        <v>36.061999999999998</v>
      </c>
      <c r="J234" s="31">
        <f>AVERAGE(G233:G234)</f>
        <v>-1.2959999999999998</v>
      </c>
      <c r="K234" s="31">
        <f>STDEV(G233:G234)</f>
        <v>3.5355339059327411E-2</v>
      </c>
      <c r="L234" s="26"/>
      <c r="M234" s="27">
        <f>AVERAGE(E233:E234)</f>
        <v>13950.5</v>
      </c>
      <c r="N234" s="27">
        <f>STDEV(E233:E234)</f>
        <v>751.65450840130006</v>
      </c>
      <c r="O234" s="28"/>
      <c r="P234" s="29">
        <f>AVERAGE(H233:H234)</f>
        <v>36.051000000000002</v>
      </c>
      <c r="Q234" s="29">
        <f>STDEV(H233:H234)</f>
        <v>1.555634918610296E-2</v>
      </c>
      <c r="R234" s="28"/>
      <c r="S234" s="29">
        <f>J234-(M234-Standards!$N$124)*Standards!$AA$55</f>
        <v>-1.2937592672413791</v>
      </c>
      <c r="T234" s="29">
        <f>S234-(A234-Standards!$A$124)*Standards!$AA$4</f>
        <v>-1.3085664396551722</v>
      </c>
      <c r="U234" s="29"/>
      <c r="V234" s="28"/>
      <c r="W234" s="29">
        <f>P234-(M234-Standards!$N$124)*Standards!$AL$54</f>
        <v>36.048311120689654</v>
      </c>
      <c r="X234" s="29">
        <f>W234-(A234-Standards!$A$124)*Standards!$AL$5</f>
        <v>36.046364637931035</v>
      </c>
      <c r="Y234" s="111"/>
      <c r="Z234" s="19">
        <f>(T234*Standards!$O$159)+Standards!$O$160</f>
        <v>-1.642564510113832</v>
      </c>
      <c r="AA234" s="20">
        <f>(X234*Standards!$U$159)+Standards!$U$160</f>
        <v>25.565265067457286</v>
      </c>
    </row>
    <row r="235" spans="1:27" s="195" customFormat="1" ht="24.95" customHeight="1" x14ac:dyDescent="0.25">
      <c r="A235" s="213">
        <v>119</v>
      </c>
      <c r="B235" s="195" t="s">
        <v>0</v>
      </c>
      <c r="D235" s="195">
        <v>6</v>
      </c>
      <c r="E235" s="195">
        <v>14949</v>
      </c>
      <c r="F235" s="195">
        <v>184.74199999999999</v>
      </c>
      <c r="G235" s="195">
        <v>4.7370000000000001</v>
      </c>
      <c r="H235" s="195">
        <v>36.844999999999999</v>
      </c>
      <c r="Y235" s="214"/>
      <c r="Z235" s="193"/>
      <c r="AA235" s="194"/>
    </row>
    <row r="236" spans="1:27" s="195" customFormat="1" ht="24.95" customHeight="1" x14ac:dyDescent="0.25">
      <c r="A236" s="213">
        <v>119</v>
      </c>
      <c r="B236" s="195" t="s">
        <v>0</v>
      </c>
      <c r="D236" s="195">
        <v>7</v>
      </c>
      <c r="E236" s="195">
        <v>14087</v>
      </c>
      <c r="F236" s="195">
        <v>172.649</v>
      </c>
      <c r="G236" s="195">
        <v>4.8049999999999997</v>
      </c>
      <c r="H236" s="195">
        <v>36.915999999999997</v>
      </c>
      <c r="J236" s="196">
        <f>AVERAGE(G235:G236)</f>
        <v>4.7709999999999999</v>
      </c>
      <c r="K236" s="196">
        <f>STDEV(G235:G236)</f>
        <v>4.8083261120684957E-2</v>
      </c>
      <c r="L236" s="189"/>
      <c r="M236" s="188">
        <f>AVERAGE(E235:E236)</f>
        <v>14518</v>
      </c>
      <c r="N236" s="188">
        <f>STDEV(E235:E236)</f>
        <v>609.526045382804</v>
      </c>
      <c r="O236" s="190"/>
      <c r="P236" s="191">
        <f>AVERAGE(H235:H236)</f>
        <v>36.880499999999998</v>
      </c>
      <c r="Q236" s="191">
        <f>STDEV(H235:H236)</f>
        <v>5.0204581464243427E-2</v>
      </c>
      <c r="R236" s="190"/>
      <c r="S236" s="191">
        <f>J236-(M236-Standards!$N$124)*Standards!$AA$55</f>
        <v>4.7661469827586203</v>
      </c>
      <c r="T236" s="191">
        <f>S236-(A236-Standards!$A$124)*Standards!$AA$4</f>
        <v>4.7509138103448274</v>
      </c>
      <c r="U236" s="191"/>
      <c r="V236" s="190"/>
      <c r="W236" s="191">
        <f>P236-(M236-Standards!$N$124)*Standards!$AL$54</f>
        <v>36.886323620689652</v>
      </c>
      <c r="X236" s="191">
        <f>W236-(A236-Standards!$A$124)*Standards!$AL$5</f>
        <v>36.884321137931032</v>
      </c>
      <c r="Y236" s="197"/>
      <c r="Z236" s="198">
        <f>(T236*Standards!$O$159)+Standards!$O$160</f>
        <v>4.4620745448497496</v>
      </c>
      <c r="AA236" s="199">
        <f>(X236*Standards!$U$159)+Standards!$U$160</f>
        <v>26.386556269294115</v>
      </c>
    </row>
    <row r="237" spans="1:27" s="195" customFormat="1" ht="24.95" customHeight="1" x14ac:dyDescent="0.25">
      <c r="A237" s="213">
        <v>120</v>
      </c>
      <c r="B237" s="195" t="s">
        <v>0</v>
      </c>
      <c r="D237" s="195">
        <v>6</v>
      </c>
      <c r="E237" s="195">
        <v>15186</v>
      </c>
      <c r="F237" s="195">
        <v>192.816</v>
      </c>
      <c r="G237" s="195">
        <v>4.78</v>
      </c>
      <c r="H237" s="195">
        <v>36.984999999999999</v>
      </c>
      <c r="Y237" s="214"/>
      <c r="Z237" s="193"/>
      <c r="AA237" s="194"/>
    </row>
    <row r="238" spans="1:27" s="195" customFormat="1" ht="24.95" customHeight="1" x14ac:dyDescent="0.25">
      <c r="A238" s="213">
        <v>120</v>
      </c>
      <c r="B238" s="195" t="s">
        <v>0</v>
      </c>
      <c r="D238" s="195">
        <v>7</v>
      </c>
      <c r="E238" s="195">
        <v>14089</v>
      </c>
      <c r="F238" s="195">
        <v>178.97200000000001</v>
      </c>
      <c r="G238" s="195">
        <v>4.8460000000000001</v>
      </c>
      <c r="H238" s="195">
        <v>37.046999999999997</v>
      </c>
      <c r="J238" s="196">
        <f>AVERAGE(G237:G238)</f>
        <v>4.8130000000000006</v>
      </c>
      <c r="K238" s="196">
        <f>STDEV(G237:G238)</f>
        <v>4.666904755831202E-2</v>
      </c>
      <c r="L238" s="189"/>
      <c r="M238" s="188">
        <f>AVERAGE(E237:E238)</f>
        <v>14637.5</v>
      </c>
      <c r="N238" s="188">
        <f>STDEV(E237:E238)</f>
        <v>775.69613896164265</v>
      </c>
      <c r="O238" s="190"/>
      <c r="P238" s="191">
        <f>AVERAGE(H237:H238)</f>
        <v>37.015999999999998</v>
      </c>
      <c r="Q238" s="191">
        <f>STDEV(H237:H238)</f>
        <v>4.3840620433564258E-2</v>
      </c>
      <c r="R238" s="190"/>
      <c r="S238" s="191">
        <f>J238-(M238-Standards!$N$124)*Standards!$AA$55</f>
        <v>4.8066532327586211</v>
      </c>
      <c r="T238" s="191">
        <f>S238-(A238-Standards!$A$124)*Standards!$AA$4</f>
        <v>4.7909940603448282</v>
      </c>
      <c r="U238" s="191"/>
      <c r="V238" s="190"/>
      <c r="W238" s="191">
        <f>P238-(M238-Standards!$N$124)*Standards!$AL$54</f>
        <v>37.023616120689653</v>
      </c>
      <c r="X238" s="191">
        <f>W238-(A238-Standards!$A$124)*Standards!$AL$5</f>
        <v>37.021557637931032</v>
      </c>
      <c r="Y238" s="197"/>
      <c r="Z238" s="198">
        <f>(T238*Standards!$O$159)+Standards!$O$160</f>
        <v>4.5024534964079637</v>
      </c>
      <c r="AA238" s="199">
        <f>(X238*Standards!$U$159)+Standards!$U$160</f>
        <v>26.521063406622698</v>
      </c>
    </row>
    <row r="239" spans="1:27" ht="24.95" customHeight="1" x14ac:dyDescent="0.25">
      <c r="A239" s="108">
        <v>121</v>
      </c>
      <c r="B239" s="65" t="s">
        <v>1294</v>
      </c>
      <c r="C239" s="65" t="s">
        <v>513</v>
      </c>
      <c r="D239" s="65">
        <v>6</v>
      </c>
      <c r="E239" s="65">
        <v>14255</v>
      </c>
      <c r="F239" s="65">
        <v>174.42599999999999</v>
      </c>
      <c r="G239" s="65">
        <v>-1.532</v>
      </c>
      <c r="H239" s="65">
        <v>35.9</v>
      </c>
      <c r="Y239" s="67"/>
      <c r="Z239" s="33"/>
      <c r="AA239" s="34"/>
    </row>
    <row r="240" spans="1:27" ht="24.95" customHeight="1" x14ac:dyDescent="0.25">
      <c r="A240" s="108">
        <v>121</v>
      </c>
      <c r="B240" s="65" t="s">
        <v>1294</v>
      </c>
      <c r="C240" s="65" t="s">
        <v>513</v>
      </c>
      <c r="D240" s="65">
        <v>7</v>
      </c>
      <c r="E240" s="65">
        <v>13433</v>
      </c>
      <c r="F240" s="65">
        <v>163.215</v>
      </c>
      <c r="G240" s="65">
        <v>-1.4550000000000001</v>
      </c>
      <c r="H240" s="65">
        <v>35.912999999999997</v>
      </c>
      <c r="J240" s="31">
        <f>AVERAGE(G239:G240)</f>
        <v>-1.4935</v>
      </c>
      <c r="K240" s="31">
        <f>STDEV(G239:G240)</f>
        <v>5.4447222151364126E-2</v>
      </c>
      <c r="L240" s="26"/>
      <c r="M240" s="27">
        <f>AVERAGE(E239:E240)</f>
        <v>13844</v>
      </c>
      <c r="N240" s="27">
        <f>STDEV(E239:E240)</f>
        <v>581.2417741353421</v>
      </c>
      <c r="O240" s="28"/>
      <c r="P240" s="29">
        <f>AVERAGE(H239:H240)</f>
        <v>35.906499999999994</v>
      </c>
      <c r="Q240" s="29">
        <f>STDEV(H239:H240)</f>
        <v>9.1923881554237911E-3</v>
      </c>
      <c r="R240" s="28"/>
      <c r="S240" s="29">
        <f>J240-(M240-Standards!$N$124)*Standards!$AA$55</f>
        <v>-1.4899280172413794</v>
      </c>
      <c r="T240" s="29">
        <f>S240-(A240-Standards!$A$124)*Standards!$AA$4</f>
        <v>-1.5060131896551725</v>
      </c>
      <c r="U240" s="29"/>
      <c r="V240" s="28"/>
      <c r="W240" s="29">
        <f>P240-(M240-Standards!$N$124)*Standards!$AL$54</f>
        <v>35.90221362068965</v>
      </c>
      <c r="X240" s="29">
        <f>W240-(A240-Standards!$A$124)*Standards!$AL$5</f>
        <v>35.900099137931029</v>
      </c>
      <c r="Y240" s="111"/>
      <c r="Z240" s="19">
        <f>(T240*Standards!$O$159)+Standards!$O$160</f>
        <v>-1.8414827492360129</v>
      </c>
      <c r="AA240" s="20">
        <f>(X240*Standards!$U$159)+Standards!$U$160</f>
        <v>25.421908499088556</v>
      </c>
    </row>
    <row r="241" spans="1:27" ht="24.95" customHeight="1" x14ac:dyDescent="0.25">
      <c r="A241" s="108">
        <v>122</v>
      </c>
      <c r="B241" s="65" t="s">
        <v>1298</v>
      </c>
      <c r="C241" s="65" t="s">
        <v>260</v>
      </c>
      <c r="D241" s="65">
        <v>6</v>
      </c>
      <c r="E241" s="65">
        <v>13764</v>
      </c>
      <c r="F241" s="65">
        <v>175.476</v>
      </c>
      <c r="G241" s="65">
        <v>-1.6870000000000001</v>
      </c>
      <c r="H241" s="65">
        <v>35.796999999999997</v>
      </c>
      <c r="J241" s="31"/>
      <c r="K241" s="31"/>
      <c r="L241" s="26"/>
      <c r="M241" s="27"/>
      <c r="N241" s="27"/>
      <c r="O241" s="28"/>
      <c r="P241" s="29"/>
      <c r="Q241" s="29"/>
      <c r="R241" s="28"/>
      <c r="S241" s="29"/>
      <c r="T241" s="29"/>
      <c r="U241" s="29"/>
      <c r="V241" s="28"/>
      <c r="W241" s="125"/>
      <c r="X241" s="29"/>
      <c r="Y241" s="67"/>
      <c r="Z241" s="19"/>
      <c r="AA241" s="20"/>
    </row>
    <row r="242" spans="1:27" ht="24.95" customHeight="1" x14ac:dyDescent="0.25">
      <c r="A242" s="108">
        <v>122</v>
      </c>
      <c r="B242" s="65" t="s">
        <v>1298</v>
      </c>
      <c r="C242" s="65" t="s">
        <v>260</v>
      </c>
      <c r="D242" s="65">
        <v>7</v>
      </c>
      <c r="E242" s="65">
        <v>12830</v>
      </c>
      <c r="F242" s="65">
        <v>163.13200000000001</v>
      </c>
      <c r="G242" s="65">
        <v>-1.627</v>
      </c>
      <c r="H242" s="65">
        <v>35.844000000000001</v>
      </c>
      <c r="J242" s="31">
        <f>AVERAGE(G241:G242)</f>
        <v>-1.657</v>
      </c>
      <c r="K242" s="31">
        <f>STDEV(G241:G242)</f>
        <v>4.2426406871192889E-2</v>
      </c>
      <c r="L242" s="26"/>
      <c r="M242" s="27">
        <f>AVERAGE(E241:E242)</f>
        <v>13297</v>
      </c>
      <c r="N242" s="27">
        <f>STDEV(E241:E242)</f>
        <v>660.43773362823538</v>
      </c>
      <c r="O242" s="28"/>
      <c r="P242" s="29">
        <f>AVERAGE(H241:H242)</f>
        <v>35.820499999999996</v>
      </c>
      <c r="Q242" s="29">
        <f>STDEV(H241:H242)</f>
        <v>3.3234018715770669E-2</v>
      </c>
      <c r="R242" s="28"/>
      <c r="S242" s="29">
        <f>J242-(M242-Standards!$N$124)*Standards!$AA$55</f>
        <v>-1.6465905172413793</v>
      </c>
      <c r="T242" s="29">
        <f>S242-(A242-Standards!$A$124)*Standards!$AA$4</f>
        <v>-1.6631016896551725</v>
      </c>
      <c r="U242" s="29"/>
      <c r="V242" s="28"/>
      <c r="W242" s="29">
        <f>P242-(M242-Standards!$N$124)*Standards!$AL$54</f>
        <v>35.808008620689648</v>
      </c>
      <c r="X242" s="29">
        <f>W242-(A242-Standards!$A$124)*Standards!$AL$5</f>
        <v>35.805838137931026</v>
      </c>
      <c r="Y242" s="111"/>
      <c r="Z242" s="19">
        <f>(T242*Standards!$O$159)+Standards!$O$160</f>
        <v>-1.9997419649807373</v>
      </c>
      <c r="AA242" s="20">
        <f>(X242*Standards!$U$159)+Standards!$U$160</f>
        <v>25.329522164026603</v>
      </c>
    </row>
    <row r="243" spans="1:27" ht="24.95" customHeight="1" x14ac:dyDescent="0.25">
      <c r="A243" s="108">
        <v>123</v>
      </c>
      <c r="B243" s="65" t="s">
        <v>1302</v>
      </c>
      <c r="C243" s="65" t="s">
        <v>283</v>
      </c>
      <c r="D243" s="65">
        <v>6</v>
      </c>
      <c r="E243" s="65">
        <v>15705</v>
      </c>
      <c r="F243" s="65">
        <v>190.04599999999999</v>
      </c>
      <c r="G243" s="65">
        <v>-1.8080000000000001</v>
      </c>
      <c r="H243" s="65">
        <v>35.676000000000002</v>
      </c>
      <c r="J243" s="31"/>
      <c r="K243" s="31"/>
      <c r="L243" s="26"/>
      <c r="M243" s="27"/>
      <c r="N243" s="27"/>
      <c r="O243" s="28"/>
      <c r="P243" s="29"/>
      <c r="Q243" s="29"/>
      <c r="R243" s="28"/>
      <c r="S243" s="29"/>
      <c r="T243" s="29"/>
      <c r="U243" s="29"/>
      <c r="V243" s="28"/>
      <c r="W243" s="125"/>
      <c r="X243" s="29"/>
      <c r="Y243" s="67"/>
      <c r="Z243" s="19"/>
      <c r="AA243" s="20"/>
    </row>
    <row r="244" spans="1:27" ht="24.95" customHeight="1" x14ac:dyDescent="0.25">
      <c r="A244" s="108">
        <v>123</v>
      </c>
      <c r="B244" s="65" t="s">
        <v>1302</v>
      </c>
      <c r="C244" s="65" t="s">
        <v>283</v>
      </c>
      <c r="D244" s="65">
        <v>7</v>
      </c>
      <c r="E244" s="65">
        <v>14676</v>
      </c>
      <c r="F244" s="65">
        <v>177.41200000000001</v>
      </c>
      <c r="G244" s="65">
        <v>-1.766</v>
      </c>
      <c r="H244" s="65">
        <v>35.698</v>
      </c>
      <c r="J244" s="31">
        <f>AVERAGE(G243:G244)</f>
        <v>-1.7869999999999999</v>
      </c>
      <c r="K244" s="31">
        <f>STDEV(G243:G244)</f>
        <v>2.9698484809835023E-2</v>
      </c>
      <c r="L244" s="26"/>
      <c r="M244" s="27">
        <f>AVERAGE(E243:E244)</f>
        <v>15190.5</v>
      </c>
      <c r="N244" s="27">
        <f>STDEV(E243:E244)</f>
        <v>727.61287784095737</v>
      </c>
      <c r="O244" s="28"/>
      <c r="P244" s="29">
        <f>AVERAGE(H243:H244)</f>
        <v>35.686999999999998</v>
      </c>
      <c r="Q244" s="29">
        <f>STDEV(H243:H244)</f>
        <v>1.555634918610296E-2</v>
      </c>
      <c r="R244" s="28"/>
      <c r="S244" s="29">
        <f>J244-(M244-Standards!$N$124)*Standards!$AA$55</f>
        <v>-1.8002592672413793</v>
      </c>
      <c r="T244" s="29">
        <f>S244-(A244-Standards!$A$124)*Standards!$AA$4</f>
        <v>-1.8171964396551723</v>
      </c>
      <c r="U244" s="29"/>
      <c r="V244" s="28"/>
      <c r="W244" s="29">
        <f>P244-(M244-Standards!$N$124)*Standards!$AL$54</f>
        <v>35.702911120689656</v>
      </c>
      <c r="X244" s="29">
        <f>W244-(A244-Standards!$A$124)*Standards!$AL$5</f>
        <v>35.700684637931033</v>
      </c>
      <c r="Y244" s="111"/>
      <c r="Z244" s="19">
        <f>(T244*Standards!$O$159)+Standards!$O$160</f>
        <v>-2.1549851195425247</v>
      </c>
      <c r="AA244" s="20">
        <f>(X244*Standards!$U$159)+Standards!$U$160</f>
        <v>25.226459959255418</v>
      </c>
    </row>
    <row r="245" spans="1:27" ht="24.95" customHeight="1" x14ac:dyDescent="0.25">
      <c r="A245" s="108">
        <v>124</v>
      </c>
      <c r="B245" s="65" t="s">
        <v>1306</v>
      </c>
      <c r="C245" s="65" t="s">
        <v>294</v>
      </c>
      <c r="D245" s="65">
        <v>6</v>
      </c>
      <c r="E245" s="65">
        <v>13973</v>
      </c>
      <c r="F245" s="65">
        <v>177.64500000000001</v>
      </c>
      <c r="G245" s="65">
        <v>-1.83</v>
      </c>
      <c r="H245" s="65">
        <v>35.677999999999997</v>
      </c>
      <c r="J245" s="31"/>
      <c r="K245" s="31"/>
      <c r="L245" s="26"/>
      <c r="M245" s="27"/>
      <c r="N245" s="27"/>
      <c r="O245" s="28"/>
      <c r="P245" s="29"/>
      <c r="Q245" s="29"/>
      <c r="R245" s="28"/>
      <c r="S245" s="29"/>
      <c r="T245" s="29"/>
      <c r="U245" s="29"/>
      <c r="V245" s="28"/>
      <c r="W245" s="125"/>
      <c r="X245" s="29"/>
      <c r="Y245" s="67"/>
      <c r="Z245" s="19"/>
      <c r="AA245" s="20"/>
    </row>
    <row r="246" spans="1:27" ht="24.95" customHeight="1" x14ac:dyDescent="0.25">
      <c r="A246" s="108">
        <v>124</v>
      </c>
      <c r="B246" s="65" t="s">
        <v>1306</v>
      </c>
      <c r="C246" s="65" t="s">
        <v>294</v>
      </c>
      <c r="D246" s="65">
        <v>7</v>
      </c>
      <c r="E246" s="65">
        <v>13030</v>
      </c>
      <c r="F246" s="65">
        <v>165.059</v>
      </c>
      <c r="G246" s="65">
        <v>-1.788</v>
      </c>
      <c r="H246" s="65">
        <v>35.726999999999997</v>
      </c>
      <c r="J246" s="31">
        <f>AVERAGE(G245:G246)</f>
        <v>-1.8090000000000002</v>
      </c>
      <c r="K246" s="31">
        <f>STDEV(G245:G246)</f>
        <v>2.9698484809835023E-2</v>
      </c>
      <c r="L246" s="26"/>
      <c r="M246" s="27">
        <f>AVERAGE(E245:E246)</f>
        <v>13501.5</v>
      </c>
      <c r="N246" s="27">
        <f>STDEV(E245:E246)</f>
        <v>666.80169465891436</v>
      </c>
      <c r="O246" s="28"/>
      <c r="P246" s="29">
        <f>AVERAGE(H245:H246)</f>
        <v>35.702500000000001</v>
      </c>
      <c r="Q246" s="29">
        <f>STDEV(H245:H246)</f>
        <v>3.464823227814047E-2</v>
      </c>
      <c r="R246" s="28"/>
      <c r="S246" s="29">
        <f>J246-(M246-Standards!$N$124)*Standards!$AA$55</f>
        <v>-1.8011467672413795</v>
      </c>
      <c r="T246" s="29">
        <f>S246-(A246-Standards!$A$124)*Standards!$AA$4</f>
        <v>-1.8185099396551725</v>
      </c>
      <c r="U246" s="29"/>
      <c r="V246" s="28"/>
      <c r="W246" s="29">
        <f>P246-(M246-Standards!$N$124)*Standards!$AL$54</f>
        <v>35.693076120689653</v>
      </c>
      <c r="X246" s="29">
        <f>W246-(A246-Standards!$A$124)*Standards!$AL$5</f>
        <v>35.69079363793103</v>
      </c>
      <c r="Y246" s="111"/>
      <c r="Z246" s="19">
        <f>(T246*Standards!$O$159)+Standards!$O$160</f>
        <v>-2.1563084085158151</v>
      </c>
      <c r="AA246" s="20">
        <f>(X246*Standards!$U$159)+Standards!$U$160</f>
        <v>25.216765671691125</v>
      </c>
    </row>
    <row r="247" spans="1:27" ht="24.95" customHeight="1" x14ac:dyDescent="0.25">
      <c r="A247" s="108">
        <v>125</v>
      </c>
      <c r="B247" s="65" t="s">
        <v>1311</v>
      </c>
      <c r="C247" s="65" t="s">
        <v>221</v>
      </c>
      <c r="D247" s="65">
        <v>6</v>
      </c>
      <c r="E247" s="65">
        <v>17454</v>
      </c>
      <c r="F247" s="65">
        <v>212.15899999999999</v>
      </c>
      <c r="G247" s="65">
        <v>-2.379</v>
      </c>
      <c r="H247" s="65">
        <v>35.887999999999998</v>
      </c>
      <c r="Z247" s="33"/>
      <c r="AA247" s="34"/>
    </row>
    <row r="248" spans="1:27" ht="24.95" customHeight="1" x14ac:dyDescent="0.25">
      <c r="A248" s="108">
        <v>125</v>
      </c>
      <c r="B248" s="65" t="s">
        <v>1311</v>
      </c>
      <c r="C248" s="65" t="s">
        <v>221</v>
      </c>
      <c r="D248" s="65">
        <v>7</v>
      </c>
      <c r="E248" s="65">
        <v>16137</v>
      </c>
      <c r="F248" s="65">
        <v>199.00700000000001</v>
      </c>
      <c r="G248" s="65">
        <v>-2.411</v>
      </c>
      <c r="H248" s="65">
        <v>35.935000000000002</v>
      </c>
      <c r="J248" s="31">
        <f>AVERAGE(G247:G248)</f>
        <v>-2.395</v>
      </c>
      <c r="K248" s="31">
        <f>STDEV(G247:G248)</f>
        <v>2.2627416997969541E-2</v>
      </c>
      <c r="L248" s="26"/>
      <c r="M248" s="27">
        <f>AVERAGE(E247:E248)</f>
        <v>16795.5</v>
      </c>
      <c r="N248" s="27">
        <f>STDEV(E247:E248)</f>
        <v>931.25963082268311</v>
      </c>
      <c r="O248" s="28"/>
      <c r="P248" s="29">
        <f>AVERAGE(H247:H248)</f>
        <v>35.911500000000004</v>
      </c>
      <c r="Q248" s="29">
        <f>STDEV(H247:H248)</f>
        <v>3.3234018715770669E-2</v>
      </c>
      <c r="R248" s="28"/>
      <c r="S248" s="29">
        <f>J248-(M248-Standards!$N$124)*Standards!$AA$55</f>
        <v>-2.4283217672413793</v>
      </c>
      <c r="T248" s="29">
        <f>S248-(A248-Standards!$A$124)*Standards!$AA$4</f>
        <v>-2.4461109396551723</v>
      </c>
      <c r="U248" s="29"/>
      <c r="V248" s="28"/>
      <c r="W248" s="29">
        <f>P248-(M248-Standards!$N$124)*Standards!$AL$54</f>
        <v>35.951486120689658</v>
      </c>
      <c r="X248" s="29">
        <f>W248-(A248-Standards!$A$124)*Standards!$AL$5</f>
        <v>35.949147637931034</v>
      </c>
      <c r="Y248" s="111"/>
      <c r="Z248" s="19">
        <f>(T248*Standards!$O$159)+Standards!$O$160</f>
        <v>-2.7885866596965494</v>
      </c>
      <c r="AA248" s="20">
        <f>(X248*Standards!$U$159)+Standards!$U$160</f>
        <v>25.469981521391386</v>
      </c>
    </row>
    <row r="249" spans="1:27" ht="24.95" customHeight="1" x14ac:dyDescent="0.25">
      <c r="A249" s="108">
        <v>126</v>
      </c>
      <c r="B249" s="65" t="s">
        <v>1315</v>
      </c>
      <c r="C249" s="65" t="s">
        <v>339</v>
      </c>
      <c r="D249" s="65">
        <v>6</v>
      </c>
      <c r="E249" s="65">
        <v>12909</v>
      </c>
      <c r="F249" s="65">
        <v>163.91399999999999</v>
      </c>
      <c r="G249" s="65">
        <v>-2.2999999999999998</v>
      </c>
      <c r="H249" s="65">
        <v>36.015000000000001</v>
      </c>
      <c r="Z249" s="33"/>
      <c r="AA249" s="34"/>
    </row>
    <row r="250" spans="1:27" ht="24.95" customHeight="1" x14ac:dyDescent="0.25">
      <c r="A250" s="108">
        <v>126</v>
      </c>
      <c r="B250" s="65" t="s">
        <v>1315</v>
      </c>
      <c r="C250" s="65" t="s">
        <v>339</v>
      </c>
      <c r="D250" s="65">
        <v>7</v>
      </c>
      <c r="E250" s="65">
        <v>12033</v>
      </c>
      <c r="F250" s="65">
        <v>152.15600000000001</v>
      </c>
      <c r="G250" s="65">
        <v>-2.2160000000000002</v>
      </c>
      <c r="H250" s="65">
        <v>36.054000000000002</v>
      </c>
      <c r="J250" s="31">
        <f>AVERAGE(G249:G250)</f>
        <v>-2.258</v>
      </c>
      <c r="K250" s="31">
        <f>STDEV(G249:G250)</f>
        <v>5.9396969619669733E-2</v>
      </c>
      <c r="L250" s="26"/>
      <c r="M250" s="27">
        <f>AVERAGE(E249:E250)</f>
        <v>12471</v>
      </c>
      <c r="N250" s="27">
        <f>STDEV(E249:E250)</f>
        <v>619.42554031941563</v>
      </c>
      <c r="O250" s="28"/>
      <c r="P250" s="29">
        <f>AVERAGE(H249:H250)</f>
        <v>36.034500000000001</v>
      </c>
      <c r="Q250" s="29">
        <f>STDEV(H249:H250)</f>
        <v>2.7577164466276401E-2</v>
      </c>
      <c r="R250" s="28"/>
      <c r="S250" s="29">
        <f>J250-(M250-Standards!$N$124)*Standards!$AA$55</f>
        <v>-2.2372655172413793</v>
      </c>
      <c r="T250" s="29">
        <f>S250-(A250-Standards!$A$124)*Standards!$AA$4</f>
        <v>-2.2554806896551725</v>
      </c>
      <c r="U250" s="29"/>
      <c r="V250" s="28"/>
      <c r="W250" s="29">
        <f>P250-(M250-Standards!$N$124)*Standards!$AL$54</f>
        <v>36.009618620689658</v>
      </c>
      <c r="X250" s="29">
        <f>W250-(A250-Standards!$A$124)*Standards!$AL$5</f>
        <v>36.00722413793104</v>
      </c>
      <c r="Y250" s="111"/>
      <c r="Z250" s="19">
        <f>(T250*Standards!$O$159)+Standards!$O$160</f>
        <v>-2.5965357211350328</v>
      </c>
      <c r="AA250" s="20">
        <f>(X250*Standards!$U$159)+Standards!$U$160</f>
        <v>25.526902994622372</v>
      </c>
    </row>
    <row r="251" spans="1:27" ht="24.95" customHeight="1" x14ac:dyDescent="0.25">
      <c r="A251" s="108">
        <v>127</v>
      </c>
      <c r="B251" s="65" t="s">
        <v>1319</v>
      </c>
      <c r="C251" s="65" t="s">
        <v>260</v>
      </c>
      <c r="D251" s="65">
        <v>6</v>
      </c>
      <c r="E251" s="65">
        <v>13926</v>
      </c>
      <c r="F251" s="65">
        <v>171.93100000000001</v>
      </c>
      <c r="G251" s="65">
        <v>-1.57</v>
      </c>
      <c r="H251" s="65">
        <v>36.222999999999999</v>
      </c>
      <c r="Z251" s="33"/>
      <c r="AA251" s="34"/>
    </row>
    <row r="252" spans="1:27" ht="24.95" customHeight="1" x14ac:dyDescent="0.25">
      <c r="A252" s="108">
        <v>127</v>
      </c>
      <c r="B252" s="65" t="s">
        <v>1319</v>
      </c>
      <c r="C252" s="65" t="s">
        <v>260</v>
      </c>
      <c r="D252" s="65">
        <v>7</v>
      </c>
      <c r="E252" s="65">
        <v>12849</v>
      </c>
      <c r="F252" s="65">
        <v>159.28</v>
      </c>
      <c r="G252" s="65">
        <v>-1.512</v>
      </c>
      <c r="H252" s="65">
        <v>36.252000000000002</v>
      </c>
      <c r="J252" s="31">
        <f>AVERAGE(G251:G252)</f>
        <v>-1.5409999999999999</v>
      </c>
      <c r="K252" s="31">
        <f>STDEV(G251:G252)</f>
        <v>4.1012193308819792E-2</v>
      </c>
      <c r="L252" s="26"/>
      <c r="M252" s="27">
        <f>AVERAGE(E251:E252)</f>
        <v>13387.5</v>
      </c>
      <c r="N252" s="27">
        <f>STDEV(E251:E252)</f>
        <v>761.55400333791169</v>
      </c>
      <c r="O252" s="28"/>
      <c r="P252" s="29">
        <f>AVERAGE(H251:H252)</f>
        <v>36.237499999999997</v>
      </c>
      <c r="Q252" s="29">
        <f>STDEV(H251:H252)</f>
        <v>2.0506096654412328E-2</v>
      </c>
      <c r="R252" s="28"/>
      <c r="S252" s="29">
        <f>J252-(M252-Standards!$N$124)*Standards!$AA$55</f>
        <v>-1.5317217672413792</v>
      </c>
      <c r="T252" s="29">
        <f>S252-(A252-Standards!$A$124)*Standards!$AA$4</f>
        <v>-1.5503629396551724</v>
      </c>
      <c r="U252" s="29"/>
      <c r="V252" s="28"/>
      <c r="W252" s="29">
        <f>P252-(M252-Standards!$N$124)*Standards!$AL$54</f>
        <v>36.226366120689654</v>
      </c>
      <c r="X252" s="29">
        <f>W252-(A252-Standards!$A$124)*Standards!$AL$5</f>
        <v>36.223915637931036</v>
      </c>
      <c r="Y252" s="111"/>
      <c r="Z252" s="19">
        <f>(T252*Standards!$O$159)+Standards!$O$160</f>
        <v>-1.8861630196152868</v>
      </c>
      <c r="AA252" s="20">
        <f>(X252*Standards!$U$159)+Standards!$U$160</f>
        <v>25.739284929081766</v>
      </c>
    </row>
    <row r="253" spans="1:27" ht="24.95" customHeight="1" x14ac:dyDescent="0.25">
      <c r="A253" s="108">
        <v>128</v>
      </c>
      <c r="B253" s="65" t="s">
        <v>1324</v>
      </c>
      <c r="C253" s="65" t="s">
        <v>513</v>
      </c>
      <c r="D253" s="65">
        <v>6</v>
      </c>
      <c r="E253" s="65">
        <v>12521</v>
      </c>
      <c r="F253" s="65">
        <v>158.58199999999999</v>
      </c>
      <c r="G253" s="65">
        <v>-1.5049999999999999</v>
      </c>
      <c r="H253" s="65">
        <v>36.061</v>
      </c>
      <c r="Z253" s="33"/>
      <c r="AA253" s="34"/>
    </row>
    <row r="254" spans="1:27" ht="24.95" customHeight="1" x14ac:dyDescent="0.25">
      <c r="A254" s="108">
        <v>128</v>
      </c>
      <c r="B254" s="65" t="s">
        <v>1324</v>
      </c>
      <c r="C254" s="65" t="s">
        <v>513</v>
      </c>
      <c r="D254" s="65">
        <v>7</v>
      </c>
      <c r="E254" s="65">
        <v>11704</v>
      </c>
      <c r="F254" s="65">
        <v>147.48099999999999</v>
      </c>
      <c r="G254" s="65">
        <v>-1.4490000000000001</v>
      </c>
      <c r="H254" s="65">
        <v>36.048999999999999</v>
      </c>
      <c r="J254" s="31">
        <f>AVERAGE(G253:G254)</f>
        <v>-1.4769999999999999</v>
      </c>
      <c r="K254" s="31">
        <f>STDEV(G253:G254)</f>
        <v>3.9597979746446542E-2</v>
      </c>
      <c r="L254" s="26"/>
      <c r="M254" s="27">
        <f>AVERAGE(E253:E254)</f>
        <v>12112.5</v>
      </c>
      <c r="N254" s="27">
        <f>STDEV(E253:E254)</f>
        <v>577.70624022940933</v>
      </c>
      <c r="O254" s="28"/>
      <c r="P254" s="29">
        <f>AVERAGE(H253:H254)</f>
        <v>36.055</v>
      </c>
      <c r="Q254" s="29">
        <f>STDEV(H253:H254)</f>
        <v>8.4852813742388924E-3</v>
      </c>
      <c r="R254" s="28"/>
      <c r="S254" s="29">
        <f>J254-(M254-Standards!$N$124)*Standards!$AA$55</f>
        <v>-1.4517842672413792</v>
      </c>
      <c r="T254" s="29">
        <f>S254-(A254-Standards!$A$124)*Standards!$AA$4</f>
        <v>-1.4708514396551724</v>
      </c>
      <c r="U254" s="29"/>
      <c r="V254" s="28"/>
      <c r="W254" s="29">
        <f>P254-(M254-Standards!$N$124)*Standards!$AL$54</f>
        <v>36.024741120689654</v>
      </c>
      <c r="X254" s="29">
        <f>W254-(A254-Standards!$A$124)*Standards!$AL$5</f>
        <v>36.022234637931035</v>
      </c>
      <c r="Y254" s="111"/>
      <c r="Z254" s="19">
        <f>(T254*Standards!$O$159)+Standards!$O$160</f>
        <v>-1.8060589532279532</v>
      </c>
      <c r="AA254" s="20">
        <f>(X254*Standards!$U$159)+Standards!$U$160</f>
        <v>25.541614965452798</v>
      </c>
    </row>
    <row r="255" spans="1:27" ht="24.95" customHeight="1" x14ac:dyDescent="0.25">
      <c r="A255" s="108">
        <v>129</v>
      </c>
      <c r="B255" s="65" t="s">
        <v>1328</v>
      </c>
      <c r="C255" s="65" t="s">
        <v>729</v>
      </c>
      <c r="D255" s="65">
        <v>6</v>
      </c>
      <c r="E255" s="65">
        <v>15960</v>
      </c>
      <c r="F255" s="65">
        <v>198.57599999999999</v>
      </c>
      <c r="G255" s="65">
        <v>-1.5529999999999999</v>
      </c>
      <c r="H255" s="65">
        <v>35.863999999999997</v>
      </c>
      <c r="Z255" s="33"/>
      <c r="AA255" s="34"/>
    </row>
    <row r="256" spans="1:27" ht="24.95" customHeight="1" x14ac:dyDescent="0.25">
      <c r="A256" s="108">
        <v>129</v>
      </c>
      <c r="B256" s="65" t="s">
        <v>1328</v>
      </c>
      <c r="C256" s="65" t="s">
        <v>729</v>
      </c>
      <c r="D256" s="65">
        <v>7</v>
      </c>
      <c r="E256" s="65">
        <v>14766</v>
      </c>
      <c r="F256" s="65">
        <v>184.24299999999999</v>
      </c>
      <c r="G256" s="65">
        <v>-1.526</v>
      </c>
      <c r="H256" s="65">
        <v>35.887</v>
      </c>
      <c r="J256" s="31">
        <f>AVERAGE(G255:G256)</f>
        <v>-1.5394999999999999</v>
      </c>
      <c r="K256" s="31">
        <f>STDEV(G255:G256)</f>
        <v>1.9091883092036722E-2</v>
      </c>
      <c r="L256" s="26"/>
      <c r="M256" s="27">
        <f>AVERAGE(E255:E256)</f>
        <v>15363</v>
      </c>
      <c r="N256" s="27">
        <f>STDEV(E255:E256)</f>
        <v>844.28549673673774</v>
      </c>
      <c r="O256" s="28"/>
      <c r="P256" s="29">
        <f>AVERAGE(H255:H256)</f>
        <v>35.875500000000002</v>
      </c>
      <c r="Q256" s="29">
        <f>STDEV(H255:H256)</f>
        <v>1.6263455967292884E-2</v>
      </c>
      <c r="R256" s="28"/>
      <c r="S256" s="29">
        <f>J256-(M256-Standards!$N$124)*Standards!$AA$55</f>
        <v>-1.5549155172413791</v>
      </c>
      <c r="T256" s="29">
        <f>S256-(A256-Standards!$A$124)*Standards!$AA$4</f>
        <v>-1.5744086896551721</v>
      </c>
      <c r="U256" s="29"/>
      <c r="V256" s="28"/>
      <c r="W256" s="29">
        <f>P256-(M256-Standards!$N$124)*Standards!$AL$54</f>
        <v>35.893998620689658</v>
      </c>
      <c r="X256" s="29">
        <f>W256-(A256-Standards!$A$124)*Standards!$AL$5</f>
        <v>35.891436137931038</v>
      </c>
      <c r="Y256" s="111"/>
      <c r="Z256" s="19">
        <f>(T256*Standards!$O$159)+Standards!$O$160</f>
        <v>-1.9103879726640056</v>
      </c>
      <c r="AA256" s="20">
        <f>(X256*Standards!$U$159)+Standards!$U$160</f>
        <v>25.413417789032007</v>
      </c>
    </row>
    <row r="257" spans="1:27" ht="24.95" customHeight="1" x14ac:dyDescent="0.25">
      <c r="A257" s="108">
        <v>130</v>
      </c>
      <c r="B257" s="65" t="s">
        <v>1332</v>
      </c>
      <c r="C257" s="65" t="s">
        <v>551</v>
      </c>
      <c r="D257" s="65">
        <v>6</v>
      </c>
      <c r="E257" s="65">
        <v>12912</v>
      </c>
      <c r="F257" s="65">
        <v>162.21299999999999</v>
      </c>
      <c r="G257" s="65">
        <v>-1.962</v>
      </c>
      <c r="H257" s="65">
        <v>35.780999999999999</v>
      </c>
      <c r="Z257" s="33"/>
      <c r="AA257" s="34"/>
    </row>
    <row r="258" spans="1:27" ht="24.95" customHeight="1" x14ac:dyDescent="0.25">
      <c r="A258" s="108">
        <v>130</v>
      </c>
      <c r="B258" s="65" t="s">
        <v>1332</v>
      </c>
      <c r="C258" s="65" t="s">
        <v>551</v>
      </c>
      <c r="D258" s="65">
        <v>7</v>
      </c>
      <c r="E258" s="65">
        <v>12152</v>
      </c>
      <c r="F258" s="65">
        <v>151.32499999999999</v>
      </c>
      <c r="G258" s="65">
        <v>-1.885</v>
      </c>
      <c r="H258" s="65">
        <v>35.792999999999999</v>
      </c>
      <c r="J258" s="31">
        <f>AVERAGE(G257:G258)</f>
        <v>-1.9235</v>
      </c>
      <c r="K258" s="31">
        <f>STDEV(G257:G258)</f>
        <v>5.4447222151364126E-2</v>
      </c>
      <c r="L258" s="26"/>
      <c r="M258" s="27">
        <f>AVERAGE(E257:E258)</f>
        <v>12532</v>
      </c>
      <c r="N258" s="27">
        <f>STDEV(E257:E258)</f>
        <v>537.40115370177614</v>
      </c>
      <c r="O258" s="28"/>
      <c r="P258" s="29">
        <f>AVERAGE(H257:H258)</f>
        <v>35.786999999999999</v>
      </c>
      <c r="Q258" s="29">
        <f>STDEV(H257:H258)</f>
        <v>8.4852813742388924E-3</v>
      </c>
      <c r="R258" s="28"/>
      <c r="S258" s="29">
        <f>J258-(M258-Standards!$N$124)*Standards!$AA$55</f>
        <v>-1.9035280172413793</v>
      </c>
      <c r="T258" s="29">
        <f>S258-(A258-Standards!$A$124)*Standards!$AA$4</f>
        <v>-1.9234471896551724</v>
      </c>
      <c r="U258" s="29"/>
      <c r="V258" s="28"/>
      <c r="W258" s="29">
        <f>P258-(M258-Standards!$N$124)*Standards!$AL$54</f>
        <v>35.763033620689654</v>
      </c>
      <c r="X258" s="29">
        <f>W258-(A258-Standards!$A$124)*Standards!$AL$5</f>
        <v>35.760415137931034</v>
      </c>
      <c r="Y258" s="111"/>
      <c r="Z258" s="19">
        <f>(T258*Standards!$O$159)+Standards!$O$160</f>
        <v>-2.2620277125222068</v>
      </c>
      <c r="AA258" s="20">
        <f>(X258*Standards!$U$159)+Standards!$U$160</f>
        <v>25.285002537696325</v>
      </c>
    </row>
    <row r="259" spans="1:27" s="195" customFormat="1" ht="24.95" customHeight="1" x14ac:dyDescent="0.25">
      <c r="A259" s="213">
        <v>131</v>
      </c>
      <c r="B259" s="195" t="s">
        <v>0</v>
      </c>
      <c r="D259" s="195">
        <v>6</v>
      </c>
      <c r="E259" s="195">
        <v>16505</v>
      </c>
      <c r="F259" s="195">
        <v>207.922</v>
      </c>
      <c r="G259" s="195">
        <v>4.8070000000000004</v>
      </c>
      <c r="H259" s="195">
        <v>36.99</v>
      </c>
      <c r="Y259" s="215"/>
      <c r="Z259" s="193"/>
      <c r="AA259" s="194"/>
    </row>
    <row r="260" spans="1:27" s="195" customFormat="1" ht="24.95" customHeight="1" x14ac:dyDescent="0.25">
      <c r="A260" s="213">
        <v>131</v>
      </c>
      <c r="B260" s="195" t="s">
        <v>0</v>
      </c>
      <c r="D260" s="195">
        <v>7</v>
      </c>
      <c r="E260" s="195">
        <v>15325</v>
      </c>
      <c r="F260" s="195">
        <v>195.23400000000001</v>
      </c>
      <c r="G260" s="195">
        <v>4.7939999999999996</v>
      </c>
      <c r="H260" s="195">
        <v>37.008000000000003</v>
      </c>
      <c r="J260" s="196">
        <f>AVERAGE(G259:G260)</f>
        <v>4.8004999999999995</v>
      </c>
      <c r="K260" s="196">
        <f>STDEV(G259:G260)</f>
        <v>9.1923881554256751E-3</v>
      </c>
      <c r="L260" s="189"/>
      <c r="M260" s="188">
        <f>AVERAGE(E259:E260)</f>
        <v>15915</v>
      </c>
      <c r="N260" s="188">
        <f>STDEV(E259:E260)</f>
        <v>834.38600180012611</v>
      </c>
      <c r="O260" s="190"/>
      <c r="P260" s="191">
        <f>AVERAGE(H259:H260)</f>
        <v>36.999000000000002</v>
      </c>
      <c r="Q260" s="191">
        <f>STDEV(H259:H260)</f>
        <v>1.2727922061358338E-2</v>
      </c>
      <c r="R260" s="190"/>
      <c r="S260" s="191">
        <f>J260-(M260-Standards!$N$124)*Standards!$AA$55</f>
        <v>4.7781844827586202</v>
      </c>
      <c r="T260" s="191">
        <f>S260-(A260-Standards!$A$124)*Standards!$AA$4</f>
        <v>4.7578393103448269</v>
      </c>
      <c r="U260" s="191"/>
      <c r="V260" s="190"/>
      <c r="W260" s="191">
        <f>P260-(M260-Standards!$N$124)*Standards!$AL$54</f>
        <v>37.025778620689657</v>
      </c>
      <c r="X260" s="191">
        <f>W260-(A260-Standards!$A$124)*Standards!$AL$5</f>
        <v>37.023104137931035</v>
      </c>
      <c r="Y260" s="197"/>
      <c r="Z260" s="198">
        <f>(T260*Standards!$O$159)+Standards!$O$160</f>
        <v>4.4690516577424182</v>
      </c>
      <c r="AA260" s="199">
        <f>(X260*Standards!$U$159)+Standards!$U$160</f>
        <v>26.522579149795103</v>
      </c>
    </row>
    <row r="261" spans="1:27" s="195" customFormat="1" ht="24.95" customHeight="1" x14ac:dyDescent="0.25">
      <c r="A261" s="213">
        <v>132</v>
      </c>
      <c r="B261" s="195" t="s">
        <v>0</v>
      </c>
      <c r="D261" s="195">
        <v>6</v>
      </c>
      <c r="E261" s="195">
        <v>19965</v>
      </c>
      <c r="F261" s="195">
        <v>243.29300000000001</v>
      </c>
      <c r="G261" s="195">
        <v>4.8620000000000001</v>
      </c>
      <c r="H261" s="195">
        <v>36.822000000000003</v>
      </c>
      <c r="Y261" s="215"/>
      <c r="Z261" s="193"/>
      <c r="AA261" s="194"/>
    </row>
    <row r="262" spans="1:27" s="195" customFormat="1" ht="24.95" customHeight="1" x14ac:dyDescent="0.25">
      <c r="A262" s="213">
        <v>132</v>
      </c>
      <c r="B262" s="195" t="s">
        <v>0</v>
      </c>
      <c r="D262" s="195">
        <v>7</v>
      </c>
      <c r="E262" s="195">
        <v>18790</v>
      </c>
      <c r="F262" s="195">
        <v>230.37799999999999</v>
      </c>
      <c r="G262" s="195">
        <v>4.7969999999999997</v>
      </c>
      <c r="H262" s="195">
        <v>36.909999999999997</v>
      </c>
      <c r="J262" s="196">
        <f>AVERAGE(G261:G262)</f>
        <v>4.8294999999999995</v>
      </c>
      <c r="K262" s="196">
        <f>STDEV(G261:G262)</f>
        <v>4.5961940777125863E-2</v>
      </c>
      <c r="L262" s="189"/>
      <c r="M262" s="188">
        <f>AVERAGE(E261:E262)</f>
        <v>19377.5</v>
      </c>
      <c r="N262" s="188">
        <f>STDEV(E261:E262)</f>
        <v>830.85046789419334</v>
      </c>
      <c r="O262" s="190"/>
      <c r="P262" s="191">
        <f>AVERAGE(H261:H262)</f>
        <v>36.866</v>
      </c>
      <c r="Q262" s="191">
        <f>STDEV(H261:H262)</f>
        <v>6.222539674441184E-2</v>
      </c>
      <c r="R262" s="190"/>
      <c r="S262" s="191">
        <f>J262-(M262-Standards!$N$124)*Standards!$AA$55</f>
        <v>4.7639032327586204</v>
      </c>
      <c r="T262" s="191">
        <f>S262-(A262-Standards!$A$124)*Standards!$AA$4</f>
        <v>4.743132060344827</v>
      </c>
      <c r="U262" s="191"/>
      <c r="V262" s="190"/>
      <c r="W262" s="191">
        <f>P262-(M262-Standards!$N$124)*Standards!$AL$54</f>
        <v>36.944716120689655</v>
      </c>
      <c r="X262" s="191">
        <f>W262-(A262-Standards!$A$124)*Standards!$AL$5</f>
        <v>36.941985637931033</v>
      </c>
      <c r="Y262" s="197"/>
      <c r="Z262" s="198">
        <f>(T262*Standards!$O$159)+Standards!$O$160</f>
        <v>4.4542348006792878</v>
      </c>
      <c r="AA262" s="199">
        <f>(X262*Standards!$U$159)+Standards!$U$160</f>
        <v>26.443073936390579</v>
      </c>
    </row>
    <row r="263" spans="1:27" ht="24.95" customHeight="1" x14ac:dyDescent="0.25">
      <c r="A263" s="108">
        <v>133</v>
      </c>
      <c r="B263" s="65" t="s">
        <v>1343</v>
      </c>
      <c r="C263" s="65" t="s">
        <v>518</v>
      </c>
      <c r="D263" s="65">
        <v>6</v>
      </c>
      <c r="E263" s="65">
        <v>13210</v>
      </c>
      <c r="F263" s="65">
        <v>168.56899999999999</v>
      </c>
      <c r="G263" s="65">
        <v>-1.8839999999999999</v>
      </c>
      <c r="H263" s="65">
        <v>35.707999999999998</v>
      </c>
      <c r="Z263" s="33"/>
      <c r="AA263" s="34"/>
    </row>
    <row r="264" spans="1:27" ht="24.95" customHeight="1" x14ac:dyDescent="0.25">
      <c r="A264" s="108">
        <v>133</v>
      </c>
      <c r="B264" s="65" t="s">
        <v>1343</v>
      </c>
      <c r="C264" s="65" t="s">
        <v>518</v>
      </c>
      <c r="D264" s="65">
        <v>7</v>
      </c>
      <c r="E264" s="65">
        <v>12307</v>
      </c>
      <c r="F264" s="65">
        <v>156.52500000000001</v>
      </c>
      <c r="G264" s="65">
        <v>-1.8240000000000001</v>
      </c>
      <c r="H264" s="65">
        <v>35.756999999999998</v>
      </c>
      <c r="J264" s="31">
        <f>AVERAGE(G263:G264)</f>
        <v>-1.8540000000000001</v>
      </c>
      <c r="K264" s="31">
        <f>STDEV(G263:G264)</f>
        <v>4.2426406871192736E-2</v>
      </c>
      <c r="L264" s="26"/>
      <c r="M264" s="27">
        <f>AVERAGE(E263:E264)</f>
        <v>12758.5</v>
      </c>
      <c r="N264" s="27">
        <f>STDEV(E263:E264)</f>
        <v>638.51742341145246</v>
      </c>
      <c r="O264" s="28"/>
      <c r="P264" s="29">
        <f>AVERAGE(H263:H264)</f>
        <v>35.732500000000002</v>
      </c>
      <c r="Q264" s="29">
        <f>STDEV(H263:H264)</f>
        <v>3.464823227814047E-2</v>
      </c>
      <c r="R264" s="28"/>
      <c r="S264" s="29">
        <f>J264-(M264-Standards!$N$124)*Standards!$AA$55</f>
        <v>-1.8368592672413795</v>
      </c>
      <c r="T264" s="29">
        <f>S264-(A264-Standards!$A$124)*Standards!$AA$4</f>
        <v>-1.8580564396551726</v>
      </c>
      <c r="U264" s="29"/>
      <c r="V264" s="28"/>
      <c r="W264" s="29">
        <f>P264-(M264-Standards!$N$124)*Standards!$AL$54</f>
        <v>35.711931120689655</v>
      </c>
      <c r="X264" s="29">
        <f>W264-(A264-Standards!$A$124)*Standards!$AL$5</f>
        <v>35.709144637931033</v>
      </c>
      <c r="Y264" s="111"/>
      <c r="Z264" s="19">
        <f>(T264*Standards!$O$159)+Standards!$O$160</f>
        <v>-2.1961496322556098</v>
      </c>
      <c r="AA264" s="20">
        <f>(X264*Standards!$U$159)+Standards!$U$160</f>
        <v>25.234751706580656</v>
      </c>
    </row>
    <row r="265" spans="1:27" ht="24.95" customHeight="1" x14ac:dyDescent="0.25">
      <c r="A265" s="108">
        <v>134</v>
      </c>
      <c r="B265" s="65" t="s">
        <v>1346</v>
      </c>
      <c r="C265" s="65" t="s">
        <v>1347</v>
      </c>
      <c r="D265" s="65">
        <v>6</v>
      </c>
      <c r="E265" s="65">
        <v>18688</v>
      </c>
      <c r="F265" s="65">
        <v>226.232</v>
      </c>
      <c r="G265" s="65">
        <v>-1.8819999999999999</v>
      </c>
      <c r="H265" s="65">
        <v>35.661000000000001</v>
      </c>
      <c r="Z265" s="33"/>
      <c r="AA265" s="34"/>
    </row>
    <row r="266" spans="1:27" ht="24.95" customHeight="1" x14ac:dyDescent="0.25">
      <c r="A266" s="108">
        <v>134</v>
      </c>
      <c r="B266" s="65" t="s">
        <v>1346</v>
      </c>
      <c r="C266" s="65" t="s">
        <v>1347</v>
      </c>
      <c r="D266" s="65">
        <v>7</v>
      </c>
      <c r="E266" s="65">
        <v>17582</v>
      </c>
      <c r="F266" s="65">
        <v>213.834</v>
      </c>
      <c r="G266" s="65">
        <v>-1.919</v>
      </c>
      <c r="H266" s="65">
        <v>35.692999999999998</v>
      </c>
      <c r="J266" s="31">
        <f>AVERAGE(G265:G266)</f>
        <v>-1.9005000000000001</v>
      </c>
      <c r="K266" s="31">
        <f>STDEV(G265:G266)</f>
        <v>2.616295090390236E-2</v>
      </c>
      <c r="L266" s="26"/>
      <c r="M266" s="27">
        <f>AVERAGE(E265:E266)</f>
        <v>18135</v>
      </c>
      <c r="N266" s="27">
        <f>STDEV(E265:E266)</f>
        <v>782.06009999232151</v>
      </c>
      <c r="O266" s="28"/>
      <c r="P266" s="29">
        <f>AVERAGE(H265:H266)</f>
        <v>35.677</v>
      </c>
      <c r="Q266" s="29">
        <f>STDEV(H265:H266)</f>
        <v>2.2627416997967029E-2</v>
      </c>
      <c r="R266" s="28"/>
      <c r="S266" s="29">
        <f>J266-(M266-Standards!$N$124)*Standards!$AA$55</f>
        <v>-1.9505655172413794</v>
      </c>
      <c r="T266" s="29">
        <f>S266-(A266-Standards!$A$124)*Standards!$AA$4</f>
        <v>-1.9721886896551726</v>
      </c>
      <c r="U266" s="29"/>
      <c r="V266" s="28"/>
      <c r="W266" s="29">
        <f>P266-(M266-Standards!$N$124)*Standards!$AL$54</f>
        <v>35.737078620689658</v>
      </c>
      <c r="X266" s="29">
        <f>W266-(A266-Standards!$A$124)*Standards!$AL$5</f>
        <v>35.734236137931035</v>
      </c>
      <c r="Y266" s="111"/>
      <c r="Z266" s="19">
        <f>(T266*Standards!$O$159)+Standards!$O$160</f>
        <v>-2.3111324628013268</v>
      </c>
      <c r="AA266" s="20">
        <f>(X266*Standards!$U$159)+Standards!$U$160</f>
        <v>25.25934418625101</v>
      </c>
    </row>
    <row r="267" spans="1:27" ht="24.95" customHeight="1" x14ac:dyDescent="0.25">
      <c r="A267" s="108">
        <v>135</v>
      </c>
      <c r="B267" s="65" t="s">
        <v>1352</v>
      </c>
      <c r="C267" s="65" t="s">
        <v>229</v>
      </c>
      <c r="D267" s="65">
        <v>6</v>
      </c>
      <c r="E267" s="65">
        <v>13674</v>
      </c>
      <c r="F267" s="65">
        <v>174.131</v>
      </c>
      <c r="G267" s="65">
        <v>-2.0720000000000001</v>
      </c>
      <c r="H267" s="65">
        <v>35.896999999999998</v>
      </c>
      <c r="Z267" s="33"/>
      <c r="AA267" s="34"/>
    </row>
    <row r="268" spans="1:27" ht="24.95" customHeight="1" x14ac:dyDescent="0.25">
      <c r="A268" s="108">
        <v>135</v>
      </c>
      <c r="B268" s="65" t="s">
        <v>1352</v>
      </c>
      <c r="C268" s="65" t="s">
        <v>229</v>
      </c>
      <c r="D268" s="65">
        <v>7</v>
      </c>
      <c r="E268" s="65">
        <v>12742</v>
      </c>
      <c r="F268" s="65">
        <v>161.67500000000001</v>
      </c>
      <c r="G268" s="65">
        <v>-2.0150000000000001</v>
      </c>
      <c r="H268" s="65">
        <v>35.914999999999999</v>
      </c>
      <c r="J268" s="31">
        <f>AVERAGE(G267:G268)</f>
        <v>-2.0434999999999999</v>
      </c>
      <c r="K268" s="31">
        <f>STDEV(G267:G268)</f>
        <v>4.030508652763317E-2</v>
      </c>
      <c r="L268" s="26"/>
      <c r="M268" s="27">
        <f>AVERAGE(E267:E268)</f>
        <v>13208</v>
      </c>
      <c r="N268" s="27">
        <f>STDEV(E267:E268)</f>
        <v>659.02352006586227</v>
      </c>
      <c r="O268" s="28"/>
      <c r="P268" s="29">
        <f>AVERAGE(H267:H268)</f>
        <v>35.905999999999999</v>
      </c>
      <c r="Q268" s="29">
        <f>STDEV(H267:H268)</f>
        <v>1.2727922061358338E-2</v>
      </c>
      <c r="R268" s="28"/>
      <c r="S268" s="29">
        <f>J268-(M268-Standards!$N$124)*Standards!$AA$55</f>
        <v>-2.0319780172413791</v>
      </c>
      <c r="T268" s="29">
        <f>S268-(A268-Standards!$A$124)*Standards!$AA$4</f>
        <v>-2.0540271896551721</v>
      </c>
      <c r="U268" s="29"/>
      <c r="V268" s="28"/>
      <c r="W268" s="29">
        <f>P268-(M268-Standards!$N$124)*Standards!$AL$54</f>
        <v>35.892173620689654</v>
      </c>
      <c r="X268" s="29">
        <f>W268-(A268-Standards!$A$124)*Standards!$AL$5</f>
        <v>35.889275137931037</v>
      </c>
      <c r="Y268" s="111"/>
      <c r="Z268" s="19">
        <f>(T268*Standards!$O$159)+Standards!$O$160</f>
        <v>-2.3935808713590792</v>
      </c>
      <c r="AA268" s="20">
        <f>(X268*Standards!$U$159)+Standards!$U$160</f>
        <v>25.411299767049751</v>
      </c>
    </row>
    <row r="269" spans="1:27" ht="24.95" customHeight="1" x14ac:dyDescent="0.25">
      <c r="A269" s="108">
        <v>136</v>
      </c>
      <c r="B269" s="65" t="s">
        <v>1357</v>
      </c>
      <c r="C269" s="65" t="s">
        <v>296</v>
      </c>
      <c r="D269" s="65">
        <v>6</v>
      </c>
      <c r="E269" s="65">
        <v>14051</v>
      </c>
      <c r="F269" s="65">
        <v>170.26900000000001</v>
      </c>
      <c r="G269" s="65">
        <v>-2.1840000000000002</v>
      </c>
      <c r="H269" s="65">
        <v>36.107999999999997</v>
      </c>
      <c r="Z269" s="33"/>
      <c r="AA269" s="34"/>
    </row>
    <row r="270" spans="1:27" ht="24.95" customHeight="1" x14ac:dyDescent="0.25">
      <c r="A270" s="108">
        <v>136</v>
      </c>
      <c r="B270" s="65" t="s">
        <v>1357</v>
      </c>
      <c r="C270" s="65" t="s">
        <v>296</v>
      </c>
      <c r="D270" s="65">
        <v>7</v>
      </c>
      <c r="E270" s="65">
        <v>13101</v>
      </c>
      <c r="F270" s="65">
        <v>160.53200000000001</v>
      </c>
      <c r="G270" s="65">
        <v>-2.2200000000000002</v>
      </c>
      <c r="H270" s="65">
        <v>36.131999999999998</v>
      </c>
      <c r="J270" s="31">
        <f>AVERAGE(G269:G270)</f>
        <v>-2.202</v>
      </c>
      <c r="K270" s="31">
        <f>STDEV(G269:G270)</f>
        <v>2.5455844122715735E-2</v>
      </c>
      <c r="L270" s="26"/>
      <c r="M270" s="27">
        <f>AVERAGE(E269:E270)</f>
        <v>13576</v>
      </c>
      <c r="N270" s="27">
        <f>STDEV(E269:E270)</f>
        <v>671.75144212722012</v>
      </c>
      <c r="O270" s="28"/>
      <c r="P270" s="29">
        <f>AVERAGE(H269:H270)</f>
        <v>36.119999999999997</v>
      </c>
      <c r="Q270" s="29">
        <f>STDEV(H269:H270)</f>
        <v>1.6970562748477785E-2</v>
      </c>
      <c r="R270" s="28"/>
      <c r="S270" s="29">
        <f>J270-(M270-Standards!$N$124)*Standards!$AA$55</f>
        <v>-2.1950780172413791</v>
      </c>
      <c r="T270" s="29">
        <f>S270-(A270-Standards!$A$124)*Standards!$AA$4</f>
        <v>-2.2175531896551721</v>
      </c>
      <c r="U270" s="29"/>
      <c r="V270" s="28"/>
      <c r="W270" s="29">
        <f>P270-(M270-Standards!$N$124)*Standards!$AL$54</f>
        <v>36.11169362068965</v>
      </c>
      <c r="X270" s="29">
        <f>W270-(A270-Standards!$A$124)*Standards!$AL$5</f>
        <v>36.108739137931032</v>
      </c>
      <c r="Y270" s="111"/>
      <c r="Z270" s="19">
        <f>(T270*Standards!$O$159)+Standards!$O$160</f>
        <v>-2.5583255631339186</v>
      </c>
      <c r="AA270" s="20">
        <f>(X270*Standards!$U$159)+Standards!$U$160</f>
        <v>25.626399061965319</v>
      </c>
    </row>
    <row r="271" spans="1:27" ht="24.95" customHeight="1" x14ac:dyDescent="0.25">
      <c r="A271" s="108">
        <v>137</v>
      </c>
      <c r="B271" s="65" t="s">
        <v>1360</v>
      </c>
      <c r="C271" s="65" t="s">
        <v>322</v>
      </c>
      <c r="D271" s="65">
        <v>6</v>
      </c>
      <c r="E271" s="65">
        <v>15187</v>
      </c>
      <c r="F271" s="65">
        <v>192.547</v>
      </c>
      <c r="G271" s="65">
        <v>-1.861</v>
      </c>
      <c r="H271" s="65">
        <v>36.021999999999998</v>
      </c>
      <c r="Z271" s="33"/>
      <c r="AA271" s="34"/>
    </row>
    <row r="272" spans="1:27" ht="24.95" customHeight="1" x14ac:dyDescent="0.25">
      <c r="A272" s="108">
        <v>137</v>
      </c>
      <c r="B272" s="65" t="s">
        <v>1360</v>
      </c>
      <c r="C272" s="65" t="s">
        <v>322</v>
      </c>
      <c r="D272" s="65">
        <v>7</v>
      </c>
      <c r="E272" s="65">
        <v>14160</v>
      </c>
      <c r="F272" s="65">
        <v>179.01300000000001</v>
      </c>
      <c r="G272" s="65">
        <v>-1.8029999999999999</v>
      </c>
      <c r="H272" s="65">
        <v>36.116999999999997</v>
      </c>
      <c r="J272" s="31">
        <f>AVERAGE(G271:G272)</f>
        <v>-1.8319999999999999</v>
      </c>
      <c r="K272" s="31">
        <f>STDEV(G271:G272)</f>
        <v>4.1012193308819792E-2</v>
      </c>
      <c r="L272" s="26"/>
      <c r="M272" s="27">
        <f>AVERAGE(E271:E272)</f>
        <v>14673.5</v>
      </c>
      <c r="N272" s="27">
        <f>STDEV(E271:E272)</f>
        <v>726.19866427858426</v>
      </c>
      <c r="O272" s="28"/>
      <c r="P272" s="29">
        <f>AVERAGE(H271:H272)</f>
        <v>36.069499999999998</v>
      </c>
      <c r="Q272" s="29">
        <f>STDEV(H271:H272)</f>
        <v>6.7175144212721208E-2</v>
      </c>
      <c r="R272" s="28"/>
      <c r="S272" s="29">
        <f>J272-(M272-Standards!$N$124)*Standards!$AA$55</f>
        <v>-1.8387967672413792</v>
      </c>
      <c r="T272" s="29">
        <f>S272-(A272-Standards!$A$124)*Standards!$AA$4</f>
        <v>-1.8616979396551723</v>
      </c>
      <c r="U272" s="29"/>
      <c r="V272" s="28"/>
      <c r="W272" s="29">
        <f>P272-(M272-Standards!$N$124)*Standards!$AL$54</f>
        <v>36.077656120689653</v>
      </c>
      <c r="X272" s="29">
        <f>W272-(A272-Standards!$A$124)*Standards!$AL$5</f>
        <v>36.074645637931035</v>
      </c>
      <c r="Y272" s="111"/>
      <c r="Z272" s="19">
        <f>(T272*Standards!$O$159)+Standards!$O$160</f>
        <v>-2.1998182708519067</v>
      </c>
      <c r="AA272" s="20">
        <f>(X272*Standards!$U$159)+Standards!$U$160</f>
        <v>25.592983614278207</v>
      </c>
    </row>
    <row r="273" spans="1:27" ht="24.95" customHeight="1" x14ac:dyDescent="0.25">
      <c r="A273" s="108">
        <v>138</v>
      </c>
      <c r="B273" s="65" t="s">
        <v>1364</v>
      </c>
      <c r="C273" s="65" t="s">
        <v>229</v>
      </c>
      <c r="D273" s="65">
        <v>6</v>
      </c>
      <c r="E273" s="65">
        <v>15344</v>
      </c>
      <c r="F273" s="65">
        <v>187.06</v>
      </c>
      <c r="G273" s="65">
        <v>-1.5309999999999999</v>
      </c>
      <c r="H273" s="65">
        <v>36.162999999999997</v>
      </c>
      <c r="Z273" s="33"/>
      <c r="AA273" s="34"/>
    </row>
    <row r="274" spans="1:27" ht="24.95" customHeight="1" x14ac:dyDescent="0.25">
      <c r="A274" s="108">
        <v>138</v>
      </c>
      <c r="B274" s="65" t="s">
        <v>1364</v>
      </c>
      <c r="C274" s="65" t="s">
        <v>229</v>
      </c>
      <c r="D274" s="65">
        <v>7</v>
      </c>
      <c r="E274" s="65">
        <v>14165</v>
      </c>
      <c r="F274" s="65">
        <v>173.40100000000001</v>
      </c>
      <c r="G274" s="65">
        <v>-1.452</v>
      </c>
      <c r="H274" s="65">
        <v>36.19</v>
      </c>
      <c r="J274" s="31">
        <f>AVERAGE(G273:G274)</f>
        <v>-1.4914999999999998</v>
      </c>
      <c r="K274" s="31">
        <f>STDEV(G273:G274)</f>
        <v>5.5861435713737223E-2</v>
      </c>
      <c r="L274" s="26"/>
      <c r="M274" s="27">
        <f>AVERAGE(E273:E274)</f>
        <v>14754.5</v>
      </c>
      <c r="N274" s="27">
        <f>STDEV(E273:E274)</f>
        <v>833.67889501893956</v>
      </c>
      <c r="O274" s="28"/>
      <c r="P274" s="29">
        <f>AVERAGE(H273:H274)</f>
        <v>36.176499999999997</v>
      </c>
      <c r="Q274" s="29">
        <f>STDEV(H273:H274)</f>
        <v>1.9091883092037507E-2</v>
      </c>
      <c r="R274" s="28"/>
      <c r="S274" s="29">
        <f>J274-(M274-Standards!$N$124)*Standards!$AA$55</f>
        <v>-1.499309267241379</v>
      </c>
      <c r="T274" s="29">
        <f>S274-(A274-Standards!$A$124)*Standards!$AA$4</f>
        <v>-1.5226364396551721</v>
      </c>
      <c r="U274" s="29"/>
      <c r="V274" s="28"/>
      <c r="W274" s="29">
        <f>P274-(M274-Standards!$N$124)*Standards!$AL$54</f>
        <v>36.185871120689654</v>
      </c>
      <c r="X274" s="29">
        <f>W274-(A274-Standards!$A$124)*Standards!$AL$5</f>
        <v>36.182804637931035</v>
      </c>
      <c r="Y274" s="111"/>
      <c r="Z274" s="19">
        <f>(T274*Standards!$O$159)+Standards!$O$160</f>
        <v>-1.8582298854562227</v>
      </c>
      <c r="AA274" s="20">
        <f>(X274*Standards!$U$159)+Standards!$U$160</f>
        <v>25.698991545596211</v>
      </c>
    </row>
    <row r="275" spans="1:27" ht="24.95" customHeight="1" x14ac:dyDescent="0.25">
      <c r="A275" s="108">
        <v>139</v>
      </c>
      <c r="B275" s="65" t="s">
        <v>1368</v>
      </c>
      <c r="C275" s="65" t="s">
        <v>269</v>
      </c>
      <c r="D275" s="65">
        <v>6</v>
      </c>
      <c r="E275" s="65">
        <v>13691</v>
      </c>
      <c r="F275" s="65">
        <v>173.334</v>
      </c>
      <c r="G275" s="65">
        <v>-1.165</v>
      </c>
      <c r="H275" s="65">
        <v>36.1</v>
      </c>
      <c r="Z275" s="33"/>
      <c r="AA275" s="34"/>
    </row>
    <row r="276" spans="1:27" ht="24.95" customHeight="1" x14ac:dyDescent="0.25">
      <c r="A276" s="108">
        <v>139</v>
      </c>
      <c r="B276" s="65" t="s">
        <v>1368</v>
      </c>
      <c r="C276" s="65" t="s">
        <v>269</v>
      </c>
      <c r="D276" s="65">
        <v>7</v>
      </c>
      <c r="E276" s="65">
        <v>12778</v>
      </c>
      <c r="F276" s="65">
        <v>160.911</v>
      </c>
      <c r="G276" s="65">
        <v>-1.1120000000000001</v>
      </c>
      <c r="H276" s="65">
        <v>36.097000000000001</v>
      </c>
      <c r="J276" s="31">
        <f>AVERAGE(G275:G276)</f>
        <v>-1.1385000000000001</v>
      </c>
      <c r="K276" s="31">
        <f>STDEV(G275:G276)</f>
        <v>3.7476659402886976E-2</v>
      </c>
      <c r="L276" s="26"/>
      <c r="M276" s="27">
        <f>AVERAGE(E275:E276)</f>
        <v>13234.5</v>
      </c>
      <c r="N276" s="27">
        <f>STDEV(E275:E276)</f>
        <v>645.58849122331787</v>
      </c>
      <c r="O276" s="28"/>
      <c r="P276" s="29">
        <f>AVERAGE(H275:H276)</f>
        <v>36.098500000000001</v>
      </c>
      <c r="Q276" s="29">
        <f>STDEV(H275:H276)</f>
        <v>2.1213203435597231E-3</v>
      </c>
      <c r="R276" s="28"/>
      <c r="S276" s="29">
        <f>J276-(M276-Standards!$N$124)*Standards!$AA$55</f>
        <v>-1.1273092672413794</v>
      </c>
      <c r="T276" s="29">
        <f>S276-(A276-Standards!$A$124)*Standards!$AA$4</f>
        <v>-1.1510624396551725</v>
      </c>
      <c r="U276" s="29"/>
      <c r="V276" s="28"/>
      <c r="W276" s="29">
        <f>P276-(M276-Standards!$N$124)*Standards!$AL$54</f>
        <v>36.085071120689655</v>
      </c>
      <c r="X276" s="29">
        <f>W276-(A276-Standards!$A$124)*Standards!$AL$5</f>
        <v>36.081948637931035</v>
      </c>
      <c r="Y276" s="111"/>
      <c r="Z276" s="19">
        <f>(T276*Standards!$O$159)+Standards!$O$160</f>
        <v>-1.4838866978191254</v>
      </c>
      <c r="AA276" s="20">
        <f>(X276*Standards!$U$159)+Standards!$U$160</f>
        <v>25.600141372046085</v>
      </c>
    </row>
    <row r="277" spans="1:27" ht="24.95" customHeight="1" x14ac:dyDescent="0.25">
      <c r="A277" s="108">
        <v>140</v>
      </c>
      <c r="B277" s="65" t="s">
        <v>1371</v>
      </c>
      <c r="C277" s="65" t="s">
        <v>496</v>
      </c>
      <c r="D277" s="65">
        <v>6</v>
      </c>
      <c r="E277" s="65">
        <v>13306</v>
      </c>
      <c r="F277" s="65">
        <v>165.88</v>
      </c>
      <c r="G277" s="65">
        <v>-1.4850000000000001</v>
      </c>
      <c r="H277" s="65">
        <v>35.914999999999999</v>
      </c>
      <c r="Z277" s="33"/>
      <c r="AA277" s="34"/>
    </row>
    <row r="278" spans="1:27" ht="24.95" customHeight="1" x14ac:dyDescent="0.25">
      <c r="A278" s="108">
        <v>140</v>
      </c>
      <c r="B278" s="65" t="s">
        <v>1371</v>
      </c>
      <c r="C278" s="65" t="s">
        <v>496</v>
      </c>
      <c r="D278" s="65">
        <v>7</v>
      </c>
      <c r="E278" s="65">
        <v>12284</v>
      </c>
      <c r="F278" s="65">
        <v>153.66800000000001</v>
      </c>
      <c r="G278" s="65">
        <v>-1.4239999999999999</v>
      </c>
      <c r="H278" s="65">
        <v>35.939</v>
      </c>
      <c r="J278" s="31">
        <f>AVERAGE(G277:G278)</f>
        <v>-1.4544999999999999</v>
      </c>
      <c r="K278" s="31">
        <f>STDEV(G277:G278)</f>
        <v>4.3133513652379517E-2</v>
      </c>
      <c r="L278" s="26"/>
      <c r="M278" s="27">
        <f>AVERAGE(E277:E278)</f>
        <v>12795</v>
      </c>
      <c r="N278" s="27">
        <f>STDEV(E277:E278)</f>
        <v>722.66313037265161</v>
      </c>
      <c r="O278" s="28"/>
      <c r="P278" s="29">
        <f>AVERAGE(H277:H278)</f>
        <v>35.927</v>
      </c>
      <c r="Q278" s="29">
        <f>STDEV(H277:H278)</f>
        <v>1.6970562748477785E-2</v>
      </c>
      <c r="R278" s="28"/>
      <c r="S278" s="29">
        <f>J278-(M278-Standards!$N$124)*Standards!$AA$55</f>
        <v>-1.4378155172413791</v>
      </c>
      <c r="T278" s="29">
        <f>S278-(A278-Standards!$A$124)*Standards!$AA$4</f>
        <v>-1.4619946896551723</v>
      </c>
      <c r="U278" s="29"/>
      <c r="V278" s="28"/>
      <c r="W278" s="29">
        <f>P278-(M278-Standards!$N$124)*Standards!$AL$54</f>
        <v>35.906978620689657</v>
      </c>
      <c r="X278" s="29">
        <f>W278-(A278-Standards!$A$124)*Standards!$AL$5</f>
        <v>35.903800137931036</v>
      </c>
      <c r="Y278" s="111"/>
      <c r="Z278" s="19">
        <f>(T278*Standards!$O$159)+Standards!$O$160</f>
        <v>-1.7971361975262494</v>
      </c>
      <c r="AA278" s="20">
        <f>(X278*Standards!$U$159)+Standards!$U$160</f>
        <v>25.425535893515363</v>
      </c>
    </row>
    <row r="279" spans="1:27" ht="24.95" customHeight="1" x14ac:dyDescent="0.25">
      <c r="A279" s="108">
        <v>141</v>
      </c>
      <c r="B279" s="65" t="s">
        <v>1374</v>
      </c>
      <c r="C279" s="65" t="s">
        <v>260</v>
      </c>
      <c r="D279" s="65">
        <v>6</v>
      </c>
      <c r="E279" s="65">
        <v>12366</v>
      </c>
      <c r="F279" s="65">
        <v>154.58199999999999</v>
      </c>
      <c r="G279" s="65">
        <v>-1.6419999999999999</v>
      </c>
      <c r="H279" s="65">
        <v>35.829000000000001</v>
      </c>
      <c r="Z279" s="33"/>
      <c r="AA279" s="34"/>
    </row>
    <row r="280" spans="1:27" ht="24.95" customHeight="1" x14ac:dyDescent="0.25">
      <c r="A280" s="108">
        <v>141</v>
      </c>
      <c r="B280" s="65" t="s">
        <v>1374</v>
      </c>
      <c r="C280" s="65" t="s">
        <v>260</v>
      </c>
      <c r="D280" s="65">
        <v>7</v>
      </c>
      <c r="E280" s="65">
        <v>11661</v>
      </c>
      <c r="F280" s="65">
        <v>144.44</v>
      </c>
      <c r="G280" s="65">
        <v>-1.5780000000000001</v>
      </c>
      <c r="H280" s="65">
        <v>35.868000000000002</v>
      </c>
      <c r="J280" s="31">
        <f>AVERAGE(G279:G280)</f>
        <v>-1.6099999999999999</v>
      </c>
      <c r="K280" s="31">
        <f>STDEV(G279:G280)</f>
        <v>4.5254833995938923E-2</v>
      </c>
      <c r="L280" s="26"/>
      <c r="M280" s="27">
        <f>AVERAGE(E279:E280)</f>
        <v>12013.5</v>
      </c>
      <c r="N280" s="27">
        <f>STDEV(E279:E280)</f>
        <v>498.51028073651599</v>
      </c>
      <c r="O280" s="28"/>
      <c r="P280" s="29">
        <f>AVERAGE(H279:H280)</f>
        <v>35.848500000000001</v>
      </c>
      <c r="Q280" s="29">
        <f>STDEV(H279:H280)</f>
        <v>2.7577164466276401E-2</v>
      </c>
      <c r="R280" s="28"/>
      <c r="S280" s="29">
        <f>J280-(M280-Standards!$N$124)*Standards!$AA$55</f>
        <v>-1.5835467672413792</v>
      </c>
      <c r="T280" s="29">
        <f>S280-(A280-Standards!$A$124)*Standards!$AA$4</f>
        <v>-1.6081519396551722</v>
      </c>
      <c r="U280" s="29"/>
      <c r="V280" s="28"/>
      <c r="W280" s="29">
        <f>P280-(M280-Standards!$N$124)*Standards!$AL$54</f>
        <v>35.816756120689654</v>
      </c>
      <c r="X280" s="29">
        <f>W280-(A280-Standards!$A$124)*Standards!$AL$5</f>
        <v>35.813521637931032</v>
      </c>
      <c r="Y280" s="111"/>
      <c r="Z280" s="19">
        <f>(T280*Standards!$O$159)+Standards!$O$160</f>
        <v>-1.9443826971771188</v>
      </c>
      <c r="AA280" s="20">
        <f>(X280*Standards!$U$159)+Standards!$U$160</f>
        <v>25.337052854401723</v>
      </c>
    </row>
    <row r="281" spans="1:27" ht="24.95" customHeight="1" x14ac:dyDescent="0.25">
      <c r="A281" s="108">
        <v>142</v>
      </c>
      <c r="B281" s="65" t="s">
        <v>1378</v>
      </c>
      <c r="C281" s="65" t="s">
        <v>297</v>
      </c>
      <c r="D281" s="65">
        <v>6</v>
      </c>
      <c r="E281" s="65">
        <v>13837</v>
      </c>
      <c r="F281" s="65">
        <v>175.697</v>
      </c>
      <c r="G281" s="65">
        <v>-1.6919999999999999</v>
      </c>
      <c r="H281" s="65">
        <v>35.908000000000001</v>
      </c>
      <c r="Z281" s="33"/>
      <c r="AA281" s="34"/>
    </row>
    <row r="282" spans="1:27" ht="24.95" customHeight="1" x14ac:dyDescent="0.25">
      <c r="A282" s="108">
        <v>142</v>
      </c>
      <c r="B282" s="65" t="s">
        <v>1378</v>
      </c>
      <c r="C282" s="65" t="s">
        <v>297</v>
      </c>
      <c r="D282" s="65">
        <v>7</v>
      </c>
      <c r="E282" s="65">
        <v>12864</v>
      </c>
      <c r="F282" s="65">
        <v>163.21</v>
      </c>
      <c r="G282" s="65">
        <v>-1.681</v>
      </c>
      <c r="H282" s="65">
        <v>35.883000000000003</v>
      </c>
      <c r="J282" s="31">
        <f>AVERAGE(G281:G282)</f>
        <v>-1.6865000000000001</v>
      </c>
      <c r="K282" s="31">
        <f>STDEV(G281:G282)</f>
        <v>7.778174593051951E-3</v>
      </c>
      <c r="L282" s="26"/>
      <c r="M282" s="27">
        <f>AVERAGE(E281:E282)</f>
        <v>13350.5</v>
      </c>
      <c r="N282" s="27">
        <f>STDEV(E281:E282)</f>
        <v>688.01489809451073</v>
      </c>
      <c r="O282" s="28"/>
      <c r="P282" s="29">
        <f>AVERAGE(H281:H282)</f>
        <v>35.895499999999998</v>
      </c>
      <c r="Q282" s="29">
        <f>STDEV(H281:H282)</f>
        <v>1.7677669529662685E-2</v>
      </c>
      <c r="R282" s="28"/>
      <c r="S282" s="29">
        <f>J282-(M282-Standards!$N$124)*Standards!$AA$55</f>
        <v>-1.6767592672413794</v>
      </c>
      <c r="T282" s="29">
        <f>S282-(A282-Standards!$A$124)*Standards!$AA$4</f>
        <v>-1.7017904396551724</v>
      </c>
      <c r="U282" s="29"/>
      <c r="V282" s="28"/>
      <c r="W282" s="29">
        <f>P282-(M282-Standards!$N$124)*Standards!$AL$54</f>
        <v>35.883811120689657</v>
      </c>
      <c r="X282" s="29">
        <f>W282-(A282-Standards!$A$124)*Standards!$AL$5</f>
        <v>35.880520637931035</v>
      </c>
      <c r="Y282" s="111"/>
      <c r="Z282" s="19">
        <f>(T282*Standards!$O$159)+Standards!$O$160</f>
        <v>-2.0387190462638589</v>
      </c>
      <c r="AA282" s="20">
        <f>(X282*Standards!$U$159)+Standards!$U$160</f>
        <v>25.402719376747296</v>
      </c>
    </row>
    <row r="283" spans="1:27" s="195" customFormat="1" ht="24.95" customHeight="1" x14ac:dyDescent="0.25">
      <c r="A283" s="213">
        <v>143</v>
      </c>
      <c r="B283" s="195" t="s">
        <v>0</v>
      </c>
      <c r="D283" s="195">
        <v>6</v>
      </c>
      <c r="E283" s="195">
        <v>20299</v>
      </c>
      <c r="F283" s="195">
        <v>246.667</v>
      </c>
      <c r="G283" s="195">
        <v>4.8079999999999998</v>
      </c>
      <c r="H283" s="195">
        <v>36.402000000000001</v>
      </c>
      <c r="Y283" s="215"/>
      <c r="Z283" s="193"/>
      <c r="AA283" s="194"/>
    </row>
    <row r="284" spans="1:27" s="195" customFormat="1" ht="24.95" customHeight="1" x14ac:dyDescent="0.25">
      <c r="A284" s="213">
        <v>143</v>
      </c>
      <c r="B284" s="195" t="s">
        <v>0</v>
      </c>
      <c r="D284" s="195">
        <v>7</v>
      </c>
      <c r="E284" s="195">
        <v>19128</v>
      </c>
      <c r="F284" s="195">
        <v>233.26599999999999</v>
      </c>
      <c r="G284" s="195">
        <v>4.7789999999999999</v>
      </c>
      <c r="H284" s="195">
        <v>36.558</v>
      </c>
      <c r="J284" s="196">
        <f>AVERAGE(G283:G284)</f>
        <v>4.7934999999999999</v>
      </c>
      <c r="K284" s="196">
        <f>STDEV(G283:G284)</f>
        <v>2.0506096654409819E-2</v>
      </c>
      <c r="L284" s="189"/>
      <c r="M284" s="188">
        <f>AVERAGE(E283:E284)</f>
        <v>19713.5</v>
      </c>
      <c r="N284" s="188">
        <f>STDEV(E283:E284)</f>
        <v>828.02204076944713</v>
      </c>
      <c r="O284" s="190"/>
      <c r="P284" s="191">
        <f>AVERAGE(H283:H284)</f>
        <v>36.480000000000004</v>
      </c>
      <c r="Q284" s="191">
        <f>STDEV(H283:H284)</f>
        <v>0.11030865786510058</v>
      </c>
      <c r="R284" s="190"/>
      <c r="S284" s="191">
        <f>J284-(M284-Standards!$N$124)*Standards!$AA$55</f>
        <v>4.7237032327586208</v>
      </c>
      <c r="T284" s="191">
        <f>S284-(A284-Standards!$A$124)*Standards!$AA$4</f>
        <v>4.6982460603448279</v>
      </c>
      <c r="U284" s="191"/>
      <c r="V284" s="190"/>
      <c r="W284" s="191">
        <f>P284-(M284-Standards!$N$124)*Standards!$AL$54</f>
        <v>36.563756120689661</v>
      </c>
      <c r="X284" s="191">
        <f>W284-(A284-Standards!$A$124)*Standards!$AL$5</f>
        <v>36.560409637931038</v>
      </c>
      <c r="Y284" s="197"/>
      <c r="Z284" s="198"/>
      <c r="AA284" s="199"/>
    </row>
    <row r="285" spans="1:27" s="195" customFormat="1" ht="24.95" customHeight="1" x14ac:dyDescent="0.25">
      <c r="A285" s="213">
        <v>144</v>
      </c>
      <c r="B285" s="195" t="s">
        <v>0</v>
      </c>
      <c r="D285" s="195">
        <v>6</v>
      </c>
      <c r="E285" s="195">
        <v>17137</v>
      </c>
      <c r="F285" s="195">
        <v>217.387</v>
      </c>
      <c r="G285" s="195">
        <v>4.8040000000000003</v>
      </c>
      <c r="H285" s="195">
        <v>36.954000000000001</v>
      </c>
      <c r="Y285" s="215"/>
      <c r="Z285" s="193"/>
      <c r="AA285" s="194"/>
    </row>
    <row r="286" spans="1:27" s="195" customFormat="1" ht="24.95" customHeight="1" x14ac:dyDescent="0.25">
      <c r="A286" s="213">
        <v>144</v>
      </c>
      <c r="B286" s="195" t="s">
        <v>0</v>
      </c>
      <c r="D286" s="195">
        <v>7</v>
      </c>
      <c r="E286" s="195">
        <v>15969</v>
      </c>
      <c r="F286" s="195">
        <v>202.16900000000001</v>
      </c>
      <c r="G286" s="195">
        <v>4.8380000000000001</v>
      </c>
      <c r="H286" s="195">
        <v>36.987000000000002</v>
      </c>
      <c r="J286" s="196">
        <f>AVERAGE(G285:G286)</f>
        <v>4.8209999999999997</v>
      </c>
      <c r="K286" s="196">
        <f>STDEV(G285:G286)</f>
        <v>2.4041630560342479E-2</v>
      </c>
      <c r="L286" s="189"/>
      <c r="M286" s="188">
        <f>AVERAGE(E285:E286)</f>
        <v>16553</v>
      </c>
      <c r="N286" s="188">
        <f>STDEV(E285:E286)</f>
        <v>825.90072042588747</v>
      </c>
      <c r="O286" s="190"/>
      <c r="P286" s="191">
        <f>AVERAGE(H285:H286)</f>
        <v>36.970500000000001</v>
      </c>
      <c r="Q286" s="191">
        <f>STDEV(H285:H286)</f>
        <v>2.3334523779156954E-2</v>
      </c>
      <c r="R286" s="190"/>
      <c r="S286" s="191">
        <f>J286-(M286-Standards!$N$124)*Standards!$AA$55</f>
        <v>4.7907094827586203</v>
      </c>
      <c r="T286" s="191">
        <f>S286-(A286-Standards!$A$124)*Standards!$AA$4</f>
        <v>4.7648263103448274</v>
      </c>
      <c r="U286" s="191"/>
      <c r="V286" s="190"/>
      <c r="W286" s="191">
        <f>P286-(M286-Standards!$N$124)*Standards!$AL$54</f>
        <v>37.006848620689659</v>
      </c>
      <c r="X286" s="191">
        <f>W286-(A286-Standards!$A$124)*Standards!$AL$5</f>
        <v>37.003446137931036</v>
      </c>
      <c r="Y286" s="197"/>
      <c r="Z286" s="198">
        <f>(T286*Standards!$O$159)+Standards!$O$160</f>
        <v>4.4760907289692007</v>
      </c>
      <c r="AA286" s="199">
        <f>(X286*Standards!$U$159)+Standards!$U$160</f>
        <v>26.503312108551658</v>
      </c>
    </row>
    <row r="287" spans="1:27" ht="24.95" customHeight="1" x14ac:dyDescent="0.25">
      <c r="A287" s="108">
        <v>145</v>
      </c>
      <c r="B287" s="65" t="s">
        <v>1389</v>
      </c>
      <c r="C287" s="65" t="s">
        <v>576</v>
      </c>
      <c r="D287" s="65">
        <v>6</v>
      </c>
      <c r="E287" s="65">
        <v>17662</v>
      </c>
      <c r="F287" s="65">
        <v>213.553</v>
      </c>
      <c r="G287" s="65">
        <v>-1.81</v>
      </c>
      <c r="H287" s="65">
        <v>35.826999999999998</v>
      </c>
      <c r="Z287" s="33"/>
      <c r="AA287" s="34"/>
    </row>
    <row r="288" spans="1:27" ht="24.95" customHeight="1" x14ac:dyDescent="0.25">
      <c r="A288" s="108">
        <v>145</v>
      </c>
      <c r="B288" s="65" t="s">
        <v>1389</v>
      </c>
      <c r="C288" s="65" t="s">
        <v>576</v>
      </c>
      <c r="D288" s="65">
        <v>7</v>
      </c>
      <c r="E288" s="65">
        <v>16637</v>
      </c>
      <c r="F288" s="65">
        <v>202.18</v>
      </c>
      <c r="G288" s="65">
        <v>-1.806</v>
      </c>
      <c r="H288" s="65">
        <v>35.856999999999999</v>
      </c>
      <c r="J288" s="31">
        <f>AVERAGE(G287:G288)</f>
        <v>-1.8080000000000001</v>
      </c>
      <c r="K288" s="31">
        <f>STDEV(G287:G288)</f>
        <v>2.8284271247461927E-3</v>
      </c>
      <c r="L288" s="26"/>
      <c r="M288" s="27">
        <f>AVERAGE(E287:E288)</f>
        <v>17149.5</v>
      </c>
      <c r="N288" s="27">
        <f>STDEV(E287:E288)</f>
        <v>724.78445071621127</v>
      </c>
      <c r="O288" s="28"/>
      <c r="P288" s="29">
        <f>AVERAGE(H287:H288)</f>
        <v>35.841999999999999</v>
      </c>
      <c r="Q288" s="29">
        <f>STDEV(H287:H288)</f>
        <v>2.1213203435597228E-2</v>
      </c>
      <c r="R288" s="28"/>
      <c r="S288" s="29">
        <f>J288-(M288-Standards!$N$124)*Standards!$AA$55</f>
        <v>-1.8457467672413794</v>
      </c>
      <c r="T288" s="29">
        <f>S288-(A288-Standards!$A$124)*Standards!$AA$4</f>
        <v>-1.8720559396551726</v>
      </c>
      <c r="U288" s="29"/>
      <c r="V288" s="28"/>
      <c r="W288" s="29">
        <f>P288-(M288-Standards!$N$124)*Standards!$AL$54</f>
        <v>35.887296120689655</v>
      </c>
      <c r="X288" s="29">
        <f>W288-(A288-Standards!$A$124)*Standards!$AL$5</f>
        <v>35.883837637931038</v>
      </c>
      <c r="Y288" s="111"/>
      <c r="Z288" s="19">
        <f>(T288*Standards!$O$159)+Standards!$O$160</f>
        <v>-2.2102534647501484</v>
      </c>
      <c r="AA288" s="20">
        <f>(X288*Standards!$U$159)+Standards!$U$160</f>
        <v>25.405970408174934</v>
      </c>
    </row>
    <row r="289" spans="1:27" ht="24.95" customHeight="1" x14ac:dyDescent="0.25">
      <c r="A289" s="108">
        <v>146</v>
      </c>
      <c r="B289" s="65" t="s">
        <v>1394</v>
      </c>
      <c r="C289" s="65" t="s">
        <v>328</v>
      </c>
      <c r="D289" s="65">
        <v>6</v>
      </c>
      <c r="E289" s="65">
        <v>13633</v>
      </c>
      <c r="F289" s="65">
        <v>173.66399999999999</v>
      </c>
      <c r="G289" s="65">
        <v>-1.845</v>
      </c>
      <c r="H289" s="65">
        <v>36.037999999999997</v>
      </c>
      <c r="Z289" s="33"/>
      <c r="AA289" s="34"/>
    </row>
    <row r="290" spans="1:27" ht="24.95" customHeight="1" x14ac:dyDescent="0.25">
      <c r="A290" s="108">
        <v>146</v>
      </c>
      <c r="B290" s="65" t="s">
        <v>1394</v>
      </c>
      <c r="C290" s="65" t="s">
        <v>328</v>
      </c>
      <c r="D290" s="65">
        <v>7</v>
      </c>
      <c r="E290" s="65">
        <v>12725</v>
      </c>
      <c r="F290" s="65">
        <v>161.41999999999999</v>
      </c>
      <c r="G290" s="65">
        <v>-1.802</v>
      </c>
      <c r="H290" s="65">
        <v>36.061999999999998</v>
      </c>
      <c r="J290" s="31">
        <f>AVERAGE(G289:G290)</f>
        <v>-1.8235000000000001</v>
      </c>
      <c r="K290" s="31">
        <f>STDEV(G289:G290)</f>
        <v>3.0405591591021491E-2</v>
      </c>
      <c r="L290" s="26"/>
      <c r="M290" s="27">
        <f>AVERAGE(E289:E290)</f>
        <v>13179</v>
      </c>
      <c r="N290" s="27">
        <f>STDEV(E289:E290)</f>
        <v>642.05295731738511</v>
      </c>
      <c r="O290" s="28"/>
      <c r="P290" s="29">
        <f>AVERAGE(H289:H290)</f>
        <v>36.049999999999997</v>
      </c>
      <c r="Q290" s="29">
        <f>STDEV(H289:H290)</f>
        <v>1.6970562748477785E-2</v>
      </c>
      <c r="R290" s="28"/>
      <c r="S290" s="29">
        <f>J290-(M290-Standards!$N$124)*Standards!$AA$55</f>
        <v>-1.8116155172413795</v>
      </c>
      <c r="T290" s="29">
        <f>S290-(A290-Standards!$A$124)*Standards!$AA$4</f>
        <v>-1.8383506896551727</v>
      </c>
      <c r="U290" s="29"/>
      <c r="V290" s="28"/>
      <c r="W290" s="29">
        <f>P290-(M290-Standards!$N$124)*Standards!$AL$54</f>
        <v>36.035738620689649</v>
      </c>
      <c r="X290" s="29">
        <f>W290-(A290-Standards!$A$124)*Standards!$AL$5</f>
        <v>36.032224137931031</v>
      </c>
      <c r="Y290" s="111"/>
      <c r="Z290" s="19">
        <f>(T290*Standards!$O$159)+Standards!$O$160</f>
        <v>-2.1762970234353487</v>
      </c>
      <c r="AA290" s="20">
        <f>(X290*Standards!$U$159)+Standards!$U$160</f>
        <v>25.551405794046818</v>
      </c>
    </row>
    <row r="291" spans="1:27" ht="24.95" customHeight="1" x14ac:dyDescent="0.25">
      <c r="A291" s="108">
        <v>147</v>
      </c>
      <c r="B291" s="65" t="s">
        <v>1398</v>
      </c>
      <c r="C291" s="65" t="s">
        <v>496</v>
      </c>
      <c r="D291" s="65">
        <v>6</v>
      </c>
      <c r="E291" s="65">
        <v>12675</v>
      </c>
      <c r="F291" s="65">
        <v>153.71799999999999</v>
      </c>
      <c r="G291" s="65">
        <v>-1.514</v>
      </c>
      <c r="H291" s="65">
        <v>36.218000000000004</v>
      </c>
      <c r="Z291" s="33"/>
      <c r="AA291" s="34"/>
    </row>
    <row r="292" spans="1:27" ht="24.95" customHeight="1" x14ac:dyDescent="0.25">
      <c r="A292" s="108">
        <v>147</v>
      </c>
      <c r="B292" s="65" t="s">
        <v>1398</v>
      </c>
      <c r="C292" s="65" t="s">
        <v>496</v>
      </c>
      <c r="D292" s="65">
        <v>7</v>
      </c>
      <c r="E292" s="65">
        <v>11841</v>
      </c>
      <c r="F292" s="65">
        <v>143.44499999999999</v>
      </c>
      <c r="G292" s="65">
        <v>-1.4550000000000001</v>
      </c>
      <c r="H292" s="65">
        <v>36.238999999999997</v>
      </c>
      <c r="J292" s="31">
        <f>AVERAGE(G291:G292)</f>
        <v>-1.4845000000000002</v>
      </c>
      <c r="K292" s="31">
        <f>STDEV(G291:G292)</f>
        <v>4.171930009000626E-2</v>
      </c>
      <c r="L292" s="26"/>
      <c r="M292" s="27">
        <f>AVERAGE(E291:E292)</f>
        <v>12258</v>
      </c>
      <c r="N292" s="27">
        <f>STDEV(E291:E292)</f>
        <v>589.72705550958062</v>
      </c>
      <c r="O292" s="28"/>
      <c r="P292" s="29">
        <f>AVERAGE(H291:H292)</f>
        <v>36.228499999999997</v>
      </c>
      <c r="Q292" s="29">
        <f>STDEV(H291:H292)</f>
        <v>1.4849242404913037E-2</v>
      </c>
      <c r="R292" s="28"/>
      <c r="S292" s="29">
        <f>J292-(M292-Standards!$N$124)*Standards!$AA$55</f>
        <v>-1.4611030172413795</v>
      </c>
      <c r="T292" s="29">
        <f>S292-(A292-Standards!$A$124)*Standards!$AA$4</f>
        <v>-1.4882641896551725</v>
      </c>
      <c r="U292" s="29"/>
      <c r="V292" s="28"/>
      <c r="W292" s="29">
        <f>P292-(M292-Standards!$N$124)*Standards!$AL$54</f>
        <v>36.200423620689655</v>
      </c>
      <c r="X292" s="29">
        <f>W292-(A292-Standards!$A$124)*Standards!$AL$5</f>
        <v>36.196853137931036</v>
      </c>
      <c r="Y292" s="111"/>
      <c r="Z292" s="19">
        <f>(T292*Standards!$O$159)+Standards!$O$160</f>
        <v>-1.8236014732657597</v>
      </c>
      <c r="AA292" s="20">
        <f>(X292*Standards!$U$159)+Standards!$U$160</f>
        <v>25.712760648704791</v>
      </c>
    </row>
    <row r="293" spans="1:27" ht="24.95" customHeight="1" x14ac:dyDescent="0.25">
      <c r="A293" s="108">
        <v>148</v>
      </c>
      <c r="B293" s="65" t="s">
        <v>1402</v>
      </c>
      <c r="C293" s="65" t="s">
        <v>297</v>
      </c>
      <c r="D293" s="65">
        <v>6</v>
      </c>
      <c r="E293" s="65">
        <v>13421</v>
      </c>
      <c r="F293" s="65">
        <v>170.64500000000001</v>
      </c>
      <c r="G293" s="65">
        <v>-1.643</v>
      </c>
      <c r="H293" s="65">
        <v>35.851999999999997</v>
      </c>
      <c r="Z293" s="33"/>
      <c r="AA293" s="34"/>
    </row>
    <row r="294" spans="1:27" ht="24.95" customHeight="1" x14ac:dyDescent="0.25">
      <c r="A294" s="108">
        <v>148</v>
      </c>
      <c r="B294" s="65" t="s">
        <v>1402</v>
      </c>
      <c r="C294" s="65" t="s">
        <v>297</v>
      </c>
      <c r="D294" s="65">
        <v>7</v>
      </c>
      <c r="E294" s="65">
        <v>12504</v>
      </c>
      <c r="F294" s="65">
        <v>158.499</v>
      </c>
      <c r="G294" s="65">
        <v>-1.5880000000000001</v>
      </c>
      <c r="H294" s="65">
        <v>35.893999999999998</v>
      </c>
      <c r="J294" s="31">
        <f>AVERAGE(G293:G294)</f>
        <v>-1.6154999999999999</v>
      </c>
      <c r="K294" s="31">
        <f>STDEV(G293:G294)</f>
        <v>3.8890872965260066E-2</v>
      </c>
      <c r="L294" s="26"/>
      <c r="M294" s="27">
        <f>AVERAGE(E293:E294)</f>
        <v>12962.5</v>
      </c>
      <c r="N294" s="27">
        <f>STDEV(E293:E294)</f>
        <v>648.41691834806409</v>
      </c>
      <c r="O294" s="28"/>
      <c r="P294" s="29">
        <f>AVERAGE(H293:H294)</f>
        <v>35.872999999999998</v>
      </c>
      <c r="Q294" s="29">
        <f>STDEV(H293:H294)</f>
        <v>2.9698484809836122E-2</v>
      </c>
      <c r="R294" s="28"/>
      <c r="S294" s="29">
        <f>J294-(M294-Standards!$N$124)*Standards!$AA$55</f>
        <v>-1.6009092672413792</v>
      </c>
      <c r="T294" s="29">
        <f>S294-(A294-Standards!$A$124)*Standards!$AA$4</f>
        <v>-1.6284964396551722</v>
      </c>
      <c r="U294" s="29"/>
      <c r="V294" s="28"/>
      <c r="W294" s="29">
        <f>P294-(M294-Standards!$N$124)*Standards!$AL$54</f>
        <v>35.855491120689649</v>
      </c>
      <c r="X294" s="29">
        <f>W294-(A294-Standards!$A$124)*Standards!$AL$5</f>
        <v>35.85186463793103</v>
      </c>
      <c r="Y294" s="111"/>
      <c r="Z294" s="19">
        <f>(T294*Standards!$O$159)+Standards!$O$160</f>
        <v>-1.9648788163374555</v>
      </c>
      <c r="AA294" s="20">
        <f>(X294*Standards!$U$159)+Standards!$U$160</f>
        <v>25.374633287935001</v>
      </c>
    </row>
    <row r="295" spans="1:27" ht="24.95" customHeight="1" x14ac:dyDescent="0.25">
      <c r="A295" s="108">
        <v>149</v>
      </c>
      <c r="B295" s="65" t="s">
        <v>1406</v>
      </c>
      <c r="C295" s="65" t="s">
        <v>339</v>
      </c>
      <c r="D295" s="65">
        <v>6</v>
      </c>
      <c r="E295" s="65">
        <v>14461</v>
      </c>
      <c r="F295" s="65">
        <v>176.56200000000001</v>
      </c>
      <c r="G295" s="65">
        <v>-1.4019999999999999</v>
      </c>
      <c r="H295" s="65">
        <v>35.703000000000003</v>
      </c>
      <c r="Z295" s="33"/>
      <c r="AA295" s="34"/>
    </row>
    <row r="296" spans="1:27" ht="24.95" customHeight="1" x14ac:dyDescent="0.25">
      <c r="A296" s="108">
        <v>149</v>
      </c>
      <c r="B296" s="65" t="s">
        <v>1406</v>
      </c>
      <c r="C296" s="65" t="s">
        <v>339</v>
      </c>
      <c r="D296" s="65">
        <v>7</v>
      </c>
      <c r="E296" s="65">
        <v>13363</v>
      </c>
      <c r="F296" s="65">
        <v>163.714</v>
      </c>
      <c r="G296" s="65">
        <v>-1.339</v>
      </c>
      <c r="H296" s="65">
        <v>35.728000000000002</v>
      </c>
      <c r="J296" s="31">
        <f>AVERAGE(G295:G296)</f>
        <v>-1.3704999999999998</v>
      </c>
      <c r="K296" s="31">
        <f>STDEV(G295:G296)</f>
        <v>4.4547727214752454E-2</v>
      </c>
      <c r="L296" s="26"/>
      <c r="M296" s="27">
        <f>AVERAGE(E295:E296)</f>
        <v>13912</v>
      </c>
      <c r="N296" s="27">
        <f>STDEV(E295:E296)</f>
        <v>776.4032457428292</v>
      </c>
      <c r="O296" s="28"/>
      <c r="P296" s="29">
        <f>AVERAGE(H295:H296)</f>
        <v>35.715500000000006</v>
      </c>
      <c r="Q296" s="29">
        <f>STDEV(H295:H296)</f>
        <v>1.7677669529662685E-2</v>
      </c>
      <c r="R296" s="28"/>
      <c r="S296" s="29">
        <f>J296-(M296-Standards!$N$124)*Standards!$AA$55</f>
        <v>-1.3677780172413792</v>
      </c>
      <c r="T296" s="29">
        <f>S296-(A296-Standards!$A$124)*Standards!$AA$4</f>
        <v>-1.3957911896551722</v>
      </c>
      <c r="U296" s="29"/>
      <c r="V296" s="28"/>
      <c r="W296" s="29">
        <f>P296-(M296-Standards!$N$124)*Standards!$AL$54</f>
        <v>35.712233620689659</v>
      </c>
      <c r="X296" s="29">
        <f>W296-(A296-Standards!$A$124)*Standards!$AL$5</f>
        <v>35.708551137931039</v>
      </c>
      <c r="Y296" s="111"/>
      <c r="Z296" s="19">
        <f>(T296*Standards!$O$159)+Standards!$O$160</f>
        <v>-1.7304393101694036</v>
      </c>
      <c r="AA296" s="20">
        <f>(X296*Standards!$U$159)+Standards!$U$160</f>
        <v>25.234170010122323</v>
      </c>
    </row>
    <row r="297" spans="1:27" ht="24.95" customHeight="1" x14ac:dyDescent="0.25">
      <c r="A297" s="108">
        <v>150</v>
      </c>
      <c r="B297" s="65" t="s">
        <v>1409</v>
      </c>
      <c r="C297" s="65" t="s">
        <v>335</v>
      </c>
      <c r="D297" s="65">
        <v>6</v>
      </c>
      <c r="E297" s="65">
        <v>12605</v>
      </c>
      <c r="F297" s="65">
        <v>159.91</v>
      </c>
      <c r="G297" s="65">
        <v>-1.397</v>
      </c>
      <c r="H297" s="65">
        <v>35.616</v>
      </c>
      <c r="Z297" s="33"/>
      <c r="AA297" s="34"/>
    </row>
    <row r="298" spans="1:27" ht="24.95" customHeight="1" x14ac:dyDescent="0.25">
      <c r="A298" s="108">
        <v>150</v>
      </c>
      <c r="B298" s="65" t="s">
        <v>1409</v>
      </c>
      <c r="C298" s="65" t="s">
        <v>335</v>
      </c>
      <c r="D298" s="65">
        <v>7</v>
      </c>
      <c r="E298" s="65">
        <v>11782</v>
      </c>
      <c r="F298" s="65">
        <v>148.613</v>
      </c>
      <c r="G298" s="65">
        <v>-1.3380000000000001</v>
      </c>
      <c r="H298" s="65">
        <v>35.679000000000002</v>
      </c>
      <c r="J298" s="31">
        <f>AVERAGE(G297:G298)</f>
        <v>-1.3675000000000002</v>
      </c>
      <c r="K298" s="31">
        <f>STDEV(G297:G298)</f>
        <v>4.171930009000626E-2</v>
      </c>
      <c r="L298" s="26"/>
      <c r="M298" s="27">
        <f>AVERAGE(E297:E298)</f>
        <v>12193.5</v>
      </c>
      <c r="N298" s="27">
        <f>STDEV(E297:E298)</f>
        <v>581.94888091652865</v>
      </c>
      <c r="O298" s="28"/>
      <c r="P298" s="29">
        <f>AVERAGE(H297:H298)</f>
        <v>35.647500000000001</v>
      </c>
      <c r="Q298" s="29">
        <f>STDEV(H297:H298)</f>
        <v>4.4547727214754182E-2</v>
      </c>
      <c r="R298" s="28"/>
      <c r="S298" s="29">
        <f>J298-(M298-Standards!$N$124)*Standards!$AA$55</f>
        <v>-1.3432967672413794</v>
      </c>
      <c r="T298" s="29">
        <f>S298-(A298-Standards!$A$124)*Standards!$AA$4</f>
        <v>-1.3717359396551725</v>
      </c>
      <c r="U298" s="29"/>
      <c r="V298" s="28"/>
      <c r="W298" s="29">
        <f>P298-(M298-Standards!$N$124)*Standards!$AL$54</f>
        <v>35.618456120689657</v>
      </c>
      <c r="X298" s="29">
        <f>W298-(A298-Standards!$A$124)*Standards!$AL$5</f>
        <v>35.614717637931037</v>
      </c>
      <c r="Y298" s="111"/>
      <c r="Z298" s="19">
        <f>(T298*Standards!$O$159)+Standards!$O$160</f>
        <v>-1.7062047863211063</v>
      </c>
      <c r="AA298" s="20">
        <f>(X298*Standards!$U$159)+Standards!$U$160</f>
        <v>25.142202672930527</v>
      </c>
    </row>
    <row r="299" spans="1:27" ht="24.95" customHeight="1" x14ac:dyDescent="0.25">
      <c r="A299" s="108">
        <v>151</v>
      </c>
      <c r="B299" s="65" t="s">
        <v>1413</v>
      </c>
      <c r="C299" s="65" t="s">
        <v>513</v>
      </c>
      <c r="D299" s="65">
        <v>6</v>
      </c>
      <c r="E299" s="65">
        <v>14148</v>
      </c>
      <c r="F299" s="65">
        <v>176.66499999999999</v>
      </c>
      <c r="G299" s="65">
        <v>-1.73</v>
      </c>
      <c r="H299" s="65">
        <v>35.856000000000002</v>
      </c>
      <c r="Z299" s="33"/>
      <c r="AA299" s="34"/>
    </row>
    <row r="300" spans="1:27" ht="24.95" customHeight="1" x14ac:dyDescent="0.25">
      <c r="A300" s="108">
        <v>151</v>
      </c>
      <c r="B300" s="65" t="s">
        <v>1413</v>
      </c>
      <c r="C300" s="65" t="s">
        <v>513</v>
      </c>
      <c r="D300" s="65">
        <v>7</v>
      </c>
      <c r="E300" s="65">
        <v>13063</v>
      </c>
      <c r="F300" s="65">
        <v>163.77699999999999</v>
      </c>
      <c r="G300" s="65">
        <v>-1.655</v>
      </c>
      <c r="H300" s="65">
        <v>35.941000000000003</v>
      </c>
      <c r="J300" s="31">
        <f>AVERAGE(G299:G300)</f>
        <v>-1.6924999999999999</v>
      </c>
      <c r="K300" s="31">
        <f>STDEV(G299:G300)</f>
        <v>5.3033008588991029E-2</v>
      </c>
      <c r="L300" s="26"/>
      <c r="M300" s="27">
        <f>AVERAGE(E299:E300)</f>
        <v>13605.5</v>
      </c>
      <c r="N300" s="27">
        <f>STDEV(E299:E300)</f>
        <v>767.21085758740412</v>
      </c>
      <c r="O300" s="28"/>
      <c r="P300" s="29">
        <f>AVERAGE(H299:H300)</f>
        <v>35.898499999999999</v>
      </c>
      <c r="Q300" s="29">
        <f>STDEV(H299:H300)</f>
        <v>6.0104076400857138E-2</v>
      </c>
      <c r="R300" s="28"/>
      <c r="S300" s="29">
        <f>J300-(M300-Standards!$N$124)*Standards!$AA$55</f>
        <v>-1.6859467672413793</v>
      </c>
      <c r="T300" s="29">
        <f>S300-(A300-Standards!$A$124)*Standards!$AA$4</f>
        <v>-1.7148119396551724</v>
      </c>
      <c r="U300" s="29"/>
      <c r="V300" s="28"/>
      <c r="W300" s="29">
        <f>P300-(M300-Standards!$N$124)*Standards!$AL$54</f>
        <v>35.890636120689656</v>
      </c>
      <c r="X300" s="29">
        <f>W300-(A300-Standards!$A$124)*Standards!$AL$5</f>
        <v>35.886841637931035</v>
      </c>
      <c r="Y300" s="111"/>
      <c r="Z300" s="19">
        <f>(T300*Standards!$O$159)+Standards!$O$160</f>
        <v>-2.0518375901281134</v>
      </c>
      <c r="AA300" s="20">
        <f>(X300*Standards!$U$159)+Standards!$U$160</f>
        <v>25.408914664553773</v>
      </c>
    </row>
    <row r="301" spans="1:27" ht="24.95" customHeight="1" x14ac:dyDescent="0.25">
      <c r="A301" s="108">
        <v>152</v>
      </c>
      <c r="B301" s="65" t="s">
        <v>1416</v>
      </c>
      <c r="C301" s="65" t="s">
        <v>737</v>
      </c>
      <c r="D301" s="65">
        <v>6</v>
      </c>
      <c r="E301" s="65">
        <v>15710</v>
      </c>
      <c r="F301" s="65">
        <v>195.56700000000001</v>
      </c>
      <c r="G301" s="65">
        <v>-2.508</v>
      </c>
      <c r="H301" s="65">
        <v>35.994</v>
      </c>
      <c r="Z301" s="33"/>
      <c r="AA301" s="34"/>
    </row>
    <row r="302" spans="1:27" ht="24.95" customHeight="1" x14ac:dyDescent="0.25">
      <c r="A302" s="108">
        <v>152</v>
      </c>
      <c r="B302" s="65" t="s">
        <v>1416</v>
      </c>
      <c r="C302" s="65" t="s">
        <v>737</v>
      </c>
      <c r="D302" s="65">
        <v>7</v>
      </c>
      <c r="E302" s="65">
        <v>14788</v>
      </c>
      <c r="F302" s="65">
        <v>182.358</v>
      </c>
      <c r="G302" s="65">
        <v>-2.4609999999999999</v>
      </c>
      <c r="H302" s="65">
        <v>36.018999999999998</v>
      </c>
      <c r="J302" s="31">
        <f>AVERAGE(G301:G302)</f>
        <v>-2.4844999999999997</v>
      </c>
      <c r="K302" s="31">
        <f>STDEV(G301:G302)</f>
        <v>3.3234018715767845E-2</v>
      </c>
      <c r="L302" s="26"/>
      <c r="M302" s="27">
        <f>AVERAGE(E301:E302)</f>
        <v>15249</v>
      </c>
      <c r="N302" s="27">
        <f>STDEV(E301:E302)</f>
        <v>651.95245225399685</v>
      </c>
      <c r="O302" s="28"/>
      <c r="P302" s="29">
        <f>AVERAGE(H301:H302)</f>
        <v>36.006500000000003</v>
      </c>
      <c r="Q302" s="29">
        <f>STDEV(H301:H302)</f>
        <v>1.7677669529662685E-2</v>
      </c>
      <c r="R302" s="28"/>
      <c r="S302" s="29">
        <f>J302-(M302-Standards!$N$124)*Standards!$AA$55</f>
        <v>-2.4984905172413789</v>
      </c>
      <c r="T302" s="29">
        <f>S302-(A302-Standards!$A$124)*Standards!$AA$4</f>
        <v>-2.5277816896551721</v>
      </c>
      <c r="U302" s="29"/>
      <c r="V302" s="28"/>
      <c r="W302" s="29">
        <f>P302-(M302-Standards!$N$124)*Standards!$AL$54</f>
        <v>36.023288620689655</v>
      </c>
      <c r="X302" s="29">
        <f>W302-(A302-Standards!$A$124)*Standards!$AL$5</f>
        <v>36.019438137931033</v>
      </c>
      <c r="Y302" s="111"/>
      <c r="Z302" s="19">
        <f>(T302*Standards!$O$159)+Standards!$O$160</f>
        <v>-2.8708660680827993</v>
      </c>
      <c r="AA302" s="20">
        <f>(X302*Standards!$U$159)+Standards!$U$160</f>
        <v>25.538874082309174</v>
      </c>
    </row>
    <row r="303" spans="1:27" ht="24.95" customHeight="1" x14ac:dyDescent="0.25">
      <c r="A303" s="108">
        <v>153</v>
      </c>
      <c r="B303" s="65" t="s">
        <v>1421</v>
      </c>
      <c r="C303" s="65" t="s">
        <v>729</v>
      </c>
      <c r="D303" s="65">
        <v>6</v>
      </c>
      <c r="E303" s="65">
        <v>14187</v>
      </c>
      <c r="F303" s="65">
        <v>179.84800000000001</v>
      </c>
      <c r="G303" s="65">
        <v>-2.2509999999999999</v>
      </c>
      <c r="H303" s="65">
        <v>36.268999999999998</v>
      </c>
      <c r="Z303" s="33"/>
      <c r="AA303" s="34"/>
    </row>
    <row r="304" spans="1:27" ht="24.95" customHeight="1" x14ac:dyDescent="0.25">
      <c r="A304" s="108">
        <v>153</v>
      </c>
      <c r="B304" s="65" t="s">
        <v>1421</v>
      </c>
      <c r="C304" s="65" t="s">
        <v>729</v>
      </c>
      <c r="D304" s="65">
        <v>7</v>
      </c>
      <c r="E304" s="65">
        <v>13168</v>
      </c>
      <c r="F304" s="65">
        <v>166.89400000000001</v>
      </c>
      <c r="G304" s="65">
        <v>-2.222</v>
      </c>
      <c r="H304" s="65">
        <v>36.298999999999999</v>
      </c>
      <c r="J304" s="31">
        <f>AVERAGE(G303:G304)</f>
        <v>-2.2364999999999999</v>
      </c>
      <c r="K304" s="31">
        <f>STDEV(G303:G304)</f>
        <v>2.0506096654409819E-2</v>
      </c>
      <c r="L304" s="26"/>
      <c r="M304" s="27">
        <f>AVERAGE(E303:E304)</f>
        <v>13677.5</v>
      </c>
      <c r="N304" s="27">
        <f>STDEV(E303:E304)</f>
        <v>720.54181002909195</v>
      </c>
      <c r="O304" s="28"/>
      <c r="P304" s="29">
        <f>AVERAGE(H303:H304)</f>
        <v>36.283999999999999</v>
      </c>
      <c r="Q304" s="29">
        <f>STDEV(H303:H304)</f>
        <v>2.1213203435597228E-2</v>
      </c>
      <c r="R304" s="28"/>
      <c r="S304" s="29">
        <f>J304-(M304-Standards!$N$124)*Standards!$AA$55</f>
        <v>-2.2308467672413794</v>
      </c>
      <c r="T304" s="29">
        <f>S304-(A304-Standards!$A$124)*Standards!$AA$4</f>
        <v>-2.2605639396551727</v>
      </c>
      <c r="U304" s="29"/>
      <c r="V304" s="28"/>
      <c r="W304" s="29">
        <f>P304-(M304-Standards!$N$124)*Standards!$AL$54</f>
        <v>36.277216120689651</v>
      </c>
      <c r="X304" s="29">
        <f>W304-(A304-Standards!$A$124)*Standards!$AL$5</f>
        <v>36.273309637931028</v>
      </c>
      <c r="Y304" s="111"/>
      <c r="Z304" s="19">
        <f>(T304*Standards!$O$159)+Standards!$O$160</f>
        <v>-2.6016568544989291</v>
      </c>
      <c r="AA304" s="20">
        <f>(X304*Standards!$U$159)+Standards!$U$160</f>
        <v>25.787696580072623</v>
      </c>
    </row>
    <row r="305" spans="1:27" ht="24.95" customHeight="1" x14ac:dyDescent="0.25">
      <c r="A305" s="108">
        <v>154</v>
      </c>
      <c r="B305" s="65" t="s">
        <v>1424</v>
      </c>
      <c r="C305" s="65" t="s">
        <v>269</v>
      </c>
      <c r="D305" s="65">
        <v>6</v>
      </c>
      <c r="E305" s="65">
        <v>13487</v>
      </c>
      <c r="F305" s="65">
        <v>165.7</v>
      </c>
      <c r="G305" s="65">
        <v>-2.3969999999999998</v>
      </c>
      <c r="H305" s="65">
        <v>36.25</v>
      </c>
      <c r="Z305" s="33"/>
      <c r="AA305" s="34"/>
    </row>
    <row r="306" spans="1:27" ht="24.95" customHeight="1" x14ac:dyDescent="0.25">
      <c r="A306" s="108">
        <v>154</v>
      </c>
      <c r="B306" s="65" t="s">
        <v>1424</v>
      </c>
      <c r="C306" s="65" t="s">
        <v>269</v>
      </c>
      <c r="D306" s="65">
        <v>7</v>
      </c>
      <c r="E306" s="65">
        <v>12711</v>
      </c>
      <c r="F306" s="65">
        <v>155.28399999999999</v>
      </c>
      <c r="G306" s="65">
        <v>-2.3580000000000001</v>
      </c>
      <c r="H306" s="65">
        <v>36.252000000000002</v>
      </c>
      <c r="J306" s="31">
        <f>AVERAGE(G305:G306)</f>
        <v>-2.3774999999999999</v>
      </c>
      <c r="K306" s="31">
        <f>STDEV(G305:G306)</f>
        <v>2.7577164466275145E-2</v>
      </c>
      <c r="L306" s="26"/>
      <c r="M306" s="27">
        <f>AVERAGE(E305:E306)</f>
        <v>13099</v>
      </c>
      <c r="N306" s="27">
        <f>STDEV(E305:E306)</f>
        <v>548.71486220076088</v>
      </c>
      <c r="O306" s="28"/>
      <c r="P306" s="29">
        <f>AVERAGE(H305:H306)</f>
        <v>36.251000000000005</v>
      </c>
      <c r="Q306" s="29">
        <f>STDEV(H305:H306)</f>
        <v>1.4142135623748235E-3</v>
      </c>
      <c r="R306" s="28"/>
      <c r="S306" s="29">
        <f>J306-(M306-Standards!$N$124)*Standards!$AA$55</f>
        <v>-2.3646155172413792</v>
      </c>
      <c r="T306" s="29">
        <f>S306-(A306-Standards!$A$124)*Standards!$AA$4</f>
        <v>-2.3947586896551725</v>
      </c>
      <c r="U306" s="29"/>
      <c r="V306" s="28"/>
      <c r="W306" s="29">
        <f>P306-(M306-Standards!$N$124)*Standards!$AL$54</f>
        <v>36.23553862068966</v>
      </c>
      <c r="X306" s="29">
        <f>W306-(A306-Standards!$A$124)*Standards!$AL$5</f>
        <v>36.231576137931036</v>
      </c>
      <c r="Y306" s="111"/>
      <c r="Z306" s="19">
        <f>(T306*Standards!$O$159)+Standards!$O$160</f>
        <v>-2.7368517025753913</v>
      </c>
      <c r="AA306" s="20">
        <f>(X306*Standards!$U$159)+Standards!$U$160</f>
        <v>25.746793076881406</v>
      </c>
    </row>
    <row r="307" spans="1:27" s="195" customFormat="1" ht="24.95" customHeight="1" x14ac:dyDescent="0.25">
      <c r="A307" s="213">
        <v>155</v>
      </c>
      <c r="B307" s="195" t="s">
        <v>0</v>
      </c>
      <c r="D307" s="195">
        <v>6</v>
      </c>
      <c r="E307" s="195">
        <v>18075</v>
      </c>
      <c r="F307" s="195">
        <v>229.19399999999999</v>
      </c>
      <c r="G307" s="195">
        <v>4.8380000000000001</v>
      </c>
      <c r="H307" s="195">
        <v>37.002000000000002</v>
      </c>
      <c r="Y307" s="215"/>
      <c r="Z307" s="193"/>
      <c r="AA307" s="194"/>
    </row>
    <row r="308" spans="1:27" s="195" customFormat="1" ht="24.95" customHeight="1" x14ac:dyDescent="0.25">
      <c r="A308" s="213">
        <v>155</v>
      </c>
      <c r="B308" s="195" t="s">
        <v>0</v>
      </c>
      <c r="D308" s="195">
        <v>7</v>
      </c>
      <c r="E308" s="195">
        <v>16831</v>
      </c>
      <c r="F308" s="195">
        <v>215.10900000000001</v>
      </c>
      <c r="G308" s="195">
        <v>4.8209999999999997</v>
      </c>
      <c r="H308" s="195">
        <v>37.027000000000001</v>
      </c>
      <c r="J308" s="196">
        <f>AVERAGE(G307:G308)</f>
        <v>4.8294999999999995</v>
      </c>
      <c r="K308" s="196">
        <f>STDEV(G307:G308)</f>
        <v>1.2020815280171555E-2</v>
      </c>
      <c r="L308" s="189"/>
      <c r="M308" s="188">
        <f>AVERAGE(E307:E308)</f>
        <v>17453</v>
      </c>
      <c r="N308" s="188">
        <f>STDEV(E307:E308)</f>
        <v>879.64083579606518</v>
      </c>
      <c r="O308" s="190"/>
      <c r="P308" s="191">
        <f>AVERAGE(H307:H308)</f>
        <v>37.014499999999998</v>
      </c>
      <c r="Q308" s="191">
        <f>STDEV(H307:H308)</f>
        <v>1.7677669529662685E-2</v>
      </c>
      <c r="R308" s="190"/>
      <c r="S308" s="191">
        <f>J308-(M308-Standards!$N$124)*Standards!$AA$55</f>
        <v>4.7879594827586205</v>
      </c>
      <c r="T308" s="191">
        <f>S308-(A308-Standards!$A$124)*Standards!$AA$4</f>
        <v>4.7573903103448272</v>
      </c>
      <c r="U308" s="191"/>
      <c r="V308" s="190"/>
      <c r="W308" s="191">
        <f>P308-(M308-Standards!$N$124)*Standards!$AL$54</f>
        <v>37.064348620689657</v>
      </c>
      <c r="X308" s="191">
        <f>W308-(A308-Standards!$A$124)*Standards!$AL$5</f>
        <v>37.060330137931039</v>
      </c>
      <c r="Y308" s="197"/>
      <c r="Z308" s="198">
        <f>(T308*Standards!$O$159)+Standards!$O$160</f>
        <v>4.468599311530765</v>
      </c>
      <c r="AA308" s="199">
        <f>(X308*Standards!$U$159)+Standards!$U$160</f>
        <v>26.559064798250102</v>
      </c>
    </row>
    <row r="309" spans="1:27" s="195" customFormat="1" ht="24.95" customHeight="1" x14ac:dyDescent="0.25">
      <c r="A309" s="213">
        <v>156</v>
      </c>
      <c r="B309" s="195" t="s">
        <v>0</v>
      </c>
      <c r="D309" s="195">
        <v>6</v>
      </c>
      <c r="E309" s="195">
        <v>11457</v>
      </c>
      <c r="F309" s="195">
        <v>140.131</v>
      </c>
      <c r="G309" s="195">
        <v>4.6619999999999999</v>
      </c>
      <c r="H309" s="195">
        <v>35.831000000000003</v>
      </c>
      <c r="Y309" s="215"/>
      <c r="Z309" s="193"/>
      <c r="AA309" s="194"/>
    </row>
    <row r="310" spans="1:27" s="195" customFormat="1" ht="24.95" customHeight="1" x14ac:dyDescent="0.25">
      <c r="A310" s="213">
        <v>156</v>
      </c>
      <c r="B310" s="195" t="s">
        <v>0</v>
      </c>
      <c r="D310" s="195">
        <v>7</v>
      </c>
      <c r="E310" s="195">
        <v>10807</v>
      </c>
      <c r="F310" s="195">
        <v>131.25</v>
      </c>
      <c r="G310" s="195">
        <v>4.7640000000000002</v>
      </c>
      <c r="H310" s="195">
        <v>35.874000000000002</v>
      </c>
      <c r="J310" s="196">
        <f>AVERAGE(G309:G310)</f>
        <v>4.7130000000000001</v>
      </c>
      <c r="K310" s="196">
        <f>STDEV(G309:G310)</f>
        <v>7.2124891681028064E-2</v>
      </c>
      <c r="L310" s="189"/>
      <c r="M310" s="188">
        <f>AVERAGE(E309:E310)</f>
        <v>11132</v>
      </c>
      <c r="N310" s="188">
        <f>STDEV(E309:E310)</f>
        <v>459.61940777125591</v>
      </c>
      <c r="O310" s="190"/>
      <c r="P310" s="191">
        <f>AVERAGE(H309:H310)</f>
        <v>35.852500000000006</v>
      </c>
      <c r="Q310" s="191">
        <f>STDEV(H309:H310)</f>
        <v>3.0405591591021019E-2</v>
      </c>
      <c r="R310" s="190"/>
      <c r="S310" s="191">
        <f>J310-(M310-Standards!$N$124)*Standards!$AA$55</f>
        <v>4.7504719827586204</v>
      </c>
      <c r="T310" s="191">
        <f>S310-(A310-Standards!$A$124)*Standards!$AA$4</f>
        <v>4.719476810344827</v>
      </c>
      <c r="U310" s="191"/>
      <c r="V310" s="190"/>
      <c r="W310" s="191">
        <f>P310-(M310-Standards!$N$124)*Standards!$AL$54</f>
        <v>35.807533620689661</v>
      </c>
      <c r="X310" s="191">
        <f>W310-(A310-Standards!$A$124)*Standards!$AL$5</f>
        <v>35.803459137931043</v>
      </c>
      <c r="Y310" s="197"/>
      <c r="Z310" s="198"/>
      <c r="AA310" s="199"/>
    </row>
    <row r="311" spans="1:27" ht="24.95" customHeight="1" x14ac:dyDescent="0.25">
      <c r="A311" s="108">
        <v>157</v>
      </c>
      <c r="B311" s="65" t="s">
        <v>1433</v>
      </c>
      <c r="C311" s="65" t="s">
        <v>339</v>
      </c>
      <c r="D311" s="65">
        <v>6</v>
      </c>
      <c r="E311" s="65">
        <v>13061</v>
      </c>
      <c r="F311" s="65">
        <v>166.66300000000001</v>
      </c>
      <c r="G311" s="65">
        <v>-1.6890000000000001</v>
      </c>
      <c r="H311" s="65">
        <v>36.003</v>
      </c>
      <c r="Z311" s="33"/>
      <c r="AA311" s="34"/>
    </row>
    <row r="312" spans="1:27" ht="24.95" customHeight="1" x14ac:dyDescent="0.25">
      <c r="A312" s="108">
        <v>157</v>
      </c>
      <c r="B312" s="65" t="s">
        <v>1433</v>
      </c>
      <c r="C312" s="65" t="s">
        <v>339</v>
      </c>
      <c r="D312" s="65">
        <v>7</v>
      </c>
      <c r="E312" s="65">
        <v>12170</v>
      </c>
      <c r="F312" s="65">
        <v>154.74199999999999</v>
      </c>
      <c r="G312" s="65">
        <v>-1.637</v>
      </c>
      <c r="H312" s="65">
        <v>36</v>
      </c>
      <c r="J312" s="31">
        <f>AVERAGE(G311:G312)</f>
        <v>-1.663</v>
      </c>
      <c r="K312" s="31">
        <f>STDEV(G311:G312)</f>
        <v>3.6769552621700508E-2</v>
      </c>
      <c r="L312" s="26"/>
      <c r="M312" s="27">
        <f>AVERAGE(E311:E312)</f>
        <v>12615.5</v>
      </c>
      <c r="N312" s="27">
        <f>STDEV(E311:E312)</f>
        <v>630.03214203721382</v>
      </c>
      <c r="O312" s="28"/>
      <c r="P312" s="29">
        <f>AVERAGE(H311:H312)</f>
        <v>36.0015</v>
      </c>
      <c r="Q312" s="29">
        <f>STDEV(H311:H312)</f>
        <v>2.1213203435597231E-3</v>
      </c>
      <c r="R312" s="28"/>
      <c r="S312" s="29">
        <f>J312-(M312-Standards!$N$124)*Standards!$AA$55</f>
        <v>-1.6440717672413794</v>
      </c>
      <c r="T312" s="29">
        <f>S312-(A312-Standards!$A$124)*Standards!$AA$4</f>
        <v>-1.6754929396551725</v>
      </c>
      <c r="U312" s="29"/>
      <c r="V312" s="28"/>
      <c r="W312" s="29">
        <f>P312-(M312-Standards!$N$124)*Standards!$AL$54</f>
        <v>35.978786120689655</v>
      </c>
      <c r="X312" s="29">
        <f>W312-(A312-Standards!$A$124)*Standards!$AL$5</f>
        <v>35.974655637931036</v>
      </c>
      <c r="Y312" s="111"/>
      <c r="Z312" s="19">
        <f>(T312*Standards!$O$159)+Standards!$O$160</f>
        <v>-2.0122255618519072</v>
      </c>
      <c r="AA312" s="20">
        <f>(X312*Standards!$U$159)+Standards!$U$160</f>
        <v>25.494982217700151</v>
      </c>
    </row>
    <row r="313" spans="1:27" ht="24.95" customHeight="1" x14ac:dyDescent="0.25">
      <c r="A313" s="108">
        <v>158</v>
      </c>
      <c r="B313" s="65" t="s">
        <v>1436</v>
      </c>
      <c r="C313" s="65" t="s">
        <v>221</v>
      </c>
      <c r="D313" s="65">
        <v>6</v>
      </c>
      <c r="E313" s="65">
        <v>16631</v>
      </c>
      <c r="F313" s="65">
        <v>201.21299999999999</v>
      </c>
      <c r="G313" s="65">
        <v>-1.9359999999999999</v>
      </c>
      <c r="H313" s="65">
        <v>35.661999999999999</v>
      </c>
      <c r="Z313" s="33"/>
      <c r="AA313" s="34"/>
    </row>
    <row r="314" spans="1:27" ht="24.95" customHeight="1" x14ac:dyDescent="0.25">
      <c r="A314" s="108">
        <v>158</v>
      </c>
      <c r="B314" s="65" t="s">
        <v>1436</v>
      </c>
      <c r="C314" s="65" t="s">
        <v>221</v>
      </c>
      <c r="D314" s="65">
        <v>7</v>
      </c>
      <c r="E314" s="65">
        <v>15548</v>
      </c>
      <c r="F314" s="65">
        <v>187.45400000000001</v>
      </c>
      <c r="G314" s="65">
        <v>-1.85</v>
      </c>
      <c r="H314" s="65">
        <v>35.716000000000001</v>
      </c>
      <c r="J314" s="31">
        <f>AVERAGE(G313:G314)</f>
        <v>-1.893</v>
      </c>
      <c r="K314" s="31">
        <f>STDEV(G313:G314)</f>
        <v>6.0811183182042983E-2</v>
      </c>
      <c r="L314" s="26"/>
      <c r="M314" s="27">
        <f>AVERAGE(E313:E314)</f>
        <v>16089.5</v>
      </c>
      <c r="N314" s="27">
        <f>STDEV(E313:E314)</f>
        <v>765.79664402503101</v>
      </c>
      <c r="O314" s="28"/>
      <c r="P314" s="29">
        <f>AVERAGE(H313:H314)</f>
        <v>35.689</v>
      </c>
      <c r="Q314" s="29">
        <f>STDEV(H313:H314)</f>
        <v>3.8183766184075013E-2</v>
      </c>
      <c r="R314" s="28"/>
      <c r="S314" s="29">
        <f>J314-(M314-Standards!$N$124)*Standards!$AA$55</f>
        <v>-1.9174967672413794</v>
      </c>
      <c r="T314" s="29">
        <f>S314-(A314-Standards!$A$124)*Standards!$AA$4</f>
        <v>-1.9493439396551726</v>
      </c>
      <c r="U314" s="29"/>
      <c r="V314" s="28"/>
      <c r="W314" s="29">
        <f>P314-(M314-Standards!$N$124)*Standards!$AL$54</f>
        <v>35.718396120689654</v>
      </c>
      <c r="X314" s="29">
        <f>W314-(A314-Standards!$A$124)*Standards!$AL$5</f>
        <v>35.714209637931035</v>
      </c>
      <c r="Y314" s="111"/>
      <c r="Z314" s="19">
        <f>(T314*Standards!$O$159)+Standards!$O$160</f>
        <v>-2.2881174603098375</v>
      </c>
      <c r="AA314" s="20">
        <f>(X314*Standards!$U$159)+Standards!$U$160</f>
        <v>25.239715973744051</v>
      </c>
    </row>
    <row r="315" spans="1:27" ht="24.95" customHeight="1" x14ac:dyDescent="0.25">
      <c r="A315" s="108">
        <v>159</v>
      </c>
      <c r="B315" s="65" t="s">
        <v>1439</v>
      </c>
      <c r="C315" s="65" t="s">
        <v>221</v>
      </c>
      <c r="D315" s="65">
        <v>6</v>
      </c>
      <c r="E315" s="65">
        <v>14675</v>
      </c>
      <c r="F315" s="65">
        <v>186.44</v>
      </c>
      <c r="G315" s="65">
        <v>-1.8180000000000001</v>
      </c>
      <c r="H315" s="65">
        <v>35.81</v>
      </c>
      <c r="Z315" s="33"/>
      <c r="AA315" s="34"/>
    </row>
    <row r="316" spans="1:27" ht="24.95" customHeight="1" x14ac:dyDescent="0.25">
      <c r="A316" s="108">
        <v>159</v>
      </c>
      <c r="B316" s="65" t="s">
        <v>1439</v>
      </c>
      <c r="C316" s="65" t="s">
        <v>221</v>
      </c>
      <c r="D316" s="65">
        <v>7</v>
      </c>
      <c r="E316" s="65">
        <v>13696</v>
      </c>
      <c r="F316" s="65">
        <v>173.43199999999999</v>
      </c>
      <c r="G316" s="65">
        <v>-1.766</v>
      </c>
      <c r="H316" s="65">
        <v>35.813000000000002</v>
      </c>
      <c r="J316" s="31">
        <f>AVERAGE(G315:G316)</f>
        <v>-1.792</v>
      </c>
      <c r="K316" s="31">
        <f>STDEV(G315:G316)</f>
        <v>3.6769552621700508E-2</v>
      </c>
      <c r="L316" s="26"/>
      <c r="M316" s="27">
        <f>AVERAGE(E315:E316)</f>
        <v>14185.5</v>
      </c>
      <c r="N316" s="27">
        <f>STDEV(E315:E316)</f>
        <v>692.25753878163005</v>
      </c>
      <c r="O316" s="28"/>
      <c r="P316" s="29">
        <f>AVERAGE(H315:H316)</f>
        <v>35.811500000000002</v>
      </c>
      <c r="Q316" s="29">
        <f>STDEV(H315:H316)</f>
        <v>2.1213203435597231E-3</v>
      </c>
      <c r="R316" s="28"/>
      <c r="S316" s="29">
        <f>J316-(M316-Standards!$N$124)*Standards!$AA$55</f>
        <v>-1.7926967672413794</v>
      </c>
      <c r="T316" s="29">
        <f>S316-(A316-Standards!$A$124)*Standards!$AA$4</f>
        <v>-1.8249699396551724</v>
      </c>
      <c r="U316" s="29"/>
      <c r="V316" s="28"/>
      <c r="W316" s="29">
        <f>P316-(M316-Standards!$N$124)*Standards!$AL$54</f>
        <v>35.812336120689658</v>
      </c>
      <c r="X316" s="29">
        <f>W316-(A316-Standards!$A$124)*Standards!$AL$5</f>
        <v>35.808093637931037</v>
      </c>
      <c r="Y316" s="111"/>
      <c r="Z316" s="19">
        <f>(T316*Standards!$O$159)+Standards!$O$160</f>
        <v>-2.1628165522291418</v>
      </c>
      <c r="AA316" s="20">
        <f>(X316*Standards!$U$159)+Standards!$U$160</f>
        <v>25.33173280659069</v>
      </c>
    </row>
    <row r="317" spans="1:27" ht="24.95" customHeight="1" x14ac:dyDescent="0.25">
      <c r="A317" s="108">
        <v>160</v>
      </c>
      <c r="B317" s="65" t="s">
        <v>1444</v>
      </c>
      <c r="C317" s="65" t="s">
        <v>294</v>
      </c>
      <c r="D317" s="65">
        <v>6</v>
      </c>
      <c r="E317" s="65">
        <v>15273</v>
      </c>
      <c r="F317" s="65">
        <v>186.43600000000001</v>
      </c>
      <c r="G317" s="65">
        <v>-2.375</v>
      </c>
      <c r="H317" s="65">
        <v>35.831000000000003</v>
      </c>
      <c r="Z317" s="33"/>
      <c r="AA317" s="34"/>
    </row>
    <row r="318" spans="1:27" ht="24.95" customHeight="1" x14ac:dyDescent="0.25">
      <c r="A318" s="108">
        <v>160</v>
      </c>
      <c r="B318" s="65" t="s">
        <v>1444</v>
      </c>
      <c r="C318" s="65" t="s">
        <v>294</v>
      </c>
      <c r="D318" s="65">
        <v>7</v>
      </c>
      <c r="E318" s="65">
        <v>14177</v>
      </c>
      <c r="F318" s="65">
        <v>175.42099999999999</v>
      </c>
      <c r="G318" s="65">
        <v>-2.3860000000000001</v>
      </c>
      <c r="H318" s="65">
        <v>35.850999999999999</v>
      </c>
      <c r="J318" s="31">
        <f>AVERAGE(G317:G318)</f>
        <v>-2.3805000000000001</v>
      </c>
      <c r="K318" s="31">
        <f>STDEV(G317:G318)</f>
        <v>7.778174593052108E-3</v>
      </c>
      <c r="L318" s="26"/>
      <c r="M318" s="27">
        <f>AVERAGE(E317:E318)</f>
        <v>14725</v>
      </c>
      <c r="N318" s="27">
        <f>STDEV(E317:E318)</f>
        <v>774.98903218045609</v>
      </c>
      <c r="O318" s="28"/>
      <c r="P318" s="29">
        <f>AVERAGE(H317:H318)</f>
        <v>35.841000000000001</v>
      </c>
      <c r="Q318" s="29">
        <f>STDEV(H317:H318)</f>
        <v>1.4142135623728137E-2</v>
      </c>
      <c r="R318" s="28"/>
      <c r="S318" s="29">
        <f>J318-(M318-Standards!$N$124)*Standards!$AA$55</f>
        <v>-2.3879405172413795</v>
      </c>
      <c r="T318" s="29">
        <f>S318-(A318-Standards!$A$124)*Standards!$AA$4</f>
        <v>-2.4206396896551725</v>
      </c>
      <c r="U318" s="29"/>
      <c r="V318" s="28"/>
      <c r="W318" s="29">
        <f>P318-(M318-Standards!$N$124)*Standards!$AL$54</f>
        <v>35.849928620689653</v>
      </c>
      <c r="X318" s="29">
        <f>W318-(A318-Standards!$A$124)*Standards!$AL$5</f>
        <v>35.845630137931032</v>
      </c>
      <c r="Y318" s="111"/>
      <c r="Z318" s="19">
        <f>(T318*Standards!$O$159)+Standards!$O$160</f>
        <v>-2.7629255829847734</v>
      </c>
      <c r="AA318" s="20">
        <f>(X318*Standards!$U$159)+Standards!$U$160</f>
        <v>25.36852277981453</v>
      </c>
    </row>
    <row r="319" spans="1:27" ht="24.95" customHeight="1" x14ac:dyDescent="0.25">
      <c r="A319" s="108">
        <v>161</v>
      </c>
      <c r="B319" s="65" t="s">
        <v>1447</v>
      </c>
      <c r="C319" s="65" t="s">
        <v>737</v>
      </c>
      <c r="D319" s="65">
        <v>6</v>
      </c>
      <c r="E319" s="65">
        <v>15978</v>
      </c>
      <c r="F319" s="65">
        <v>202.41900000000001</v>
      </c>
      <c r="G319" s="65">
        <v>-2.7440000000000002</v>
      </c>
      <c r="H319" s="65">
        <v>35.792000000000002</v>
      </c>
      <c r="Z319" s="33"/>
      <c r="AA319" s="34"/>
    </row>
    <row r="320" spans="1:27" ht="24.95" customHeight="1" x14ac:dyDescent="0.25">
      <c r="A320" s="108">
        <v>161</v>
      </c>
      <c r="B320" s="65" t="s">
        <v>1447</v>
      </c>
      <c r="C320" s="65" t="s">
        <v>737</v>
      </c>
      <c r="D320" s="65">
        <v>7</v>
      </c>
      <c r="E320" s="65">
        <v>14884</v>
      </c>
      <c r="F320" s="65">
        <v>187.47300000000001</v>
      </c>
      <c r="G320" s="65">
        <v>-2.7</v>
      </c>
      <c r="H320" s="65">
        <v>35.893999999999998</v>
      </c>
      <c r="J320" s="31">
        <f>AVERAGE(G319:G320)</f>
        <v>-2.7220000000000004</v>
      </c>
      <c r="K320" s="31">
        <f>STDEV(G319:G320)</f>
        <v>3.111269837220812E-2</v>
      </c>
      <c r="L320" s="26"/>
      <c r="M320" s="27">
        <f>AVERAGE(E319:E320)</f>
        <v>15431</v>
      </c>
      <c r="N320" s="27">
        <f>STDEV(E319:E320)</f>
        <v>773.57481861808299</v>
      </c>
      <c r="O320" s="28"/>
      <c r="P320" s="29">
        <f>AVERAGE(H319:H320)</f>
        <v>35.843000000000004</v>
      </c>
      <c r="Q320" s="29">
        <f>STDEV(H319:H320)</f>
        <v>7.2124891681025552E-2</v>
      </c>
      <c r="R320" s="28"/>
      <c r="S320" s="29">
        <f>J320-(M320-Standards!$N$124)*Standards!$AA$55</f>
        <v>-2.7382655172413797</v>
      </c>
      <c r="T320" s="29">
        <f>S320-(A320-Standards!$A$124)*Standards!$AA$4</f>
        <v>-2.7713906896551728</v>
      </c>
      <c r="U320" s="29"/>
      <c r="V320" s="28"/>
      <c r="W320" s="29">
        <f>P320-(M320-Standards!$N$124)*Standards!$AL$54</f>
        <v>35.862518620689656</v>
      </c>
      <c r="X320" s="29">
        <f>W320-(A320-Standards!$A$124)*Standards!$AL$5</f>
        <v>35.858164137931034</v>
      </c>
      <c r="Y320" s="111"/>
      <c r="Z320" s="19">
        <f>(T320*Standards!$O$159)+Standards!$O$160</f>
        <v>-3.1162905853985583</v>
      </c>
      <c r="AA320" s="20">
        <f>(X320*Standards!$U$159)+Standards!$U$160</f>
        <v>25.38080750333398</v>
      </c>
    </row>
    <row r="321" spans="1:27" ht="24.95" customHeight="1" x14ac:dyDescent="0.25">
      <c r="A321" s="108">
        <v>162</v>
      </c>
      <c r="B321" s="65" t="s">
        <v>1452</v>
      </c>
      <c r="C321" s="65" t="s">
        <v>227</v>
      </c>
      <c r="D321" s="65">
        <v>6</v>
      </c>
      <c r="E321" s="65">
        <v>12711</v>
      </c>
      <c r="F321" s="65">
        <v>158.68199999999999</v>
      </c>
      <c r="G321" s="65">
        <v>-2.3050000000000002</v>
      </c>
      <c r="H321" s="65">
        <v>36.210999999999999</v>
      </c>
      <c r="Z321" s="33"/>
      <c r="AA321" s="34"/>
    </row>
    <row r="322" spans="1:27" ht="24.95" customHeight="1" x14ac:dyDescent="0.25">
      <c r="A322" s="108">
        <v>162</v>
      </c>
      <c r="B322" s="65" t="s">
        <v>1452</v>
      </c>
      <c r="C322" s="65" t="s">
        <v>227</v>
      </c>
      <c r="D322" s="65">
        <v>7</v>
      </c>
      <c r="E322" s="65">
        <v>11774</v>
      </c>
      <c r="F322" s="65">
        <v>149.34899999999999</v>
      </c>
      <c r="G322" s="65">
        <v>-2.3149999999999999</v>
      </c>
      <c r="H322" s="65">
        <v>36.192999999999998</v>
      </c>
      <c r="J322" s="31">
        <f>AVERAGE(G321:G322)</f>
        <v>-2.31</v>
      </c>
      <c r="K322" s="31">
        <f>STDEV(G321:G322)</f>
        <v>7.0710678118653244E-3</v>
      </c>
      <c r="L322" s="26"/>
      <c r="M322" s="27">
        <f>AVERAGE(E321:E322)</f>
        <v>12242.5</v>
      </c>
      <c r="N322" s="27">
        <f>STDEV(E321:E322)</f>
        <v>662.55905397179504</v>
      </c>
      <c r="O322" s="28"/>
      <c r="P322" s="29">
        <f>AVERAGE(H321:H322)</f>
        <v>36.201999999999998</v>
      </c>
      <c r="Q322" s="29">
        <f>STDEV(H321:H322)</f>
        <v>1.2727922061358338E-2</v>
      </c>
      <c r="R322" s="28"/>
      <c r="S322" s="29">
        <f>J322-(M322-Standards!$N$124)*Standards!$AA$55</f>
        <v>-2.2864092672413792</v>
      </c>
      <c r="T322" s="29">
        <f>S322-(A322-Standards!$A$124)*Standards!$AA$4</f>
        <v>-2.3199604396551723</v>
      </c>
      <c r="U322" s="29"/>
      <c r="V322" s="28"/>
      <c r="W322" s="29">
        <f>P322-(M322-Standards!$N$124)*Standards!$AL$54</f>
        <v>36.173691120689654</v>
      </c>
      <c r="X322" s="29">
        <f>W322-(A322-Standards!$A$124)*Standards!$AL$5</f>
        <v>36.169280637931031</v>
      </c>
      <c r="Y322" s="111"/>
      <c r="Z322" s="19">
        <f>(T322*Standards!$O$159)+Standards!$O$160</f>
        <v>-2.6614960120946889</v>
      </c>
      <c r="AA322" s="20">
        <f>(X322*Standards!$U$159)+Standards!$U$160</f>
        <v>25.685736511219549</v>
      </c>
    </row>
    <row r="323" spans="1:27" ht="24.95" customHeight="1" x14ac:dyDescent="0.25">
      <c r="A323" s="108">
        <v>163</v>
      </c>
      <c r="B323" s="65" t="s">
        <v>1456</v>
      </c>
      <c r="C323" s="65" t="s">
        <v>269</v>
      </c>
      <c r="D323" s="65">
        <v>6</v>
      </c>
      <c r="E323" s="65">
        <v>13015</v>
      </c>
      <c r="F323" s="65">
        <v>163.99199999999999</v>
      </c>
      <c r="G323" s="65">
        <v>-2.081</v>
      </c>
      <c r="H323" s="65">
        <v>35.942999999999998</v>
      </c>
      <c r="Z323" s="33"/>
      <c r="AA323" s="34"/>
    </row>
    <row r="324" spans="1:27" ht="24.95" customHeight="1" x14ac:dyDescent="0.25">
      <c r="A324" s="108">
        <v>163</v>
      </c>
      <c r="B324" s="65" t="s">
        <v>1456</v>
      </c>
      <c r="C324" s="65" t="s">
        <v>269</v>
      </c>
      <c r="D324" s="65">
        <v>7</v>
      </c>
      <c r="E324" s="65">
        <v>12225</v>
      </c>
      <c r="F324" s="65">
        <v>152.72200000000001</v>
      </c>
      <c r="G324" s="65">
        <v>-2.0489999999999999</v>
      </c>
      <c r="H324" s="65">
        <v>35.975999999999999</v>
      </c>
      <c r="J324" s="31">
        <f>AVERAGE(G323:G324)</f>
        <v>-2.0649999999999999</v>
      </c>
      <c r="K324" s="31">
        <f>STDEV(G323:G324)</f>
        <v>2.2627416997969541E-2</v>
      </c>
      <c r="L324" s="26"/>
      <c r="M324" s="27">
        <f>AVERAGE(E323:E324)</f>
        <v>12620</v>
      </c>
      <c r="N324" s="27">
        <f>STDEV(E323:E324)</f>
        <v>558.61435713737251</v>
      </c>
      <c r="O324" s="28"/>
      <c r="P324" s="29">
        <f>AVERAGE(H323:H324)</f>
        <v>35.959499999999998</v>
      </c>
      <c r="Q324" s="29">
        <f>STDEV(H323:H324)</f>
        <v>2.3334523779156954E-2</v>
      </c>
      <c r="R324" s="28"/>
      <c r="S324" s="29">
        <f>J324-(M324-Standards!$N$124)*Standards!$AA$55</f>
        <v>-2.0461280172413794</v>
      </c>
      <c r="T324" s="29">
        <f>S324-(A324-Standards!$A$124)*Standards!$AA$4</f>
        <v>-2.0801051896551725</v>
      </c>
      <c r="U324" s="29"/>
      <c r="V324" s="28"/>
      <c r="W324" s="29">
        <f>P324-(M324-Standards!$N$124)*Standards!$AL$54</f>
        <v>35.936853620689654</v>
      </c>
      <c r="X324" s="29">
        <f>W324-(A324-Standards!$A$124)*Standards!$AL$5</f>
        <v>35.93238713793103</v>
      </c>
      <c r="Y324" s="111"/>
      <c r="Z324" s="19">
        <f>(T324*Standards!$O$159)+Standards!$O$160</f>
        <v>-2.4198532199281408</v>
      </c>
      <c r="AA324" s="20">
        <f>(X324*Standards!$U$159)+Standards!$U$160</f>
        <v>25.453554354601234</v>
      </c>
    </row>
    <row r="325" spans="1:27" ht="24.95" customHeight="1" x14ac:dyDescent="0.25">
      <c r="A325" s="108">
        <v>164</v>
      </c>
      <c r="B325" s="65" t="s">
        <v>1460</v>
      </c>
      <c r="C325" s="65" t="s">
        <v>260</v>
      </c>
      <c r="D325" s="65">
        <v>6</v>
      </c>
      <c r="E325" s="65">
        <v>12602</v>
      </c>
      <c r="F325" s="65">
        <v>159.27600000000001</v>
      </c>
      <c r="G325" s="65">
        <v>-1.4139999999999999</v>
      </c>
      <c r="H325" s="65">
        <v>35.874000000000002</v>
      </c>
      <c r="Z325" s="33"/>
      <c r="AA325" s="34"/>
    </row>
    <row r="326" spans="1:27" ht="24.95" customHeight="1" x14ac:dyDescent="0.25">
      <c r="A326" s="108">
        <v>164</v>
      </c>
      <c r="B326" s="65" t="s">
        <v>1460</v>
      </c>
      <c r="C326" s="65" t="s">
        <v>260</v>
      </c>
      <c r="D326" s="65">
        <v>7</v>
      </c>
      <c r="E326" s="65">
        <v>11706</v>
      </c>
      <c r="F326" s="65">
        <v>148.191</v>
      </c>
      <c r="G326" s="65">
        <v>-1.3680000000000001</v>
      </c>
      <c r="H326" s="65">
        <v>35.856000000000002</v>
      </c>
      <c r="J326" s="31">
        <f>AVERAGE(G325:G326)</f>
        <v>-1.391</v>
      </c>
      <c r="K326" s="31">
        <f>STDEV(G325:G326)</f>
        <v>3.2526911934581057E-2</v>
      </c>
      <c r="L326" s="26"/>
      <c r="M326" s="27">
        <f>AVERAGE(E325:E326)</f>
        <v>12154</v>
      </c>
      <c r="N326" s="27">
        <f>STDEV(E325:E326)</f>
        <v>633.56767594314658</v>
      </c>
      <c r="O326" s="28"/>
      <c r="P326" s="29">
        <f>AVERAGE(H325:H326)</f>
        <v>35.865000000000002</v>
      </c>
      <c r="Q326" s="29">
        <f>STDEV(H325:H326)</f>
        <v>1.2727922061358338E-2</v>
      </c>
      <c r="R326" s="28"/>
      <c r="S326" s="29">
        <f>J326-(M326-Standards!$N$124)*Standards!$AA$55</f>
        <v>-1.3663030172413793</v>
      </c>
      <c r="T326" s="29">
        <f>S326-(A326-Standards!$A$124)*Standards!$AA$4</f>
        <v>-1.4007061896551725</v>
      </c>
      <c r="U326" s="29"/>
      <c r="V326" s="28"/>
      <c r="W326" s="29">
        <f>P326-(M326-Standards!$N$124)*Standards!$AL$54</f>
        <v>35.835363620689655</v>
      </c>
      <c r="X326" s="29">
        <f>W326-(A326-Standards!$A$124)*Standards!$AL$5</f>
        <v>35.830841137931031</v>
      </c>
      <c r="Y326" s="111"/>
      <c r="Z326" s="19">
        <f>(T326*Standards!$O$159)+Standards!$O$160</f>
        <v>-1.7353909396355029</v>
      </c>
      <c r="AA326" s="20">
        <f>(X326*Standards!$U$159)+Standards!$U$160</f>
        <v>25.354027903786996</v>
      </c>
    </row>
    <row r="327" spans="1:27" ht="24.95" customHeight="1" x14ac:dyDescent="0.25">
      <c r="A327" s="108">
        <v>165</v>
      </c>
      <c r="B327" s="65" t="s">
        <v>1463</v>
      </c>
      <c r="C327" s="65" t="s">
        <v>513</v>
      </c>
      <c r="D327" s="65">
        <v>6</v>
      </c>
      <c r="E327" s="65">
        <v>13701</v>
      </c>
      <c r="F327" s="65">
        <v>169.97499999999999</v>
      </c>
      <c r="G327" s="65">
        <v>-1.9330000000000001</v>
      </c>
      <c r="H327" s="65">
        <v>35.65</v>
      </c>
      <c r="Z327" s="33"/>
      <c r="AA327" s="34"/>
    </row>
    <row r="328" spans="1:27" ht="24.95" customHeight="1" x14ac:dyDescent="0.25">
      <c r="A328" s="108">
        <v>165</v>
      </c>
      <c r="B328" s="65" t="s">
        <v>1463</v>
      </c>
      <c r="C328" s="65" t="s">
        <v>513</v>
      </c>
      <c r="D328" s="65">
        <v>7</v>
      </c>
      <c r="E328" s="65">
        <v>12944</v>
      </c>
      <c r="F328" s="65">
        <v>160.738</v>
      </c>
      <c r="G328" s="65">
        <v>-1.956</v>
      </c>
      <c r="H328" s="65">
        <v>35.698</v>
      </c>
      <c r="J328" s="31">
        <f>AVERAGE(G327:G328)</f>
        <v>-1.9445000000000001</v>
      </c>
      <c r="K328" s="31">
        <f>STDEV(G327:G328)</f>
        <v>1.6263455967290529E-2</v>
      </c>
      <c r="L328" s="26"/>
      <c r="M328" s="27">
        <f>AVERAGE(E327:E328)</f>
        <v>13322.5</v>
      </c>
      <c r="N328" s="27">
        <f>STDEV(E327:E328)</f>
        <v>535.27983335821648</v>
      </c>
      <c r="O328" s="28"/>
      <c r="P328" s="29">
        <f>AVERAGE(H327:H328)</f>
        <v>35.673999999999999</v>
      </c>
      <c r="Q328" s="29">
        <f>STDEV(H327:H328)</f>
        <v>3.394112549695557E-2</v>
      </c>
      <c r="R328" s="28"/>
      <c r="S328" s="29">
        <f>J328-(M328-Standards!$N$124)*Standards!$AA$55</f>
        <v>-1.9344092672413795</v>
      </c>
      <c r="T328" s="29">
        <f>S328-(A328-Standards!$A$124)*Standards!$AA$4</f>
        <v>-1.9692384396551725</v>
      </c>
      <c r="U328" s="29"/>
      <c r="V328" s="28"/>
      <c r="W328" s="29">
        <f>P328-(M328-Standards!$N$124)*Standards!$AL$54</f>
        <v>35.661891120689653</v>
      </c>
      <c r="X328" s="29">
        <f>W328-(A328-Standards!$A$124)*Standards!$AL$5</f>
        <v>35.657312637931035</v>
      </c>
      <c r="Y328" s="111"/>
      <c r="Z328" s="19">
        <f>(T328*Standards!$O$159)+Standards!$O$160</f>
        <v>-2.3081602258059331</v>
      </c>
      <c r="AA328" s="20">
        <f>(X328*Standards!$U$159)+Standards!$U$160</f>
        <v>25.183950542589916</v>
      </c>
    </row>
    <row r="329" spans="1:27" ht="24.95" customHeight="1" x14ac:dyDescent="0.25">
      <c r="A329" s="108">
        <v>166</v>
      </c>
      <c r="B329" s="65" t="s">
        <v>1466</v>
      </c>
      <c r="C329" s="65" t="s">
        <v>297</v>
      </c>
      <c r="D329" s="65">
        <v>6</v>
      </c>
      <c r="E329" s="65">
        <v>13046</v>
      </c>
      <c r="F329" s="65">
        <v>165.91800000000001</v>
      </c>
      <c r="G329" s="65">
        <v>-2.149</v>
      </c>
      <c r="H329" s="65">
        <v>35.706000000000003</v>
      </c>
      <c r="Z329" s="33"/>
      <c r="AA329" s="34"/>
    </row>
    <row r="330" spans="1:27" ht="24.95" customHeight="1" x14ac:dyDescent="0.25">
      <c r="A330" s="108">
        <v>166</v>
      </c>
      <c r="B330" s="65" t="s">
        <v>1466</v>
      </c>
      <c r="C330" s="65" t="s">
        <v>297</v>
      </c>
      <c r="D330" s="65">
        <v>7</v>
      </c>
      <c r="E330" s="65">
        <v>12144</v>
      </c>
      <c r="F330" s="65">
        <v>154.27500000000001</v>
      </c>
      <c r="G330" s="65">
        <v>-2.0590000000000002</v>
      </c>
      <c r="H330" s="65">
        <v>35.698</v>
      </c>
      <c r="J330" s="31">
        <f>AVERAGE(G329:G330)</f>
        <v>-2.1040000000000001</v>
      </c>
      <c r="K330" s="31">
        <f>STDEV(G329:G330)</f>
        <v>6.3639610306789177E-2</v>
      </c>
      <c r="L330" s="26"/>
      <c r="M330" s="27">
        <f>AVERAGE(E329:E330)</f>
        <v>12595</v>
      </c>
      <c r="N330" s="27">
        <f>STDEV(E329:E330)</f>
        <v>637.8103166302659</v>
      </c>
      <c r="O330" s="28"/>
      <c r="P330" s="29">
        <f>AVERAGE(H329:H330)</f>
        <v>35.701999999999998</v>
      </c>
      <c r="Q330" s="29">
        <f>STDEV(H329:H330)</f>
        <v>5.6568542494942701E-3</v>
      </c>
      <c r="R330" s="28"/>
      <c r="S330" s="29">
        <f>J330-(M330-Standards!$N$124)*Standards!$AA$55</f>
        <v>-2.0848155172413794</v>
      </c>
      <c r="T330" s="29">
        <f>S330-(A330-Standards!$A$124)*Standards!$AA$4</f>
        <v>-2.1200706896551726</v>
      </c>
      <c r="U330" s="29"/>
      <c r="V330" s="28"/>
      <c r="W330" s="29">
        <f>P330-(M330-Standards!$N$124)*Standards!$AL$54</f>
        <v>35.678978620689655</v>
      </c>
      <c r="X330" s="29">
        <f>W330-(A330-Standards!$A$124)*Standards!$AL$5</f>
        <v>35.674344137931037</v>
      </c>
      <c r="Y330" s="111"/>
      <c r="Z330" s="19">
        <f>(T330*Standards!$O$159)+Standards!$O$160</f>
        <v>-2.4601165663019735</v>
      </c>
      <c r="AA330" s="20">
        <f>(X330*Standards!$U$159)+Standards!$U$160</f>
        <v>25.200643319725824</v>
      </c>
    </row>
    <row r="331" spans="1:27" s="195" customFormat="1" ht="24.95" customHeight="1" x14ac:dyDescent="0.25">
      <c r="A331" s="213">
        <v>167</v>
      </c>
      <c r="B331" s="195" t="s">
        <v>0</v>
      </c>
      <c r="D331" s="195">
        <v>6</v>
      </c>
      <c r="E331" s="195">
        <v>10699</v>
      </c>
      <c r="F331" s="195">
        <v>130.91</v>
      </c>
      <c r="G331" s="195">
        <v>4.7060000000000004</v>
      </c>
      <c r="H331" s="195">
        <v>37.072000000000003</v>
      </c>
      <c r="Y331" s="215"/>
      <c r="Z331" s="193"/>
      <c r="AA331" s="194"/>
    </row>
    <row r="332" spans="1:27" s="195" customFormat="1" ht="24.95" customHeight="1" x14ac:dyDescent="0.25">
      <c r="A332" s="213">
        <v>167</v>
      </c>
      <c r="B332" s="195" t="s">
        <v>0</v>
      </c>
      <c r="D332" s="195">
        <v>7</v>
      </c>
      <c r="E332" s="195">
        <v>10055</v>
      </c>
      <c r="F332" s="195">
        <v>122.65</v>
      </c>
      <c r="G332" s="195">
        <v>4.7510000000000003</v>
      </c>
      <c r="H332" s="195">
        <v>37.093000000000004</v>
      </c>
      <c r="J332" s="196">
        <f>AVERAGE(G331:G332)</f>
        <v>4.7285000000000004</v>
      </c>
      <c r="K332" s="196">
        <f>STDEV(G331:G332)</f>
        <v>3.1819805153394588E-2</v>
      </c>
      <c r="L332" s="189"/>
      <c r="M332" s="188">
        <f>AVERAGE(E331:E332)</f>
        <v>10377</v>
      </c>
      <c r="N332" s="188">
        <f>STDEV(E331:E332)</f>
        <v>455.37676708413659</v>
      </c>
      <c r="O332" s="190"/>
      <c r="P332" s="191">
        <f>AVERAGE(H331:H332)</f>
        <v>37.082500000000003</v>
      </c>
      <c r="Q332" s="191">
        <f>STDEV(H331:H332)</f>
        <v>1.4849242404918061E-2</v>
      </c>
      <c r="R332" s="190"/>
      <c r="S332" s="191">
        <f>J332-(M332-Standards!$N$124)*Standards!$AA$55</f>
        <v>4.7754094827586213</v>
      </c>
      <c r="T332" s="191">
        <f>S332-(A332-Standards!$A$124)*Standards!$AA$4</f>
        <v>4.7397283103448284</v>
      </c>
      <c r="U332" s="191"/>
      <c r="V332" s="190"/>
      <c r="W332" s="191">
        <f>P332-(M332-Standards!$N$124)*Standards!$AL$54</f>
        <v>37.026208620689658</v>
      </c>
      <c r="X332" s="191">
        <f>W332-(A332-Standards!$A$124)*Standards!$AL$5</f>
        <v>37.021518137931039</v>
      </c>
      <c r="Y332" s="197"/>
      <c r="Z332" s="198">
        <f>(T332*Standards!$O$159)+Standards!$O$160</f>
        <v>4.4508056839355996</v>
      </c>
      <c r="AA332" s="199">
        <f>(X332*Standards!$U$159)+Standards!$U$160</f>
        <v>26.521024692199614</v>
      </c>
    </row>
    <row r="333" spans="1:27" s="195" customFormat="1" ht="24.95" customHeight="1" x14ac:dyDescent="0.25">
      <c r="A333" s="213">
        <v>168</v>
      </c>
      <c r="B333" s="195" t="s">
        <v>0</v>
      </c>
      <c r="D333" s="195">
        <v>6</v>
      </c>
      <c r="E333" s="195">
        <v>12028</v>
      </c>
      <c r="F333" s="195">
        <v>153.42699999999999</v>
      </c>
      <c r="G333" s="195">
        <v>4.7770000000000001</v>
      </c>
      <c r="H333" s="195">
        <v>37.081000000000003</v>
      </c>
      <c r="Y333" s="215"/>
      <c r="Z333" s="193"/>
      <c r="AA333" s="194"/>
    </row>
    <row r="334" spans="1:27" s="195" customFormat="1" ht="24.95" customHeight="1" x14ac:dyDescent="0.25">
      <c r="A334" s="213">
        <v>168</v>
      </c>
      <c r="B334" s="195" t="s">
        <v>0</v>
      </c>
      <c r="D334" s="195">
        <v>7</v>
      </c>
      <c r="E334" s="195">
        <v>11208</v>
      </c>
      <c r="F334" s="195">
        <v>142.459</v>
      </c>
      <c r="G334" s="195">
        <v>4.84</v>
      </c>
      <c r="H334" s="195">
        <v>37.069000000000003</v>
      </c>
      <c r="J334" s="196">
        <f>AVERAGE(G333:G334)</f>
        <v>4.8085000000000004</v>
      </c>
      <c r="K334" s="196">
        <f>STDEV(G333:G334)</f>
        <v>4.4547727214752295E-2</v>
      </c>
      <c r="L334" s="189"/>
      <c r="M334" s="188">
        <f>AVERAGE(E333:E334)</f>
        <v>11618</v>
      </c>
      <c r="N334" s="188">
        <f>STDEV(E333:E334)</f>
        <v>579.82756057296899</v>
      </c>
      <c r="O334" s="190"/>
      <c r="P334" s="191">
        <f>AVERAGE(H333:H334)</f>
        <v>37.075000000000003</v>
      </c>
      <c r="Q334" s="191">
        <f>STDEV(H333:H334)</f>
        <v>8.4852813742388924E-3</v>
      </c>
      <c r="R334" s="190"/>
      <c r="S334" s="191">
        <f>J334-(M334-Standards!$N$124)*Standards!$AA$55</f>
        <v>4.8398969827586216</v>
      </c>
      <c r="T334" s="191">
        <f>S334-(A334-Standards!$A$124)*Standards!$AA$4</f>
        <v>4.8037898103448287</v>
      </c>
      <c r="U334" s="191"/>
      <c r="V334" s="190"/>
      <c r="W334" s="191">
        <f>P334-(M334-Standards!$N$124)*Standards!$AL$54</f>
        <v>37.037323620689655</v>
      </c>
      <c r="X334" s="191">
        <f>W334-(A334-Standards!$A$124)*Standards!$AL$5</f>
        <v>37.032577137931035</v>
      </c>
      <c r="Y334" s="197"/>
      <c r="Z334" s="198">
        <f>(T334*Standards!$O$159)+Standards!$O$160</f>
        <v>4.5153446078506576</v>
      </c>
      <c r="AA334" s="199">
        <f>(X334*Standards!$U$159)+Standards!$U$160</f>
        <v>26.531863750553018</v>
      </c>
    </row>
    <row r="335" spans="1:27" ht="24.95" customHeight="1" x14ac:dyDescent="0.25">
      <c r="A335" s="108">
        <v>169</v>
      </c>
      <c r="B335" s="65" t="s">
        <v>1475</v>
      </c>
      <c r="C335" s="65" t="s">
        <v>518</v>
      </c>
      <c r="D335" s="65">
        <v>6</v>
      </c>
      <c r="E335" s="65">
        <v>13477</v>
      </c>
      <c r="F335" s="65">
        <v>163.76300000000001</v>
      </c>
      <c r="G335" s="65">
        <v>-2.2440000000000002</v>
      </c>
      <c r="H335" s="65">
        <v>35.695999999999998</v>
      </c>
      <c r="Z335" s="33"/>
      <c r="AA335" s="34"/>
    </row>
    <row r="336" spans="1:27" ht="24.95" customHeight="1" x14ac:dyDescent="0.25">
      <c r="A336" s="108">
        <v>169</v>
      </c>
      <c r="B336" s="65" t="s">
        <v>1475</v>
      </c>
      <c r="C336" s="65" t="s">
        <v>518</v>
      </c>
      <c r="D336" s="65">
        <v>7</v>
      </c>
      <c r="E336" s="65">
        <v>12574</v>
      </c>
      <c r="F336" s="65">
        <v>152.69499999999999</v>
      </c>
      <c r="G336" s="65">
        <v>-2.169</v>
      </c>
      <c r="H336" s="65">
        <v>35.753</v>
      </c>
      <c r="J336" s="31">
        <f>AVERAGE(G335:G336)</f>
        <v>-2.2065000000000001</v>
      </c>
      <c r="K336" s="31">
        <f>STDEV(G335:G336)</f>
        <v>5.3033008588991189E-2</v>
      </c>
      <c r="L336" s="26"/>
      <c r="M336" s="27">
        <f>AVERAGE(E335:E336)</f>
        <v>13025.5</v>
      </c>
      <c r="N336" s="27">
        <f>STDEV(E335:E336)</f>
        <v>638.51742341145246</v>
      </c>
      <c r="O336" s="28"/>
      <c r="P336" s="29">
        <f>AVERAGE(H335:H336)</f>
        <v>35.724499999999999</v>
      </c>
      <c r="Q336" s="29">
        <f>STDEV(H335:H336)</f>
        <v>4.0305086527634738E-2</v>
      </c>
      <c r="R336" s="28"/>
      <c r="S336" s="29">
        <f>J336-(M336-Standards!$N$124)*Standards!$AA$55</f>
        <v>-2.1926967672413795</v>
      </c>
      <c r="T336" s="29">
        <f>S336-(A336-Standards!$A$124)*Standards!$AA$4</f>
        <v>-2.2292299396551725</v>
      </c>
      <c r="U336" s="29"/>
      <c r="V336" s="28"/>
      <c r="W336" s="29">
        <f>P336-(M336-Standards!$N$124)*Standards!$AL$54</f>
        <v>35.707936120689652</v>
      </c>
      <c r="X336" s="29">
        <f>W336-(A336-Standards!$A$124)*Standards!$AL$5</f>
        <v>35.703133637931032</v>
      </c>
      <c r="Y336" s="111"/>
      <c r="Z336" s="19">
        <f>(T336*Standards!$O$159)+Standards!$O$160</f>
        <v>-2.570089335131533</v>
      </c>
      <c r="AA336" s="20">
        <f>(X336*Standards!$U$159)+Standards!$U$160</f>
        <v>25.228860253487039</v>
      </c>
    </row>
    <row r="337" spans="1:27" ht="24.95" customHeight="1" x14ac:dyDescent="0.25">
      <c r="A337" s="108">
        <v>170</v>
      </c>
      <c r="B337" s="65" t="s">
        <v>1478</v>
      </c>
      <c r="C337" s="65" t="s">
        <v>737</v>
      </c>
      <c r="D337" s="65">
        <v>6</v>
      </c>
      <c r="E337" s="65">
        <v>15534</v>
      </c>
      <c r="F337" s="65">
        <v>196.92</v>
      </c>
      <c r="G337" s="65">
        <v>-2.069</v>
      </c>
      <c r="H337" s="65">
        <v>35.860999999999997</v>
      </c>
      <c r="Z337" s="33"/>
      <c r="AA337" s="34"/>
    </row>
    <row r="338" spans="1:27" ht="24.95" customHeight="1" x14ac:dyDescent="0.25">
      <c r="A338" s="108">
        <v>170</v>
      </c>
      <c r="B338" s="65" t="s">
        <v>1478</v>
      </c>
      <c r="C338" s="65" t="s">
        <v>737</v>
      </c>
      <c r="D338" s="65">
        <v>7</v>
      </c>
      <c r="E338" s="65">
        <v>14484</v>
      </c>
      <c r="F338" s="65">
        <v>183.01</v>
      </c>
      <c r="G338" s="65">
        <v>-2.0249999999999999</v>
      </c>
      <c r="H338" s="65">
        <v>35.862000000000002</v>
      </c>
      <c r="J338" s="31">
        <f>AVERAGE(G337:G338)</f>
        <v>-2.0469999999999997</v>
      </c>
      <c r="K338" s="31">
        <f>STDEV(G337:G338)</f>
        <v>3.111269837220812E-2</v>
      </c>
      <c r="L338" s="26"/>
      <c r="M338" s="27">
        <f>AVERAGE(E337:E338)</f>
        <v>15009</v>
      </c>
      <c r="N338" s="27">
        <f>STDEV(E337:E338)</f>
        <v>742.46212024587487</v>
      </c>
      <c r="O338" s="28"/>
      <c r="P338" s="29">
        <f>AVERAGE(H337:H338)</f>
        <v>35.861499999999999</v>
      </c>
      <c r="Q338" s="29">
        <f>STDEV(H337:H338)</f>
        <v>7.0710678118992383E-4</v>
      </c>
      <c r="R338" s="28"/>
      <c r="S338" s="29">
        <f>J338-(M338-Standards!$N$124)*Standards!$AA$55</f>
        <v>-2.0579905172413788</v>
      </c>
      <c r="T338" s="29">
        <f>S338-(A338-Standards!$A$124)*Standards!$AA$4</f>
        <v>-2.0949496896551718</v>
      </c>
      <c r="U338" s="29"/>
      <c r="V338" s="28"/>
      <c r="W338" s="29">
        <f>P338-(M338-Standards!$N$124)*Standards!$AL$54</f>
        <v>35.874688620689653</v>
      </c>
      <c r="X338" s="29">
        <f>W338-(A338-Standards!$A$124)*Standards!$AL$5</f>
        <v>35.869830137931032</v>
      </c>
      <c r="Y338" s="111"/>
      <c r="Z338" s="19">
        <f>(T338*Standards!$O$159)+Standards!$O$160</f>
        <v>-2.434808349858864</v>
      </c>
      <c r="AA338" s="20">
        <f>(X338*Standards!$U$159)+Standards!$U$160</f>
        <v>25.392241489657405</v>
      </c>
    </row>
    <row r="339" spans="1:27" ht="24.95" customHeight="1" x14ac:dyDescent="0.25">
      <c r="A339" s="108">
        <v>171</v>
      </c>
      <c r="B339" s="65" t="s">
        <v>1482</v>
      </c>
      <c r="C339" s="65" t="s">
        <v>339</v>
      </c>
      <c r="D339" s="65">
        <v>6</v>
      </c>
      <c r="E339" s="65">
        <v>13902</v>
      </c>
      <c r="F339" s="65">
        <v>170.26900000000001</v>
      </c>
      <c r="G339" s="65">
        <v>-2.4060000000000001</v>
      </c>
      <c r="H339" s="65">
        <v>36.034999999999997</v>
      </c>
      <c r="Z339" s="33"/>
      <c r="AA339" s="34"/>
    </row>
    <row r="340" spans="1:27" ht="24.95" customHeight="1" x14ac:dyDescent="0.25">
      <c r="A340" s="108">
        <v>171</v>
      </c>
      <c r="B340" s="65" t="s">
        <v>1482</v>
      </c>
      <c r="C340" s="65" t="s">
        <v>339</v>
      </c>
      <c r="D340" s="65">
        <v>7</v>
      </c>
      <c r="E340" s="65">
        <v>12889</v>
      </c>
      <c r="F340" s="65">
        <v>160.07900000000001</v>
      </c>
      <c r="G340" s="65">
        <v>-2.411</v>
      </c>
      <c r="H340" s="65">
        <v>36.067999999999998</v>
      </c>
      <c r="J340" s="31">
        <f>AVERAGE(G339:G340)</f>
        <v>-2.4085000000000001</v>
      </c>
      <c r="K340" s="31">
        <f>STDEV(G339:G340)</f>
        <v>3.5355339059326622E-3</v>
      </c>
      <c r="L340" s="26"/>
      <c r="M340" s="27">
        <f>AVERAGE(E339:E340)</f>
        <v>13395.5</v>
      </c>
      <c r="N340" s="27">
        <f>STDEV(E339:E340)</f>
        <v>716.29916934197263</v>
      </c>
      <c r="O340" s="28"/>
      <c r="P340" s="29">
        <f>AVERAGE(H339:H340)</f>
        <v>36.051499999999997</v>
      </c>
      <c r="Q340" s="29">
        <f>STDEV(H339:H340)</f>
        <v>2.3334523779156954E-2</v>
      </c>
      <c r="R340" s="28"/>
      <c r="S340" s="29">
        <f>J340-(M340-Standards!$N$124)*Standards!$AA$55</f>
        <v>-2.3993217672413794</v>
      </c>
      <c r="T340" s="29">
        <f>S340-(A340-Standards!$A$124)*Standards!$AA$4</f>
        <v>-2.4367069396551724</v>
      </c>
      <c r="U340" s="29"/>
      <c r="V340" s="28"/>
      <c r="W340" s="29">
        <f>P340-(M340-Standards!$N$124)*Standards!$AL$54</f>
        <v>36.04048612068965</v>
      </c>
      <c r="X340" s="29">
        <f>W340-(A340-Standards!$A$124)*Standards!$AL$5</f>
        <v>36.035571637931028</v>
      </c>
      <c r="Y340" s="111"/>
      <c r="Z340" s="19">
        <f>(T340*Standards!$O$159)+Standards!$O$160</f>
        <v>-2.7791125755664989</v>
      </c>
      <c r="AA340" s="20">
        <f>(X340*Standards!$U$159)+Standards!$U$160</f>
        <v>25.554686718889752</v>
      </c>
    </row>
    <row r="341" spans="1:27" ht="24.95" customHeight="1" x14ac:dyDescent="0.25">
      <c r="A341" s="108">
        <v>172</v>
      </c>
      <c r="B341" s="65" t="s">
        <v>1485</v>
      </c>
      <c r="C341" s="65" t="s">
        <v>283</v>
      </c>
      <c r="D341" s="65">
        <v>6</v>
      </c>
      <c r="E341" s="65">
        <v>13207</v>
      </c>
      <c r="F341" s="65">
        <v>167.614</v>
      </c>
      <c r="G341" s="65">
        <v>-2.7040000000000002</v>
      </c>
      <c r="H341" s="65">
        <v>36.088999999999999</v>
      </c>
      <c r="Z341" s="33"/>
      <c r="AA341" s="34"/>
    </row>
    <row r="342" spans="1:27" ht="24.95" customHeight="1" x14ac:dyDescent="0.25">
      <c r="A342" s="108">
        <v>172</v>
      </c>
      <c r="B342" s="65" t="s">
        <v>1485</v>
      </c>
      <c r="C342" s="65" t="s">
        <v>283</v>
      </c>
      <c r="D342" s="65">
        <v>7</v>
      </c>
      <c r="E342" s="65">
        <v>12325</v>
      </c>
      <c r="F342" s="65">
        <v>155.76900000000001</v>
      </c>
      <c r="G342" s="65">
        <v>-2.6219999999999999</v>
      </c>
      <c r="H342" s="65">
        <v>36.122999999999998</v>
      </c>
      <c r="J342" s="31">
        <f>AVERAGE(G341:G342)</f>
        <v>-2.6630000000000003</v>
      </c>
      <c r="K342" s="31">
        <f>STDEV(G341:G342)</f>
        <v>5.7982756057297108E-2</v>
      </c>
      <c r="L342" s="26"/>
      <c r="M342" s="27">
        <f>AVERAGE(E341:E342)</f>
        <v>12766</v>
      </c>
      <c r="N342" s="27">
        <f>STDEV(E341:E342)</f>
        <v>623.66818100653495</v>
      </c>
      <c r="O342" s="28"/>
      <c r="P342" s="29">
        <f>AVERAGE(H341:H342)</f>
        <v>36.105999999999995</v>
      </c>
      <c r="Q342" s="29">
        <f>STDEV(H341:H342)</f>
        <v>2.4041630560341854E-2</v>
      </c>
      <c r="R342" s="28"/>
      <c r="S342" s="29">
        <f>J342-(M342-Standards!$N$124)*Standards!$AA$55</f>
        <v>-2.6459530172413794</v>
      </c>
      <c r="T342" s="29">
        <f>S342-(A342-Standards!$A$124)*Standards!$AA$4</f>
        <v>-2.6837641896551725</v>
      </c>
      <c r="U342" s="29"/>
      <c r="V342" s="28"/>
      <c r="W342" s="29">
        <f>P342-(M342-Standards!$N$124)*Standards!$AL$54</f>
        <v>36.085543620689648</v>
      </c>
      <c r="X342" s="29">
        <f>W342-(A342-Standards!$A$124)*Standards!$AL$5</f>
        <v>36.080573137931026</v>
      </c>
      <c r="Y342" s="111"/>
      <c r="Z342" s="19">
        <f>(T342*Standards!$O$159)+Standards!$O$160</f>
        <v>-3.0280110412660783</v>
      </c>
      <c r="AA342" s="20">
        <f>(X342*Standards!$U$159)+Standards!$U$160</f>
        <v>25.598793228021737</v>
      </c>
    </row>
    <row r="343" spans="1:27" ht="24.95" customHeight="1" x14ac:dyDescent="0.25">
      <c r="Y343" s="58"/>
    </row>
    <row r="344" spans="1:27" ht="24.95" customHeight="1" x14ac:dyDescent="0.25">
      <c r="J344" s="31" t="e">
        <f>AVERAGE(G343:G344)</f>
        <v>#DIV/0!</v>
      </c>
      <c r="K344" s="31" t="e">
        <f>STDEV(G343:G344)</f>
        <v>#DIV/0!</v>
      </c>
      <c r="L344" s="26"/>
      <c r="M344" s="27" t="e">
        <f>AVERAGE(E343:E344)</f>
        <v>#DIV/0!</v>
      </c>
      <c r="N344" s="27" t="e">
        <f>STDEV(E343:E344)</f>
        <v>#DIV/0!</v>
      </c>
      <c r="O344" s="28"/>
      <c r="P344" s="29" t="e">
        <f>AVERAGE(H343:H344)</f>
        <v>#DIV/0!</v>
      </c>
      <c r="Q344" s="29" t="e">
        <f>STDEV(H343:H344)</f>
        <v>#DIV/0!</v>
      </c>
      <c r="R344" s="28"/>
      <c r="S344" s="29" t="e">
        <f>T344-(M344-Standards!$N$124)*Standards!$AA$55</f>
        <v>#DIV/0!</v>
      </c>
      <c r="T344" s="29" t="e">
        <f>J344-(A344-Standards!$A$124)*Standards!$AA$4</f>
        <v>#DIV/0!</v>
      </c>
      <c r="U344" s="29"/>
      <c r="V344" s="28"/>
      <c r="W344" s="29" t="e">
        <f>X344-(M344-Standards!$N$124)*Standards!$AL$54</f>
        <v>#DIV/0!</v>
      </c>
      <c r="X344" s="29" t="e">
        <f>P344-(A344-Standards!$A$124)*Standards!$AL$5</f>
        <v>#DIV/0!</v>
      </c>
      <c r="Y344" s="111"/>
      <c r="Z344" s="19" t="e">
        <f>(S344*Standards!$O$159)+Standards!$O$160</f>
        <v>#DIV/0!</v>
      </c>
      <c r="AA344" s="20" t="e">
        <f>(W344*Standards!$U$159)+Standards!$U$160</f>
        <v>#DIV/0!</v>
      </c>
    </row>
    <row r="345" spans="1:27" ht="24.95" customHeight="1" x14ac:dyDescent="0.25">
      <c r="Y345" s="58"/>
      <c r="Z345" s="160"/>
      <c r="AA345" s="161"/>
    </row>
    <row r="346" spans="1:27" ht="24.95" customHeight="1" x14ac:dyDescent="0.25">
      <c r="J346" s="31" t="e">
        <f>AVERAGE(G345:G346)</f>
        <v>#DIV/0!</v>
      </c>
      <c r="K346" s="31" t="e">
        <f>STDEV(G345:G346)</f>
        <v>#DIV/0!</v>
      </c>
      <c r="L346" s="26"/>
      <c r="M346" s="27" t="e">
        <f>AVERAGE(E345:E346)</f>
        <v>#DIV/0!</v>
      </c>
      <c r="N346" s="27" t="e">
        <f>STDEV(E345:E346)</f>
        <v>#DIV/0!</v>
      </c>
      <c r="O346" s="28"/>
      <c r="P346" s="29" t="e">
        <f>AVERAGE(H345:H346)</f>
        <v>#DIV/0!</v>
      </c>
      <c r="Q346" s="29" t="e">
        <f>STDEV(H345:H346)</f>
        <v>#DIV/0!</v>
      </c>
      <c r="R346" s="28"/>
      <c r="S346" s="29" t="e">
        <f>T346-(M346-Standards!$N$124)*Standards!$AA$55</f>
        <v>#DIV/0!</v>
      </c>
      <c r="T346" s="29" t="e">
        <f>J346-(A346-Standards!$A$124)*Standards!$AA$4</f>
        <v>#DIV/0!</v>
      </c>
      <c r="U346" s="29"/>
      <c r="V346" s="28"/>
      <c r="W346" s="29" t="e">
        <f>X346-(M346-Standards!$N$124)*Standards!$AL$54</f>
        <v>#DIV/0!</v>
      </c>
      <c r="X346" s="29" t="e">
        <f>P346-(A346-Standards!$A$124)*Standards!$AL$5</f>
        <v>#DIV/0!</v>
      </c>
      <c r="Y346" s="111"/>
      <c r="Z346" s="19" t="e">
        <f>(S346*Standards!$O$159)+Standards!$O$160</f>
        <v>#DIV/0!</v>
      </c>
      <c r="AA346" s="20" t="e">
        <f>(W346*Standards!$U$159)+Standards!$U$160</f>
        <v>#DIV/0!</v>
      </c>
    </row>
    <row r="347" spans="1:27" ht="24.95" customHeight="1" x14ac:dyDescent="0.25">
      <c r="Z347" s="33"/>
      <c r="AA347" s="34"/>
    </row>
    <row r="348" spans="1:27" ht="24.95" customHeight="1" x14ac:dyDescent="0.25">
      <c r="J348" s="31" t="e">
        <f>AVERAGE(G347:G348)</f>
        <v>#DIV/0!</v>
      </c>
      <c r="K348" s="31" t="e">
        <f>STDEV(G347:G348)</f>
        <v>#DIV/0!</v>
      </c>
      <c r="L348" s="26"/>
      <c r="M348" s="27" t="e">
        <f>AVERAGE(E347:E348)</f>
        <v>#DIV/0!</v>
      </c>
      <c r="N348" s="27" t="e">
        <f>STDEV(E347:E348)</f>
        <v>#DIV/0!</v>
      </c>
      <c r="O348" s="28"/>
      <c r="P348" s="29" t="e">
        <f>AVERAGE(H347:H348)</f>
        <v>#DIV/0!</v>
      </c>
      <c r="Q348" s="29" t="e">
        <f>STDEV(H347:H348)</f>
        <v>#DIV/0!</v>
      </c>
      <c r="R348" s="28"/>
      <c r="S348" s="29" t="e">
        <f>T348-(M348-Standards!$N$124)*Standards!$AA$55</f>
        <v>#DIV/0!</v>
      </c>
      <c r="T348" s="29" t="e">
        <f>J348-(A348-Standards!$A$124)*Standards!$AA$4</f>
        <v>#DIV/0!</v>
      </c>
      <c r="U348" s="29"/>
      <c r="V348" s="28"/>
      <c r="W348" s="29" t="e">
        <f>X348-(M348-Standards!$N$124)*Standards!$AL$54</f>
        <v>#DIV/0!</v>
      </c>
      <c r="X348" s="29" t="e">
        <f>P348-(A348-Standards!$A$124)*Standards!$AL$5</f>
        <v>#DIV/0!</v>
      </c>
      <c r="Y348" s="111"/>
      <c r="Z348" s="19" t="e">
        <f>(S348*Standards!$O$159)+Standards!$O$160</f>
        <v>#DIV/0!</v>
      </c>
      <c r="AA348" s="20" t="e">
        <f>(W348*Standards!$U$159)+Standards!$U$160</f>
        <v>#DIV/0!</v>
      </c>
    </row>
    <row r="349" spans="1:27" ht="24.95" customHeight="1" x14ac:dyDescent="0.25">
      <c r="Z349" s="33"/>
      <c r="AA349" s="34"/>
    </row>
    <row r="350" spans="1:27" ht="24.95" customHeight="1" x14ac:dyDescent="0.25">
      <c r="J350" s="31" t="e">
        <f>AVERAGE(G349:G350)</f>
        <v>#DIV/0!</v>
      </c>
      <c r="K350" s="31" t="e">
        <f>STDEV(G349:G350)</f>
        <v>#DIV/0!</v>
      </c>
      <c r="L350" s="26"/>
      <c r="M350" s="27" t="e">
        <f>AVERAGE(E349:E350)</f>
        <v>#DIV/0!</v>
      </c>
      <c r="N350" s="27" t="e">
        <f>STDEV(E349:E350)</f>
        <v>#DIV/0!</v>
      </c>
      <c r="O350" s="28"/>
      <c r="P350" s="29" t="e">
        <f>AVERAGE(H349:H350)</f>
        <v>#DIV/0!</v>
      </c>
      <c r="Q350" s="29" t="e">
        <f>STDEV(H349:H350)</f>
        <v>#DIV/0!</v>
      </c>
      <c r="R350" s="28"/>
      <c r="S350" s="29" t="e">
        <f>T350-(M350-Standards!$N$124)*Standards!$AA$55</f>
        <v>#DIV/0!</v>
      </c>
      <c r="T350" s="29" t="e">
        <f>J350-(A350-Standards!$A$124)*Standards!$AA$4</f>
        <v>#DIV/0!</v>
      </c>
      <c r="U350" s="29"/>
      <c r="V350" s="28"/>
      <c r="W350" s="29" t="e">
        <f>X350-(M350-Standards!$N$124)*Standards!$AL$54</f>
        <v>#DIV/0!</v>
      </c>
      <c r="X350" s="29" t="e">
        <f>P350-(A350-Standards!$A$124)*Standards!$AL$5</f>
        <v>#DIV/0!</v>
      </c>
      <c r="Y350" s="111"/>
      <c r="Z350" s="19" t="e">
        <f>(S350*Standards!$O$159)+Standards!$O$160</f>
        <v>#DIV/0!</v>
      </c>
      <c r="AA350" s="20" t="e">
        <f>(W350*Standards!$U$159)+Standards!$U$160</f>
        <v>#DIV/0!</v>
      </c>
    </row>
    <row r="351" spans="1:27" ht="24.95" customHeight="1" x14ac:dyDescent="0.25">
      <c r="Z351" s="33"/>
      <c r="AA351" s="34"/>
    </row>
    <row r="352" spans="1:27" ht="24.95" customHeight="1" x14ac:dyDescent="0.25">
      <c r="J352" s="31" t="e">
        <f>AVERAGE(G351:G352)</f>
        <v>#DIV/0!</v>
      </c>
      <c r="K352" s="31" t="e">
        <f>STDEV(G351:G352)</f>
        <v>#DIV/0!</v>
      </c>
      <c r="L352" s="26"/>
      <c r="M352" s="27" t="e">
        <f>AVERAGE(E351:E352)</f>
        <v>#DIV/0!</v>
      </c>
      <c r="N352" s="27" t="e">
        <f>STDEV(E351:E352)</f>
        <v>#DIV/0!</v>
      </c>
      <c r="O352" s="28"/>
      <c r="P352" s="29" t="e">
        <f>AVERAGE(H351:H352)</f>
        <v>#DIV/0!</v>
      </c>
      <c r="Q352" s="29" t="e">
        <f>STDEV(H351:H352)</f>
        <v>#DIV/0!</v>
      </c>
      <c r="R352" s="28"/>
      <c r="S352" s="29" t="e">
        <f>T352-(M352-Standards!$N$124)*Standards!$AA$55</f>
        <v>#DIV/0!</v>
      </c>
      <c r="T352" s="29" t="e">
        <f>J352-(A352-Standards!$A$124)*Standards!$AA$4</f>
        <v>#DIV/0!</v>
      </c>
      <c r="U352" s="29"/>
      <c r="V352" s="28"/>
      <c r="W352" s="29" t="e">
        <f>X352-(M352-Standards!$N$124)*Standards!$AL$54</f>
        <v>#DIV/0!</v>
      </c>
      <c r="X352" s="29" t="e">
        <f>P352-(A352-Standards!$A$124)*Standards!$AL$5</f>
        <v>#DIV/0!</v>
      </c>
      <c r="Y352" s="111"/>
      <c r="Z352" s="19" t="e">
        <f>(S352*Standards!$O$159)+Standards!$O$160</f>
        <v>#DIV/0!</v>
      </c>
      <c r="AA352" s="20" t="e">
        <f>(W352*Standards!$U$159)+Standards!$U$160</f>
        <v>#DIV/0!</v>
      </c>
    </row>
    <row r="353" spans="1:27" ht="24.95" customHeight="1" x14ac:dyDescent="0.25">
      <c r="Z353" s="33"/>
      <c r="AA353" s="34"/>
    </row>
    <row r="354" spans="1:27" ht="24.95" customHeight="1" x14ac:dyDescent="0.25">
      <c r="J354" s="31" t="e">
        <f>AVERAGE(G353:G354)</f>
        <v>#DIV/0!</v>
      </c>
      <c r="K354" s="31" t="e">
        <f>STDEV(G353:G354)</f>
        <v>#DIV/0!</v>
      </c>
      <c r="L354" s="26"/>
      <c r="M354" s="27" t="e">
        <f>AVERAGE(E353:E354)</f>
        <v>#DIV/0!</v>
      </c>
      <c r="N354" s="27" t="e">
        <f>STDEV(E353:E354)</f>
        <v>#DIV/0!</v>
      </c>
      <c r="O354" s="28"/>
      <c r="P354" s="29" t="e">
        <f>AVERAGE(H353:H354)</f>
        <v>#DIV/0!</v>
      </c>
      <c r="Q354" s="29" t="e">
        <f>STDEV(H353:H354)</f>
        <v>#DIV/0!</v>
      </c>
      <c r="R354" s="28"/>
      <c r="S354" s="29" t="e">
        <f>T354-(M354-Standards!$N$124)*Standards!$AA$55</f>
        <v>#DIV/0!</v>
      </c>
      <c r="T354" s="29" t="e">
        <f>J354-(A354-Standards!$A$124)*Standards!$AA$4</f>
        <v>#DIV/0!</v>
      </c>
      <c r="U354" s="29"/>
      <c r="V354" s="28"/>
      <c r="W354" s="29" t="e">
        <f>X354-(M354-Standards!$N$124)*Standards!$AL$54</f>
        <v>#DIV/0!</v>
      </c>
      <c r="X354" s="29" t="e">
        <f>P354-(A354-Standards!$A$124)*Standards!$AL$5</f>
        <v>#DIV/0!</v>
      </c>
      <c r="Y354" s="111"/>
      <c r="Z354" s="19" t="e">
        <f>(S354*Standards!$O$159)+Standards!$O$160</f>
        <v>#DIV/0!</v>
      </c>
      <c r="AA354" s="20" t="e">
        <f>(W354*Standards!$U$159)+Standards!$U$160</f>
        <v>#DIV/0!</v>
      </c>
    </row>
    <row r="355" spans="1:27" s="195" customFormat="1" ht="24.95" customHeight="1" x14ac:dyDescent="0.25">
      <c r="A355" s="213"/>
      <c r="Y355" s="214"/>
      <c r="Z355" s="193"/>
      <c r="AA355" s="194"/>
    </row>
    <row r="356" spans="1:27" s="195" customFormat="1" ht="24.95" customHeight="1" x14ac:dyDescent="0.25">
      <c r="A356" s="213"/>
      <c r="J356" s="196" t="e">
        <f>AVERAGE(G355:G356)</f>
        <v>#DIV/0!</v>
      </c>
      <c r="K356" s="196" t="e">
        <f>STDEV(G355:G356)</f>
        <v>#DIV/0!</v>
      </c>
      <c r="L356" s="189"/>
      <c r="M356" s="188" t="e">
        <f>AVERAGE(E355:E356)</f>
        <v>#DIV/0!</v>
      </c>
      <c r="N356" s="188" t="e">
        <f>STDEV(E355:E356)</f>
        <v>#DIV/0!</v>
      </c>
      <c r="O356" s="190"/>
      <c r="P356" s="191" t="e">
        <f>AVERAGE(H355:H356)</f>
        <v>#DIV/0!</v>
      </c>
      <c r="Q356" s="191" t="e">
        <f>STDEV(H355:H356)</f>
        <v>#DIV/0!</v>
      </c>
      <c r="R356" s="190"/>
      <c r="S356" s="191" t="e">
        <f>T356-(M356-Standards!$N$124)*Standards!$AA$55</f>
        <v>#DIV/0!</v>
      </c>
      <c r="T356" s="191" t="e">
        <f>J356-(A356-Standards!$A$124)*Standards!$AA$4</f>
        <v>#DIV/0!</v>
      </c>
      <c r="U356" s="191"/>
      <c r="V356" s="190"/>
      <c r="W356" s="191" t="e">
        <f>X356-(M356-Standards!$N$124)*Standards!$AL$54</f>
        <v>#DIV/0!</v>
      </c>
      <c r="X356" s="191" t="e">
        <f>P356-(A356-Standards!$A$124)*Standards!$AL$5</f>
        <v>#DIV/0!</v>
      </c>
      <c r="Y356" s="197"/>
      <c r="Z356" s="198" t="e">
        <f>(S356*Standards!$O$159)+Standards!$O$160</f>
        <v>#DIV/0!</v>
      </c>
      <c r="AA356" s="199" t="e">
        <f>(W356*Standards!$U$159)+Standards!$U$160</f>
        <v>#DIV/0!</v>
      </c>
    </row>
    <row r="357" spans="1:27" s="195" customFormat="1" ht="24.95" customHeight="1" x14ac:dyDescent="0.25">
      <c r="A357" s="213"/>
      <c r="Y357" s="214"/>
      <c r="Z357" s="193"/>
      <c r="AA357" s="194"/>
    </row>
    <row r="358" spans="1:27" s="195" customFormat="1" ht="24.95" customHeight="1" x14ac:dyDescent="0.25">
      <c r="A358" s="213"/>
      <c r="J358" s="196" t="e">
        <f>AVERAGE(G357:G358)</f>
        <v>#DIV/0!</v>
      </c>
      <c r="K358" s="196" t="e">
        <f>STDEV(G357:G358)</f>
        <v>#DIV/0!</v>
      </c>
      <c r="L358" s="189"/>
      <c r="M358" s="188" t="e">
        <f>AVERAGE(E357:E358)</f>
        <v>#DIV/0!</v>
      </c>
      <c r="N358" s="188" t="e">
        <f>STDEV(E357:E358)</f>
        <v>#DIV/0!</v>
      </c>
      <c r="O358" s="190"/>
      <c r="P358" s="191" t="e">
        <f>AVERAGE(H357:H358)</f>
        <v>#DIV/0!</v>
      </c>
      <c r="Q358" s="191" t="e">
        <f>STDEV(H357:H358)</f>
        <v>#DIV/0!</v>
      </c>
      <c r="R358" s="190"/>
      <c r="S358" s="191" t="e">
        <f>T358-(M358-Standards!$N$124)*Standards!$AA$55</f>
        <v>#DIV/0!</v>
      </c>
      <c r="T358" s="191" t="e">
        <f>J358-(A358-Standards!$A$124)*Standards!$AA$4</f>
        <v>#DIV/0!</v>
      </c>
      <c r="U358" s="191"/>
      <c r="V358" s="190"/>
      <c r="W358" s="191" t="e">
        <f>X358-(M358-Standards!$N$124)*Standards!$AL$54</f>
        <v>#DIV/0!</v>
      </c>
      <c r="X358" s="191" t="e">
        <f>P358-(A358-Standards!$A$124)*Standards!$AL$5</f>
        <v>#DIV/0!</v>
      </c>
      <c r="Y358" s="197"/>
      <c r="Z358" s="198" t="e">
        <f>(S358*Standards!$O$159)+Standards!$O$160</f>
        <v>#DIV/0!</v>
      </c>
      <c r="AA358" s="199" t="e">
        <f>(W358*Standards!$U$159)+Standards!$U$160</f>
        <v>#DIV/0!</v>
      </c>
    </row>
    <row r="359" spans="1:27" ht="24.95" customHeight="1" x14ac:dyDescent="0.25">
      <c r="Y359" s="67"/>
      <c r="Z359" s="33"/>
      <c r="AA359" s="34"/>
    </row>
    <row r="360" spans="1:27" ht="24.95" customHeight="1" x14ac:dyDescent="0.25">
      <c r="J360" s="31" t="e">
        <f>AVERAGE(G359:G360)</f>
        <v>#DIV/0!</v>
      </c>
      <c r="K360" s="31" t="e">
        <f>STDEV(G359:G360)</f>
        <v>#DIV/0!</v>
      </c>
      <c r="L360" s="26"/>
      <c r="M360" s="27" t="e">
        <f>AVERAGE(E359:E360)</f>
        <v>#DIV/0!</v>
      </c>
      <c r="N360" s="27" t="e">
        <f>STDEV(E359:E360)</f>
        <v>#DIV/0!</v>
      </c>
      <c r="O360" s="28"/>
      <c r="P360" s="29" t="e">
        <f>AVERAGE(H359:H360)</f>
        <v>#DIV/0!</v>
      </c>
      <c r="Q360" s="29" t="e">
        <f>STDEV(H359:H360)</f>
        <v>#DIV/0!</v>
      </c>
      <c r="R360" s="28"/>
      <c r="S360" s="29" t="e">
        <f>T360-(M360-Standards!$N$124)*Standards!$AA$55</f>
        <v>#DIV/0!</v>
      </c>
      <c r="T360" s="29" t="e">
        <f>J360-(A360-Standards!$A$124)*Standards!$AA$4</f>
        <v>#DIV/0!</v>
      </c>
      <c r="U360" s="29"/>
      <c r="V360" s="28"/>
      <c r="W360" s="29" t="e">
        <f>X360-(M360-Standards!$N$124)*Standards!$AL$54</f>
        <v>#DIV/0!</v>
      </c>
      <c r="X360" s="29" t="e">
        <f>P360-(A360-Standards!$A$124)*Standards!$AL$5</f>
        <v>#DIV/0!</v>
      </c>
      <c r="Y360" s="111"/>
      <c r="Z360" s="19" t="e">
        <f>(S360*Standards!$O$159)+Standards!$O$160</f>
        <v>#DIV/0!</v>
      </c>
      <c r="AA360" s="20" t="e">
        <f>(W360*Standards!$U$159)+Standards!$U$160</f>
        <v>#DIV/0!</v>
      </c>
    </row>
    <row r="361" spans="1:27" ht="24.95" customHeight="1" x14ac:dyDescent="0.25">
      <c r="Y361" s="67"/>
      <c r="Z361" s="33"/>
      <c r="AA361" s="34"/>
    </row>
    <row r="362" spans="1:27" ht="24.95" customHeight="1" x14ac:dyDescent="0.25">
      <c r="J362" s="31" t="e">
        <f>AVERAGE(G361:G362)</f>
        <v>#DIV/0!</v>
      </c>
      <c r="K362" s="31" t="e">
        <f>STDEV(G361:G362)</f>
        <v>#DIV/0!</v>
      </c>
      <c r="L362" s="26"/>
      <c r="M362" s="27" t="e">
        <f>AVERAGE(E361:E362)</f>
        <v>#DIV/0!</v>
      </c>
      <c r="N362" s="27" t="e">
        <f>STDEV(E361:E362)</f>
        <v>#DIV/0!</v>
      </c>
      <c r="O362" s="28"/>
      <c r="P362" s="29" t="e">
        <f>AVERAGE(H361:H362)</f>
        <v>#DIV/0!</v>
      </c>
      <c r="Q362" s="29" t="e">
        <f>STDEV(H361:H362)</f>
        <v>#DIV/0!</v>
      </c>
      <c r="R362" s="28"/>
      <c r="S362" s="29" t="e">
        <f>T362-(M362-Standards!$N$124)*Standards!$AA$55</f>
        <v>#DIV/0!</v>
      </c>
      <c r="T362" s="29" t="e">
        <f>J362-(A362-Standards!$A$124)*Standards!$AA$4</f>
        <v>#DIV/0!</v>
      </c>
      <c r="U362" s="29"/>
      <c r="V362" s="28"/>
      <c r="W362" s="29" t="e">
        <f>X362-(M362-Standards!$N$124)*Standards!$AL$54</f>
        <v>#DIV/0!</v>
      </c>
      <c r="X362" s="29" t="e">
        <f>P362-(A362-Standards!$A$124)*Standards!$AL$5</f>
        <v>#DIV/0!</v>
      </c>
      <c r="Y362" s="111"/>
      <c r="Z362" s="19" t="e">
        <f>(S362*Standards!$O$159)+Standards!$O$160</f>
        <v>#DIV/0!</v>
      </c>
      <c r="AA362" s="20" t="e">
        <f>(W362*Standards!$U$159)+Standards!$U$160</f>
        <v>#DIV/0!</v>
      </c>
    </row>
    <row r="363" spans="1:27" ht="24.95" customHeight="1" x14ac:dyDescent="0.25">
      <c r="Y363" s="67"/>
      <c r="Z363" s="33"/>
      <c r="AA363" s="34"/>
    </row>
    <row r="364" spans="1:27" ht="24.95" customHeight="1" x14ac:dyDescent="0.25">
      <c r="J364" s="31" t="e">
        <f>AVERAGE(G363:G364)</f>
        <v>#DIV/0!</v>
      </c>
      <c r="K364" s="31" t="e">
        <f>STDEV(G363:G364)</f>
        <v>#DIV/0!</v>
      </c>
      <c r="L364" s="26"/>
      <c r="M364" s="27" t="e">
        <f>AVERAGE(E363:E364)</f>
        <v>#DIV/0!</v>
      </c>
      <c r="N364" s="27" t="e">
        <f>STDEV(E363:E364)</f>
        <v>#DIV/0!</v>
      </c>
      <c r="O364" s="28"/>
      <c r="P364" s="29" t="e">
        <f>AVERAGE(H363:H364)</f>
        <v>#DIV/0!</v>
      </c>
      <c r="Q364" s="29" t="e">
        <f>STDEV(H363:H364)</f>
        <v>#DIV/0!</v>
      </c>
      <c r="R364" s="28"/>
      <c r="S364" s="29" t="e">
        <f>T364-(M364-Standards!$N$124)*Standards!$AA$55</f>
        <v>#DIV/0!</v>
      </c>
      <c r="T364" s="29" t="e">
        <f>J364-(A364-Standards!$A$124)*Standards!$AA$4</f>
        <v>#DIV/0!</v>
      </c>
      <c r="U364" s="29"/>
      <c r="V364" s="28"/>
      <c r="W364" s="29" t="e">
        <f>X364-(M364-Standards!$N$124)*Standards!$AL$54</f>
        <v>#DIV/0!</v>
      </c>
      <c r="X364" s="29" t="e">
        <f>P364-(A364-Standards!$A$124)*Standards!$AL$5</f>
        <v>#DIV/0!</v>
      </c>
      <c r="Y364" s="111"/>
      <c r="Z364" s="19" t="e">
        <f>(S364*Standards!$O$159)+Standards!$O$160</f>
        <v>#DIV/0!</v>
      </c>
      <c r="AA364" s="20" t="e">
        <f>(W364*Standards!$U$159)+Standards!$U$160</f>
        <v>#DIV/0!</v>
      </c>
    </row>
    <row r="365" spans="1:27" ht="24.95" customHeight="1" x14ac:dyDescent="0.25">
      <c r="Y365" s="67"/>
      <c r="Z365" s="33"/>
      <c r="AA365" s="34"/>
    </row>
    <row r="366" spans="1:27" ht="24.95" customHeight="1" x14ac:dyDescent="0.25">
      <c r="J366" s="31" t="e">
        <f>AVERAGE(G365:G366)</f>
        <v>#DIV/0!</v>
      </c>
      <c r="K366" s="31" t="e">
        <f>STDEV(G365:G366)</f>
        <v>#DIV/0!</v>
      </c>
      <c r="L366" s="26"/>
      <c r="M366" s="27" t="e">
        <f>AVERAGE(E365:E366)</f>
        <v>#DIV/0!</v>
      </c>
      <c r="N366" s="27" t="e">
        <f>STDEV(E365:E366)</f>
        <v>#DIV/0!</v>
      </c>
      <c r="O366" s="28"/>
      <c r="P366" s="29" t="e">
        <f>AVERAGE(H365:H366)</f>
        <v>#DIV/0!</v>
      </c>
      <c r="Q366" s="29" t="e">
        <f>STDEV(H365:H366)</f>
        <v>#DIV/0!</v>
      </c>
      <c r="R366" s="28"/>
      <c r="S366" s="29" t="e">
        <f>T366-(M366-Standards!$N$124)*Standards!$AA$55</f>
        <v>#DIV/0!</v>
      </c>
      <c r="T366" s="29" t="e">
        <f>J366-(A366-Standards!$A$124)*Standards!$AA$4</f>
        <v>#DIV/0!</v>
      </c>
      <c r="U366" s="29"/>
      <c r="V366" s="28"/>
      <c r="W366" s="29" t="e">
        <f>X366-(M366-Standards!$N$124)*Standards!$AL$54</f>
        <v>#DIV/0!</v>
      </c>
      <c r="X366" s="29" t="e">
        <f>P366-(A366-Standards!$A$124)*Standards!$AL$5</f>
        <v>#DIV/0!</v>
      </c>
      <c r="Y366" s="111"/>
      <c r="Z366" s="19" t="e">
        <f>(S366*Standards!$O$159)+Standards!$O$160</f>
        <v>#DIV/0!</v>
      </c>
      <c r="AA366" s="20" t="e">
        <f>(W366*Standards!$U$159)+Standards!$U$160</f>
        <v>#DIV/0!</v>
      </c>
    </row>
    <row r="367" spans="1:27" ht="24.95" customHeight="1" x14ac:dyDescent="0.25">
      <c r="Y367" s="67"/>
      <c r="Z367" s="33"/>
      <c r="AA367" s="34"/>
    </row>
    <row r="368" spans="1:27" ht="24.95" customHeight="1" x14ac:dyDescent="0.25">
      <c r="J368" s="31" t="e">
        <f>AVERAGE(G367:G368)</f>
        <v>#DIV/0!</v>
      </c>
      <c r="K368" s="31" t="e">
        <f>STDEV(G367:G368)</f>
        <v>#DIV/0!</v>
      </c>
      <c r="L368" s="26"/>
      <c r="M368" s="27" t="e">
        <f>AVERAGE(E367:E368)</f>
        <v>#DIV/0!</v>
      </c>
      <c r="N368" s="27" t="e">
        <f>STDEV(E367:E368)</f>
        <v>#DIV/0!</v>
      </c>
      <c r="O368" s="28"/>
      <c r="P368" s="29" t="e">
        <f>AVERAGE(H367:H368)</f>
        <v>#DIV/0!</v>
      </c>
      <c r="Q368" s="29" t="e">
        <f>STDEV(H367:H368)</f>
        <v>#DIV/0!</v>
      </c>
      <c r="R368" s="28"/>
      <c r="S368" s="29" t="e">
        <f>T368-(M368-Standards!$N$124)*Standards!$AA$55</f>
        <v>#DIV/0!</v>
      </c>
      <c r="T368" s="29" t="e">
        <f>J368-(A368-Standards!$A$124)*Standards!$AA$4</f>
        <v>#DIV/0!</v>
      </c>
      <c r="U368" s="29"/>
      <c r="V368" s="28"/>
      <c r="W368" s="29" t="e">
        <f>X368-(M368-Standards!$N$124)*Standards!$AL$54</f>
        <v>#DIV/0!</v>
      </c>
      <c r="X368" s="29" t="e">
        <f>P368-(A368-Standards!$A$124)*Standards!$AL$5</f>
        <v>#DIV/0!</v>
      </c>
      <c r="Y368" s="111"/>
      <c r="Z368" s="19" t="e">
        <f>(S368*Standards!$O$159)+Standards!$O$160</f>
        <v>#DIV/0!</v>
      </c>
      <c r="AA368" s="20" t="e">
        <f>(W368*Standards!$U$159)+Standards!$U$160</f>
        <v>#DIV/0!</v>
      </c>
    </row>
    <row r="369" spans="1:27" ht="24.95" customHeight="1" x14ac:dyDescent="0.25">
      <c r="Y369" s="67"/>
      <c r="Z369" s="33"/>
      <c r="AA369" s="34"/>
    </row>
    <row r="370" spans="1:27" ht="24.95" customHeight="1" x14ac:dyDescent="0.25">
      <c r="J370" s="31" t="e">
        <f>AVERAGE(G369:G370)</f>
        <v>#DIV/0!</v>
      </c>
      <c r="K370" s="31" t="e">
        <f>STDEV(G369:G370)</f>
        <v>#DIV/0!</v>
      </c>
      <c r="L370" s="26"/>
      <c r="M370" s="27" t="e">
        <f>AVERAGE(E369:E370)</f>
        <v>#DIV/0!</v>
      </c>
      <c r="N370" s="27" t="e">
        <f>STDEV(E369:E370)</f>
        <v>#DIV/0!</v>
      </c>
      <c r="O370" s="28"/>
      <c r="P370" s="29" t="e">
        <f>AVERAGE(H369:H370)</f>
        <v>#DIV/0!</v>
      </c>
      <c r="Q370" s="29" t="e">
        <f>STDEV(H369:H370)</f>
        <v>#DIV/0!</v>
      </c>
      <c r="R370" s="28"/>
      <c r="S370" s="29" t="e">
        <f>T370-(M370-Standards!$N$124)*Standards!$AA$55</f>
        <v>#DIV/0!</v>
      </c>
      <c r="T370" s="29" t="e">
        <f>J370-(A370-Standards!$A$124)*Standards!$AA$4</f>
        <v>#DIV/0!</v>
      </c>
      <c r="U370" s="29"/>
      <c r="V370" s="28"/>
      <c r="W370" s="29" t="e">
        <f>X370-(M370-Standards!$N$124)*Standards!$AL$54</f>
        <v>#DIV/0!</v>
      </c>
      <c r="X370" s="29" t="e">
        <f>P370-(A370-Standards!$A$124)*Standards!$AL$5</f>
        <v>#DIV/0!</v>
      </c>
      <c r="Y370" s="111"/>
      <c r="Z370" s="19" t="e">
        <f>(S370*Standards!$O$159)+Standards!$O$160</f>
        <v>#DIV/0!</v>
      </c>
      <c r="AA370" s="20" t="e">
        <f>(W370*Standards!$U$159)+Standards!$U$160</f>
        <v>#DIV/0!</v>
      </c>
    </row>
    <row r="371" spans="1:27" ht="24.95" customHeight="1" x14ac:dyDescent="0.25">
      <c r="Y371" s="67"/>
      <c r="Z371" s="33"/>
      <c r="AA371" s="34"/>
    </row>
    <row r="372" spans="1:27" ht="24.95" customHeight="1" x14ac:dyDescent="0.25">
      <c r="J372" s="31" t="e">
        <f>AVERAGE(G371:G372)</f>
        <v>#DIV/0!</v>
      </c>
      <c r="K372" s="31" t="e">
        <f>STDEV(G371:G372)</f>
        <v>#DIV/0!</v>
      </c>
      <c r="L372" s="26"/>
      <c r="M372" s="27" t="e">
        <f>AVERAGE(E371:E372)</f>
        <v>#DIV/0!</v>
      </c>
      <c r="N372" s="27" t="e">
        <f>STDEV(E371:E372)</f>
        <v>#DIV/0!</v>
      </c>
      <c r="O372" s="28"/>
      <c r="P372" s="29" t="e">
        <f>AVERAGE(H371:H372)</f>
        <v>#DIV/0!</v>
      </c>
      <c r="Q372" s="29" t="e">
        <f>STDEV(H371:H372)</f>
        <v>#DIV/0!</v>
      </c>
      <c r="R372" s="28"/>
      <c r="S372" s="29" t="e">
        <f>T372-(M372-Standards!$N$124)*Standards!$AA$55</f>
        <v>#DIV/0!</v>
      </c>
      <c r="T372" s="29" t="e">
        <f>J372-(A372-Standards!$A$124)*Standards!$AA$4</f>
        <v>#DIV/0!</v>
      </c>
      <c r="U372" s="29"/>
      <c r="V372" s="28"/>
      <c r="W372" s="29" t="e">
        <f>X372-(M372-Standards!$N$124)*Standards!$AL$54</f>
        <v>#DIV/0!</v>
      </c>
      <c r="X372" s="29" t="e">
        <f>P372-(A372-Standards!$A$124)*Standards!$AL$5</f>
        <v>#DIV/0!</v>
      </c>
      <c r="Y372" s="111"/>
      <c r="Z372" s="19" t="e">
        <f>(S372*Standards!$O$159)+Standards!$O$160</f>
        <v>#DIV/0!</v>
      </c>
      <c r="AA372" s="20" t="e">
        <f>(W372*Standards!$U$159)+Standards!$U$160</f>
        <v>#DIV/0!</v>
      </c>
    </row>
    <row r="373" spans="1:27" ht="24.95" customHeight="1" x14ac:dyDescent="0.25">
      <c r="Y373" s="67"/>
      <c r="Z373" s="33"/>
      <c r="AA373" s="34"/>
    </row>
    <row r="374" spans="1:27" ht="24.95" customHeight="1" x14ac:dyDescent="0.25">
      <c r="J374" s="31" t="e">
        <f>AVERAGE(G373:G374)</f>
        <v>#DIV/0!</v>
      </c>
      <c r="K374" s="31" t="e">
        <f>STDEV(G373:G374)</f>
        <v>#DIV/0!</v>
      </c>
      <c r="L374" s="26"/>
      <c r="M374" s="27" t="e">
        <f>AVERAGE(E373:E374)</f>
        <v>#DIV/0!</v>
      </c>
      <c r="N374" s="27" t="e">
        <f>STDEV(E373:E374)</f>
        <v>#DIV/0!</v>
      </c>
      <c r="O374" s="28"/>
      <c r="P374" s="29" t="e">
        <f>AVERAGE(H373:H374)</f>
        <v>#DIV/0!</v>
      </c>
      <c r="Q374" s="29" t="e">
        <f>STDEV(H373:H374)</f>
        <v>#DIV/0!</v>
      </c>
      <c r="R374" s="28"/>
      <c r="S374" s="29" t="e">
        <f>T374-(M374-Standards!$N$124)*Standards!$AA$55</f>
        <v>#DIV/0!</v>
      </c>
      <c r="T374" s="29" t="e">
        <f>J374-(A374-Standards!$A$124)*Standards!$AA$4</f>
        <v>#DIV/0!</v>
      </c>
      <c r="U374" s="29"/>
      <c r="V374" s="28"/>
      <c r="W374" s="29" t="e">
        <f>X374-(M374-Standards!$N$124)*Standards!$AL$54</f>
        <v>#DIV/0!</v>
      </c>
      <c r="X374" s="29" t="e">
        <f>P374-(A374-Standards!$A$124)*Standards!$AL$5</f>
        <v>#DIV/0!</v>
      </c>
      <c r="Y374" s="111"/>
      <c r="Z374" s="19" t="e">
        <f>(S374*Standards!$O$159)+Standards!$O$160</f>
        <v>#DIV/0!</v>
      </c>
      <c r="AA374" s="20" t="e">
        <f>(W374*Standards!$U$159)+Standards!$U$160</f>
        <v>#DIV/0!</v>
      </c>
    </row>
    <row r="375" spans="1:27" ht="24.95" customHeight="1" x14ac:dyDescent="0.25">
      <c r="Y375" s="67"/>
      <c r="Z375" s="33"/>
      <c r="AA375" s="34"/>
    </row>
    <row r="376" spans="1:27" ht="24.95" customHeight="1" x14ac:dyDescent="0.25">
      <c r="J376" s="31" t="e">
        <f>AVERAGE(G375:G376)</f>
        <v>#DIV/0!</v>
      </c>
      <c r="K376" s="31" t="e">
        <f>STDEV(G375:G376)</f>
        <v>#DIV/0!</v>
      </c>
      <c r="L376" s="26"/>
      <c r="M376" s="27" t="e">
        <f>AVERAGE(E375:E376)</f>
        <v>#DIV/0!</v>
      </c>
      <c r="N376" s="27" t="e">
        <f>STDEV(E375:E376)</f>
        <v>#DIV/0!</v>
      </c>
      <c r="O376" s="28"/>
      <c r="P376" s="29" t="e">
        <f>AVERAGE(H375:H376)</f>
        <v>#DIV/0!</v>
      </c>
      <c r="Q376" s="29" t="e">
        <f>STDEV(H375:H376)</f>
        <v>#DIV/0!</v>
      </c>
      <c r="R376" s="28"/>
      <c r="S376" s="29" t="e">
        <f>T376-(M376-Standards!$N$124)*Standards!$AA$55</f>
        <v>#DIV/0!</v>
      </c>
      <c r="T376" s="29" t="e">
        <f>J376-(A376-Standards!$A$124)*Standards!$AA$4</f>
        <v>#DIV/0!</v>
      </c>
      <c r="U376" s="29"/>
      <c r="V376" s="28"/>
      <c r="W376" s="29" t="e">
        <f>X376-(M376-Standards!$N$124)*Standards!$AL$54</f>
        <v>#DIV/0!</v>
      </c>
      <c r="X376" s="29" t="e">
        <f>P376-(A376-Standards!$A$124)*Standards!$AL$5</f>
        <v>#DIV/0!</v>
      </c>
      <c r="Y376" s="111"/>
      <c r="Z376" s="19" t="e">
        <f>(S376*Standards!$O$159)+Standards!$O$160</f>
        <v>#DIV/0!</v>
      </c>
      <c r="AA376" s="20" t="e">
        <f>(W376*Standards!$U$159)+Standards!$U$160</f>
        <v>#DIV/0!</v>
      </c>
    </row>
    <row r="377" spans="1:27" ht="24.95" customHeight="1" x14ac:dyDescent="0.25">
      <c r="Y377" s="67"/>
      <c r="Z377" s="33"/>
      <c r="AA377" s="34"/>
    </row>
    <row r="378" spans="1:27" ht="24.95" customHeight="1" x14ac:dyDescent="0.25">
      <c r="J378" s="31" t="e">
        <f>AVERAGE(G377:G378)</f>
        <v>#DIV/0!</v>
      </c>
      <c r="K378" s="31" t="e">
        <f>STDEV(G377:G378)</f>
        <v>#DIV/0!</v>
      </c>
      <c r="L378" s="26"/>
      <c r="M378" s="27" t="e">
        <f>AVERAGE(E377:E378)</f>
        <v>#DIV/0!</v>
      </c>
      <c r="N378" s="27" t="e">
        <f>STDEV(E377:E378)</f>
        <v>#DIV/0!</v>
      </c>
      <c r="O378" s="28"/>
      <c r="P378" s="29" t="e">
        <f>AVERAGE(H377:H378)</f>
        <v>#DIV/0!</v>
      </c>
      <c r="Q378" s="29" t="e">
        <f>STDEV(H377:H378)</f>
        <v>#DIV/0!</v>
      </c>
      <c r="R378" s="28"/>
      <c r="S378" s="29" t="e">
        <f>T378-(M378-Standards!$N$124)*Standards!$AA$55</f>
        <v>#DIV/0!</v>
      </c>
      <c r="T378" s="29" t="e">
        <f>J378-(A378-Standards!$A$124)*Standards!$AA$4</f>
        <v>#DIV/0!</v>
      </c>
      <c r="U378" s="29"/>
      <c r="V378" s="28"/>
      <c r="W378" s="29" t="e">
        <f>X378-(M378-Standards!$N$124)*Standards!$AL$54</f>
        <v>#DIV/0!</v>
      </c>
      <c r="X378" s="29" t="e">
        <f>P378-(A378-Standards!$A$124)*Standards!$AL$5</f>
        <v>#DIV/0!</v>
      </c>
      <c r="Y378" s="111"/>
      <c r="Z378" s="19" t="e">
        <f>(S378*Standards!$O$159)+Standards!$O$160</f>
        <v>#DIV/0!</v>
      </c>
      <c r="AA378" s="20" t="e">
        <f>(W378*Standards!$U$159)+Standards!$U$160</f>
        <v>#DIV/0!</v>
      </c>
    </row>
    <row r="379" spans="1:27" s="195" customFormat="1" ht="24.95" customHeight="1" x14ac:dyDescent="0.25">
      <c r="A379" s="213"/>
      <c r="Y379" s="214"/>
      <c r="Z379" s="193"/>
      <c r="AA379" s="194"/>
    </row>
    <row r="380" spans="1:27" s="195" customFormat="1" ht="24.95" customHeight="1" x14ac:dyDescent="0.25">
      <c r="A380" s="213"/>
      <c r="J380" s="196" t="e">
        <f>AVERAGE(G379:G380)</f>
        <v>#DIV/0!</v>
      </c>
      <c r="K380" s="196" t="e">
        <f>STDEV(G379:G380)</f>
        <v>#DIV/0!</v>
      </c>
      <c r="L380" s="189"/>
      <c r="M380" s="188" t="e">
        <f>AVERAGE(E379:E380)</f>
        <v>#DIV/0!</v>
      </c>
      <c r="N380" s="188" t="e">
        <f>STDEV(E379:E380)</f>
        <v>#DIV/0!</v>
      </c>
      <c r="O380" s="190"/>
      <c r="P380" s="191" t="e">
        <f>AVERAGE(H379:H380)</f>
        <v>#DIV/0!</v>
      </c>
      <c r="Q380" s="191" t="e">
        <f>STDEV(H379:H380)</f>
        <v>#DIV/0!</v>
      </c>
      <c r="R380" s="190"/>
      <c r="S380" s="191" t="e">
        <f>T380-(M380-Standards!$N$124)*Standards!$AA$55</f>
        <v>#DIV/0!</v>
      </c>
      <c r="T380" s="191" t="e">
        <f>J380-(A380-Standards!$A$124)*Standards!$AA$4</f>
        <v>#DIV/0!</v>
      </c>
      <c r="U380" s="191"/>
      <c r="V380" s="190"/>
      <c r="W380" s="191" t="e">
        <f>X380-(M380-Standards!$N$124)*Standards!$AL$54</f>
        <v>#DIV/0!</v>
      </c>
      <c r="X380" s="191" t="e">
        <f>P380-(A380-Standards!$A$124)*Standards!$AL$5</f>
        <v>#DIV/0!</v>
      </c>
      <c r="Y380" s="197"/>
      <c r="Z380" s="198" t="e">
        <f>(S380*Standards!$O$159)+Standards!$O$160</f>
        <v>#DIV/0!</v>
      </c>
      <c r="AA380" s="199" t="e">
        <f>(W380*Standards!$U$159)+Standards!$U$160</f>
        <v>#DIV/0!</v>
      </c>
    </row>
    <row r="381" spans="1:27" s="195" customFormat="1" ht="24.95" customHeight="1" x14ac:dyDescent="0.25">
      <c r="A381" s="213"/>
      <c r="Y381" s="214"/>
      <c r="Z381" s="193"/>
      <c r="AA381" s="194"/>
    </row>
    <row r="382" spans="1:27" s="195" customFormat="1" ht="24.95" customHeight="1" x14ac:dyDescent="0.25">
      <c r="A382" s="213"/>
      <c r="J382" s="196" t="e">
        <f>AVERAGE(G381:G382)</f>
        <v>#DIV/0!</v>
      </c>
      <c r="K382" s="196" t="e">
        <f>STDEV(G381:G382)</f>
        <v>#DIV/0!</v>
      </c>
      <c r="L382" s="189"/>
      <c r="M382" s="188" t="e">
        <f>AVERAGE(E381:E382)</f>
        <v>#DIV/0!</v>
      </c>
      <c r="N382" s="188" t="e">
        <f>STDEV(E381:E382)</f>
        <v>#DIV/0!</v>
      </c>
      <c r="O382" s="190"/>
      <c r="P382" s="191" t="e">
        <f>AVERAGE(H381:H382)</f>
        <v>#DIV/0!</v>
      </c>
      <c r="Q382" s="191" t="e">
        <f>STDEV(H381:H382)</f>
        <v>#DIV/0!</v>
      </c>
      <c r="R382" s="190"/>
      <c r="S382" s="191" t="e">
        <f>T382-(M382-Standards!$N$124)*Standards!$AA$55</f>
        <v>#DIV/0!</v>
      </c>
      <c r="T382" s="191" t="e">
        <f>J382-(A382-Standards!$A$124)*Standards!$AA$4</f>
        <v>#DIV/0!</v>
      </c>
      <c r="U382" s="191"/>
      <c r="V382" s="190"/>
      <c r="W382" s="191" t="e">
        <f>X382-(M382-Standards!$N$124)*Standards!$AL$54</f>
        <v>#DIV/0!</v>
      </c>
      <c r="X382" s="191" t="e">
        <f>P382-(A382-Standards!$A$124)*Standards!$AL$5</f>
        <v>#DIV/0!</v>
      </c>
      <c r="Y382" s="197"/>
      <c r="Z382" s="198" t="e">
        <f>(S382*Standards!$O$159)+Standards!$O$160</f>
        <v>#DIV/0!</v>
      </c>
      <c r="AA382" s="199" t="e">
        <f>(W382*Standards!$U$159)+Standards!$U$160</f>
        <v>#DIV/0!</v>
      </c>
    </row>
    <row r="383" spans="1:27" ht="24.95" customHeight="1" x14ac:dyDescent="0.25">
      <c r="A383" s="1"/>
      <c r="B383" s="1"/>
      <c r="C383" s="2"/>
      <c r="D383" s="1"/>
      <c r="E383" s="1"/>
      <c r="F383" s="1"/>
      <c r="G383" s="1"/>
      <c r="H383" s="1"/>
      <c r="Y383" s="216"/>
      <c r="AA383" s="34"/>
    </row>
    <row r="384" spans="1:27" ht="24.95" customHeight="1" x14ac:dyDescent="0.25">
      <c r="A384" s="1"/>
      <c r="B384" s="1"/>
      <c r="C384" s="2"/>
      <c r="D384" s="1"/>
      <c r="E384" s="1"/>
      <c r="F384" s="1"/>
      <c r="G384" s="1"/>
      <c r="H384" s="1"/>
      <c r="J384" s="31"/>
      <c r="K384" s="31"/>
      <c r="L384" s="26"/>
      <c r="M384" s="27"/>
      <c r="N384" s="27"/>
      <c r="O384" s="28"/>
      <c r="P384" s="29"/>
      <c r="Q384" s="29"/>
      <c r="R384" s="28"/>
      <c r="S384" s="29"/>
      <c r="T384" s="29"/>
      <c r="U384" s="29"/>
      <c r="V384" s="28"/>
      <c r="W384" s="29"/>
      <c r="X384" s="29"/>
      <c r="Y384" s="111"/>
      <c r="Z384" s="19"/>
      <c r="AA384" s="20"/>
    </row>
    <row r="385" spans="24:30" ht="24.95" customHeight="1" thickBot="1" x14ac:dyDescent="0.3">
      <c r="Z385" s="217"/>
      <c r="AA385" s="218"/>
    </row>
    <row r="386" spans="24:30" ht="24.95" customHeight="1" thickBot="1" x14ac:dyDescent="0.3">
      <c r="X386" s="165" t="s">
        <v>525</v>
      </c>
      <c r="Y386" s="166">
        <f>COUNT(Z20,Z22,Z24,Z46,Z48,Z70,Z72,Z94,Z96,Z118,Z120,Z142,Z144,Z166,Z168,Z190,Z192,Z194,Z196,Z212,Z214,Z236,Z238,Z260,Z262,Z284,Z286,Z308,Z310,Z332,Z334)</f>
        <v>29</v>
      </c>
      <c r="Z386" s="163" t="s">
        <v>30</v>
      </c>
      <c r="AA386" s="164" t="s">
        <v>31</v>
      </c>
    </row>
    <row r="387" spans="24:30" ht="24.95" customHeight="1" x14ac:dyDescent="0.25">
      <c r="Y387" s="162" t="s">
        <v>524</v>
      </c>
      <c r="Z387" s="167">
        <f>AVERAGE(Z20,Z22,Z24,Z46,Z48,Z70,Z72,Z94,Z96,Z118,Z120,Z142,Z144,Z166,Z168,Z190,Z192,Z194,Z196,Z212,Z214,Z236,Z238,Z260,Z262,Z284,Z286,Z308,Z310,Z332,Z334)</f>
        <v>4.4594343069065197</v>
      </c>
      <c r="AA387" s="179">
        <f>AVERAGE(AA20,AA22,AA24,AA46,AA48,AA70,AA72,AA94,AA96,AA118,AA120,AA142,AA144,AA166,AA168,AA190,AA192,AA194,AA196,AA212,AA214,AA236,AA238,AA260,AA262,AA284,AA286,AA308,AA310,AA332,AA334)</f>
        <v>26.508079575989473</v>
      </c>
    </row>
    <row r="388" spans="24:30" ht="24.95" customHeight="1" x14ac:dyDescent="0.25">
      <c r="Y388" s="162" t="s">
        <v>18</v>
      </c>
      <c r="Z388" s="168">
        <f>STDEV(Z20,Z22,Z24,Z46,Z48,Z70,Z72,Z94,Z96,Z118,Z120,Z142,Z144,Z166,Z168,Z190,Z192,Z194,Z196,Z212,Z214,Z236,Z238,Z260,Z262,Z284,Z286,Z308,Z310,Z332,Z334)</f>
        <v>3.8412004926602537E-2</v>
      </c>
      <c r="AA388" s="180">
        <f>STDEV(AA20,AA22,AA24,AA46,AA48,AA70,AA72,AA94,AA96,AA118,AA120,AA142,AA144,AA166,AA168,AA190,AA192,AA194,AA196,AA212,AA214,AA236,AA238,AA260,AA262,AA284,AA286,AA308,AA310,AA332,AA334)</f>
        <v>5.4971270522076544E-2</v>
      </c>
    </row>
    <row r="389" spans="24:30" ht="24.95" customHeight="1" thickBot="1" x14ac:dyDescent="0.3">
      <c r="Y389" s="162" t="s">
        <v>32</v>
      </c>
      <c r="Z389" s="181">
        <v>4.49</v>
      </c>
      <c r="AA389" s="169">
        <v>26.5</v>
      </c>
      <c r="AD389" s="66"/>
    </row>
    <row r="390" spans="24:30" ht="24.95" customHeight="1" x14ac:dyDescent="0.25">
      <c r="Y390" s="67"/>
      <c r="Z390" s="126"/>
      <c r="AA390" s="126"/>
    </row>
  </sheetData>
  <conditionalFormatting sqref="E1:E190 E213:E1048576">
    <cfRule type="cellIs" dxfId="1" priority="2" operator="greaterThan">
      <formula>37000</formula>
    </cfRule>
  </conditionalFormatting>
  <conditionalFormatting sqref="E191:E212">
    <cfRule type="cellIs" dxfId="0" priority="1" operator="greaterThan">
      <formula>37000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0818-3CFB-42BE-8266-DE44493F00D2}">
  <dimension ref="A1:H344"/>
  <sheetViews>
    <sheetView topLeftCell="A307" workbookViewId="0">
      <selection activeCell="A3" sqref="A3:H342"/>
    </sheetView>
  </sheetViews>
  <sheetFormatPr defaultColWidth="9.140625" defaultRowHeight="15" x14ac:dyDescent="0.25"/>
  <cols>
    <col min="1" max="1" width="9.140625" style="2"/>
    <col min="2" max="2" width="20.28515625" style="2" bestFit="1" customWidth="1"/>
    <col min="3" max="16384" width="9.140625" style="2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3" spans="1:8" x14ac:dyDescent="0.25">
      <c r="A3" s="220">
        <v>2</v>
      </c>
      <c r="B3" s="220" t="s">
        <v>23</v>
      </c>
      <c r="C3" s="220" t="s">
        <v>505</v>
      </c>
      <c r="D3" s="220">
        <v>6</v>
      </c>
      <c r="E3" s="220">
        <v>13350</v>
      </c>
      <c r="F3" s="220">
        <v>169.452</v>
      </c>
      <c r="G3" s="220">
        <v>-4.7290000000000001</v>
      </c>
      <c r="H3" s="220">
        <v>17.385000000000002</v>
      </c>
    </row>
    <row r="4" spans="1:8" x14ac:dyDescent="0.25">
      <c r="A4" s="220">
        <v>2</v>
      </c>
      <c r="B4" s="220" t="s">
        <v>23</v>
      </c>
      <c r="C4" s="220" t="s">
        <v>505</v>
      </c>
      <c r="D4" s="220">
        <v>7</v>
      </c>
      <c r="E4" s="220">
        <v>12410</v>
      </c>
      <c r="F4" s="220">
        <v>157.446</v>
      </c>
      <c r="G4" s="220">
        <v>-4.6660000000000004</v>
      </c>
      <c r="H4" s="220">
        <v>17.390999999999998</v>
      </c>
    </row>
    <row r="5" spans="1:8" x14ac:dyDescent="0.25">
      <c r="A5" s="220">
        <v>3</v>
      </c>
      <c r="B5" s="220" t="s">
        <v>567</v>
      </c>
      <c r="C5" s="220" t="s">
        <v>229</v>
      </c>
      <c r="D5" s="220">
        <v>6</v>
      </c>
      <c r="E5" s="220">
        <v>15170</v>
      </c>
      <c r="F5" s="220">
        <v>185.483</v>
      </c>
      <c r="G5" s="220">
        <v>-4.7290000000000001</v>
      </c>
      <c r="H5" s="220">
        <v>17.3</v>
      </c>
    </row>
    <row r="6" spans="1:8" x14ac:dyDescent="0.25">
      <c r="A6" s="220">
        <v>3</v>
      </c>
      <c r="B6" s="220" t="s">
        <v>567</v>
      </c>
      <c r="C6" s="220" t="s">
        <v>229</v>
      </c>
      <c r="D6" s="220">
        <v>7</v>
      </c>
      <c r="E6" s="220">
        <v>14309</v>
      </c>
      <c r="F6" s="220">
        <v>173.64500000000001</v>
      </c>
      <c r="G6" s="220">
        <v>-4.6769999999999996</v>
      </c>
      <c r="H6" s="220">
        <v>17.324000000000002</v>
      </c>
    </row>
    <row r="7" spans="1:8" x14ac:dyDescent="0.25">
      <c r="A7" s="220">
        <v>4</v>
      </c>
      <c r="B7" s="220" t="s">
        <v>567</v>
      </c>
      <c r="C7" s="220" t="s">
        <v>328</v>
      </c>
      <c r="D7" s="220">
        <v>6</v>
      </c>
      <c r="E7" s="220">
        <v>15628</v>
      </c>
      <c r="F7" s="220">
        <v>198.58099999999999</v>
      </c>
      <c r="G7" s="220">
        <v>-4.6580000000000004</v>
      </c>
      <c r="H7" s="220">
        <v>17.242999999999999</v>
      </c>
    </row>
    <row r="8" spans="1:8" x14ac:dyDescent="0.25">
      <c r="A8" s="220">
        <v>4</v>
      </c>
      <c r="B8" s="220" t="s">
        <v>567</v>
      </c>
      <c r="C8" s="220" t="s">
        <v>328</v>
      </c>
      <c r="D8" s="220">
        <v>7</v>
      </c>
      <c r="E8" s="220">
        <v>14585</v>
      </c>
      <c r="F8" s="220">
        <v>184.82599999999999</v>
      </c>
      <c r="G8" s="220">
        <v>-4.6180000000000003</v>
      </c>
      <c r="H8" s="220">
        <v>17.257999999999999</v>
      </c>
    </row>
    <row r="9" spans="1:8" x14ac:dyDescent="0.25">
      <c r="A9" s="220">
        <v>5</v>
      </c>
      <c r="B9" s="220" t="s">
        <v>567</v>
      </c>
      <c r="C9" s="220" t="s">
        <v>297</v>
      </c>
      <c r="D9" s="220">
        <v>6</v>
      </c>
      <c r="E9" s="220">
        <v>17291</v>
      </c>
      <c r="F9" s="220">
        <v>208.851</v>
      </c>
      <c r="G9" s="220">
        <v>-4.7009999999999996</v>
      </c>
      <c r="H9" s="220">
        <v>17.2</v>
      </c>
    </row>
    <row r="10" spans="1:8" x14ac:dyDescent="0.25">
      <c r="A10" s="220">
        <v>5</v>
      </c>
      <c r="B10" s="220" t="s">
        <v>567</v>
      </c>
      <c r="C10" s="220" t="s">
        <v>297</v>
      </c>
      <c r="D10" s="220">
        <v>7</v>
      </c>
      <c r="E10" s="220">
        <v>16186</v>
      </c>
      <c r="F10" s="220">
        <v>197.149</v>
      </c>
      <c r="G10" s="220">
        <v>-4.7460000000000004</v>
      </c>
      <c r="H10" s="220">
        <v>17.236000000000001</v>
      </c>
    </row>
    <row r="11" spans="1:8" x14ac:dyDescent="0.25">
      <c r="A11" s="220">
        <v>6</v>
      </c>
      <c r="B11" s="220" t="s">
        <v>24</v>
      </c>
      <c r="C11" s="220" t="s">
        <v>496</v>
      </c>
      <c r="D11" s="220">
        <v>6</v>
      </c>
      <c r="E11" s="220">
        <v>13590</v>
      </c>
      <c r="F11" s="220">
        <v>172.613</v>
      </c>
      <c r="G11" s="220">
        <v>2.2120000000000002</v>
      </c>
      <c r="H11" s="220">
        <v>39.091000000000001</v>
      </c>
    </row>
    <row r="12" spans="1:8" x14ac:dyDescent="0.25">
      <c r="A12" s="220">
        <v>6</v>
      </c>
      <c r="B12" s="220" t="s">
        <v>24</v>
      </c>
      <c r="C12" s="220" t="s">
        <v>496</v>
      </c>
      <c r="D12" s="220">
        <v>7</v>
      </c>
      <c r="E12" s="220">
        <v>12673</v>
      </c>
      <c r="F12" s="220">
        <v>160.447</v>
      </c>
      <c r="G12" s="220">
        <v>2.2650000000000001</v>
      </c>
      <c r="H12" s="220">
        <v>39.104999999999997</v>
      </c>
    </row>
    <row r="13" spans="1:8" x14ac:dyDescent="0.25">
      <c r="A13" s="220">
        <v>7</v>
      </c>
      <c r="B13" s="220" t="s">
        <v>24</v>
      </c>
      <c r="C13" s="220" t="s">
        <v>783</v>
      </c>
      <c r="D13" s="220">
        <v>6</v>
      </c>
      <c r="E13" s="220">
        <v>20377</v>
      </c>
      <c r="F13" s="220">
        <v>248.59100000000001</v>
      </c>
      <c r="G13" s="220">
        <v>2.3330000000000002</v>
      </c>
      <c r="H13" s="220">
        <v>39.058</v>
      </c>
    </row>
    <row r="14" spans="1:8" x14ac:dyDescent="0.25">
      <c r="A14" s="220">
        <v>7</v>
      </c>
      <c r="B14" s="220" t="s">
        <v>24</v>
      </c>
      <c r="C14" s="220" t="s">
        <v>783</v>
      </c>
      <c r="D14" s="220">
        <v>7</v>
      </c>
      <c r="E14" s="220">
        <v>18792</v>
      </c>
      <c r="F14" s="220">
        <v>230.56800000000001</v>
      </c>
      <c r="G14" s="220">
        <v>2.3860000000000001</v>
      </c>
      <c r="H14" s="220">
        <v>39.058999999999997</v>
      </c>
    </row>
    <row r="15" spans="1:8" x14ac:dyDescent="0.25">
      <c r="A15" s="220">
        <v>8</v>
      </c>
      <c r="B15" s="220" t="s">
        <v>24</v>
      </c>
      <c r="C15" s="220" t="s">
        <v>783</v>
      </c>
      <c r="D15" s="220">
        <v>6</v>
      </c>
      <c r="E15" s="220">
        <v>17177</v>
      </c>
      <c r="F15" s="220">
        <v>215.74799999999999</v>
      </c>
      <c r="G15" s="220">
        <v>2.298</v>
      </c>
      <c r="H15" s="220">
        <v>39.042999999999999</v>
      </c>
    </row>
    <row r="16" spans="1:8" x14ac:dyDescent="0.25">
      <c r="A16" s="220">
        <v>8</v>
      </c>
      <c r="B16" s="220" t="s">
        <v>24</v>
      </c>
      <c r="C16" s="220" t="s">
        <v>783</v>
      </c>
      <c r="D16" s="220">
        <v>7</v>
      </c>
      <c r="E16" s="220">
        <v>16128</v>
      </c>
      <c r="F16" s="220">
        <v>203.08799999999999</v>
      </c>
      <c r="G16" s="220">
        <v>2.2690000000000001</v>
      </c>
      <c r="H16" s="220">
        <v>39.076999999999998</v>
      </c>
    </row>
    <row r="17" spans="1:8" x14ac:dyDescent="0.25">
      <c r="A17" s="220">
        <v>9</v>
      </c>
      <c r="B17" s="220" t="s">
        <v>24</v>
      </c>
      <c r="C17" s="220" t="s">
        <v>299</v>
      </c>
      <c r="D17" s="220">
        <v>6</v>
      </c>
      <c r="E17" s="220">
        <v>11846</v>
      </c>
      <c r="F17" s="220">
        <v>150.02500000000001</v>
      </c>
      <c r="G17" s="220">
        <v>2.21</v>
      </c>
      <c r="H17" s="220">
        <v>39.246000000000002</v>
      </c>
    </row>
    <row r="18" spans="1:8" x14ac:dyDescent="0.25">
      <c r="A18" s="220">
        <v>9</v>
      </c>
      <c r="B18" s="220" t="s">
        <v>24</v>
      </c>
      <c r="C18" s="220" t="s">
        <v>299</v>
      </c>
      <c r="D18" s="220">
        <v>7</v>
      </c>
      <c r="E18" s="220">
        <v>10987</v>
      </c>
      <c r="F18" s="220">
        <v>139.30000000000001</v>
      </c>
      <c r="G18" s="220">
        <v>2.2629999999999999</v>
      </c>
      <c r="H18" s="220">
        <v>39.241</v>
      </c>
    </row>
    <row r="19" spans="1:8" x14ac:dyDescent="0.25">
      <c r="A19" s="220">
        <v>10</v>
      </c>
      <c r="B19" s="220" t="s">
        <v>0</v>
      </c>
      <c r="C19" s="220" t="s">
        <v>254</v>
      </c>
      <c r="D19" s="220">
        <v>6</v>
      </c>
      <c r="E19" s="220">
        <v>14953</v>
      </c>
      <c r="F19" s="220">
        <v>183.512</v>
      </c>
      <c r="G19" s="220">
        <v>4.6289999999999996</v>
      </c>
      <c r="H19" s="220">
        <v>36.991</v>
      </c>
    </row>
    <row r="20" spans="1:8" x14ac:dyDescent="0.25">
      <c r="A20" s="220">
        <v>10</v>
      </c>
      <c r="B20" s="220" t="s">
        <v>0</v>
      </c>
      <c r="C20" s="220" t="s">
        <v>254</v>
      </c>
      <c r="D20" s="220">
        <v>7</v>
      </c>
      <c r="E20" s="220">
        <v>14114</v>
      </c>
      <c r="F20" s="220">
        <v>171.81700000000001</v>
      </c>
      <c r="G20" s="220">
        <v>4.7279999999999998</v>
      </c>
      <c r="H20" s="220">
        <v>37.024999999999999</v>
      </c>
    </row>
    <row r="21" spans="1:8" x14ac:dyDescent="0.25">
      <c r="A21" s="220">
        <v>11</v>
      </c>
      <c r="B21" s="220" t="s">
        <v>0</v>
      </c>
      <c r="C21" s="220" t="s">
        <v>335</v>
      </c>
      <c r="D21" s="220">
        <v>6</v>
      </c>
      <c r="E21" s="220">
        <v>11903</v>
      </c>
      <c r="F21" s="220">
        <v>152.077</v>
      </c>
      <c r="G21" s="220">
        <v>4.7249999999999996</v>
      </c>
      <c r="H21" s="220">
        <v>37.112000000000002</v>
      </c>
    </row>
    <row r="22" spans="1:8" x14ac:dyDescent="0.25">
      <c r="A22" s="220">
        <v>11</v>
      </c>
      <c r="B22" s="220" t="s">
        <v>0</v>
      </c>
      <c r="C22" s="220" t="s">
        <v>335</v>
      </c>
      <c r="D22" s="220">
        <v>7</v>
      </c>
      <c r="E22" s="220">
        <v>11107</v>
      </c>
      <c r="F22" s="220">
        <v>141.435</v>
      </c>
      <c r="G22" s="220">
        <v>4.7859999999999996</v>
      </c>
      <c r="H22" s="220">
        <v>37.146000000000001</v>
      </c>
    </row>
    <row r="23" spans="1:8" x14ac:dyDescent="0.25">
      <c r="A23" s="220">
        <v>12</v>
      </c>
      <c r="B23" s="220" t="s">
        <v>0</v>
      </c>
      <c r="C23" s="220" t="s">
        <v>496</v>
      </c>
      <c r="D23" s="220">
        <v>6</v>
      </c>
      <c r="E23" s="220">
        <v>12846</v>
      </c>
      <c r="F23" s="220">
        <v>156.38900000000001</v>
      </c>
      <c r="G23" s="220">
        <v>4.641</v>
      </c>
      <c r="H23" s="220">
        <v>37.003</v>
      </c>
    </row>
    <row r="24" spans="1:8" x14ac:dyDescent="0.25">
      <c r="A24" s="220">
        <v>12</v>
      </c>
      <c r="B24" s="220" t="s">
        <v>0</v>
      </c>
      <c r="C24" s="220" t="s">
        <v>496</v>
      </c>
      <c r="D24" s="220">
        <v>7</v>
      </c>
      <c r="E24" s="220">
        <v>12045</v>
      </c>
      <c r="F24" s="220">
        <v>145.94499999999999</v>
      </c>
      <c r="G24" s="220">
        <v>4.7370000000000001</v>
      </c>
      <c r="H24" s="220">
        <v>37.000999999999998</v>
      </c>
    </row>
    <row r="25" spans="1:8" x14ac:dyDescent="0.25">
      <c r="A25" s="220">
        <v>13</v>
      </c>
      <c r="B25" s="220" t="s">
        <v>809</v>
      </c>
      <c r="C25" s="220" t="s">
        <v>273</v>
      </c>
      <c r="D25" s="220">
        <v>6</v>
      </c>
      <c r="E25" s="220">
        <v>15333</v>
      </c>
      <c r="F25" s="220">
        <v>194.65199999999999</v>
      </c>
      <c r="G25" s="220">
        <v>-0.52</v>
      </c>
      <c r="H25" s="220">
        <v>36.024000000000001</v>
      </c>
    </row>
    <row r="26" spans="1:8" x14ac:dyDescent="0.25">
      <c r="A26" s="220">
        <v>13</v>
      </c>
      <c r="B26" s="220" t="s">
        <v>809</v>
      </c>
      <c r="C26" s="220" t="s">
        <v>273</v>
      </c>
      <c r="D26" s="220">
        <v>7</v>
      </c>
      <c r="E26" s="220">
        <v>14281</v>
      </c>
      <c r="F26" s="220">
        <v>180.81</v>
      </c>
      <c r="G26" s="220">
        <v>-0.47099999999999997</v>
      </c>
      <c r="H26" s="220">
        <v>36.076000000000001</v>
      </c>
    </row>
    <row r="27" spans="1:8" x14ac:dyDescent="0.25">
      <c r="A27" s="220">
        <v>14</v>
      </c>
      <c r="B27" s="220" t="s">
        <v>814</v>
      </c>
      <c r="C27" s="220" t="s">
        <v>608</v>
      </c>
      <c r="D27" s="220">
        <v>6</v>
      </c>
      <c r="E27" s="220">
        <v>12939</v>
      </c>
      <c r="F27" s="220">
        <v>157.22300000000001</v>
      </c>
      <c r="G27" s="220">
        <v>-0.95899999999999996</v>
      </c>
      <c r="H27" s="220">
        <v>36.11</v>
      </c>
    </row>
    <row r="28" spans="1:8" x14ac:dyDescent="0.25">
      <c r="A28" s="220">
        <v>14</v>
      </c>
      <c r="B28" s="220" t="s">
        <v>814</v>
      </c>
      <c r="C28" s="220" t="s">
        <v>608</v>
      </c>
      <c r="D28" s="220">
        <v>7</v>
      </c>
      <c r="E28" s="220">
        <v>12052</v>
      </c>
      <c r="F28" s="220">
        <v>146.34100000000001</v>
      </c>
      <c r="G28" s="220">
        <v>-0.85299999999999998</v>
      </c>
      <c r="H28" s="220">
        <v>36.174999999999997</v>
      </c>
    </row>
    <row r="29" spans="1:8" x14ac:dyDescent="0.25">
      <c r="A29" s="220">
        <v>15</v>
      </c>
      <c r="B29" s="220" t="s">
        <v>820</v>
      </c>
      <c r="C29" s="220" t="s">
        <v>563</v>
      </c>
      <c r="D29" s="220">
        <v>6</v>
      </c>
      <c r="E29" s="220">
        <v>17843</v>
      </c>
      <c r="F29" s="220">
        <v>225.33099999999999</v>
      </c>
      <c r="G29" s="220">
        <v>-0.88600000000000001</v>
      </c>
      <c r="H29" s="220">
        <v>36.155000000000001</v>
      </c>
    </row>
    <row r="30" spans="1:8" x14ac:dyDescent="0.25">
      <c r="A30" s="220">
        <v>15</v>
      </c>
      <c r="B30" s="220" t="s">
        <v>820</v>
      </c>
      <c r="C30" s="220" t="s">
        <v>563</v>
      </c>
      <c r="D30" s="220">
        <v>7</v>
      </c>
      <c r="E30" s="220">
        <v>16673</v>
      </c>
      <c r="F30" s="220">
        <v>212.04900000000001</v>
      </c>
      <c r="G30" s="220">
        <v>-0.92</v>
      </c>
      <c r="H30" s="220">
        <v>36.253</v>
      </c>
    </row>
    <row r="31" spans="1:8" x14ac:dyDescent="0.25">
      <c r="A31" s="220">
        <v>16</v>
      </c>
      <c r="B31" s="220" t="s">
        <v>825</v>
      </c>
      <c r="C31" s="220" t="s">
        <v>826</v>
      </c>
      <c r="D31" s="220">
        <v>6</v>
      </c>
      <c r="E31" s="220">
        <v>23763</v>
      </c>
      <c r="F31" s="220">
        <v>288.93700000000001</v>
      </c>
      <c r="G31" s="220">
        <v>-0.59099999999999997</v>
      </c>
      <c r="H31" s="220">
        <v>36.06</v>
      </c>
    </row>
    <row r="32" spans="1:8" x14ac:dyDescent="0.25">
      <c r="A32" s="220">
        <v>16</v>
      </c>
      <c r="B32" s="220" t="s">
        <v>825</v>
      </c>
      <c r="C32" s="220" t="s">
        <v>826</v>
      </c>
      <c r="D32" s="220">
        <v>7</v>
      </c>
      <c r="E32" s="220">
        <v>21957</v>
      </c>
      <c r="F32" s="220">
        <v>270.774</v>
      </c>
      <c r="G32" s="220">
        <v>-0.63500000000000001</v>
      </c>
      <c r="H32" s="220">
        <v>36.158000000000001</v>
      </c>
    </row>
    <row r="33" spans="1:8" x14ac:dyDescent="0.25">
      <c r="A33" s="220">
        <v>17</v>
      </c>
      <c r="B33" s="220" t="s">
        <v>831</v>
      </c>
      <c r="C33" s="220" t="s">
        <v>832</v>
      </c>
      <c r="D33" s="220">
        <v>6</v>
      </c>
      <c r="E33" s="220">
        <v>19610</v>
      </c>
      <c r="F33" s="220">
        <v>244.941</v>
      </c>
      <c r="G33" s="220">
        <v>-0.63700000000000001</v>
      </c>
      <c r="H33" s="220">
        <v>36.154000000000003</v>
      </c>
    </row>
    <row r="34" spans="1:8" x14ac:dyDescent="0.25">
      <c r="A34" s="220">
        <v>17</v>
      </c>
      <c r="B34" s="220" t="s">
        <v>831</v>
      </c>
      <c r="C34" s="220" t="s">
        <v>832</v>
      </c>
      <c r="D34" s="220">
        <v>7</v>
      </c>
      <c r="E34" s="220">
        <v>18377</v>
      </c>
      <c r="F34" s="220">
        <v>227.75899999999999</v>
      </c>
      <c r="G34" s="220">
        <v>-0.61399999999999999</v>
      </c>
      <c r="H34" s="220">
        <v>36.167999999999999</v>
      </c>
    </row>
    <row r="35" spans="1:8" x14ac:dyDescent="0.25">
      <c r="A35" s="220">
        <v>18</v>
      </c>
      <c r="B35" s="220" t="s">
        <v>840</v>
      </c>
      <c r="C35" s="220" t="s">
        <v>297</v>
      </c>
      <c r="D35" s="220">
        <v>6</v>
      </c>
      <c r="E35" s="220">
        <v>18516</v>
      </c>
      <c r="F35" s="220">
        <v>232.02</v>
      </c>
      <c r="G35" s="220">
        <v>-0.72699999999999998</v>
      </c>
      <c r="H35" s="220">
        <v>36.283000000000001</v>
      </c>
    </row>
    <row r="36" spans="1:8" x14ac:dyDescent="0.25">
      <c r="A36" s="220">
        <v>18</v>
      </c>
      <c r="B36" s="220" t="s">
        <v>840</v>
      </c>
      <c r="C36" s="220" t="s">
        <v>297</v>
      </c>
      <c r="D36" s="220">
        <v>7</v>
      </c>
      <c r="E36" s="220">
        <v>17131</v>
      </c>
      <c r="F36" s="220">
        <v>215.102</v>
      </c>
      <c r="G36" s="220">
        <v>-0.78900000000000003</v>
      </c>
      <c r="H36" s="220">
        <v>36.183</v>
      </c>
    </row>
    <row r="37" spans="1:8" x14ac:dyDescent="0.25">
      <c r="A37" s="220">
        <v>19</v>
      </c>
      <c r="B37" s="220" t="s">
        <v>847</v>
      </c>
      <c r="C37" s="220" t="s">
        <v>614</v>
      </c>
      <c r="D37" s="220">
        <v>6</v>
      </c>
      <c r="E37" s="220">
        <v>14870</v>
      </c>
      <c r="F37" s="220">
        <v>182.82900000000001</v>
      </c>
      <c r="G37" s="220">
        <v>-0.84299999999999997</v>
      </c>
      <c r="H37" s="220">
        <v>36.125</v>
      </c>
    </row>
    <row r="38" spans="1:8" x14ac:dyDescent="0.25">
      <c r="A38" s="220">
        <v>19</v>
      </c>
      <c r="B38" s="220" t="s">
        <v>847</v>
      </c>
      <c r="C38" s="220" t="s">
        <v>614</v>
      </c>
      <c r="D38" s="220">
        <v>7</v>
      </c>
      <c r="E38" s="220">
        <v>14001</v>
      </c>
      <c r="F38" s="220">
        <v>171</v>
      </c>
      <c r="G38" s="220">
        <v>-0.77800000000000002</v>
      </c>
      <c r="H38" s="220">
        <v>36.161000000000001</v>
      </c>
    </row>
    <row r="39" spans="1:8" x14ac:dyDescent="0.25">
      <c r="A39" s="220">
        <v>20</v>
      </c>
      <c r="B39" s="220" t="s">
        <v>852</v>
      </c>
      <c r="C39" s="220" t="s">
        <v>229</v>
      </c>
      <c r="D39" s="220">
        <v>6</v>
      </c>
      <c r="E39" s="220">
        <v>16047</v>
      </c>
      <c r="F39" s="220">
        <v>203.691</v>
      </c>
      <c r="G39" s="220">
        <v>-0.54400000000000004</v>
      </c>
      <c r="H39" s="220">
        <v>36.128999999999998</v>
      </c>
    </row>
    <row r="40" spans="1:8" x14ac:dyDescent="0.25">
      <c r="A40" s="220">
        <v>20</v>
      </c>
      <c r="B40" s="220" t="s">
        <v>852</v>
      </c>
      <c r="C40" s="220" t="s">
        <v>229</v>
      </c>
      <c r="D40" s="220">
        <v>7</v>
      </c>
      <c r="E40" s="220">
        <v>14981</v>
      </c>
      <c r="F40" s="220">
        <v>191.732</v>
      </c>
      <c r="G40" s="220">
        <v>-0.55600000000000005</v>
      </c>
      <c r="H40" s="220">
        <v>36.137</v>
      </c>
    </row>
    <row r="41" spans="1:8" x14ac:dyDescent="0.25">
      <c r="A41" s="220">
        <v>21</v>
      </c>
      <c r="B41" s="220" t="s">
        <v>857</v>
      </c>
      <c r="C41" s="220" t="s">
        <v>551</v>
      </c>
      <c r="D41" s="220">
        <v>6</v>
      </c>
      <c r="E41" s="220">
        <v>17997</v>
      </c>
      <c r="F41" s="220">
        <v>218.108</v>
      </c>
      <c r="G41" s="220">
        <v>-0.82699999999999996</v>
      </c>
      <c r="H41" s="220">
        <v>35.994999999999997</v>
      </c>
    </row>
    <row r="42" spans="1:8" x14ac:dyDescent="0.25">
      <c r="A42" s="220">
        <v>21</v>
      </c>
      <c r="B42" s="220" t="s">
        <v>857</v>
      </c>
      <c r="C42" s="220" t="s">
        <v>551</v>
      </c>
      <c r="D42" s="220">
        <v>7</v>
      </c>
      <c r="E42" s="220">
        <v>16921</v>
      </c>
      <c r="F42" s="220">
        <v>204.08699999999999</v>
      </c>
      <c r="G42" s="220">
        <v>-0.77700000000000002</v>
      </c>
      <c r="H42" s="220">
        <v>35.985999999999997</v>
      </c>
    </row>
    <row r="43" spans="1:8" x14ac:dyDescent="0.25">
      <c r="A43" s="220">
        <v>22</v>
      </c>
      <c r="B43" s="220" t="s">
        <v>863</v>
      </c>
      <c r="C43" s="220" t="s">
        <v>864</v>
      </c>
      <c r="D43" s="220">
        <v>6</v>
      </c>
      <c r="E43" s="220">
        <v>16487</v>
      </c>
      <c r="F43" s="220">
        <v>209.572</v>
      </c>
      <c r="G43" s="220">
        <v>-0.65700000000000003</v>
      </c>
      <c r="H43" s="220">
        <v>35.978999999999999</v>
      </c>
    </row>
    <row r="44" spans="1:8" x14ac:dyDescent="0.25">
      <c r="A44" s="220">
        <v>22</v>
      </c>
      <c r="B44" s="220" t="s">
        <v>863</v>
      </c>
      <c r="C44" s="220" t="s">
        <v>864</v>
      </c>
      <c r="D44" s="220">
        <v>7</v>
      </c>
      <c r="E44" s="220">
        <v>15359</v>
      </c>
      <c r="F44" s="220">
        <v>194.73500000000001</v>
      </c>
      <c r="G44" s="220">
        <v>-0.60599999999999998</v>
      </c>
      <c r="H44" s="220">
        <v>36.040999999999997</v>
      </c>
    </row>
    <row r="45" spans="1:8" x14ac:dyDescent="0.25">
      <c r="A45" s="220">
        <v>23</v>
      </c>
      <c r="B45" s="220" t="s">
        <v>0</v>
      </c>
      <c r="C45" s="220" t="s">
        <v>513</v>
      </c>
      <c r="D45" s="220">
        <v>6</v>
      </c>
      <c r="E45" s="220">
        <v>14249</v>
      </c>
      <c r="F45" s="220">
        <v>172.76499999999999</v>
      </c>
      <c r="G45" s="220">
        <v>4.7229999999999999</v>
      </c>
      <c r="H45" s="220">
        <v>37.027999999999999</v>
      </c>
    </row>
    <row r="46" spans="1:8" x14ac:dyDescent="0.25">
      <c r="A46" s="220">
        <v>23</v>
      </c>
      <c r="B46" s="220" t="s">
        <v>0</v>
      </c>
      <c r="C46" s="220" t="s">
        <v>513</v>
      </c>
      <c r="D46" s="220">
        <v>7</v>
      </c>
      <c r="E46" s="220">
        <v>13358</v>
      </c>
      <c r="F46" s="220">
        <v>161.71700000000001</v>
      </c>
      <c r="G46" s="220">
        <v>4.7489999999999997</v>
      </c>
      <c r="H46" s="220">
        <v>37.039000000000001</v>
      </c>
    </row>
    <row r="47" spans="1:8" x14ac:dyDescent="0.25">
      <c r="A47" s="220">
        <v>24</v>
      </c>
      <c r="B47" s="220" t="s">
        <v>0</v>
      </c>
      <c r="C47" s="220" t="s">
        <v>286</v>
      </c>
      <c r="D47" s="220">
        <v>6</v>
      </c>
      <c r="E47" s="220">
        <v>13745</v>
      </c>
      <c r="F47" s="220">
        <v>175.06899999999999</v>
      </c>
      <c r="G47" s="220">
        <v>4.7380000000000004</v>
      </c>
      <c r="H47" s="220">
        <v>36.982999999999997</v>
      </c>
    </row>
    <row r="48" spans="1:8" x14ac:dyDescent="0.25">
      <c r="A48" s="220">
        <v>24</v>
      </c>
      <c r="B48" s="220" t="s">
        <v>0</v>
      </c>
      <c r="C48" s="220" t="s">
        <v>286</v>
      </c>
      <c r="D48" s="220">
        <v>7</v>
      </c>
      <c r="E48" s="220">
        <v>12838</v>
      </c>
      <c r="F48" s="220">
        <v>162.93299999999999</v>
      </c>
      <c r="G48" s="220">
        <v>4.7960000000000003</v>
      </c>
      <c r="H48" s="220">
        <v>37.030999999999999</v>
      </c>
    </row>
    <row r="49" spans="1:8" x14ac:dyDescent="0.25">
      <c r="A49" s="220">
        <v>25</v>
      </c>
      <c r="B49" s="220" t="s">
        <v>877</v>
      </c>
      <c r="C49" s="220" t="s">
        <v>505</v>
      </c>
      <c r="D49" s="220">
        <v>6</v>
      </c>
      <c r="E49" s="220">
        <v>15228</v>
      </c>
      <c r="F49" s="220">
        <v>185.047</v>
      </c>
      <c r="G49" s="220">
        <v>-0.55200000000000005</v>
      </c>
      <c r="H49" s="220">
        <v>36.087000000000003</v>
      </c>
    </row>
    <row r="50" spans="1:8" x14ac:dyDescent="0.25">
      <c r="A50" s="220">
        <v>25</v>
      </c>
      <c r="B50" s="220" t="s">
        <v>877</v>
      </c>
      <c r="C50" s="220" t="s">
        <v>505</v>
      </c>
      <c r="D50" s="220">
        <v>7</v>
      </c>
      <c r="E50" s="220">
        <v>14146</v>
      </c>
      <c r="F50" s="220">
        <v>171.922</v>
      </c>
      <c r="G50" s="220">
        <v>-0.49399999999999999</v>
      </c>
      <c r="H50" s="220">
        <v>36.127000000000002</v>
      </c>
    </row>
    <row r="51" spans="1:8" x14ac:dyDescent="0.25">
      <c r="A51" s="220">
        <v>26</v>
      </c>
      <c r="B51" s="220" t="s">
        <v>883</v>
      </c>
      <c r="C51" s="220" t="s">
        <v>537</v>
      </c>
      <c r="D51" s="220">
        <v>6</v>
      </c>
      <c r="E51" s="220">
        <v>20912</v>
      </c>
      <c r="F51" s="220">
        <v>263.15699999999998</v>
      </c>
      <c r="G51" s="220">
        <v>-0.44800000000000001</v>
      </c>
      <c r="H51" s="220">
        <v>36.034999999999997</v>
      </c>
    </row>
    <row r="52" spans="1:8" x14ac:dyDescent="0.25">
      <c r="A52" s="220">
        <v>26</v>
      </c>
      <c r="B52" s="220" t="s">
        <v>883</v>
      </c>
      <c r="C52" s="220" t="s">
        <v>537</v>
      </c>
      <c r="D52" s="220">
        <v>7</v>
      </c>
      <c r="E52" s="220">
        <v>19518</v>
      </c>
      <c r="F52" s="220">
        <v>247.16900000000001</v>
      </c>
      <c r="G52" s="220">
        <v>-0.48299999999999998</v>
      </c>
      <c r="H52" s="220">
        <v>36.066000000000003</v>
      </c>
    </row>
    <row r="53" spans="1:8" x14ac:dyDescent="0.25">
      <c r="A53" s="220">
        <v>27</v>
      </c>
      <c r="B53" s="220" t="s">
        <v>889</v>
      </c>
      <c r="C53" s="220" t="s">
        <v>890</v>
      </c>
      <c r="D53" s="220">
        <v>6</v>
      </c>
      <c r="E53" s="220">
        <v>14414</v>
      </c>
      <c r="F53" s="220">
        <v>178.495</v>
      </c>
      <c r="G53" s="220">
        <v>-0.74399999999999999</v>
      </c>
      <c r="H53" s="220">
        <v>36.271999999999998</v>
      </c>
    </row>
    <row r="54" spans="1:8" x14ac:dyDescent="0.25">
      <c r="A54" s="220">
        <v>27</v>
      </c>
      <c r="B54" s="220" t="s">
        <v>889</v>
      </c>
      <c r="C54" s="220" t="s">
        <v>890</v>
      </c>
      <c r="D54" s="220">
        <v>7</v>
      </c>
      <c r="E54" s="220">
        <v>13351</v>
      </c>
      <c r="F54" s="220">
        <v>167.66300000000001</v>
      </c>
      <c r="G54" s="220">
        <v>-0.77400000000000002</v>
      </c>
      <c r="H54" s="220">
        <v>36.317</v>
      </c>
    </row>
    <row r="55" spans="1:8" x14ac:dyDescent="0.25">
      <c r="A55" s="220">
        <v>28</v>
      </c>
      <c r="B55" s="220" t="s">
        <v>895</v>
      </c>
      <c r="C55" s="220" t="s">
        <v>896</v>
      </c>
      <c r="D55" s="220">
        <v>6</v>
      </c>
      <c r="E55" s="220">
        <v>24173</v>
      </c>
      <c r="F55" s="220">
        <v>300.87799999999999</v>
      </c>
      <c r="G55" s="220">
        <v>-0.51200000000000001</v>
      </c>
      <c r="H55" s="220">
        <v>36.216000000000001</v>
      </c>
    </row>
    <row r="56" spans="1:8" x14ac:dyDescent="0.25">
      <c r="A56" s="220">
        <v>28</v>
      </c>
      <c r="B56" s="220" t="s">
        <v>895</v>
      </c>
      <c r="C56" s="220" t="s">
        <v>896</v>
      </c>
      <c r="D56" s="220">
        <v>7</v>
      </c>
      <c r="E56" s="220">
        <v>22622</v>
      </c>
      <c r="F56" s="220">
        <v>279.78699999999998</v>
      </c>
      <c r="G56" s="220">
        <v>-0.49199999999999999</v>
      </c>
      <c r="H56" s="220">
        <v>36.237000000000002</v>
      </c>
    </row>
    <row r="57" spans="1:8" x14ac:dyDescent="0.25">
      <c r="A57" s="220">
        <v>29</v>
      </c>
      <c r="B57" s="220" t="s">
        <v>905</v>
      </c>
      <c r="C57" s="220" t="s">
        <v>670</v>
      </c>
      <c r="D57" s="220">
        <v>6</v>
      </c>
      <c r="E57" s="220">
        <v>22302</v>
      </c>
      <c r="F57" s="220">
        <v>277.30500000000001</v>
      </c>
      <c r="G57" s="220">
        <v>-0.59</v>
      </c>
      <c r="H57" s="220">
        <v>36.375</v>
      </c>
    </row>
    <row r="58" spans="1:8" x14ac:dyDescent="0.25">
      <c r="A58" s="220">
        <v>29</v>
      </c>
      <c r="B58" s="220" t="s">
        <v>905</v>
      </c>
      <c r="C58" s="220" t="s">
        <v>670</v>
      </c>
      <c r="D58" s="220">
        <v>7</v>
      </c>
      <c r="E58" s="220">
        <v>20546</v>
      </c>
      <c r="F58" s="220">
        <v>256.60300000000001</v>
      </c>
      <c r="G58" s="220">
        <v>-0.57399999999999995</v>
      </c>
      <c r="H58" s="220">
        <v>36.363</v>
      </c>
    </row>
    <row r="59" spans="1:8" x14ac:dyDescent="0.25">
      <c r="A59" s="220">
        <v>30</v>
      </c>
      <c r="B59" s="220" t="s">
        <v>912</v>
      </c>
      <c r="C59" s="220" t="s">
        <v>335</v>
      </c>
      <c r="D59" s="220">
        <v>6</v>
      </c>
      <c r="E59" s="220">
        <v>21565</v>
      </c>
      <c r="F59" s="220">
        <v>265.62099999999998</v>
      </c>
      <c r="G59" s="220">
        <v>-0.29199999999999998</v>
      </c>
      <c r="H59" s="220">
        <v>36.023000000000003</v>
      </c>
    </row>
    <row r="60" spans="1:8" x14ac:dyDescent="0.25">
      <c r="A60" s="220">
        <v>30</v>
      </c>
      <c r="B60" s="220" t="s">
        <v>912</v>
      </c>
      <c r="C60" s="220" t="s">
        <v>335</v>
      </c>
      <c r="D60" s="220">
        <v>7</v>
      </c>
      <c r="E60" s="220">
        <v>20318</v>
      </c>
      <c r="F60" s="220">
        <v>250.738</v>
      </c>
      <c r="G60" s="220">
        <v>-0.34399999999999997</v>
      </c>
      <c r="H60" s="220">
        <v>36.124000000000002</v>
      </c>
    </row>
    <row r="61" spans="1:8" x14ac:dyDescent="0.25">
      <c r="A61" s="220">
        <v>31</v>
      </c>
      <c r="B61" s="220" t="s">
        <v>916</v>
      </c>
      <c r="C61" s="220" t="s">
        <v>518</v>
      </c>
      <c r="D61" s="220">
        <v>6</v>
      </c>
      <c r="E61" s="220">
        <v>13784</v>
      </c>
      <c r="F61" s="220">
        <v>175.05500000000001</v>
      </c>
      <c r="G61" s="220">
        <v>-0.255</v>
      </c>
      <c r="H61" s="220">
        <v>36.304000000000002</v>
      </c>
    </row>
    <row r="62" spans="1:8" x14ac:dyDescent="0.25">
      <c r="A62" s="220">
        <v>31</v>
      </c>
      <c r="B62" s="220" t="s">
        <v>916</v>
      </c>
      <c r="C62" s="220" t="s">
        <v>518</v>
      </c>
      <c r="D62" s="220">
        <v>7</v>
      </c>
      <c r="E62" s="220">
        <v>12821</v>
      </c>
      <c r="F62" s="220">
        <v>162.798</v>
      </c>
      <c r="G62" s="220">
        <v>-0.253</v>
      </c>
      <c r="H62" s="220">
        <v>36.253</v>
      </c>
    </row>
    <row r="63" spans="1:8" x14ac:dyDescent="0.25">
      <c r="A63" s="220">
        <v>32</v>
      </c>
      <c r="B63" s="220" t="s">
        <v>922</v>
      </c>
      <c r="C63" s="220" t="s">
        <v>339</v>
      </c>
      <c r="D63" s="220">
        <v>6</v>
      </c>
      <c r="E63" s="220">
        <v>12615</v>
      </c>
      <c r="F63" s="220">
        <v>155.08500000000001</v>
      </c>
      <c r="G63" s="220">
        <v>-0.68400000000000005</v>
      </c>
      <c r="H63" s="220">
        <v>36.011000000000003</v>
      </c>
    </row>
    <row r="64" spans="1:8" x14ac:dyDescent="0.25">
      <c r="A64" s="220">
        <v>32</v>
      </c>
      <c r="B64" s="220" t="s">
        <v>922</v>
      </c>
      <c r="C64" s="220" t="s">
        <v>339</v>
      </c>
      <c r="D64" s="220">
        <v>7</v>
      </c>
      <c r="E64" s="220">
        <v>11872</v>
      </c>
      <c r="F64" s="220">
        <v>145.22399999999999</v>
      </c>
      <c r="G64" s="220">
        <v>-0.66800000000000004</v>
      </c>
      <c r="H64" s="220">
        <v>36.040999999999997</v>
      </c>
    </row>
    <row r="65" spans="1:8" x14ac:dyDescent="0.25">
      <c r="A65" s="220">
        <v>33</v>
      </c>
      <c r="B65" s="220" t="s">
        <v>926</v>
      </c>
      <c r="C65" s="220" t="s">
        <v>505</v>
      </c>
      <c r="D65" s="220">
        <v>6</v>
      </c>
      <c r="E65" s="220">
        <v>13220</v>
      </c>
      <c r="F65" s="220">
        <v>168.738</v>
      </c>
      <c r="G65" s="220">
        <v>-1.196</v>
      </c>
      <c r="H65" s="220">
        <v>35.984000000000002</v>
      </c>
    </row>
    <row r="66" spans="1:8" x14ac:dyDescent="0.25">
      <c r="A66" s="220">
        <v>33</v>
      </c>
      <c r="B66" s="220" t="s">
        <v>926</v>
      </c>
      <c r="C66" s="220" t="s">
        <v>505</v>
      </c>
      <c r="D66" s="220">
        <v>7</v>
      </c>
      <c r="E66" s="220">
        <v>12325</v>
      </c>
      <c r="F66" s="220">
        <v>156.80799999999999</v>
      </c>
      <c r="G66" s="220">
        <v>-1.196</v>
      </c>
      <c r="H66" s="220">
        <v>35.917000000000002</v>
      </c>
    </row>
    <row r="67" spans="1:8" x14ac:dyDescent="0.25">
      <c r="A67" s="220">
        <v>34</v>
      </c>
      <c r="B67" s="220" t="s">
        <v>931</v>
      </c>
      <c r="C67" s="220" t="s">
        <v>232</v>
      </c>
      <c r="D67" s="220">
        <v>6</v>
      </c>
      <c r="E67" s="220">
        <v>12914</v>
      </c>
      <c r="F67" s="220">
        <v>157.36600000000001</v>
      </c>
      <c r="G67" s="220">
        <v>-1.39</v>
      </c>
      <c r="H67" s="220">
        <v>36.073999999999998</v>
      </c>
    </row>
    <row r="68" spans="1:8" x14ac:dyDescent="0.25">
      <c r="A68" s="220">
        <v>34</v>
      </c>
      <c r="B68" s="220" t="s">
        <v>931</v>
      </c>
      <c r="C68" s="220" t="s">
        <v>232</v>
      </c>
      <c r="D68" s="220">
        <v>7</v>
      </c>
      <c r="E68" s="220">
        <v>12115</v>
      </c>
      <c r="F68" s="220">
        <v>147.048</v>
      </c>
      <c r="G68" s="220">
        <v>-1.37</v>
      </c>
      <c r="H68" s="220">
        <v>36.06</v>
      </c>
    </row>
    <row r="69" spans="1:8" x14ac:dyDescent="0.25">
      <c r="A69" s="220">
        <v>35</v>
      </c>
      <c r="B69" s="220" t="s">
        <v>0</v>
      </c>
      <c r="C69" s="220" t="s">
        <v>729</v>
      </c>
      <c r="D69" s="220">
        <v>6</v>
      </c>
      <c r="E69" s="220">
        <v>14725</v>
      </c>
      <c r="F69" s="220">
        <v>187.21799999999999</v>
      </c>
      <c r="G69" s="220">
        <v>4.7469999999999999</v>
      </c>
      <c r="H69" s="220">
        <v>36.978000000000002</v>
      </c>
    </row>
    <row r="70" spans="1:8" x14ac:dyDescent="0.25">
      <c r="A70" s="220">
        <v>35</v>
      </c>
      <c r="B70" s="220" t="s">
        <v>0</v>
      </c>
      <c r="C70" s="220" t="s">
        <v>729</v>
      </c>
      <c r="D70" s="220">
        <v>7</v>
      </c>
      <c r="E70" s="220">
        <v>13732</v>
      </c>
      <c r="F70" s="220">
        <v>173.92599999999999</v>
      </c>
      <c r="G70" s="220">
        <v>4.8170000000000002</v>
      </c>
      <c r="H70" s="220">
        <v>37.018000000000001</v>
      </c>
    </row>
    <row r="71" spans="1:8" x14ac:dyDescent="0.25">
      <c r="A71" s="220">
        <v>36</v>
      </c>
      <c r="B71" s="220" t="s">
        <v>0</v>
      </c>
      <c r="C71" s="220" t="s">
        <v>725</v>
      </c>
      <c r="D71" s="220">
        <v>6</v>
      </c>
      <c r="E71" s="220">
        <v>17746</v>
      </c>
      <c r="F71" s="220">
        <v>214.78299999999999</v>
      </c>
      <c r="G71" s="220">
        <v>4.71</v>
      </c>
      <c r="H71" s="220">
        <v>36.938000000000002</v>
      </c>
    </row>
    <row r="72" spans="1:8" x14ac:dyDescent="0.25">
      <c r="A72" s="220">
        <v>36</v>
      </c>
      <c r="B72" s="220" t="s">
        <v>0</v>
      </c>
      <c r="C72" s="220" t="s">
        <v>725</v>
      </c>
      <c r="D72" s="220">
        <v>7</v>
      </c>
      <c r="E72" s="220">
        <v>16472</v>
      </c>
      <c r="F72" s="220">
        <v>201.999</v>
      </c>
      <c r="G72" s="220">
        <v>4.6909999999999998</v>
      </c>
      <c r="H72" s="220">
        <v>36.963000000000001</v>
      </c>
    </row>
    <row r="73" spans="1:8" x14ac:dyDescent="0.25">
      <c r="A73" s="220">
        <v>37</v>
      </c>
      <c r="B73" s="220" t="s">
        <v>946</v>
      </c>
      <c r="C73" s="220" t="s">
        <v>287</v>
      </c>
      <c r="D73" s="220">
        <v>6</v>
      </c>
      <c r="E73" s="220">
        <v>12279</v>
      </c>
      <c r="F73" s="220">
        <v>156.11799999999999</v>
      </c>
      <c r="G73" s="220">
        <v>-1.5249999999999999</v>
      </c>
      <c r="H73" s="220">
        <v>36.170999999999999</v>
      </c>
    </row>
    <row r="74" spans="1:8" x14ac:dyDescent="0.25">
      <c r="A74" s="220">
        <v>37</v>
      </c>
      <c r="B74" s="220" t="s">
        <v>946</v>
      </c>
      <c r="C74" s="220" t="s">
        <v>287</v>
      </c>
      <c r="D74" s="220">
        <v>7</v>
      </c>
      <c r="E74" s="220">
        <v>11458</v>
      </c>
      <c r="F74" s="220">
        <v>145.16399999999999</v>
      </c>
      <c r="G74" s="220">
        <v>-1.504</v>
      </c>
      <c r="H74" s="220">
        <v>36.15</v>
      </c>
    </row>
    <row r="75" spans="1:8" x14ac:dyDescent="0.25">
      <c r="A75" s="220">
        <v>38</v>
      </c>
      <c r="B75" s="220" t="s">
        <v>952</v>
      </c>
      <c r="C75" s="220" t="s">
        <v>289</v>
      </c>
      <c r="D75" s="220">
        <v>6</v>
      </c>
      <c r="E75" s="220">
        <v>15252</v>
      </c>
      <c r="F75" s="220">
        <v>187.4</v>
      </c>
      <c r="G75" s="220">
        <v>-1.2110000000000001</v>
      </c>
      <c r="H75" s="220">
        <v>36.167999999999999</v>
      </c>
    </row>
    <row r="76" spans="1:8" x14ac:dyDescent="0.25">
      <c r="A76" s="220">
        <v>38</v>
      </c>
      <c r="B76" s="220" t="s">
        <v>952</v>
      </c>
      <c r="C76" s="220" t="s">
        <v>289</v>
      </c>
      <c r="D76" s="220">
        <v>7</v>
      </c>
      <c r="E76" s="220">
        <v>14114</v>
      </c>
      <c r="F76" s="220">
        <v>175.803</v>
      </c>
      <c r="G76" s="220">
        <v>-1.224</v>
      </c>
      <c r="H76" s="220">
        <v>36.188000000000002</v>
      </c>
    </row>
    <row r="77" spans="1:8" x14ac:dyDescent="0.25">
      <c r="A77" s="220">
        <v>39</v>
      </c>
      <c r="B77" s="220" t="s">
        <v>955</v>
      </c>
      <c r="C77" s="220" t="s">
        <v>296</v>
      </c>
      <c r="D77" s="220">
        <v>6</v>
      </c>
      <c r="E77" s="220">
        <v>14260</v>
      </c>
      <c r="F77" s="220">
        <v>180.286</v>
      </c>
      <c r="G77" s="220">
        <v>-1.2030000000000001</v>
      </c>
      <c r="H77" s="220">
        <v>35.817</v>
      </c>
    </row>
    <row r="78" spans="1:8" x14ac:dyDescent="0.25">
      <c r="A78" s="220">
        <v>39</v>
      </c>
      <c r="B78" s="220" t="s">
        <v>955</v>
      </c>
      <c r="C78" s="220" t="s">
        <v>296</v>
      </c>
      <c r="D78" s="220">
        <v>7</v>
      </c>
      <c r="E78" s="220">
        <v>13381</v>
      </c>
      <c r="F78" s="220">
        <v>169.84399999999999</v>
      </c>
      <c r="G78" s="220">
        <v>-1.2470000000000001</v>
      </c>
      <c r="H78" s="220">
        <v>35.863999999999997</v>
      </c>
    </row>
    <row r="79" spans="1:8" x14ac:dyDescent="0.25">
      <c r="A79" s="220">
        <v>40</v>
      </c>
      <c r="B79" s="220" t="s">
        <v>959</v>
      </c>
      <c r="C79" s="220" t="s">
        <v>318</v>
      </c>
      <c r="D79" s="220">
        <v>6</v>
      </c>
      <c r="E79" s="220">
        <v>15788</v>
      </c>
      <c r="F79" s="220">
        <v>197.303</v>
      </c>
      <c r="G79" s="220">
        <v>-1.329</v>
      </c>
      <c r="H79" s="220">
        <v>35.774999999999999</v>
      </c>
    </row>
    <row r="80" spans="1:8" x14ac:dyDescent="0.25">
      <c r="A80" s="220">
        <v>40</v>
      </c>
      <c r="B80" s="220" t="s">
        <v>959</v>
      </c>
      <c r="C80" s="220" t="s">
        <v>318</v>
      </c>
      <c r="D80" s="220">
        <v>7</v>
      </c>
      <c r="E80" s="220">
        <v>14655</v>
      </c>
      <c r="F80" s="220">
        <v>185.49600000000001</v>
      </c>
      <c r="G80" s="220">
        <v>-1.347</v>
      </c>
      <c r="H80" s="220">
        <v>35.847999999999999</v>
      </c>
    </row>
    <row r="81" spans="1:8" x14ac:dyDescent="0.25">
      <c r="A81" s="220">
        <v>41</v>
      </c>
      <c r="B81" s="220" t="s">
        <v>962</v>
      </c>
      <c r="C81" s="220" t="s">
        <v>221</v>
      </c>
      <c r="D81" s="220">
        <v>6</v>
      </c>
      <c r="E81" s="220">
        <v>14312</v>
      </c>
      <c r="F81" s="220">
        <v>178.31800000000001</v>
      </c>
      <c r="G81" s="220">
        <v>-1.012</v>
      </c>
      <c r="H81" s="220">
        <v>35.765000000000001</v>
      </c>
    </row>
    <row r="82" spans="1:8" x14ac:dyDescent="0.25">
      <c r="A82" s="220">
        <v>41</v>
      </c>
      <c r="B82" s="220" t="s">
        <v>962</v>
      </c>
      <c r="C82" s="220" t="s">
        <v>221</v>
      </c>
      <c r="D82" s="220">
        <v>7</v>
      </c>
      <c r="E82" s="220">
        <v>13481</v>
      </c>
      <c r="F82" s="220">
        <v>166.42699999999999</v>
      </c>
      <c r="G82" s="220">
        <v>-0.96099999999999997</v>
      </c>
      <c r="H82" s="220">
        <v>35.738</v>
      </c>
    </row>
    <row r="83" spans="1:8" x14ac:dyDescent="0.25">
      <c r="A83" s="220">
        <v>42</v>
      </c>
      <c r="B83" s="220" t="s">
        <v>965</v>
      </c>
      <c r="C83" s="220" t="s">
        <v>518</v>
      </c>
      <c r="D83" s="220">
        <v>6</v>
      </c>
      <c r="E83" s="220">
        <v>13310</v>
      </c>
      <c r="F83" s="220">
        <v>168.976</v>
      </c>
      <c r="G83" s="220">
        <v>-1.2470000000000001</v>
      </c>
      <c r="H83" s="220">
        <v>35.906999999999996</v>
      </c>
    </row>
    <row r="84" spans="1:8" x14ac:dyDescent="0.25">
      <c r="A84" s="220">
        <v>42</v>
      </c>
      <c r="B84" s="220" t="s">
        <v>965</v>
      </c>
      <c r="C84" s="220" t="s">
        <v>518</v>
      </c>
      <c r="D84" s="220">
        <v>7</v>
      </c>
      <c r="E84" s="220">
        <v>12374</v>
      </c>
      <c r="F84" s="220">
        <v>157.02099999999999</v>
      </c>
      <c r="G84" s="220">
        <v>-1.228</v>
      </c>
      <c r="H84" s="220">
        <v>35.906999999999996</v>
      </c>
    </row>
    <row r="85" spans="1:8" x14ac:dyDescent="0.25">
      <c r="A85" s="220">
        <v>43</v>
      </c>
      <c r="B85" s="220" t="s">
        <v>970</v>
      </c>
      <c r="C85" s="220" t="s">
        <v>232</v>
      </c>
      <c r="D85" s="220">
        <v>6</v>
      </c>
      <c r="E85" s="220">
        <v>13271</v>
      </c>
      <c r="F85" s="220">
        <v>162.959</v>
      </c>
      <c r="G85" s="220">
        <v>-1.5669999999999999</v>
      </c>
      <c r="H85" s="220">
        <v>36.064999999999998</v>
      </c>
    </row>
    <row r="86" spans="1:8" x14ac:dyDescent="0.25">
      <c r="A86" s="220">
        <v>43</v>
      </c>
      <c r="B86" s="220" t="s">
        <v>970</v>
      </c>
      <c r="C86" s="220" t="s">
        <v>232</v>
      </c>
      <c r="D86" s="220">
        <v>7</v>
      </c>
      <c r="E86" s="220">
        <v>12500</v>
      </c>
      <c r="F86" s="220">
        <v>152.38499999999999</v>
      </c>
      <c r="G86" s="220">
        <v>-1.506</v>
      </c>
      <c r="H86" s="220">
        <v>36.07</v>
      </c>
    </row>
    <row r="87" spans="1:8" x14ac:dyDescent="0.25">
      <c r="A87" s="220">
        <v>44</v>
      </c>
      <c r="B87" s="220" t="s">
        <v>974</v>
      </c>
      <c r="C87" s="220" t="s">
        <v>229</v>
      </c>
      <c r="D87" s="220">
        <v>6</v>
      </c>
      <c r="E87" s="220">
        <v>14098</v>
      </c>
      <c r="F87" s="220">
        <v>179.733</v>
      </c>
      <c r="G87" s="220">
        <v>-0.83699999999999997</v>
      </c>
      <c r="H87" s="220">
        <v>36.32</v>
      </c>
    </row>
    <row r="88" spans="1:8" x14ac:dyDescent="0.25">
      <c r="A88" s="220">
        <v>44</v>
      </c>
      <c r="B88" s="220" t="s">
        <v>974</v>
      </c>
      <c r="C88" s="220" t="s">
        <v>229</v>
      </c>
      <c r="D88" s="220">
        <v>7</v>
      </c>
      <c r="E88" s="220">
        <v>13153</v>
      </c>
      <c r="F88" s="220">
        <v>166.976</v>
      </c>
      <c r="G88" s="220">
        <v>-0.83499999999999996</v>
      </c>
      <c r="H88" s="220">
        <v>36.316000000000003</v>
      </c>
    </row>
    <row r="89" spans="1:8" x14ac:dyDescent="0.25">
      <c r="A89" s="220">
        <v>45</v>
      </c>
      <c r="B89" s="220" t="s">
        <v>980</v>
      </c>
      <c r="C89" s="220" t="s">
        <v>296</v>
      </c>
      <c r="D89" s="220">
        <v>6</v>
      </c>
      <c r="E89" s="220">
        <v>14541</v>
      </c>
      <c r="F89" s="220">
        <v>176.65199999999999</v>
      </c>
      <c r="G89" s="220">
        <v>-0.44</v>
      </c>
      <c r="H89" s="220">
        <v>36.253999999999998</v>
      </c>
    </row>
    <row r="90" spans="1:8" x14ac:dyDescent="0.25">
      <c r="A90" s="220">
        <v>45</v>
      </c>
      <c r="B90" s="220" t="s">
        <v>980</v>
      </c>
      <c r="C90" s="220" t="s">
        <v>296</v>
      </c>
      <c r="D90" s="220">
        <v>7</v>
      </c>
      <c r="E90" s="220">
        <v>13658</v>
      </c>
      <c r="F90" s="220">
        <v>166.95699999999999</v>
      </c>
      <c r="G90" s="220">
        <v>-0.46200000000000002</v>
      </c>
      <c r="H90" s="220">
        <v>36.301000000000002</v>
      </c>
    </row>
    <row r="91" spans="1:8" x14ac:dyDescent="0.25">
      <c r="A91" s="220">
        <v>46</v>
      </c>
      <c r="B91" s="220" t="s">
        <v>984</v>
      </c>
      <c r="C91" s="220" t="s">
        <v>513</v>
      </c>
      <c r="D91" s="220">
        <v>6</v>
      </c>
      <c r="E91" s="220">
        <v>7973</v>
      </c>
      <c r="F91" s="220">
        <v>102.246</v>
      </c>
      <c r="G91" s="220">
        <v>-0.84399999999999997</v>
      </c>
      <c r="H91" s="220">
        <v>36.134</v>
      </c>
    </row>
    <row r="92" spans="1:8" x14ac:dyDescent="0.25">
      <c r="A92" s="220">
        <v>46</v>
      </c>
      <c r="B92" s="220" t="s">
        <v>984</v>
      </c>
      <c r="C92" s="220" t="s">
        <v>513</v>
      </c>
      <c r="D92" s="220">
        <v>7</v>
      </c>
      <c r="E92" s="220">
        <v>7455</v>
      </c>
      <c r="F92" s="220">
        <v>95.177999999999997</v>
      </c>
      <c r="G92" s="220">
        <v>-0.77400000000000002</v>
      </c>
      <c r="H92" s="220">
        <v>36.168999999999997</v>
      </c>
    </row>
    <row r="93" spans="1:8" x14ac:dyDescent="0.25">
      <c r="A93" s="220">
        <v>47</v>
      </c>
      <c r="B93" s="220" t="s">
        <v>0</v>
      </c>
      <c r="C93" s="220" t="s">
        <v>513</v>
      </c>
      <c r="D93" s="220">
        <v>6</v>
      </c>
      <c r="E93" s="220">
        <v>14203</v>
      </c>
      <c r="F93" s="220">
        <v>172.30099999999999</v>
      </c>
      <c r="G93" s="220">
        <v>4.6859999999999999</v>
      </c>
      <c r="H93" s="220">
        <v>37.036000000000001</v>
      </c>
    </row>
    <row r="94" spans="1:8" x14ac:dyDescent="0.25">
      <c r="A94" s="220">
        <v>47</v>
      </c>
      <c r="B94" s="220" t="s">
        <v>0</v>
      </c>
      <c r="C94" s="220" t="s">
        <v>513</v>
      </c>
      <c r="D94" s="220">
        <v>7</v>
      </c>
      <c r="E94" s="220">
        <v>13205</v>
      </c>
      <c r="F94" s="220">
        <v>160.077</v>
      </c>
      <c r="G94" s="220">
        <v>4.7640000000000002</v>
      </c>
      <c r="H94" s="220">
        <v>37.055</v>
      </c>
    </row>
    <row r="95" spans="1:8" x14ac:dyDescent="0.25">
      <c r="A95" s="220">
        <v>48</v>
      </c>
      <c r="B95" s="220" t="s">
        <v>0</v>
      </c>
      <c r="C95" s="220" t="s">
        <v>380</v>
      </c>
      <c r="D95" s="220">
        <v>6</v>
      </c>
      <c r="E95" s="220">
        <v>14153</v>
      </c>
      <c r="F95" s="220">
        <v>179.643</v>
      </c>
      <c r="G95" s="220">
        <v>4.718</v>
      </c>
      <c r="H95" s="220">
        <v>36.865000000000002</v>
      </c>
    </row>
    <row r="96" spans="1:8" x14ac:dyDescent="0.25">
      <c r="A96" s="220">
        <v>48</v>
      </c>
      <c r="B96" s="220" t="s">
        <v>0</v>
      </c>
      <c r="C96" s="220" t="s">
        <v>380</v>
      </c>
      <c r="D96" s="220">
        <v>7</v>
      </c>
      <c r="E96" s="220">
        <v>13202</v>
      </c>
      <c r="F96" s="220">
        <v>167.017</v>
      </c>
      <c r="G96" s="220">
        <v>4.7709999999999999</v>
      </c>
      <c r="H96" s="220">
        <v>36.909999999999997</v>
      </c>
    </row>
    <row r="97" spans="1:8" x14ac:dyDescent="0.25">
      <c r="A97" s="220">
        <v>49</v>
      </c>
      <c r="B97" s="220" t="s">
        <v>1000</v>
      </c>
      <c r="C97" s="220" t="s">
        <v>221</v>
      </c>
      <c r="D97" s="220">
        <v>6</v>
      </c>
      <c r="E97" s="220">
        <v>12993</v>
      </c>
      <c r="F97" s="220">
        <v>159.851</v>
      </c>
      <c r="G97" s="220">
        <v>-0.82499999999999996</v>
      </c>
      <c r="H97" s="220">
        <v>36.052999999999997</v>
      </c>
    </row>
    <row r="98" spans="1:8" x14ac:dyDescent="0.25">
      <c r="A98" s="220">
        <v>49</v>
      </c>
      <c r="B98" s="220" t="s">
        <v>1000</v>
      </c>
      <c r="C98" s="220" t="s">
        <v>221</v>
      </c>
      <c r="D98" s="220">
        <v>7</v>
      </c>
      <c r="E98" s="220">
        <v>12031</v>
      </c>
      <c r="F98" s="220">
        <v>148.47300000000001</v>
      </c>
      <c r="G98" s="220">
        <v>-0.753</v>
      </c>
      <c r="H98" s="220">
        <v>36.106999999999999</v>
      </c>
    </row>
    <row r="99" spans="1:8" x14ac:dyDescent="0.25">
      <c r="A99" s="220">
        <v>50</v>
      </c>
      <c r="B99" s="220" t="s">
        <v>1006</v>
      </c>
      <c r="C99" s="220" t="s">
        <v>294</v>
      </c>
      <c r="D99" s="220">
        <v>6</v>
      </c>
      <c r="E99" s="220">
        <v>15140</v>
      </c>
      <c r="F99" s="220">
        <v>191.34200000000001</v>
      </c>
      <c r="G99" s="220">
        <v>-0.77600000000000002</v>
      </c>
      <c r="H99" s="220">
        <v>36.308999999999997</v>
      </c>
    </row>
    <row r="100" spans="1:8" x14ac:dyDescent="0.25">
      <c r="A100" s="220">
        <v>50</v>
      </c>
      <c r="B100" s="220" t="s">
        <v>1006</v>
      </c>
      <c r="C100" s="220" t="s">
        <v>294</v>
      </c>
      <c r="D100" s="220">
        <v>7</v>
      </c>
      <c r="E100" s="220">
        <v>14165</v>
      </c>
      <c r="F100" s="220">
        <v>177.92</v>
      </c>
      <c r="G100" s="220">
        <v>-0.72299999999999998</v>
      </c>
      <c r="H100" s="220">
        <v>36.369999999999997</v>
      </c>
    </row>
    <row r="101" spans="1:8" x14ac:dyDescent="0.25">
      <c r="A101" s="220">
        <v>51</v>
      </c>
      <c r="B101" s="220" t="s">
        <v>1011</v>
      </c>
      <c r="C101" s="220" t="s">
        <v>267</v>
      </c>
      <c r="D101" s="220">
        <v>6</v>
      </c>
      <c r="E101" s="220">
        <v>16455</v>
      </c>
      <c r="F101" s="220">
        <v>205.22399999999999</v>
      </c>
      <c r="G101" s="220">
        <v>-0.91300000000000003</v>
      </c>
      <c r="H101" s="220">
        <v>36.319000000000003</v>
      </c>
    </row>
    <row r="102" spans="1:8" x14ac:dyDescent="0.25">
      <c r="A102" s="220">
        <v>51</v>
      </c>
      <c r="B102" s="220" t="s">
        <v>1011</v>
      </c>
      <c r="C102" s="220" t="s">
        <v>267</v>
      </c>
      <c r="D102" s="220">
        <v>7</v>
      </c>
      <c r="E102" s="220">
        <v>15244</v>
      </c>
      <c r="F102" s="220">
        <v>192.48599999999999</v>
      </c>
      <c r="G102" s="220">
        <v>-0.92200000000000004</v>
      </c>
      <c r="H102" s="220">
        <v>36.365000000000002</v>
      </c>
    </row>
    <row r="103" spans="1:8" x14ac:dyDescent="0.25">
      <c r="A103" s="220">
        <v>52</v>
      </c>
      <c r="B103" s="220" t="s">
        <v>1015</v>
      </c>
      <c r="C103" s="220" t="s">
        <v>286</v>
      </c>
      <c r="D103" s="220">
        <v>6</v>
      </c>
      <c r="E103" s="220">
        <v>14181</v>
      </c>
      <c r="F103" s="220">
        <v>176.53700000000001</v>
      </c>
      <c r="G103" s="220">
        <v>-1.611</v>
      </c>
      <c r="H103" s="220">
        <v>36.314</v>
      </c>
    </row>
    <row r="104" spans="1:8" x14ac:dyDescent="0.25">
      <c r="A104" s="220">
        <v>52</v>
      </c>
      <c r="B104" s="220" t="s">
        <v>1015</v>
      </c>
      <c r="C104" s="220" t="s">
        <v>286</v>
      </c>
      <c r="D104" s="220">
        <v>7</v>
      </c>
      <c r="E104" s="220">
        <v>13394</v>
      </c>
      <c r="F104" s="220">
        <v>166.98599999999999</v>
      </c>
      <c r="G104" s="220">
        <v>-1.665</v>
      </c>
      <c r="H104" s="220">
        <v>36.357999999999997</v>
      </c>
    </row>
    <row r="105" spans="1:8" x14ac:dyDescent="0.25">
      <c r="A105" s="220">
        <v>53</v>
      </c>
      <c r="B105" s="220" t="s">
        <v>1019</v>
      </c>
      <c r="C105" s="220" t="s">
        <v>688</v>
      </c>
      <c r="D105" s="220">
        <v>6</v>
      </c>
      <c r="E105" s="220">
        <v>18380</v>
      </c>
      <c r="F105" s="220">
        <v>232.15100000000001</v>
      </c>
      <c r="G105" s="220">
        <v>-1.226</v>
      </c>
      <c r="H105" s="220">
        <v>36.015999999999998</v>
      </c>
    </row>
    <row r="106" spans="1:8" x14ac:dyDescent="0.25">
      <c r="A106" s="220">
        <v>53</v>
      </c>
      <c r="B106" s="220" t="s">
        <v>1019</v>
      </c>
      <c r="C106" s="220" t="s">
        <v>688</v>
      </c>
      <c r="D106" s="220">
        <v>7</v>
      </c>
      <c r="E106" s="220">
        <v>17109</v>
      </c>
      <c r="F106" s="220">
        <v>218.13200000000001</v>
      </c>
      <c r="G106" s="220">
        <v>-1.2629999999999999</v>
      </c>
      <c r="H106" s="220">
        <v>36.075000000000003</v>
      </c>
    </row>
    <row r="107" spans="1:8" x14ac:dyDescent="0.25">
      <c r="A107" s="220">
        <v>54</v>
      </c>
      <c r="B107" s="220" t="s">
        <v>1025</v>
      </c>
      <c r="C107" s="220" t="s">
        <v>251</v>
      </c>
      <c r="D107" s="220">
        <v>6</v>
      </c>
      <c r="E107" s="220">
        <v>15081</v>
      </c>
      <c r="F107" s="220">
        <v>184.21100000000001</v>
      </c>
      <c r="G107" s="220">
        <v>-1.407</v>
      </c>
      <c r="H107" s="220">
        <v>35.896999999999998</v>
      </c>
    </row>
    <row r="108" spans="1:8" x14ac:dyDescent="0.25">
      <c r="A108" s="220">
        <v>54</v>
      </c>
      <c r="B108" s="220" t="s">
        <v>1025</v>
      </c>
      <c r="C108" s="220" t="s">
        <v>251</v>
      </c>
      <c r="D108" s="220">
        <v>7</v>
      </c>
      <c r="E108" s="220">
        <v>14168</v>
      </c>
      <c r="F108" s="220">
        <v>172.40299999999999</v>
      </c>
      <c r="G108" s="220">
        <v>-1.393</v>
      </c>
      <c r="H108" s="220">
        <v>35.881</v>
      </c>
    </row>
    <row r="109" spans="1:8" x14ac:dyDescent="0.25">
      <c r="A109" s="220">
        <v>55</v>
      </c>
      <c r="B109" s="220" t="s">
        <v>1030</v>
      </c>
      <c r="C109" s="220" t="s">
        <v>294</v>
      </c>
      <c r="D109" s="220">
        <v>6</v>
      </c>
      <c r="E109" s="220">
        <v>14590</v>
      </c>
      <c r="F109" s="220">
        <v>185.75800000000001</v>
      </c>
      <c r="G109" s="220">
        <v>-0.85699999999999998</v>
      </c>
      <c r="H109" s="220">
        <v>35.945999999999998</v>
      </c>
    </row>
    <row r="110" spans="1:8" x14ac:dyDescent="0.25">
      <c r="A110" s="220">
        <v>55</v>
      </c>
      <c r="B110" s="220" t="s">
        <v>1030</v>
      </c>
      <c r="C110" s="220" t="s">
        <v>294</v>
      </c>
      <c r="D110" s="220">
        <v>7</v>
      </c>
      <c r="E110" s="220">
        <v>13610</v>
      </c>
      <c r="F110" s="220">
        <v>172.738</v>
      </c>
      <c r="G110" s="220">
        <v>-0.78900000000000003</v>
      </c>
      <c r="H110" s="220">
        <v>36.005000000000003</v>
      </c>
    </row>
    <row r="111" spans="1:8" x14ac:dyDescent="0.25">
      <c r="A111" s="220">
        <v>56</v>
      </c>
      <c r="B111" s="220" t="s">
        <v>1034</v>
      </c>
      <c r="C111" s="220" t="s">
        <v>260</v>
      </c>
      <c r="D111" s="220">
        <v>6</v>
      </c>
      <c r="E111" s="220">
        <v>13554</v>
      </c>
      <c r="F111" s="220">
        <v>164.46600000000001</v>
      </c>
      <c r="G111" s="220">
        <v>-1.633</v>
      </c>
      <c r="H111" s="220">
        <v>36.091000000000001</v>
      </c>
    </row>
    <row r="112" spans="1:8" x14ac:dyDescent="0.25">
      <c r="A112" s="220">
        <v>56</v>
      </c>
      <c r="B112" s="220" t="s">
        <v>1034</v>
      </c>
      <c r="C112" s="220" t="s">
        <v>260</v>
      </c>
      <c r="D112" s="220">
        <v>7</v>
      </c>
      <c r="E112" s="220">
        <v>12696</v>
      </c>
      <c r="F112" s="220">
        <v>153.80000000000001</v>
      </c>
      <c r="G112" s="220">
        <v>-1.583</v>
      </c>
      <c r="H112" s="220">
        <v>36.124000000000002</v>
      </c>
    </row>
    <row r="113" spans="1:8" x14ac:dyDescent="0.25">
      <c r="A113" s="220">
        <v>57</v>
      </c>
      <c r="B113" s="220" t="s">
        <v>1038</v>
      </c>
      <c r="C113" s="220" t="s">
        <v>505</v>
      </c>
      <c r="D113" s="220">
        <v>6</v>
      </c>
      <c r="E113" s="220">
        <v>12828</v>
      </c>
      <c r="F113" s="220">
        <v>163.62899999999999</v>
      </c>
      <c r="G113" s="220">
        <v>-1.331</v>
      </c>
      <c r="H113" s="220">
        <v>36.304000000000002</v>
      </c>
    </row>
    <row r="114" spans="1:8" x14ac:dyDescent="0.25">
      <c r="A114" s="220">
        <v>57</v>
      </c>
      <c r="B114" s="220" t="s">
        <v>1038</v>
      </c>
      <c r="C114" s="220" t="s">
        <v>505</v>
      </c>
      <c r="D114" s="220">
        <v>7</v>
      </c>
      <c r="E114" s="220">
        <v>11967</v>
      </c>
      <c r="F114" s="220">
        <v>151.98400000000001</v>
      </c>
      <c r="G114" s="220">
        <v>-1.28</v>
      </c>
      <c r="H114" s="220">
        <v>36.305999999999997</v>
      </c>
    </row>
    <row r="115" spans="1:8" x14ac:dyDescent="0.25">
      <c r="A115" s="220">
        <v>58</v>
      </c>
      <c r="B115" s="220" t="s">
        <v>1042</v>
      </c>
      <c r="C115" s="220" t="s">
        <v>1043</v>
      </c>
      <c r="D115" s="220">
        <v>6</v>
      </c>
      <c r="E115" s="220">
        <v>18990</v>
      </c>
      <c r="F115" s="220">
        <v>228.87700000000001</v>
      </c>
      <c r="G115" s="220">
        <v>-1.123</v>
      </c>
      <c r="H115" s="220">
        <v>36.369</v>
      </c>
    </row>
    <row r="116" spans="1:8" x14ac:dyDescent="0.25">
      <c r="A116" s="220">
        <v>58</v>
      </c>
      <c r="B116" s="220" t="s">
        <v>1042</v>
      </c>
      <c r="C116" s="220" t="s">
        <v>1043</v>
      </c>
      <c r="D116" s="220">
        <v>7</v>
      </c>
      <c r="E116" s="220">
        <v>17679</v>
      </c>
      <c r="F116" s="220">
        <v>213.08199999999999</v>
      </c>
      <c r="G116" s="220">
        <v>-1.0569999999999999</v>
      </c>
      <c r="H116" s="220">
        <v>36.356000000000002</v>
      </c>
    </row>
    <row r="117" spans="1:8" x14ac:dyDescent="0.25">
      <c r="A117" s="220">
        <v>59</v>
      </c>
      <c r="B117" s="220" t="s">
        <v>0</v>
      </c>
      <c r="C117" s="220" t="s">
        <v>289</v>
      </c>
      <c r="D117" s="220">
        <v>6</v>
      </c>
      <c r="E117" s="220">
        <v>14088</v>
      </c>
      <c r="F117" s="220">
        <v>178.83799999999999</v>
      </c>
      <c r="G117" s="220">
        <v>4.7409999999999997</v>
      </c>
      <c r="H117" s="220">
        <v>37</v>
      </c>
    </row>
    <row r="118" spans="1:8" x14ac:dyDescent="0.25">
      <c r="A118" s="220">
        <v>59</v>
      </c>
      <c r="B118" s="220" t="s">
        <v>0</v>
      </c>
      <c r="C118" s="220" t="s">
        <v>289</v>
      </c>
      <c r="D118" s="220">
        <v>7</v>
      </c>
      <c r="E118" s="220">
        <v>13137</v>
      </c>
      <c r="F118" s="220">
        <v>166.16300000000001</v>
      </c>
      <c r="G118" s="220">
        <v>4.7779999999999996</v>
      </c>
      <c r="H118" s="220">
        <v>37.03</v>
      </c>
    </row>
    <row r="119" spans="1:8" x14ac:dyDescent="0.25">
      <c r="A119" s="220">
        <v>60</v>
      </c>
      <c r="B119" s="220" t="s">
        <v>0</v>
      </c>
      <c r="C119" s="220" t="s">
        <v>380</v>
      </c>
      <c r="D119" s="220">
        <v>6</v>
      </c>
      <c r="E119" s="220">
        <v>15759</v>
      </c>
      <c r="F119" s="220">
        <v>193.91399999999999</v>
      </c>
      <c r="G119" s="220">
        <v>4.7169999999999996</v>
      </c>
      <c r="H119" s="220">
        <v>36.959000000000003</v>
      </c>
    </row>
    <row r="120" spans="1:8" x14ac:dyDescent="0.25">
      <c r="A120" s="220">
        <v>60</v>
      </c>
      <c r="B120" s="220" t="s">
        <v>0</v>
      </c>
      <c r="C120" s="220" t="s">
        <v>380</v>
      </c>
      <c r="D120" s="220">
        <v>7</v>
      </c>
      <c r="E120" s="220">
        <v>14551</v>
      </c>
      <c r="F120" s="220">
        <v>179.70099999999999</v>
      </c>
      <c r="G120" s="220">
        <v>4.7759999999999998</v>
      </c>
      <c r="H120" s="220">
        <v>36.981999999999999</v>
      </c>
    </row>
    <row r="121" spans="1:8" x14ac:dyDescent="0.25">
      <c r="A121" s="220">
        <v>61</v>
      </c>
      <c r="B121" s="220" t="s">
        <v>1058</v>
      </c>
      <c r="C121" s="220" t="s">
        <v>335</v>
      </c>
      <c r="D121" s="220">
        <v>6</v>
      </c>
      <c r="E121" s="220">
        <v>12532</v>
      </c>
      <c r="F121" s="220">
        <v>158.46700000000001</v>
      </c>
      <c r="G121" s="220">
        <v>-1.284</v>
      </c>
      <c r="H121" s="220">
        <v>36.347000000000001</v>
      </c>
    </row>
    <row r="122" spans="1:8" x14ac:dyDescent="0.25">
      <c r="A122" s="220">
        <v>61</v>
      </c>
      <c r="B122" s="220" t="s">
        <v>1058</v>
      </c>
      <c r="C122" s="220" t="s">
        <v>335</v>
      </c>
      <c r="D122" s="220">
        <v>7</v>
      </c>
      <c r="E122" s="220">
        <v>11776</v>
      </c>
      <c r="F122" s="220">
        <v>147.62299999999999</v>
      </c>
      <c r="G122" s="220">
        <v>-1.226</v>
      </c>
      <c r="H122" s="220">
        <v>36.363999999999997</v>
      </c>
    </row>
    <row r="123" spans="1:8" x14ac:dyDescent="0.25">
      <c r="A123" s="220">
        <v>62</v>
      </c>
      <c r="B123" s="220" t="s">
        <v>1061</v>
      </c>
      <c r="C123" s="220" t="s">
        <v>322</v>
      </c>
      <c r="D123" s="220">
        <v>6</v>
      </c>
      <c r="E123" s="220">
        <v>17297</v>
      </c>
      <c r="F123" s="220">
        <v>216.47800000000001</v>
      </c>
      <c r="G123" s="220">
        <v>-1.3560000000000001</v>
      </c>
      <c r="H123" s="220">
        <v>35.979999999999997</v>
      </c>
    </row>
    <row r="124" spans="1:8" x14ac:dyDescent="0.25">
      <c r="A124" s="220">
        <v>62</v>
      </c>
      <c r="B124" s="220" t="s">
        <v>1061</v>
      </c>
      <c r="C124" s="220" t="s">
        <v>322</v>
      </c>
      <c r="D124" s="220">
        <v>7</v>
      </c>
      <c r="E124" s="220">
        <v>16012</v>
      </c>
      <c r="F124" s="220">
        <v>203.15100000000001</v>
      </c>
      <c r="G124" s="220">
        <v>-1.383</v>
      </c>
      <c r="H124" s="220">
        <v>36.011000000000003</v>
      </c>
    </row>
    <row r="125" spans="1:8" x14ac:dyDescent="0.25">
      <c r="A125" s="220">
        <v>63</v>
      </c>
      <c r="B125" s="220" t="s">
        <v>1065</v>
      </c>
      <c r="C125" s="220" t="s">
        <v>513</v>
      </c>
      <c r="D125" s="220">
        <v>6</v>
      </c>
      <c r="E125" s="220">
        <v>14482</v>
      </c>
      <c r="F125" s="220">
        <v>180.27099999999999</v>
      </c>
      <c r="G125" s="220">
        <v>-1.7150000000000001</v>
      </c>
      <c r="H125" s="220">
        <v>35.744</v>
      </c>
    </row>
    <row r="126" spans="1:8" x14ac:dyDescent="0.25">
      <c r="A126" s="220">
        <v>63</v>
      </c>
      <c r="B126" s="220" t="s">
        <v>1065</v>
      </c>
      <c r="C126" s="220" t="s">
        <v>513</v>
      </c>
      <c r="D126" s="220">
        <v>7</v>
      </c>
      <c r="E126" s="220">
        <v>13652</v>
      </c>
      <c r="F126" s="220">
        <v>168.47399999999999</v>
      </c>
      <c r="G126" s="220">
        <v>-1.6739999999999999</v>
      </c>
      <c r="H126" s="220">
        <v>35.74</v>
      </c>
    </row>
    <row r="127" spans="1:8" x14ac:dyDescent="0.25">
      <c r="A127" s="220">
        <v>64</v>
      </c>
      <c r="B127" s="220" t="s">
        <v>1068</v>
      </c>
      <c r="C127" s="220" t="s">
        <v>269</v>
      </c>
      <c r="D127" s="220">
        <v>6</v>
      </c>
      <c r="E127" s="220">
        <v>13280</v>
      </c>
      <c r="F127" s="220">
        <v>168.73</v>
      </c>
      <c r="G127" s="220">
        <v>-1.3939999999999999</v>
      </c>
      <c r="H127" s="220">
        <v>35.787999999999997</v>
      </c>
    </row>
    <row r="128" spans="1:8" x14ac:dyDescent="0.25">
      <c r="A128" s="220">
        <v>64</v>
      </c>
      <c r="B128" s="220" t="s">
        <v>1068</v>
      </c>
      <c r="C128" s="220" t="s">
        <v>269</v>
      </c>
      <c r="D128" s="220">
        <v>7</v>
      </c>
      <c r="E128" s="220">
        <v>12313</v>
      </c>
      <c r="F128" s="220">
        <v>156.42400000000001</v>
      </c>
      <c r="G128" s="220">
        <v>-1.36</v>
      </c>
      <c r="H128" s="220">
        <v>35.76</v>
      </c>
    </row>
    <row r="129" spans="1:8" x14ac:dyDescent="0.25">
      <c r="A129" s="220">
        <v>65</v>
      </c>
      <c r="B129" s="220" t="s">
        <v>1073</v>
      </c>
      <c r="C129" s="220" t="s">
        <v>518</v>
      </c>
      <c r="D129" s="220">
        <v>6</v>
      </c>
      <c r="E129" s="220">
        <v>13686</v>
      </c>
      <c r="F129" s="220">
        <v>167.84800000000001</v>
      </c>
      <c r="G129" s="220">
        <v>-1.6379999999999999</v>
      </c>
      <c r="H129" s="220">
        <v>35.871000000000002</v>
      </c>
    </row>
    <row r="130" spans="1:8" x14ac:dyDescent="0.25">
      <c r="A130" s="220">
        <v>65</v>
      </c>
      <c r="B130" s="220" t="s">
        <v>1073</v>
      </c>
      <c r="C130" s="220" t="s">
        <v>518</v>
      </c>
      <c r="D130" s="220">
        <v>7</v>
      </c>
      <c r="E130" s="220">
        <v>12903</v>
      </c>
      <c r="F130" s="220">
        <v>157.03</v>
      </c>
      <c r="G130" s="220">
        <v>-1.542</v>
      </c>
      <c r="H130" s="220">
        <v>35.880000000000003</v>
      </c>
    </row>
    <row r="131" spans="1:8" x14ac:dyDescent="0.25">
      <c r="A131" s="220">
        <v>66</v>
      </c>
      <c r="B131" s="220" t="s">
        <v>1078</v>
      </c>
      <c r="C131" s="220" t="s">
        <v>551</v>
      </c>
      <c r="D131" s="220">
        <v>6</v>
      </c>
      <c r="E131" s="220">
        <v>13464</v>
      </c>
      <c r="F131" s="220">
        <v>171.72499999999999</v>
      </c>
      <c r="G131" s="220">
        <v>-1.8149999999999999</v>
      </c>
      <c r="H131" s="220">
        <v>36.042999999999999</v>
      </c>
    </row>
    <row r="132" spans="1:8" x14ac:dyDescent="0.25">
      <c r="A132" s="220">
        <v>66</v>
      </c>
      <c r="B132" s="220" t="s">
        <v>1078</v>
      </c>
      <c r="C132" s="220" t="s">
        <v>551</v>
      </c>
      <c r="D132" s="220">
        <v>7</v>
      </c>
      <c r="E132" s="220">
        <v>12547</v>
      </c>
      <c r="F132" s="220">
        <v>159.626</v>
      </c>
      <c r="G132" s="220">
        <v>-1.7490000000000001</v>
      </c>
      <c r="H132" s="220">
        <v>36.125999999999998</v>
      </c>
    </row>
    <row r="133" spans="1:8" x14ac:dyDescent="0.25">
      <c r="A133" s="220">
        <v>67</v>
      </c>
      <c r="B133" s="220" t="s">
        <v>1081</v>
      </c>
      <c r="C133" s="220" t="s">
        <v>269</v>
      </c>
      <c r="D133" s="220">
        <v>6</v>
      </c>
      <c r="E133" s="220">
        <v>14264</v>
      </c>
      <c r="F133" s="220">
        <v>173.017</v>
      </c>
      <c r="G133" s="220">
        <v>-1.625</v>
      </c>
      <c r="H133" s="220">
        <v>36.113</v>
      </c>
    </row>
    <row r="134" spans="1:8" x14ac:dyDescent="0.25">
      <c r="A134" s="220">
        <v>67</v>
      </c>
      <c r="B134" s="220" t="s">
        <v>1081</v>
      </c>
      <c r="C134" s="220" t="s">
        <v>269</v>
      </c>
      <c r="D134" s="220">
        <v>7</v>
      </c>
      <c r="E134" s="220">
        <v>13339</v>
      </c>
      <c r="F134" s="220">
        <v>161.63300000000001</v>
      </c>
      <c r="G134" s="220">
        <v>-1.571</v>
      </c>
      <c r="H134" s="220">
        <v>36.180999999999997</v>
      </c>
    </row>
    <row r="135" spans="1:8" x14ac:dyDescent="0.25">
      <c r="A135" s="220">
        <v>68</v>
      </c>
      <c r="B135" s="220" t="s">
        <v>1084</v>
      </c>
      <c r="C135" s="220" t="s">
        <v>229</v>
      </c>
      <c r="D135" s="220">
        <v>6</v>
      </c>
      <c r="E135" s="220">
        <v>13882</v>
      </c>
      <c r="F135" s="220">
        <v>176.63399999999999</v>
      </c>
      <c r="G135" s="220">
        <v>-1.423</v>
      </c>
      <c r="H135" s="220">
        <v>36.058</v>
      </c>
    </row>
    <row r="136" spans="1:8" x14ac:dyDescent="0.25">
      <c r="A136" s="220">
        <v>68</v>
      </c>
      <c r="B136" s="220" t="s">
        <v>1084</v>
      </c>
      <c r="C136" s="220" t="s">
        <v>229</v>
      </c>
      <c r="D136" s="220">
        <v>7</v>
      </c>
      <c r="E136" s="220">
        <v>12928</v>
      </c>
      <c r="F136" s="220">
        <v>163.90100000000001</v>
      </c>
      <c r="G136" s="220">
        <v>-1.3580000000000001</v>
      </c>
      <c r="H136" s="220">
        <v>36.082999999999998</v>
      </c>
    </row>
    <row r="137" spans="1:8" x14ac:dyDescent="0.25">
      <c r="A137" s="220">
        <v>69</v>
      </c>
      <c r="B137" s="220" t="s">
        <v>1091</v>
      </c>
      <c r="C137" s="220" t="s">
        <v>283</v>
      </c>
      <c r="D137" s="220">
        <v>6</v>
      </c>
      <c r="E137" s="220">
        <v>14168</v>
      </c>
      <c r="F137" s="220">
        <v>173.20599999999999</v>
      </c>
      <c r="G137" s="220">
        <v>-1.5620000000000001</v>
      </c>
      <c r="H137" s="220">
        <v>36.021999999999998</v>
      </c>
    </row>
    <row r="138" spans="1:8" x14ac:dyDescent="0.25">
      <c r="A138" s="220">
        <v>69</v>
      </c>
      <c r="B138" s="220" t="s">
        <v>1091</v>
      </c>
      <c r="C138" s="220" t="s">
        <v>283</v>
      </c>
      <c r="D138" s="220">
        <v>7</v>
      </c>
      <c r="E138" s="220">
        <v>13124</v>
      </c>
      <c r="F138" s="220">
        <v>160.71700000000001</v>
      </c>
      <c r="G138" s="220">
        <v>-1.5029999999999999</v>
      </c>
      <c r="H138" s="220">
        <v>36.042000000000002</v>
      </c>
    </row>
    <row r="139" spans="1:8" x14ac:dyDescent="0.25">
      <c r="A139" s="220">
        <v>70</v>
      </c>
      <c r="B139" s="220" t="s">
        <v>1096</v>
      </c>
      <c r="C139" s="220" t="s">
        <v>283</v>
      </c>
      <c r="D139" s="220">
        <v>6</v>
      </c>
      <c r="E139" s="220">
        <v>12683</v>
      </c>
      <c r="F139" s="220">
        <v>160.99100000000001</v>
      </c>
      <c r="G139" s="220">
        <v>-1.212</v>
      </c>
      <c r="H139" s="220">
        <v>35.799999999999997</v>
      </c>
    </row>
    <row r="140" spans="1:8" x14ac:dyDescent="0.25">
      <c r="A140" s="220">
        <v>70</v>
      </c>
      <c r="B140" s="220" t="s">
        <v>1096</v>
      </c>
      <c r="C140" s="220" t="s">
        <v>283</v>
      </c>
      <c r="D140" s="220">
        <v>7</v>
      </c>
      <c r="E140" s="220">
        <v>11840</v>
      </c>
      <c r="F140" s="220">
        <v>149.66200000000001</v>
      </c>
      <c r="G140" s="220">
        <v>-1.161</v>
      </c>
      <c r="H140" s="220">
        <v>35.786999999999999</v>
      </c>
    </row>
    <row r="141" spans="1:8" x14ac:dyDescent="0.25">
      <c r="A141" s="220">
        <v>71</v>
      </c>
      <c r="B141" s="220" t="s">
        <v>0</v>
      </c>
      <c r="C141" s="220" t="s">
        <v>518</v>
      </c>
      <c r="D141" s="220">
        <v>6</v>
      </c>
      <c r="E141" s="220">
        <v>14004</v>
      </c>
      <c r="F141" s="220">
        <v>174.72</v>
      </c>
      <c r="G141" s="220">
        <v>4.7130000000000001</v>
      </c>
      <c r="H141" s="220">
        <v>36.993000000000002</v>
      </c>
    </row>
    <row r="142" spans="1:8" x14ac:dyDescent="0.25">
      <c r="A142" s="220">
        <v>71</v>
      </c>
      <c r="B142" s="220" t="s">
        <v>0</v>
      </c>
      <c r="C142" s="220" t="s">
        <v>518</v>
      </c>
      <c r="D142" s="220">
        <v>7</v>
      </c>
      <c r="E142" s="220">
        <v>12984</v>
      </c>
      <c r="F142" s="220">
        <v>164.16800000000001</v>
      </c>
      <c r="G142" s="220">
        <v>4.6870000000000003</v>
      </c>
      <c r="H142" s="220">
        <v>37.01</v>
      </c>
    </row>
    <row r="143" spans="1:8" x14ac:dyDescent="0.25">
      <c r="A143" s="220">
        <v>72</v>
      </c>
      <c r="B143" s="220" t="s">
        <v>0</v>
      </c>
      <c r="C143" s="220" t="s">
        <v>576</v>
      </c>
      <c r="D143" s="220">
        <v>6</v>
      </c>
      <c r="E143" s="220">
        <v>13499</v>
      </c>
      <c r="F143" s="220">
        <v>169.52199999999999</v>
      </c>
      <c r="G143" s="220">
        <v>4.6559999999999997</v>
      </c>
      <c r="H143" s="220">
        <v>37.054000000000002</v>
      </c>
    </row>
    <row r="144" spans="1:8" x14ac:dyDescent="0.25">
      <c r="A144" s="220">
        <v>72</v>
      </c>
      <c r="B144" s="220" t="s">
        <v>0</v>
      </c>
      <c r="C144" s="220" t="s">
        <v>576</v>
      </c>
      <c r="D144" s="220">
        <v>7</v>
      </c>
      <c r="E144" s="220">
        <v>12719</v>
      </c>
      <c r="F144" s="220">
        <v>158.21299999999999</v>
      </c>
      <c r="G144" s="220">
        <v>4.7300000000000004</v>
      </c>
      <c r="H144" s="220">
        <v>37.061999999999998</v>
      </c>
    </row>
    <row r="145" spans="1:8" x14ac:dyDescent="0.25">
      <c r="A145" s="220">
        <v>73</v>
      </c>
      <c r="B145" s="220" t="s">
        <v>1105</v>
      </c>
      <c r="C145" s="220" t="s">
        <v>729</v>
      </c>
      <c r="D145" s="220">
        <v>6</v>
      </c>
      <c r="E145" s="220">
        <v>14937</v>
      </c>
      <c r="F145" s="220">
        <v>188.40899999999999</v>
      </c>
      <c r="G145" s="220">
        <v>-1.4219999999999999</v>
      </c>
      <c r="H145" s="220">
        <v>35.69</v>
      </c>
    </row>
    <row r="146" spans="1:8" x14ac:dyDescent="0.25">
      <c r="A146" s="220">
        <v>73</v>
      </c>
      <c r="B146" s="220" t="s">
        <v>1105</v>
      </c>
      <c r="C146" s="220" t="s">
        <v>729</v>
      </c>
      <c r="D146" s="220">
        <v>7</v>
      </c>
      <c r="E146" s="220">
        <v>13820</v>
      </c>
      <c r="F146" s="220">
        <v>174.65799999999999</v>
      </c>
      <c r="G146" s="220">
        <v>-1.357</v>
      </c>
      <c r="H146" s="220">
        <v>35.719000000000001</v>
      </c>
    </row>
    <row r="147" spans="1:8" x14ac:dyDescent="0.25">
      <c r="A147" s="220">
        <v>74</v>
      </c>
      <c r="B147" s="220" t="s">
        <v>1111</v>
      </c>
      <c r="C147" s="220" t="s">
        <v>518</v>
      </c>
      <c r="D147" s="220">
        <v>6</v>
      </c>
      <c r="E147" s="220">
        <v>13729</v>
      </c>
      <c r="F147" s="220">
        <v>170.12200000000001</v>
      </c>
      <c r="G147" s="220">
        <v>-1.6459999999999999</v>
      </c>
      <c r="H147" s="220">
        <v>35.951999999999998</v>
      </c>
    </row>
    <row r="148" spans="1:8" x14ac:dyDescent="0.25">
      <c r="A148" s="220">
        <v>74</v>
      </c>
      <c r="B148" s="220" t="s">
        <v>1111</v>
      </c>
      <c r="C148" s="220" t="s">
        <v>518</v>
      </c>
      <c r="D148" s="220">
        <v>7</v>
      </c>
      <c r="E148" s="220">
        <v>12953</v>
      </c>
      <c r="F148" s="220">
        <v>159.03</v>
      </c>
      <c r="G148" s="220">
        <v>-1.573</v>
      </c>
      <c r="H148" s="220">
        <v>35.954999999999998</v>
      </c>
    </row>
    <row r="149" spans="1:8" x14ac:dyDescent="0.25">
      <c r="A149" s="220">
        <v>75</v>
      </c>
      <c r="B149" s="220" t="s">
        <v>1115</v>
      </c>
      <c r="C149" s="220" t="s">
        <v>635</v>
      </c>
      <c r="D149" s="220">
        <v>6</v>
      </c>
      <c r="E149" s="220">
        <v>14160</v>
      </c>
      <c r="F149" s="220">
        <v>180.126</v>
      </c>
      <c r="G149" s="220">
        <v>-1.486</v>
      </c>
      <c r="H149" s="220">
        <v>36.070999999999998</v>
      </c>
    </row>
    <row r="150" spans="1:8" x14ac:dyDescent="0.25">
      <c r="A150" s="220">
        <v>75</v>
      </c>
      <c r="B150" s="220" t="s">
        <v>1115</v>
      </c>
      <c r="C150" s="220" t="s">
        <v>635</v>
      </c>
      <c r="D150" s="220">
        <v>7</v>
      </c>
      <c r="E150" s="220">
        <v>13142</v>
      </c>
      <c r="F150" s="220">
        <v>167.089</v>
      </c>
      <c r="G150" s="220">
        <v>-1.4370000000000001</v>
      </c>
      <c r="H150" s="220">
        <v>36.11</v>
      </c>
    </row>
    <row r="151" spans="1:8" x14ac:dyDescent="0.25">
      <c r="A151" s="220">
        <v>76</v>
      </c>
      <c r="B151" s="220" t="s">
        <v>1121</v>
      </c>
      <c r="C151" s="220" t="s">
        <v>267</v>
      </c>
      <c r="D151" s="220">
        <v>6</v>
      </c>
      <c r="E151" s="220">
        <v>14321</v>
      </c>
      <c r="F151" s="220">
        <v>175.31800000000001</v>
      </c>
      <c r="G151" s="220">
        <v>-1.464</v>
      </c>
      <c r="H151" s="220">
        <v>36.006999999999998</v>
      </c>
    </row>
    <row r="152" spans="1:8" x14ac:dyDescent="0.25">
      <c r="A152" s="220">
        <v>76</v>
      </c>
      <c r="B152" s="220" t="s">
        <v>1121</v>
      </c>
      <c r="C152" s="220" t="s">
        <v>267</v>
      </c>
      <c r="D152" s="220">
        <v>7</v>
      </c>
      <c r="E152" s="220">
        <v>13483</v>
      </c>
      <c r="F152" s="220">
        <v>163.94</v>
      </c>
      <c r="G152" s="220">
        <v>-1.3839999999999999</v>
      </c>
      <c r="H152" s="220">
        <v>36.055</v>
      </c>
    </row>
    <row r="153" spans="1:8" x14ac:dyDescent="0.25">
      <c r="A153" s="220">
        <v>77</v>
      </c>
      <c r="B153" s="220" t="s">
        <v>1126</v>
      </c>
      <c r="C153" s="220" t="s">
        <v>286</v>
      </c>
      <c r="D153" s="220">
        <v>6</v>
      </c>
      <c r="E153" s="220">
        <v>12869</v>
      </c>
      <c r="F153" s="220">
        <v>164.41499999999999</v>
      </c>
      <c r="G153" s="220">
        <v>-1.51</v>
      </c>
      <c r="H153" s="220">
        <v>35.951000000000001</v>
      </c>
    </row>
    <row r="154" spans="1:8" x14ac:dyDescent="0.25">
      <c r="A154" s="220">
        <v>77</v>
      </c>
      <c r="B154" s="220" t="s">
        <v>1126</v>
      </c>
      <c r="C154" s="220" t="s">
        <v>286</v>
      </c>
      <c r="D154" s="220">
        <v>7</v>
      </c>
      <c r="E154" s="220">
        <v>12003</v>
      </c>
      <c r="F154" s="220">
        <v>152.78800000000001</v>
      </c>
      <c r="G154" s="220">
        <v>-1.4419999999999999</v>
      </c>
      <c r="H154" s="220">
        <v>35.994</v>
      </c>
    </row>
    <row r="155" spans="1:8" x14ac:dyDescent="0.25">
      <c r="A155" s="220">
        <v>78</v>
      </c>
      <c r="B155" s="220" t="s">
        <v>1131</v>
      </c>
      <c r="C155" s="220" t="s">
        <v>289</v>
      </c>
      <c r="D155" s="220">
        <v>6</v>
      </c>
      <c r="E155" s="220">
        <v>14232</v>
      </c>
      <c r="F155" s="220">
        <v>172.82</v>
      </c>
      <c r="G155" s="220">
        <v>-1.206</v>
      </c>
      <c r="H155" s="220">
        <v>35.777999999999999</v>
      </c>
    </row>
    <row r="156" spans="1:8" x14ac:dyDescent="0.25">
      <c r="A156" s="220">
        <v>78</v>
      </c>
      <c r="B156" s="220" t="s">
        <v>1131</v>
      </c>
      <c r="C156" s="220" t="s">
        <v>289</v>
      </c>
      <c r="D156" s="220">
        <v>7</v>
      </c>
      <c r="E156" s="220">
        <v>13384</v>
      </c>
      <c r="F156" s="220">
        <v>161.65700000000001</v>
      </c>
      <c r="G156" s="220">
        <v>-1.119</v>
      </c>
      <c r="H156" s="220">
        <v>35.817999999999998</v>
      </c>
    </row>
    <row r="157" spans="1:8" x14ac:dyDescent="0.25">
      <c r="A157" s="220">
        <v>79</v>
      </c>
      <c r="B157" s="220" t="s">
        <v>1135</v>
      </c>
      <c r="C157" s="220" t="s">
        <v>505</v>
      </c>
      <c r="D157" s="220">
        <v>6</v>
      </c>
      <c r="E157" s="220">
        <v>12631</v>
      </c>
      <c r="F157" s="220">
        <v>161.13300000000001</v>
      </c>
      <c r="G157" s="220">
        <v>-1.2589999999999999</v>
      </c>
      <c r="H157" s="220">
        <v>35.856000000000002</v>
      </c>
    </row>
    <row r="158" spans="1:8" x14ac:dyDescent="0.25">
      <c r="A158" s="220">
        <v>79</v>
      </c>
      <c r="B158" s="220" t="s">
        <v>1135</v>
      </c>
      <c r="C158" s="220" t="s">
        <v>505</v>
      </c>
      <c r="D158" s="220">
        <v>7</v>
      </c>
      <c r="E158" s="220">
        <v>11774</v>
      </c>
      <c r="F158" s="220">
        <v>149.68899999999999</v>
      </c>
      <c r="G158" s="220">
        <v>-1.2170000000000001</v>
      </c>
      <c r="H158" s="220">
        <v>35.871000000000002</v>
      </c>
    </row>
    <row r="159" spans="1:8" x14ac:dyDescent="0.25">
      <c r="A159" s="220">
        <v>80</v>
      </c>
      <c r="B159" s="220" t="s">
        <v>1138</v>
      </c>
      <c r="C159" s="220" t="s">
        <v>328</v>
      </c>
      <c r="D159" s="220">
        <v>6</v>
      </c>
      <c r="E159" s="220">
        <v>16257</v>
      </c>
      <c r="F159" s="220">
        <v>197.03100000000001</v>
      </c>
      <c r="G159" s="220">
        <v>-1.627</v>
      </c>
      <c r="H159" s="220">
        <v>35.93</v>
      </c>
    </row>
    <row r="160" spans="1:8" x14ac:dyDescent="0.25">
      <c r="A160" s="220">
        <v>80</v>
      </c>
      <c r="B160" s="220" t="s">
        <v>1138</v>
      </c>
      <c r="C160" s="220" t="s">
        <v>328</v>
      </c>
      <c r="D160" s="220">
        <v>7</v>
      </c>
      <c r="E160" s="220">
        <v>15144</v>
      </c>
      <c r="F160" s="220">
        <v>185.51900000000001</v>
      </c>
      <c r="G160" s="220">
        <v>-1.625</v>
      </c>
      <c r="H160" s="220">
        <v>35.953000000000003</v>
      </c>
    </row>
    <row r="161" spans="1:8" x14ac:dyDescent="0.25">
      <c r="A161" s="220">
        <v>81</v>
      </c>
      <c r="B161" s="220" t="s">
        <v>1142</v>
      </c>
      <c r="C161" s="220" t="s">
        <v>232</v>
      </c>
      <c r="D161" s="220">
        <v>6</v>
      </c>
      <c r="E161" s="220">
        <v>12871</v>
      </c>
      <c r="F161" s="220">
        <v>163.66399999999999</v>
      </c>
      <c r="G161" s="220">
        <v>-1.389</v>
      </c>
      <c r="H161" s="220">
        <v>36.159999999999997</v>
      </c>
    </row>
    <row r="162" spans="1:8" x14ac:dyDescent="0.25">
      <c r="A162" s="220">
        <v>81</v>
      </c>
      <c r="B162" s="220" t="s">
        <v>1142</v>
      </c>
      <c r="C162" s="220" t="s">
        <v>232</v>
      </c>
      <c r="D162" s="220">
        <v>7</v>
      </c>
      <c r="E162" s="220">
        <v>12009</v>
      </c>
      <c r="F162" s="220">
        <v>152.071</v>
      </c>
      <c r="G162" s="220">
        <v>-1.34</v>
      </c>
      <c r="H162" s="220">
        <v>36.186999999999998</v>
      </c>
    </row>
    <row r="163" spans="1:8" x14ac:dyDescent="0.25">
      <c r="A163" s="220">
        <v>82</v>
      </c>
      <c r="B163" s="220" t="s">
        <v>1147</v>
      </c>
      <c r="C163" s="220" t="s">
        <v>227</v>
      </c>
      <c r="D163" s="220">
        <v>6</v>
      </c>
      <c r="E163" s="220">
        <v>13282</v>
      </c>
      <c r="F163" s="220">
        <v>163.73400000000001</v>
      </c>
      <c r="G163" s="220">
        <v>-1.1890000000000001</v>
      </c>
      <c r="H163" s="220">
        <v>36.229999999999997</v>
      </c>
    </row>
    <row r="164" spans="1:8" x14ac:dyDescent="0.25">
      <c r="A164" s="220">
        <v>82</v>
      </c>
      <c r="B164" s="220" t="s">
        <v>1147</v>
      </c>
      <c r="C164" s="220" t="s">
        <v>227</v>
      </c>
      <c r="D164" s="220">
        <v>7</v>
      </c>
      <c r="E164" s="220">
        <v>12284</v>
      </c>
      <c r="F164" s="220">
        <v>151.84700000000001</v>
      </c>
      <c r="G164" s="220">
        <v>-1.165</v>
      </c>
      <c r="H164" s="220">
        <v>36.204000000000001</v>
      </c>
    </row>
    <row r="165" spans="1:8" x14ac:dyDescent="0.25">
      <c r="A165" s="220">
        <v>83</v>
      </c>
      <c r="B165" s="220" t="s">
        <v>0</v>
      </c>
      <c r="C165" s="220" t="s">
        <v>518</v>
      </c>
      <c r="D165" s="220">
        <v>6</v>
      </c>
      <c r="E165" s="220">
        <v>13181</v>
      </c>
      <c r="F165" s="220">
        <v>166.489</v>
      </c>
      <c r="G165" s="220">
        <v>4.7</v>
      </c>
      <c r="H165" s="220">
        <v>37.012999999999998</v>
      </c>
    </row>
    <row r="166" spans="1:8" x14ac:dyDescent="0.25">
      <c r="A166" s="220">
        <v>83</v>
      </c>
      <c r="B166" s="220" t="s">
        <v>0</v>
      </c>
      <c r="C166" s="220" t="s">
        <v>518</v>
      </c>
      <c r="D166" s="220">
        <v>7</v>
      </c>
      <c r="E166" s="220">
        <v>12366</v>
      </c>
      <c r="F166" s="220">
        <v>154.828</v>
      </c>
      <c r="G166" s="220">
        <v>4.7549999999999999</v>
      </c>
      <c r="H166" s="220">
        <v>37.040999999999997</v>
      </c>
    </row>
    <row r="167" spans="1:8" x14ac:dyDescent="0.25">
      <c r="A167" s="220">
        <v>84</v>
      </c>
      <c r="B167" s="220" t="s">
        <v>0</v>
      </c>
      <c r="C167" s="220" t="s">
        <v>269</v>
      </c>
      <c r="D167" s="220">
        <v>6</v>
      </c>
      <c r="E167" s="220">
        <v>12830</v>
      </c>
      <c r="F167" s="220">
        <v>161.59299999999999</v>
      </c>
      <c r="G167" s="220">
        <v>4.6849999999999996</v>
      </c>
      <c r="H167" s="220">
        <v>37.058999999999997</v>
      </c>
    </row>
    <row r="168" spans="1:8" x14ac:dyDescent="0.25">
      <c r="A168" s="220">
        <v>84</v>
      </c>
      <c r="B168" s="220" t="s">
        <v>0</v>
      </c>
      <c r="C168" s="220" t="s">
        <v>269</v>
      </c>
      <c r="D168" s="220">
        <v>7</v>
      </c>
      <c r="E168" s="220">
        <v>11911</v>
      </c>
      <c r="F168" s="220">
        <v>151.83500000000001</v>
      </c>
      <c r="G168" s="220">
        <v>4.6580000000000004</v>
      </c>
      <c r="H168" s="220">
        <v>37.079000000000001</v>
      </c>
    </row>
    <row r="169" spans="1:8" x14ac:dyDescent="0.25">
      <c r="A169" s="220">
        <v>85</v>
      </c>
      <c r="B169" s="220" t="s">
        <v>1158</v>
      </c>
      <c r="C169" s="220" t="s">
        <v>260</v>
      </c>
      <c r="D169" s="220">
        <v>6</v>
      </c>
      <c r="E169" s="220">
        <v>13750</v>
      </c>
      <c r="F169" s="220">
        <v>173.81100000000001</v>
      </c>
      <c r="G169" s="220">
        <v>-1.143</v>
      </c>
      <c r="H169" s="220">
        <v>36.133000000000003</v>
      </c>
    </row>
    <row r="170" spans="1:8" x14ac:dyDescent="0.25">
      <c r="A170" s="220">
        <v>85</v>
      </c>
      <c r="B170" s="220" t="s">
        <v>1158</v>
      </c>
      <c r="C170" s="220" t="s">
        <v>260</v>
      </c>
      <c r="D170" s="220">
        <v>7</v>
      </c>
      <c r="E170" s="220">
        <v>12754</v>
      </c>
      <c r="F170" s="220">
        <v>161.33600000000001</v>
      </c>
      <c r="G170" s="220">
        <v>-1.087</v>
      </c>
      <c r="H170" s="220">
        <v>36.164999999999999</v>
      </c>
    </row>
    <row r="171" spans="1:8" x14ac:dyDescent="0.25">
      <c r="A171" s="220">
        <v>86</v>
      </c>
      <c r="B171" s="220" t="s">
        <v>1161</v>
      </c>
      <c r="C171" s="220" t="s">
        <v>518</v>
      </c>
      <c r="D171" s="220">
        <v>6</v>
      </c>
      <c r="E171" s="220">
        <v>13371</v>
      </c>
      <c r="F171" s="220">
        <v>164.892</v>
      </c>
      <c r="G171" s="220">
        <v>-1.1279999999999999</v>
      </c>
      <c r="H171" s="220">
        <v>36.000999999999998</v>
      </c>
    </row>
    <row r="172" spans="1:8" x14ac:dyDescent="0.25">
      <c r="A172" s="220">
        <v>86</v>
      </c>
      <c r="B172" s="220" t="s">
        <v>1161</v>
      </c>
      <c r="C172" s="220" t="s">
        <v>518</v>
      </c>
      <c r="D172" s="220">
        <v>7</v>
      </c>
      <c r="E172" s="220">
        <v>12608</v>
      </c>
      <c r="F172" s="220">
        <v>154.32499999999999</v>
      </c>
      <c r="G172" s="220">
        <v>-1.046</v>
      </c>
      <c r="H172" s="220">
        <v>36.039000000000001</v>
      </c>
    </row>
    <row r="173" spans="1:8" x14ac:dyDescent="0.25">
      <c r="A173" s="220">
        <v>87</v>
      </c>
      <c r="B173" s="220" t="s">
        <v>1165</v>
      </c>
      <c r="C173" s="220" t="s">
        <v>269</v>
      </c>
      <c r="D173" s="220">
        <v>6</v>
      </c>
      <c r="E173" s="220">
        <v>13071</v>
      </c>
      <c r="F173" s="220">
        <v>166.56</v>
      </c>
      <c r="G173" s="220">
        <v>-1.0429999999999999</v>
      </c>
      <c r="H173" s="220">
        <v>36.25</v>
      </c>
    </row>
    <row r="174" spans="1:8" x14ac:dyDescent="0.25">
      <c r="A174" s="220">
        <v>87</v>
      </c>
      <c r="B174" s="220" t="s">
        <v>1165</v>
      </c>
      <c r="C174" s="220" t="s">
        <v>269</v>
      </c>
      <c r="D174" s="220">
        <v>7</v>
      </c>
      <c r="E174" s="220">
        <v>12180</v>
      </c>
      <c r="F174" s="220">
        <v>154.971</v>
      </c>
      <c r="G174" s="220">
        <v>-1.212</v>
      </c>
      <c r="H174" s="220">
        <v>35.976999999999997</v>
      </c>
    </row>
    <row r="175" spans="1:8" x14ac:dyDescent="0.25">
      <c r="A175" s="220">
        <v>88</v>
      </c>
      <c r="B175" s="220" t="s">
        <v>1170</v>
      </c>
      <c r="C175" s="220" t="s">
        <v>229</v>
      </c>
      <c r="D175" s="220">
        <v>6</v>
      </c>
      <c r="E175" s="220">
        <v>15838</v>
      </c>
      <c r="F175" s="220">
        <v>192.73</v>
      </c>
      <c r="G175" s="220">
        <v>-1.589</v>
      </c>
      <c r="H175" s="220">
        <v>36.112000000000002</v>
      </c>
    </row>
    <row r="176" spans="1:8" x14ac:dyDescent="0.25">
      <c r="A176" s="220">
        <v>88</v>
      </c>
      <c r="B176" s="220" t="s">
        <v>1170</v>
      </c>
      <c r="C176" s="220" t="s">
        <v>229</v>
      </c>
      <c r="D176" s="220">
        <v>7</v>
      </c>
      <c r="E176" s="220">
        <v>14921</v>
      </c>
      <c r="F176" s="220">
        <v>182.52500000000001</v>
      </c>
      <c r="G176" s="220">
        <v>-1.6259999999999999</v>
      </c>
      <c r="H176" s="220">
        <v>36.146000000000001</v>
      </c>
    </row>
    <row r="177" spans="1:8" x14ac:dyDescent="0.25">
      <c r="A177" s="220">
        <v>89</v>
      </c>
      <c r="B177" s="220" t="s">
        <v>1174</v>
      </c>
      <c r="C177" s="220" t="s">
        <v>537</v>
      </c>
      <c r="D177" s="220">
        <v>6</v>
      </c>
      <c r="E177" s="220">
        <v>11779</v>
      </c>
      <c r="F177" s="220">
        <v>150.273</v>
      </c>
      <c r="G177" s="220">
        <v>-2.0209999999999999</v>
      </c>
      <c r="H177" s="220">
        <v>36.331000000000003</v>
      </c>
    </row>
    <row r="178" spans="1:8" x14ac:dyDescent="0.25">
      <c r="A178" s="220">
        <v>89</v>
      </c>
      <c r="B178" s="220" t="s">
        <v>1174</v>
      </c>
      <c r="C178" s="220" t="s">
        <v>537</v>
      </c>
      <c r="D178" s="220">
        <v>7</v>
      </c>
      <c r="E178" s="220">
        <v>10989</v>
      </c>
      <c r="F178" s="220">
        <v>139.714</v>
      </c>
      <c r="G178" s="220">
        <v>-2.0249999999999999</v>
      </c>
      <c r="H178" s="220">
        <v>36.295999999999999</v>
      </c>
    </row>
    <row r="179" spans="1:8" x14ac:dyDescent="0.25">
      <c r="A179" s="220">
        <v>90</v>
      </c>
      <c r="B179" s="220" t="s">
        <v>1179</v>
      </c>
      <c r="C179" s="220" t="s">
        <v>339</v>
      </c>
      <c r="D179" s="220">
        <v>6</v>
      </c>
      <c r="E179" s="220">
        <v>15481</v>
      </c>
      <c r="F179" s="220">
        <v>187.35499999999999</v>
      </c>
      <c r="G179" s="220">
        <v>-1.7270000000000001</v>
      </c>
      <c r="H179" s="220">
        <v>36.423000000000002</v>
      </c>
    </row>
    <row r="180" spans="1:8" x14ac:dyDescent="0.25">
      <c r="A180" s="220">
        <v>90</v>
      </c>
      <c r="B180" s="220" t="s">
        <v>1179</v>
      </c>
      <c r="C180" s="220" t="s">
        <v>339</v>
      </c>
      <c r="D180" s="220">
        <v>7</v>
      </c>
      <c r="E180" s="220">
        <v>14418</v>
      </c>
      <c r="F180" s="220">
        <v>174.16200000000001</v>
      </c>
      <c r="G180" s="220">
        <v>-1.679</v>
      </c>
      <c r="H180" s="220">
        <v>36.473999999999997</v>
      </c>
    </row>
    <row r="181" spans="1:8" x14ac:dyDescent="0.25">
      <c r="A181" s="220">
        <v>91</v>
      </c>
      <c r="B181" s="220" t="s">
        <v>1182</v>
      </c>
      <c r="C181" s="220" t="s">
        <v>296</v>
      </c>
      <c r="D181" s="220">
        <v>6</v>
      </c>
      <c r="E181" s="220">
        <v>14670</v>
      </c>
      <c r="F181" s="220">
        <v>186.44399999999999</v>
      </c>
      <c r="G181" s="220">
        <v>-1.409</v>
      </c>
      <c r="H181" s="220">
        <v>36.438000000000002</v>
      </c>
    </row>
    <row r="182" spans="1:8" x14ac:dyDescent="0.25">
      <c r="A182" s="220">
        <v>91</v>
      </c>
      <c r="B182" s="220" t="s">
        <v>1182</v>
      </c>
      <c r="C182" s="220" t="s">
        <v>296</v>
      </c>
      <c r="D182" s="220">
        <v>7</v>
      </c>
      <c r="E182" s="220">
        <v>13675</v>
      </c>
      <c r="F182" s="220">
        <v>172.95699999999999</v>
      </c>
      <c r="G182" s="220">
        <v>-1.3819999999999999</v>
      </c>
      <c r="H182" s="220">
        <v>36.514000000000003</v>
      </c>
    </row>
    <row r="183" spans="1:8" x14ac:dyDescent="0.25">
      <c r="A183" s="220">
        <v>92</v>
      </c>
      <c r="B183" s="220" t="s">
        <v>1185</v>
      </c>
      <c r="C183" s="220" t="s">
        <v>229</v>
      </c>
      <c r="D183" s="220">
        <v>6</v>
      </c>
      <c r="E183" s="220">
        <v>14943</v>
      </c>
      <c r="F183" s="220">
        <v>181.815</v>
      </c>
      <c r="G183" s="220">
        <v>-1.2949999999999999</v>
      </c>
      <c r="H183" s="220">
        <v>36.277000000000001</v>
      </c>
    </row>
    <row r="184" spans="1:8" x14ac:dyDescent="0.25">
      <c r="A184" s="220">
        <v>92</v>
      </c>
      <c r="B184" s="220" t="s">
        <v>1185</v>
      </c>
      <c r="C184" s="220" t="s">
        <v>229</v>
      </c>
      <c r="D184" s="220">
        <v>7</v>
      </c>
      <c r="E184" s="220">
        <v>13809</v>
      </c>
      <c r="F184" s="220">
        <v>168.69499999999999</v>
      </c>
      <c r="G184" s="220">
        <v>-1.2310000000000001</v>
      </c>
      <c r="H184" s="220">
        <v>36.326000000000001</v>
      </c>
    </row>
    <row r="185" spans="1:8" x14ac:dyDescent="0.25">
      <c r="A185" s="220">
        <v>93</v>
      </c>
      <c r="B185" s="220" t="s">
        <v>1190</v>
      </c>
      <c r="C185" s="220" t="s">
        <v>635</v>
      </c>
      <c r="D185" s="220">
        <v>6</v>
      </c>
      <c r="E185" s="220">
        <v>13508</v>
      </c>
      <c r="F185" s="220">
        <v>171.56200000000001</v>
      </c>
      <c r="G185" s="220">
        <v>-1.1859999999999999</v>
      </c>
      <c r="H185" s="220">
        <v>36.003999999999998</v>
      </c>
    </row>
    <row r="186" spans="1:8" x14ac:dyDescent="0.25">
      <c r="A186" s="220">
        <v>93</v>
      </c>
      <c r="B186" s="220" t="s">
        <v>1190</v>
      </c>
      <c r="C186" s="220" t="s">
        <v>635</v>
      </c>
      <c r="D186" s="220">
        <v>7</v>
      </c>
      <c r="E186" s="220">
        <v>12613</v>
      </c>
      <c r="F186" s="220">
        <v>159.559</v>
      </c>
      <c r="G186" s="220">
        <v>-1.171</v>
      </c>
      <c r="H186" s="220">
        <v>35.97</v>
      </c>
    </row>
    <row r="187" spans="1:8" x14ac:dyDescent="0.25">
      <c r="A187" s="220">
        <v>94</v>
      </c>
      <c r="B187" s="220" t="s">
        <v>1194</v>
      </c>
      <c r="C187" s="220" t="s">
        <v>296</v>
      </c>
      <c r="D187" s="220">
        <v>6</v>
      </c>
      <c r="E187" s="220">
        <v>15123</v>
      </c>
      <c r="F187" s="220">
        <v>186.93899999999999</v>
      </c>
      <c r="G187" s="220">
        <v>-1.1859999999999999</v>
      </c>
      <c r="H187" s="220">
        <v>36.183999999999997</v>
      </c>
    </row>
    <row r="188" spans="1:8" x14ac:dyDescent="0.25">
      <c r="A188" s="220">
        <v>94</v>
      </c>
      <c r="B188" s="220" t="s">
        <v>1194</v>
      </c>
      <c r="C188" s="220" t="s">
        <v>296</v>
      </c>
      <c r="D188" s="220">
        <v>7</v>
      </c>
      <c r="E188" s="220">
        <v>13957</v>
      </c>
      <c r="F188" s="220">
        <v>173.42500000000001</v>
      </c>
      <c r="G188" s="220">
        <v>-1.357</v>
      </c>
      <c r="H188" s="220">
        <v>35.884</v>
      </c>
    </row>
    <row r="189" spans="1:8" x14ac:dyDescent="0.25">
      <c r="A189" s="220">
        <v>95</v>
      </c>
      <c r="B189" s="220" t="s">
        <v>0</v>
      </c>
      <c r="C189" s="220" t="s">
        <v>513</v>
      </c>
      <c r="D189" s="220">
        <v>6</v>
      </c>
      <c r="E189" s="220">
        <v>12129</v>
      </c>
      <c r="F189" s="220">
        <v>153.238</v>
      </c>
      <c r="G189" s="220">
        <v>4.6479999999999997</v>
      </c>
      <c r="H189" s="220">
        <v>36.911000000000001</v>
      </c>
    </row>
    <row r="190" spans="1:8" x14ac:dyDescent="0.25">
      <c r="A190" s="220">
        <v>95</v>
      </c>
      <c r="B190" s="220" t="s">
        <v>0</v>
      </c>
      <c r="C190" s="220" t="s">
        <v>513</v>
      </c>
      <c r="D190" s="220">
        <v>7</v>
      </c>
      <c r="E190" s="220">
        <v>11396</v>
      </c>
      <c r="F190" s="220">
        <v>142.67400000000001</v>
      </c>
      <c r="G190" s="220">
        <v>4.7300000000000004</v>
      </c>
      <c r="H190" s="220">
        <v>36.923000000000002</v>
      </c>
    </row>
    <row r="191" spans="1:8" x14ac:dyDescent="0.25">
      <c r="A191" s="220">
        <v>96</v>
      </c>
      <c r="B191" s="220" t="s">
        <v>0</v>
      </c>
      <c r="C191" s="220" t="s">
        <v>1202</v>
      </c>
      <c r="D191" s="220">
        <v>6</v>
      </c>
      <c r="E191" s="220">
        <v>16636</v>
      </c>
      <c r="F191" s="220">
        <v>208.79400000000001</v>
      </c>
      <c r="G191" s="220">
        <v>4.7670000000000003</v>
      </c>
      <c r="H191" s="220">
        <v>37.091999999999999</v>
      </c>
    </row>
    <row r="192" spans="1:8" x14ac:dyDescent="0.25">
      <c r="A192" s="220">
        <v>96</v>
      </c>
      <c r="B192" s="220" t="s">
        <v>0</v>
      </c>
      <c r="C192" s="220" t="s">
        <v>1202</v>
      </c>
      <c r="D192" s="220">
        <v>7</v>
      </c>
      <c r="E192" s="220">
        <v>15435</v>
      </c>
      <c r="F192" s="220">
        <v>194.173</v>
      </c>
      <c r="G192" s="220">
        <v>4.8099999999999996</v>
      </c>
      <c r="H192" s="220">
        <v>37.109000000000002</v>
      </c>
    </row>
    <row r="193" spans="1:8" x14ac:dyDescent="0.25">
      <c r="A193" s="220">
        <v>98</v>
      </c>
      <c r="B193" s="220" t="s">
        <v>0</v>
      </c>
      <c r="C193" s="220" t="s">
        <v>299</v>
      </c>
      <c r="D193" s="220">
        <v>6</v>
      </c>
      <c r="E193" s="220">
        <v>14717</v>
      </c>
      <c r="F193" s="220">
        <v>187.13</v>
      </c>
      <c r="G193" s="220">
        <v>4.774</v>
      </c>
      <c r="H193" s="220">
        <v>37.034999999999997</v>
      </c>
    </row>
    <row r="194" spans="1:8" x14ac:dyDescent="0.25">
      <c r="A194" s="220">
        <v>98</v>
      </c>
      <c r="B194" s="220" t="s">
        <v>0</v>
      </c>
      <c r="C194" s="220" t="s">
        <v>299</v>
      </c>
      <c r="D194" s="220">
        <v>7</v>
      </c>
      <c r="E194" s="220">
        <v>13705</v>
      </c>
      <c r="F194" s="220">
        <v>173.839</v>
      </c>
      <c r="G194" s="220">
        <v>4.8230000000000004</v>
      </c>
      <c r="H194" s="220">
        <v>37.082000000000001</v>
      </c>
    </row>
    <row r="195" spans="1:8" x14ac:dyDescent="0.25">
      <c r="A195" s="220">
        <v>99</v>
      </c>
      <c r="B195" s="220" t="s">
        <v>0</v>
      </c>
      <c r="C195" s="220" t="s">
        <v>286</v>
      </c>
      <c r="D195" s="220">
        <v>6</v>
      </c>
      <c r="E195" s="220">
        <v>14843</v>
      </c>
      <c r="F195" s="220">
        <v>180.15299999999999</v>
      </c>
      <c r="G195" s="220">
        <v>4.6929999999999996</v>
      </c>
      <c r="H195" s="220">
        <v>37.020000000000003</v>
      </c>
    </row>
    <row r="196" spans="1:8" x14ac:dyDescent="0.25">
      <c r="A196" s="220">
        <v>99</v>
      </c>
      <c r="B196" s="220" t="s">
        <v>0</v>
      </c>
      <c r="C196" s="220" t="s">
        <v>286</v>
      </c>
      <c r="D196" s="220">
        <v>7</v>
      </c>
      <c r="E196" s="220">
        <v>13984</v>
      </c>
      <c r="F196" s="220">
        <v>170.92</v>
      </c>
      <c r="G196" s="220">
        <v>4.681</v>
      </c>
      <c r="H196" s="220">
        <v>37.064</v>
      </c>
    </row>
    <row r="197" spans="1:8" x14ac:dyDescent="0.25">
      <c r="A197" s="220">
        <v>100</v>
      </c>
      <c r="B197" s="220" t="s">
        <v>1215</v>
      </c>
      <c r="C197" s="220" t="s">
        <v>537</v>
      </c>
      <c r="D197" s="220">
        <v>6</v>
      </c>
      <c r="E197" s="220">
        <v>12272</v>
      </c>
      <c r="F197" s="220">
        <v>156.43700000000001</v>
      </c>
      <c r="G197" s="220">
        <v>-1.113</v>
      </c>
      <c r="H197" s="220">
        <v>36.112000000000002</v>
      </c>
    </row>
    <row r="198" spans="1:8" x14ac:dyDescent="0.25">
      <c r="A198" s="220">
        <v>100</v>
      </c>
      <c r="B198" s="220" t="s">
        <v>1215</v>
      </c>
      <c r="C198" s="220" t="s">
        <v>537</v>
      </c>
      <c r="D198" s="220">
        <v>7</v>
      </c>
      <c r="E198" s="220">
        <v>11454</v>
      </c>
      <c r="F198" s="220">
        <v>145.48400000000001</v>
      </c>
      <c r="G198" s="220">
        <v>-1.0960000000000001</v>
      </c>
      <c r="H198" s="220">
        <v>36.085999999999999</v>
      </c>
    </row>
    <row r="199" spans="1:8" x14ac:dyDescent="0.25">
      <c r="A199" s="220">
        <v>101</v>
      </c>
      <c r="B199" s="220" t="s">
        <v>1219</v>
      </c>
      <c r="C199" s="220" t="s">
        <v>297</v>
      </c>
      <c r="D199" s="220">
        <v>6</v>
      </c>
      <c r="E199" s="220">
        <v>15789</v>
      </c>
      <c r="F199" s="220">
        <v>190.989</v>
      </c>
      <c r="G199" s="220">
        <v>-1.5580000000000001</v>
      </c>
      <c r="H199" s="220">
        <v>35.966999999999999</v>
      </c>
    </row>
    <row r="200" spans="1:8" x14ac:dyDescent="0.25">
      <c r="A200" s="220">
        <v>101</v>
      </c>
      <c r="B200" s="220" t="s">
        <v>1219</v>
      </c>
      <c r="C200" s="220" t="s">
        <v>297</v>
      </c>
      <c r="D200" s="220">
        <v>7</v>
      </c>
      <c r="E200" s="220">
        <v>14726</v>
      </c>
      <c r="F200" s="220">
        <v>180.03700000000001</v>
      </c>
      <c r="G200" s="220">
        <v>-1.5740000000000001</v>
      </c>
      <c r="H200" s="220">
        <v>36.048000000000002</v>
      </c>
    </row>
    <row r="201" spans="1:8" x14ac:dyDescent="0.25">
      <c r="A201" s="220">
        <v>102</v>
      </c>
      <c r="B201" s="220" t="s">
        <v>1223</v>
      </c>
      <c r="C201" s="220" t="s">
        <v>752</v>
      </c>
      <c r="D201" s="220">
        <v>6</v>
      </c>
      <c r="E201" s="220">
        <v>16691</v>
      </c>
      <c r="F201" s="220">
        <v>211.148</v>
      </c>
      <c r="G201" s="220">
        <v>-1.38</v>
      </c>
      <c r="H201" s="220">
        <v>36.078000000000003</v>
      </c>
    </row>
    <row r="202" spans="1:8" x14ac:dyDescent="0.25">
      <c r="A202" s="220">
        <v>102</v>
      </c>
      <c r="B202" s="220" t="s">
        <v>1223</v>
      </c>
      <c r="C202" s="220" t="s">
        <v>752</v>
      </c>
      <c r="D202" s="220">
        <v>7</v>
      </c>
      <c r="E202" s="220">
        <v>15545</v>
      </c>
      <c r="F202" s="220">
        <v>196.21899999999999</v>
      </c>
      <c r="G202" s="220">
        <v>-1.33</v>
      </c>
      <c r="H202" s="220">
        <v>36.122</v>
      </c>
    </row>
    <row r="203" spans="1:8" x14ac:dyDescent="0.25">
      <c r="A203" s="220">
        <v>103</v>
      </c>
      <c r="B203" s="220" t="s">
        <v>1228</v>
      </c>
      <c r="C203" s="220" t="s">
        <v>254</v>
      </c>
      <c r="D203" s="220">
        <v>6</v>
      </c>
      <c r="E203" s="220">
        <v>14966</v>
      </c>
      <c r="F203" s="220">
        <v>183.86600000000001</v>
      </c>
      <c r="G203" s="220">
        <v>-1.2749999999999999</v>
      </c>
      <c r="H203" s="220">
        <v>35.936</v>
      </c>
    </row>
    <row r="204" spans="1:8" x14ac:dyDescent="0.25">
      <c r="A204" s="220">
        <v>103</v>
      </c>
      <c r="B204" s="220" t="s">
        <v>1228</v>
      </c>
      <c r="C204" s="220" t="s">
        <v>254</v>
      </c>
      <c r="D204" s="220">
        <v>7</v>
      </c>
      <c r="E204" s="220">
        <v>13823</v>
      </c>
      <c r="F204" s="220">
        <v>170.726</v>
      </c>
      <c r="G204" s="220">
        <v>-1.2070000000000001</v>
      </c>
      <c r="H204" s="220">
        <v>35.979999999999997</v>
      </c>
    </row>
    <row r="205" spans="1:8" x14ac:dyDescent="0.25">
      <c r="A205" s="220">
        <v>104</v>
      </c>
      <c r="B205" s="220" t="s">
        <v>1231</v>
      </c>
      <c r="C205" s="220" t="s">
        <v>227</v>
      </c>
      <c r="D205" s="220">
        <v>6</v>
      </c>
      <c r="E205" s="220">
        <v>12688</v>
      </c>
      <c r="F205" s="220">
        <v>160.41</v>
      </c>
      <c r="G205" s="220">
        <v>-1.2250000000000001</v>
      </c>
      <c r="H205" s="220">
        <v>35.859000000000002</v>
      </c>
    </row>
    <row r="206" spans="1:8" x14ac:dyDescent="0.25">
      <c r="A206" s="220">
        <v>104</v>
      </c>
      <c r="B206" s="220" t="s">
        <v>1231</v>
      </c>
      <c r="C206" s="220" t="s">
        <v>227</v>
      </c>
      <c r="D206" s="220">
        <v>7</v>
      </c>
      <c r="E206" s="220">
        <v>11897</v>
      </c>
      <c r="F206" s="220">
        <v>149.19300000000001</v>
      </c>
      <c r="G206" s="220">
        <v>-1.175</v>
      </c>
      <c r="H206" s="220">
        <v>35.883000000000003</v>
      </c>
    </row>
    <row r="207" spans="1:8" x14ac:dyDescent="0.25">
      <c r="A207" s="220">
        <v>105</v>
      </c>
      <c r="B207" s="220" t="s">
        <v>1234</v>
      </c>
      <c r="C207" s="220" t="s">
        <v>286</v>
      </c>
      <c r="D207" s="220">
        <v>6</v>
      </c>
      <c r="E207" s="220">
        <v>13966</v>
      </c>
      <c r="F207" s="220">
        <v>175.637</v>
      </c>
      <c r="G207" s="220">
        <v>-1.3680000000000001</v>
      </c>
      <c r="H207" s="220">
        <v>35.915999999999997</v>
      </c>
    </row>
    <row r="208" spans="1:8" x14ac:dyDescent="0.25">
      <c r="A208" s="220">
        <v>105</v>
      </c>
      <c r="B208" s="220" t="s">
        <v>1234</v>
      </c>
      <c r="C208" s="220" t="s">
        <v>286</v>
      </c>
      <c r="D208" s="220">
        <v>7</v>
      </c>
      <c r="E208" s="220">
        <v>12932</v>
      </c>
      <c r="F208" s="220">
        <v>162.941</v>
      </c>
      <c r="G208" s="220">
        <v>-1.3089999999999999</v>
      </c>
      <c r="H208" s="220">
        <v>35.918999999999997</v>
      </c>
    </row>
    <row r="209" spans="1:8" x14ac:dyDescent="0.25">
      <c r="A209" s="220">
        <v>106</v>
      </c>
      <c r="B209" s="220" t="s">
        <v>1239</v>
      </c>
      <c r="C209" s="220" t="s">
        <v>635</v>
      </c>
      <c r="D209" s="220">
        <v>6</v>
      </c>
      <c r="E209" s="220">
        <v>15574</v>
      </c>
      <c r="F209" s="220">
        <v>193.59100000000001</v>
      </c>
      <c r="G209" s="220">
        <v>-1.302</v>
      </c>
      <c r="H209" s="220">
        <v>35.868000000000002</v>
      </c>
    </row>
    <row r="210" spans="1:8" x14ac:dyDescent="0.25">
      <c r="A210" s="220">
        <v>106</v>
      </c>
      <c r="B210" s="220" t="s">
        <v>1239</v>
      </c>
      <c r="C210" s="220" t="s">
        <v>635</v>
      </c>
      <c r="D210" s="220">
        <v>7</v>
      </c>
      <c r="E210" s="220">
        <v>14677</v>
      </c>
      <c r="F210" s="220">
        <v>180.739</v>
      </c>
      <c r="G210" s="220">
        <v>-1.266</v>
      </c>
      <c r="H210" s="220">
        <v>35.926000000000002</v>
      </c>
    </row>
    <row r="211" spans="1:8" x14ac:dyDescent="0.25">
      <c r="A211" s="220">
        <v>107</v>
      </c>
      <c r="B211" s="220" t="s">
        <v>0</v>
      </c>
      <c r="C211" s="220" t="s">
        <v>737</v>
      </c>
      <c r="D211" s="220">
        <v>6</v>
      </c>
      <c r="E211" s="220">
        <v>15094</v>
      </c>
      <c r="F211" s="220">
        <v>191.33099999999999</v>
      </c>
      <c r="G211" s="220">
        <v>4.75</v>
      </c>
      <c r="H211" s="220">
        <v>36.966999999999999</v>
      </c>
    </row>
    <row r="212" spans="1:8" x14ac:dyDescent="0.25">
      <c r="A212" s="220">
        <v>107</v>
      </c>
      <c r="B212" s="220" t="s">
        <v>0</v>
      </c>
      <c r="C212" s="220" t="s">
        <v>737</v>
      </c>
      <c r="D212" s="220">
        <v>7</v>
      </c>
      <c r="E212" s="220">
        <v>14029</v>
      </c>
      <c r="F212" s="220">
        <v>177.77500000000001</v>
      </c>
      <c r="G212" s="220">
        <v>4.7750000000000004</v>
      </c>
      <c r="H212" s="220">
        <v>36.991999999999997</v>
      </c>
    </row>
    <row r="213" spans="1:8" x14ac:dyDescent="0.25">
      <c r="A213" s="220">
        <v>108</v>
      </c>
      <c r="B213" s="220" t="s">
        <v>0</v>
      </c>
      <c r="C213" s="220" t="s">
        <v>229</v>
      </c>
      <c r="D213" s="220">
        <v>6</v>
      </c>
      <c r="E213" s="220">
        <v>13925</v>
      </c>
      <c r="F213" s="220">
        <v>171.35900000000001</v>
      </c>
      <c r="G213" s="220">
        <v>4.6779999999999999</v>
      </c>
      <c r="H213" s="220">
        <v>37.01</v>
      </c>
    </row>
    <row r="214" spans="1:8" x14ac:dyDescent="0.25">
      <c r="A214" s="220">
        <v>108</v>
      </c>
      <c r="B214" s="220" t="s">
        <v>0</v>
      </c>
      <c r="C214" s="220" t="s">
        <v>229</v>
      </c>
      <c r="D214" s="220">
        <v>7</v>
      </c>
      <c r="E214" s="220">
        <v>13110</v>
      </c>
      <c r="F214" s="220">
        <v>160.28</v>
      </c>
      <c r="G214" s="220">
        <v>4.7169999999999996</v>
      </c>
      <c r="H214" s="220">
        <v>37.064999999999998</v>
      </c>
    </row>
    <row r="215" spans="1:8" x14ac:dyDescent="0.25">
      <c r="A215" s="220">
        <v>109</v>
      </c>
      <c r="B215" s="220" t="s">
        <v>1248</v>
      </c>
      <c r="C215" s="220" t="s">
        <v>513</v>
      </c>
      <c r="D215" s="220">
        <v>6</v>
      </c>
      <c r="E215" s="220">
        <v>14391</v>
      </c>
      <c r="F215" s="220">
        <v>183.39699999999999</v>
      </c>
      <c r="G215" s="220">
        <v>-1.637</v>
      </c>
      <c r="H215" s="220">
        <v>35.865000000000002</v>
      </c>
    </row>
    <row r="216" spans="1:8" x14ac:dyDescent="0.25">
      <c r="A216" s="220">
        <v>109</v>
      </c>
      <c r="B216" s="220" t="s">
        <v>1248</v>
      </c>
      <c r="C216" s="220" t="s">
        <v>513</v>
      </c>
      <c r="D216" s="220">
        <v>7</v>
      </c>
      <c r="E216" s="220">
        <v>13436</v>
      </c>
      <c r="F216" s="220">
        <v>172.32499999999999</v>
      </c>
      <c r="G216" s="220">
        <v>-1.661</v>
      </c>
      <c r="H216" s="220">
        <v>35.898000000000003</v>
      </c>
    </row>
    <row r="217" spans="1:8" x14ac:dyDescent="0.25">
      <c r="A217" s="220">
        <v>110</v>
      </c>
      <c r="B217" s="220" t="s">
        <v>1252</v>
      </c>
      <c r="C217" s="220" t="s">
        <v>551</v>
      </c>
      <c r="D217" s="220">
        <v>6</v>
      </c>
      <c r="E217" s="220">
        <v>12043</v>
      </c>
      <c r="F217" s="220">
        <v>147.126</v>
      </c>
      <c r="G217" s="220">
        <v>-1.718</v>
      </c>
      <c r="H217" s="220">
        <v>36.084000000000003</v>
      </c>
    </row>
    <row r="218" spans="1:8" x14ac:dyDescent="0.25">
      <c r="A218" s="220">
        <v>110</v>
      </c>
      <c r="B218" s="220" t="s">
        <v>1252</v>
      </c>
      <c r="C218" s="220" t="s">
        <v>551</v>
      </c>
      <c r="D218" s="220">
        <v>7</v>
      </c>
      <c r="E218" s="220">
        <v>11335</v>
      </c>
      <c r="F218" s="220">
        <v>137.703</v>
      </c>
      <c r="G218" s="220">
        <v>-1.64</v>
      </c>
      <c r="H218" s="220">
        <v>36.095999999999997</v>
      </c>
    </row>
    <row r="219" spans="1:8" x14ac:dyDescent="0.25">
      <c r="A219" s="220">
        <v>111</v>
      </c>
      <c r="B219" s="220" t="s">
        <v>1257</v>
      </c>
      <c r="C219" s="220" t="s">
        <v>518</v>
      </c>
      <c r="D219" s="220">
        <v>6</v>
      </c>
      <c r="E219" s="220">
        <v>12680</v>
      </c>
      <c r="F219" s="220">
        <v>161.88200000000001</v>
      </c>
      <c r="G219" s="220">
        <v>-1.22</v>
      </c>
      <c r="H219" s="220">
        <v>36.142000000000003</v>
      </c>
    </row>
    <row r="220" spans="1:8" x14ac:dyDescent="0.25">
      <c r="A220" s="220">
        <v>111</v>
      </c>
      <c r="B220" s="220" t="s">
        <v>1257</v>
      </c>
      <c r="C220" s="220" t="s">
        <v>518</v>
      </c>
      <c r="D220" s="220">
        <v>7</v>
      </c>
      <c r="E220" s="220">
        <v>11824</v>
      </c>
      <c r="F220" s="220">
        <v>150.43</v>
      </c>
      <c r="G220" s="220">
        <v>-1.1499999999999999</v>
      </c>
      <c r="H220" s="220">
        <v>36.134</v>
      </c>
    </row>
    <row r="221" spans="1:8" x14ac:dyDescent="0.25">
      <c r="A221" s="220">
        <v>112</v>
      </c>
      <c r="B221" s="220" t="s">
        <v>1261</v>
      </c>
      <c r="C221" s="220" t="s">
        <v>783</v>
      </c>
      <c r="D221" s="220">
        <v>6</v>
      </c>
      <c r="E221" s="220">
        <v>17155</v>
      </c>
      <c r="F221" s="220">
        <v>207.27</v>
      </c>
      <c r="G221" s="220">
        <v>-1.264</v>
      </c>
      <c r="H221" s="220">
        <v>36.093000000000004</v>
      </c>
    </row>
    <row r="222" spans="1:8" x14ac:dyDescent="0.25">
      <c r="A222" s="220">
        <v>112</v>
      </c>
      <c r="B222" s="220" t="s">
        <v>1261</v>
      </c>
      <c r="C222" s="220" t="s">
        <v>783</v>
      </c>
      <c r="D222" s="220">
        <v>7</v>
      </c>
      <c r="E222" s="220">
        <v>16081</v>
      </c>
      <c r="F222" s="220">
        <v>195.679</v>
      </c>
      <c r="G222" s="220">
        <v>-1.2709999999999999</v>
      </c>
      <c r="H222" s="220">
        <v>36.103000000000002</v>
      </c>
    </row>
    <row r="223" spans="1:8" x14ac:dyDescent="0.25">
      <c r="A223" s="220">
        <v>113</v>
      </c>
      <c r="B223" s="220" t="s">
        <v>1264</v>
      </c>
      <c r="C223" s="220" t="s">
        <v>227</v>
      </c>
      <c r="D223" s="220">
        <v>6</v>
      </c>
      <c r="E223" s="220">
        <v>12200</v>
      </c>
      <c r="F223" s="220">
        <v>155.44999999999999</v>
      </c>
      <c r="G223" s="220">
        <v>-1.101</v>
      </c>
      <c r="H223" s="220">
        <v>35.853999999999999</v>
      </c>
    </row>
    <row r="224" spans="1:8" x14ac:dyDescent="0.25">
      <c r="A224" s="220">
        <v>113</v>
      </c>
      <c r="B224" s="220" t="s">
        <v>1264</v>
      </c>
      <c r="C224" s="220" t="s">
        <v>227</v>
      </c>
      <c r="D224" s="220">
        <v>7</v>
      </c>
      <c r="E224" s="220">
        <v>11384</v>
      </c>
      <c r="F224" s="220">
        <v>144.583</v>
      </c>
      <c r="G224" s="220">
        <v>-1.0669999999999999</v>
      </c>
      <c r="H224" s="220">
        <v>35.871000000000002</v>
      </c>
    </row>
    <row r="225" spans="1:8" x14ac:dyDescent="0.25">
      <c r="A225" s="220">
        <v>114</v>
      </c>
      <c r="B225" s="220" t="s">
        <v>1268</v>
      </c>
      <c r="C225" s="220" t="s">
        <v>328</v>
      </c>
      <c r="D225" s="220">
        <v>6</v>
      </c>
      <c r="E225" s="220">
        <v>18483</v>
      </c>
      <c r="F225" s="220">
        <v>224.643</v>
      </c>
      <c r="G225" s="220">
        <v>-1.216</v>
      </c>
      <c r="H225" s="220">
        <v>35.863</v>
      </c>
    </row>
    <row r="226" spans="1:8" x14ac:dyDescent="0.25">
      <c r="A226" s="220">
        <v>114</v>
      </c>
      <c r="B226" s="220" t="s">
        <v>1268</v>
      </c>
      <c r="C226" s="220" t="s">
        <v>328</v>
      </c>
      <c r="D226" s="220">
        <v>7</v>
      </c>
      <c r="E226" s="220">
        <v>17056</v>
      </c>
      <c r="F226" s="220">
        <v>208.03399999999999</v>
      </c>
      <c r="G226" s="220">
        <v>-1.1499999999999999</v>
      </c>
      <c r="H226" s="220">
        <v>35.93</v>
      </c>
    </row>
    <row r="227" spans="1:8" x14ac:dyDescent="0.25">
      <c r="A227" s="220">
        <v>115</v>
      </c>
      <c r="B227" s="220" t="s">
        <v>1272</v>
      </c>
      <c r="C227" s="220" t="s">
        <v>518</v>
      </c>
      <c r="D227" s="220">
        <v>6</v>
      </c>
      <c r="E227" s="220">
        <v>14660</v>
      </c>
      <c r="F227" s="220">
        <v>185.523</v>
      </c>
      <c r="G227" s="220">
        <v>-1.7170000000000001</v>
      </c>
      <c r="H227" s="220">
        <v>35.749000000000002</v>
      </c>
    </row>
    <row r="228" spans="1:8" x14ac:dyDescent="0.25">
      <c r="A228" s="220">
        <v>115</v>
      </c>
      <c r="B228" s="220" t="s">
        <v>1272</v>
      </c>
      <c r="C228" s="220" t="s">
        <v>518</v>
      </c>
      <c r="D228" s="220">
        <v>7</v>
      </c>
      <c r="E228" s="220">
        <v>13663</v>
      </c>
      <c r="F228" s="220">
        <v>172.2</v>
      </c>
      <c r="G228" s="220">
        <v>-1.6559999999999999</v>
      </c>
      <c r="H228" s="220">
        <v>35.819000000000003</v>
      </c>
    </row>
    <row r="229" spans="1:8" x14ac:dyDescent="0.25">
      <c r="A229" s="220">
        <v>116</v>
      </c>
      <c r="B229" s="220" t="s">
        <v>1277</v>
      </c>
      <c r="C229" s="220" t="s">
        <v>229</v>
      </c>
      <c r="D229" s="220">
        <v>6</v>
      </c>
      <c r="E229" s="220">
        <v>14689</v>
      </c>
      <c r="F229" s="220">
        <v>183.39</v>
      </c>
      <c r="G229" s="220">
        <v>-1.9470000000000001</v>
      </c>
      <c r="H229" s="220">
        <v>35.942999999999998</v>
      </c>
    </row>
    <row r="230" spans="1:8" x14ac:dyDescent="0.25">
      <c r="A230" s="220">
        <v>116</v>
      </c>
      <c r="B230" s="220" t="s">
        <v>1277</v>
      </c>
      <c r="C230" s="220" t="s">
        <v>229</v>
      </c>
      <c r="D230" s="220">
        <v>7</v>
      </c>
      <c r="E230" s="220">
        <v>13582</v>
      </c>
      <c r="F230" s="220">
        <v>170.23099999999999</v>
      </c>
      <c r="G230" s="220">
        <v>-1.885</v>
      </c>
      <c r="H230" s="220">
        <v>35.984999999999999</v>
      </c>
    </row>
    <row r="231" spans="1:8" x14ac:dyDescent="0.25">
      <c r="A231" s="220">
        <v>117</v>
      </c>
      <c r="B231" s="220" t="s">
        <v>1280</v>
      </c>
      <c r="C231" s="220" t="s">
        <v>286</v>
      </c>
      <c r="D231" s="220">
        <v>6</v>
      </c>
      <c r="E231" s="220">
        <v>15153</v>
      </c>
      <c r="F231" s="220">
        <v>189.762</v>
      </c>
      <c r="G231" s="220">
        <v>-1.966</v>
      </c>
      <c r="H231" s="220">
        <v>36.101999999999997</v>
      </c>
    </row>
    <row r="232" spans="1:8" x14ac:dyDescent="0.25">
      <c r="A232" s="220">
        <v>117</v>
      </c>
      <c r="B232" s="220" t="s">
        <v>1280</v>
      </c>
      <c r="C232" s="220" t="s">
        <v>286</v>
      </c>
      <c r="D232" s="220">
        <v>7</v>
      </c>
      <c r="E232" s="220">
        <v>14261</v>
      </c>
      <c r="F232" s="220">
        <v>176.89099999999999</v>
      </c>
      <c r="G232" s="220">
        <v>-1.9359999999999999</v>
      </c>
      <c r="H232" s="220">
        <v>36.134999999999998</v>
      </c>
    </row>
    <row r="233" spans="1:8" x14ac:dyDescent="0.25">
      <c r="A233" s="220">
        <v>118</v>
      </c>
      <c r="B233" s="220" t="s">
        <v>1283</v>
      </c>
      <c r="C233" s="220" t="s">
        <v>296</v>
      </c>
      <c r="D233" s="220">
        <v>6</v>
      </c>
      <c r="E233" s="220">
        <v>14482</v>
      </c>
      <c r="F233" s="220">
        <v>182.965</v>
      </c>
      <c r="G233" s="220">
        <v>-1.321</v>
      </c>
      <c r="H233" s="220">
        <v>36.04</v>
      </c>
    </row>
    <row r="234" spans="1:8" x14ac:dyDescent="0.25">
      <c r="A234" s="220">
        <v>118</v>
      </c>
      <c r="B234" s="220" t="s">
        <v>1283</v>
      </c>
      <c r="C234" s="220" t="s">
        <v>296</v>
      </c>
      <c r="D234" s="220">
        <v>7</v>
      </c>
      <c r="E234" s="220">
        <v>13419</v>
      </c>
      <c r="F234" s="220">
        <v>169.81700000000001</v>
      </c>
      <c r="G234" s="220">
        <v>-1.2709999999999999</v>
      </c>
      <c r="H234" s="220">
        <v>36.061999999999998</v>
      </c>
    </row>
    <row r="235" spans="1:8" x14ac:dyDescent="0.25">
      <c r="A235" s="220">
        <v>119</v>
      </c>
      <c r="B235" s="220" t="s">
        <v>0</v>
      </c>
      <c r="C235"/>
      <c r="D235" s="220">
        <v>6</v>
      </c>
      <c r="E235" s="220">
        <v>14949</v>
      </c>
      <c r="F235" s="220">
        <v>184.74199999999999</v>
      </c>
      <c r="G235" s="220">
        <v>4.7370000000000001</v>
      </c>
      <c r="H235" s="220">
        <v>36.844999999999999</v>
      </c>
    </row>
    <row r="236" spans="1:8" x14ac:dyDescent="0.25">
      <c r="A236" s="220">
        <v>119</v>
      </c>
      <c r="B236" s="220" t="s">
        <v>0</v>
      </c>
      <c r="C236"/>
      <c r="D236" s="220">
        <v>7</v>
      </c>
      <c r="E236" s="220">
        <v>14087</v>
      </c>
      <c r="F236" s="220">
        <v>172.649</v>
      </c>
      <c r="G236" s="220">
        <v>4.8049999999999997</v>
      </c>
      <c r="H236" s="220">
        <v>36.915999999999997</v>
      </c>
    </row>
    <row r="237" spans="1:8" x14ac:dyDescent="0.25">
      <c r="A237" s="220">
        <v>120</v>
      </c>
      <c r="B237" s="220" t="s">
        <v>0</v>
      </c>
      <c r="C237"/>
      <c r="D237" s="220">
        <v>6</v>
      </c>
      <c r="E237" s="220">
        <v>15186</v>
      </c>
      <c r="F237" s="220">
        <v>192.816</v>
      </c>
      <c r="G237" s="220">
        <v>4.78</v>
      </c>
      <c r="H237" s="220">
        <v>36.984999999999999</v>
      </c>
    </row>
    <row r="238" spans="1:8" x14ac:dyDescent="0.25">
      <c r="A238" s="220">
        <v>120</v>
      </c>
      <c r="B238" s="220" t="s">
        <v>0</v>
      </c>
      <c r="C238"/>
      <c r="D238" s="220">
        <v>7</v>
      </c>
      <c r="E238" s="220">
        <v>14089</v>
      </c>
      <c r="F238" s="220">
        <v>178.97200000000001</v>
      </c>
      <c r="G238" s="220">
        <v>4.8460000000000001</v>
      </c>
      <c r="H238" s="220">
        <v>37.046999999999997</v>
      </c>
    </row>
    <row r="239" spans="1:8" x14ac:dyDescent="0.25">
      <c r="A239" s="220">
        <v>121</v>
      </c>
      <c r="B239" s="220" t="s">
        <v>1294</v>
      </c>
      <c r="C239" s="220" t="s">
        <v>513</v>
      </c>
      <c r="D239" s="220">
        <v>6</v>
      </c>
      <c r="E239" s="220">
        <v>14255</v>
      </c>
      <c r="F239" s="220">
        <v>174.42599999999999</v>
      </c>
      <c r="G239" s="220">
        <v>-1.532</v>
      </c>
      <c r="H239" s="220">
        <v>35.9</v>
      </c>
    </row>
    <row r="240" spans="1:8" x14ac:dyDescent="0.25">
      <c r="A240" s="220">
        <v>121</v>
      </c>
      <c r="B240" s="220" t="s">
        <v>1294</v>
      </c>
      <c r="C240" s="220" t="s">
        <v>513</v>
      </c>
      <c r="D240" s="220">
        <v>7</v>
      </c>
      <c r="E240" s="220">
        <v>13433</v>
      </c>
      <c r="F240" s="220">
        <v>163.215</v>
      </c>
      <c r="G240" s="220">
        <v>-1.4550000000000001</v>
      </c>
      <c r="H240" s="220">
        <v>35.912999999999997</v>
      </c>
    </row>
    <row r="241" spans="1:8" x14ac:dyDescent="0.25">
      <c r="A241" s="220">
        <v>122</v>
      </c>
      <c r="B241" s="220" t="s">
        <v>1298</v>
      </c>
      <c r="C241" s="220" t="s">
        <v>260</v>
      </c>
      <c r="D241" s="220">
        <v>6</v>
      </c>
      <c r="E241" s="220">
        <v>13764</v>
      </c>
      <c r="F241" s="220">
        <v>175.476</v>
      </c>
      <c r="G241" s="220">
        <v>-1.6870000000000001</v>
      </c>
      <c r="H241" s="220">
        <v>35.796999999999997</v>
      </c>
    </row>
    <row r="242" spans="1:8" x14ac:dyDescent="0.25">
      <c r="A242" s="220">
        <v>122</v>
      </c>
      <c r="B242" s="220" t="s">
        <v>1298</v>
      </c>
      <c r="C242" s="220" t="s">
        <v>260</v>
      </c>
      <c r="D242" s="220">
        <v>7</v>
      </c>
      <c r="E242" s="220">
        <v>12830</v>
      </c>
      <c r="F242" s="220">
        <v>163.13200000000001</v>
      </c>
      <c r="G242" s="220">
        <v>-1.627</v>
      </c>
      <c r="H242" s="220">
        <v>35.844000000000001</v>
      </c>
    </row>
    <row r="243" spans="1:8" x14ac:dyDescent="0.25">
      <c r="A243" s="220">
        <v>123</v>
      </c>
      <c r="B243" s="220" t="s">
        <v>1302</v>
      </c>
      <c r="C243" s="220" t="s">
        <v>283</v>
      </c>
      <c r="D243" s="220">
        <v>6</v>
      </c>
      <c r="E243" s="220">
        <v>15705</v>
      </c>
      <c r="F243" s="220">
        <v>190.04599999999999</v>
      </c>
      <c r="G243" s="220">
        <v>-1.8080000000000001</v>
      </c>
      <c r="H243" s="220">
        <v>35.676000000000002</v>
      </c>
    </row>
    <row r="244" spans="1:8" x14ac:dyDescent="0.25">
      <c r="A244" s="220">
        <v>123</v>
      </c>
      <c r="B244" s="220" t="s">
        <v>1302</v>
      </c>
      <c r="C244" s="220" t="s">
        <v>283</v>
      </c>
      <c r="D244" s="220">
        <v>7</v>
      </c>
      <c r="E244" s="220">
        <v>14676</v>
      </c>
      <c r="F244" s="220">
        <v>177.41200000000001</v>
      </c>
      <c r="G244" s="220">
        <v>-1.766</v>
      </c>
      <c r="H244" s="220">
        <v>35.698</v>
      </c>
    </row>
    <row r="245" spans="1:8" x14ac:dyDescent="0.25">
      <c r="A245" s="220">
        <v>124</v>
      </c>
      <c r="B245" s="220" t="s">
        <v>1306</v>
      </c>
      <c r="C245" s="220" t="s">
        <v>294</v>
      </c>
      <c r="D245" s="220">
        <v>6</v>
      </c>
      <c r="E245" s="220">
        <v>13973</v>
      </c>
      <c r="F245" s="220">
        <v>177.64500000000001</v>
      </c>
      <c r="G245" s="220">
        <v>-1.83</v>
      </c>
      <c r="H245" s="220">
        <v>35.677999999999997</v>
      </c>
    </row>
    <row r="246" spans="1:8" x14ac:dyDescent="0.25">
      <c r="A246" s="220">
        <v>124</v>
      </c>
      <c r="B246" s="220" t="s">
        <v>1306</v>
      </c>
      <c r="C246" s="220" t="s">
        <v>294</v>
      </c>
      <c r="D246" s="220">
        <v>7</v>
      </c>
      <c r="E246" s="220">
        <v>13030</v>
      </c>
      <c r="F246" s="220">
        <v>165.059</v>
      </c>
      <c r="G246" s="220">
        <v>-1.788</v>
      </c>
      <c r="H246" s="220">
        <v>35.726999999999997</v>
      </c>
    </row>
    <row r="247" spans="1:8" x14ac:dyDescent="0.25">
      <c r="A247" s="220">
        <v>125</v>
      </c>
      <c r="B247" s="220" t="s">
        <v>1311</v>
      </c>
      <c r="C247" s="220" t="s">
        <v>221</v>
      </c>
      <c r="D247" s="220">
        <v>6</v>
      </c>
      <c r="E247" s="220">
        <v>17454</v>
      </c>
      <c r="F247" s="220">
        <v>212.15899999999999</v>
      </c>
      <c r="G247" s="220">
        <v>-2.379</v>
      </c>
      <c r="H247" s="220">
        <v>35.887999999999998</v>
      </c>
    </row>
    <row r="248" spans="1:8" x14ac:dyDescent="0.25">
      <c r="A248" s="220">
        <v>125</v>
      </c>
      <c r="B248" s="220" t="s">
        <v>1311</v>
      </c>
      <c r="C248" s="220" t="s">
        <v>221</v>
      </c>
      <c r="D248" s="220">
        <v>7</v>
      </c>
      <c r="E248" s="220">
        <v>16137</v>
      </c>
      <c r="F248" s="220">
        <v>199.00700000000001</v>
      </c>
      <c r="G248" s="220">
        <v>-2.411</v>
      </c>
      <c r="H248" s="220">
        <v>35.935000000000002</v>
      </c>
    </row>
    <row r="249" spans="1:8" x14ac:dyDescent="0.25">
      <c r="A249" s="220">
        <v>126</v>
      </c>
      <c r="B249" s="220" t="s">
        <v>1315</v>
      </c>
      <c r="C249" s="220" t="s">
        <v>339</v>
      </c>
      <c r="D249" s="220">
        <v>6</v>
      </c>
      <c r="E249" s="220">
        <v>12909</v>
      </c>
      <c r="F249" s="220">
        <v>163.91399999999999</v>
      </c>
      <c r="G249" s="220">
        <v>-2.2999999999999998</v>
      </c>
      <c r="H249" s="220">
        <v>36.015000000000001</v>
      </c>
    </row>
    <row r="250" spans="1:8" x14ac:dyDescent="0.25">
      <c r="A250" s="220">
        <v>126</v>
      </c>
      <c r="B250" s="220" t="s">
        <v>1315</v>
      </c>
      <c r="C250" s="220" t="s">
        <v>339</v>
      </c>
      <c r="D250" s="220">
        <v>7</v>
      </c>
      <c r="E250" s="220">
        <v>12033</v>
      </c>
      <c r="F250" s="220">
        <v>152.15600000000001</v>
      </c>
      <c r="G250" s="220">
        <v>-2.2160000000000002</v>
      </c>
      <c r="H250" s="220">
        <v>36.054000000000002</v>
      </c>
    </row>
    <row r="251" spans="1:8" x14ac:dyDescent="0.25">
      <c r="A251" s="220">
        <v>127</v>
      </c>
      <c r="B251" s="220" t="s">
        <v>1319</v>
      </c>
      <c r="C251" s="220" t="s">
        <v>260</v>
      </c>
      <c r="D251" s="220">
        <v>6</v>
      </c>
      <c r="E251" s="220">
        <v>13926</v>
      </c>
      <c r="F251" s="220">
        <v>171.93100000000001</v>
      </c>
      <c r="G251" s="220">
        <v>-1.57</v>
      </c>
      <c r="H251" s="220">
        <v>36.222999999999999</v>
      </c>
    </row>
    <row r="252" spans="1:8" x14ac:dyDescent="0.25">
      <c r="A252" s="220">
        <v>127</v>
      </c>
      <c r="B252" s="220" t="s">
        <v>1319</v>
      </c>
      <c r="C252" s="220" t="s">
        <v>260</v>
      </c>
      <c r="D252" s="220">
        <v>7</v>
      </c>
      <c r="E252" s="220">
        <v>12849</v>
      </c>
      <c r="F252" s="220">
        <v>159.28</v>
      </c>
      <c r="G252" s="220">
        <v>-1.512</v>
      </c>
      <c r="H252" s="220">
        <v>36.252000000000002</v>
      </c>
    </row>
    <row r="253" spans="1:8" x14ac:dyDescent="0.25">
      <c r="A253" s="220">
        <v>128</v>
      </c>
      <c r="B253" s="220" t="s">
        <v>1324</v>
      </c>
      <c r="C253" s="220" t="s">
        <v>513</v>
      </c>
      <c r="D253" s="220">
        <v>6</v>
      </c>
      <c r="E253" s="220">
        <v>12521</v>
      </c>
      <c r="F253" s="220">
        <v>158.58199999999999</v>
      </c>
      <c r="G253" s="220">
        <v>-1.5049999999999999</v>
      </c>
      <c r="H253" s="220">
        <v>36.061</v>
      </c>
    </row>
    <row r="254" spans="1:8" x14ac:dyDescent="0.25">
      <c r="A254" s="220">
        <v>128</v>
      </c>
      <c r="B254" s="220" t="s">
        <v>1324</v>
      </c>
      <c r="C254" s="220" t="s">
        <v>513</v>
      </c>
      <c r="D254" s="220">
        <v>7</v>
      </c>
      <c r="E254" s="220">
        <v>11704</v>
      </c>
      <c r="F254" s="220">
        <v>147.48099999999999</v>
      </c>
      <c r="G254" s="220">
        <v>-1.4490000000000001</v>
      </c>
      <c r="H254" s="220">
        <v>36.048999999999999</v>
      </c>
    </row>
    <row r="255" spans="1:8" x14ac:dyDescent="0.25">
      <c r="A255" s="220">
        <v>129</v>
      </c>
      <c r="B255" s="220" t="s">
        <v>1328</v>
      </c>
      <c r="C255" s="220" t="s">
        <v>729</v>
      </c>
      <c r="D255" s="220">
        <v>6</v>
      </c>
      <c r="E255" s="220">
        <v>15960</v>
      </c>
      <c r="F255" s="220">
        <v>198.57599999999999</v>
      </c>
      <c r="G255" s="220">
        <v>-1.5529999999999999</v>
      </c>
      <c r="H255" s="220">
        <v>35.863999999999997</v>
      </c>
    </row>
    <row r="256" spans="1:8" x14ac:dyDescent="0.25">
      <c r="A256" s="220">
        <v>129</v>
      </c>
      <c r="B256" s="220" t="s">
        <v>1328</v>
      </c>
      <c r="C256" s="220" t="s">
        <v>729</v>
      </c>
      <c r="D256" s="220">
        <v>7</v>
      </c>
      <c r="E256" s="220">
        <v>14766</v>
      </c>
      <c r="F256" s="220">
        <v>184.24299999999999</v>
      </c>
      <c r="G256" s="220">
        <v>-1.526</v>
      </c>
      <c r="H256" s="220">
        <v>35.887</v>
      </c>
    </row>
    <row r="257" spans="1:8" x14ac:dyDescent="0.25">
      <c r="A257" s="220">
        <v>130</v>
      </c>
      <c r="B257" s="220" t="s">
        <v>1332</v>
      </c>
      <c r="C257" s="220" t="s">
        <v>551</v>
      </c>
      <c r="D257" s="220">
        <v>6</v>
      </c>
      <c r="E257" s="220">
        <v>12912</v>
      </c>
      <c r="F257" s="220">
        <v>162.21299999999999</v>
      </c>
      <c r="G257" s="220">
        <v>-1.962</v>
      </c>
      <c r="H257" s="220">
        <v>35.780999999999999</v>
      </c>
    </row>
    <row r="258" spans="1:8" x14ac:dyDescent="0.25">
      <c r="A258" s="220">
        <v>130</v>
      </c>
      <c r="B258" s="220" t="s">
        <v>1332</v>
      </c>
      <c r="C258" s="220" t="s">
        <v>551</v>
      </c>
      <c r="D258" s="220">
        <v>7</v>
      </c>
      <c r="E258" s="220">
        <v>12152</v>
      </c>
      <c r="F258" s="220">
        <v>151.32499999999999</v>
      </c>
      <c r="G258" s="220">
        <v>-1.885</v>
      </c>
      <c r="H258" s="220">
        <v>35.792999999999999</v>
      </c>
    </row>
    <row r="259" spans="1:8" x14ac:dyDescent="0.25">
      <c r="A259" s="220">
        <v>131</v>
      </c>
      <c r="B259" s="220" t="s">
        <v>0</v>
      </c>
      <c r="C259"/>
      <c r="D259" s="220">
        <v>6</v>
      </c>
      <c r="E259" s="220">
        <v>16505</v>
      </c>
      <c r="F259" s="220">
        <v>207.922</v>
      </c>
      <c r="G259" s="220">
        <v>4.8070000000000004</v>
      </c>
      <c r="H259" s="220">
        <v>36.99</v>
      </c>
    </row>
    <row r="260" spans="1:8" x14ac:dyDescent="0.25">
      <c r="A260" s="220">
        <v>131</v>
      </c>
      <c r="B260" s="220" t="s">
        <v>0</v>
      </c>
      <c r="C260"/>
      <c r="D260" s="220">
        <v>7</v>
      </c>
      <c r="E260" s="220">
        <v>15325</v>
      </c>
      <c r="F260" s="220">
        <v>195.23400000000001</v>
      </c>
      <c r="G260" s="220">
        <v>4.7939999999999996</v>
      </c>
      <c r="H260" s="220">
        <v>37.008000000000003</v>
      </c>
    </row>
    <row r="261" spans="1:8" x14ac:dyDescent="0.25">
      <c r="A261" s="220">
        <v>132</v>
      </c>
      <c r="B261" s="220" t="s">
        <v>0</v>
      </c>
      <c r="C261"/>
      <c r="D261" s="220">
        <v>6</v>
      </c>
      <c r="E261" s="220">
        <v>19965</v>
      </c>
      <c r="F261" s="220">
        <v>243.29300000000001</v>
      </c>
      <c r="G261" s="220">
        <v>4.8620000000000001</v>
      </c>
      <c r="H261" s="220">
        <v>36.822000000000003</v>
      </c>
    </row>
    <row r="262" spans="1:8" x14ac:dyDescent="0.25">
      <c r="A262" s="220">
        <v>132</v>
      </c>
      <c r="B262" s="220" t="s">
        <v>0</v>
      </c>
      <c r="C262"/>
      <c r="D262" s="220">
        <v>7</v>
      </c>
      <c r="E262" s="220">
        <v>18790</v>
      </c>
      <c r="F262" s="220">
        <v>230.37799999999999</v>
      </c>
      <c r="G262" s="220">
        <v>4.7969999999999997</v>
      </c>
      <c r="H262" s="220">
        <v>36.909999999999997</v>
      </c>
    </row>
    <row r="263" spans="1:8" x14ac:dyDescent="0.25">
      <c r="A263" s="220">
        <v>133</v>
      </c>
      <c r="B263" s="220" t="s">
        <v>1343</v>
      </c>
      <c r="C263" s="220" t="s">
        <v>518</v>
      </c>
      <c r="D263" s="220">
        <v>6</v>
      </c>
      <c r="E263" s="220">
        <v>13210</v>
      </c>
      <c r="F263" s="220">
        <v>168.56899999999999</v>
      </c>
      <c r="G263" s="220">
        <v>-1.8839999999999999</v>
      </c>
      <c r="H263" s="220">
        <v>35.707999999999998</v>
      </c>
    </row>
    <row r="264" spans="1:8" x14ac:dyDescent="0.25">
      <c r="A264" s="220">
        <v>133</v>
      </c>
      <c r="B264" s="220" t="s">
        <v>1343</v>
      </c>
      <c r="C264" s="220" t="s">
        <v>518</v>
      </c>
      <c r="D264" s="220">
        <v>7</v>
      </c>
      <c r="E264" s="220">
        <v>12307</v>
      </c>
      <c r="F264" s="220">
        <v>156.52500000000001</v>
      </c>
      <c r="G264" s="220">
        <v>-1.8240000000000001</v>
      </c>
      <c r="H264" s="220">
        <v>35.756999999999998</v>
      </c>
    </row>
    <row r="265" spans="1:8" x14ac:dyDescent="0.25">
      <c r="A265" s="220">
        <v>134</v>
      </c>
      <c r="B265" s="220" t="s">
        <v>1346</v>
      </c>
      <c r="C265" s="220" t="s">
        <v>1347</v>
      </c>
      <c r="D265" s="220">
        <v>6</v>
      </c>
      <c r="E265" s="220">
        <v>18688</v>
      </c>
      <c r="F265" s="220">
        <v>226.232</v>
      </c>
      <c r="G265" s="220">
        <v>-1.8819999999999999</v>
      </c>
      <c r="H265" s="220">
        <v>35.661000000000001</v>
      </c>
    </row>
    <row r="266" spans="1:8" x14ac:dyDescent="0.25">
      <c r="A266" s="220">
        <v>134</v>
      </c>
      <c r="B266" s="220" t="s">
        <v>1346</v>
      </c>
      <c r="C266" s="220" t="s">
        <v>1347</v>
      </c>
      <c r="D266" s="220">
        <v>7</v>
      </c>
      <c r="E266" s="220">
        <v>17582</v>
      </c>
      <c r="F266" s="220">
        <v>213.834</v>
      </c>
      <c r="G266" s="220">
        <v>-1.919</v>
      </c>
      <c r="H266" s="220">
        <v>35.692999999999998</v>
      </c>
    </row>
    <row r="267" spans="1:8" x14ac:dyDescent="0.25">
      <c r="A267" s="220">
        <v>135</v>
      </c>
      <c r="B267" s="220" t="s">
        <v>1352</v>
      </c>
      <c r="C267" s="220" t="s">
        <v>229</v>
      </c>
      <c r="D267" s="220">
        <v>6</v>
      </c>
      <c r="E267" s="220">
        <v>13674</v>
      </c>
      <c r="F267" s="220">
        <v>174.131</v>
      </c>
      <c r="G267" s="220">
        <v>-2.0720000000000001</v>
      </c>
      <c r="H267" s="220">
        <v>35.896999999999998</v>
      </c>
    </row>
    <row r="268" spans="1:8" x14ac:dyDescent="0.25">
      <c r="A268" s="220">
        <v>135</v>
      </c>
      <c r="B268" s="220" t="s">
        <v>1352</v>
      </c>
      <c r="C268" s="220" t="s">
        <v>229</v>
      </c>
      <c r="D268" s="220">
        <v>7</v>
      </c>
      <c r="E268" s="220">
        <v>12742</v>
      </c>
      <c r="F268" s="220">
        <v>161.67500000000001</v>
      </c>
      <c r="G268" s="220">
        <v>-2.0150000000000001</v>
      </c>
      <c r="H268" s="220">
        <v>35.914999999999999</v>
      </c>
    </row>
    <row r="269" spans="1:8" x14ac:dyDescent="0.25">
      <c r="A269" s="220">
        <v>136</v>
      </c>
      <c r="B269" s="220" t="s">
        <v>1357</v>
      </c>
      <c r="C269" s="220" t="s">
        <v>296</v>
      </c>
      <c r="D269" s="220">
        <v>6</v>
      </c>
      <c r="E269" s="220">
        <v>14051</v>
      </c>
      <c r="F269" s="220">
        <v>170.26900000000001</v>
      </c>
      <c r="G269" s="220">
        <v>-2.1840000000000002</v>
      </c>
      <c r="H269" s="220">
        <v>36.107999999999997</v>
      </c>
    </row>
    <row r="270" spans="1:8" x14ac:dyDescent="0.25">
      <c r="A270" s="220">
        <v>136</v>
      </c>
      <c r="B270" s="220" t="s">
        <v>1357</v>
      </c>
      <c r="C270" s="220" t="s">
        <v>296</v>
      </c>
      <c r="D270" s="220">
        <v>7</v>
      </c>
      <c r="E270" s="220">
        <v>13101</v>
      </c>
      <c r="F270" s="220">
        <v>160.53200000000001</v>
      </c>
      <c r="G270" s="220">
        <v>-2.2200000000000002</v>
      </c>
      <c r="H270" s="220">
        <v>36.131999999999998</v>
      </c>
    </row>
    <row r="271" spans="1:8" x14ac:dyDescent="0.25">
      <c r="A271" s="220">
        <v>137</v>
      </c>
      <c r="B271" s="220" t="s">
        <v>1360</v>
      </c>
      <c r="C271" s="220" t="s">
        <v>322</v>
      </c>
      <c r="D271" s="220">
        <v>6</v>
      </c>
      <c r="E271" s="220">
        <v>15187</v>
      </c>
      <c r="F271" s="220">
        <v>192.547</v>
      </c>
      <c r="G271" s="220">
        <v>-1.861</v>
      </c>
      <c r="H271" s="220">
        <v>36.021999999999998</v>
      </c>
    </row>
    <row r="272" spans="1:8" x14ac:dyDescent="0.25">
      <c r="A272" s="220">
        <v>137</v>
      </c>
      <c r="B272" s="220" t="s">
        <v>1360</v>
      </c>
      <c r="C272" s="220" t="s">
        <v>322</v>
      </c>
      <c r="D272" s="220">
        <v>7</v>
      </c>
      <c r="E272" s="220">
        <v>14160</v>
      </c>
      <c r="F272" s="220">
        <v>179.01300000000001</v>
      </c>
      <c r="G272" s="220">
        <v>-1.8029999999999999</v>
      </c>
      <c r="H272" s="220">
        <v>36.116999999999997</v>
      </c>
    </row>
    <row r="273" spans="1:8" x14ac:dyDescent="0.25">
      <c r="A273" s="220">
        <v>138</v>
      </c>
      <c r="B273" s="220" t="s">
        <v>1364</v>
      </c>
      <c r="C273" s="220" t="s">
        <v>229</v>
      </c>
      <c r="D273" s="220">
        <v>6</v>
      </c>
      <c r="E273" s="220">
        <v>15344</v>
      </c>
      <c r="F273" s="220">
        <v>187.06</v>
      </c>
      <c r="G273" s="220">
        <v>-1.5309999999999999</v>
      </c>
      <c r="H273" s="220">
        <v>36.162999999999997</v>
      </c>
    </row>
    <row r="274" spans="1:8" x14ac:dyDescent="0.25">
      <c r="A274" s="220">
        <v>138</v>
      </c>
      <c r="B274" s="220" t="s">
        <v>1364</v>
      </c>
      <c r="C274" s="220" t="s">
        <v>229</v>
      </c>
      <c r="D274" s="220">
        <v>7</v>
      </c>
      <c r="E274" s="220">
        <v>14165</v>
      </c>
      <c r="F274" s="220">
        <v>173.40100000000001</v>
      </c>
      <c r="G274" s="220">
        <v>-1.452</v>
      </c>
      <c r="H274" s="220">
        <v>36.19</v>
      </c>
    </row>
    <row r="275" spans="1:8" x14ac:dyDescent="0.25">
      <c r="A275" s="220">
        <v>139</v>
      </c>
      <c r="B275" s="220" t="s">
        <v>1368</v>
      </c>
      <c r="C275" s="220" t="s">
        <v>269</v>
      </c>
      <c r="D275" s="220">
        <v>6</v>
      </c>
      <c r="E275" s="220">
        <v>13691</v>
      </c>
      <c r="F275" s="220">
        <v>173.334</v>
      </c>
      <c r="G275" s="220">
        <v>-1.165</v>
      </c>
      <c r="H275" s="220">
        <v>36.1</v>
      </c>
    </row>
    <row r="276" spans="1:8" x14ac:dyDescent="0.25">
      <c r="A276" s="220">
        <v>139</v>
      </c>
      <c r="B276" s="220" t="s">
        <v>1368</v>
      </c>
      <c r="C276" s="220" t="s">
        <v>269</v>
      </c>
      <c r="D276" s="220">
        <v>7</v>
      </c>
      <c r="E276" s="220">
        <v>12778</v>
      </c>
      <c r="F276" s="220">
        <v>160.911</v>
      </c>
      <c r="G276" s="220">
        <v>-1.1120000000000001</v>
      </c>
      <c r="H276" s="220">
        <v>36.097000000000001</v>
      </c>
    </row>
    <row r="277" spans="1:8" x14ac:dyDescent="0.25">
      <c r="A277" s="220">
        <v>140</v>
      </c>
      <c r="B277" s="220" t="s">
        <v>1371</v>
      </c>
      <c r="C277" s="220" t="s">
        <v>496</v>
      </c>
      <c r="D277" s="220">
        <v>6</v>
      </c>
      <c r="E277" s="220">
        <v>13306</v>
      </c>
      <c r="F277" s="220">
        <v>165.88</v>
      </c>
      <c r="G277" s="220">
        <v>-1.4850000000000001</v>
      </c>
      <c r="H277" s="220">
        <v>35.914999999999999</v>
      </c>
    </row>
    <row r="278" spans="1:8" x14ac:dyDescent="0.25">
      <c r="A278" s="220">
        <v>140</v>
      </c>
      <c r="B278" s="220" t="s">
        <v>1371</v>
      </c>
      <c r="C278" s="220" t="s">
        <v>496</v>
      </c>
      <c r="D278" s="220">
        <v>7</v>
      </c>
      <c r="E278" s="220">
        <v>12284</v>
      </c>
      <c r="F278" s="220">
        <v>153.66800000000001</v>
      </c>
      <c r="G278" s="220">
        <v>-1.4239999999999999</v>
      </c>
      <c r="H278" s="220">
        <v>35.939</v>
      </c>
    </row>
    <row r="279" spans="1:8" x14ac:dyDescent="0.25">
      <c r="A279" s="220">
        <v>141</v>
      </c>
      <c r="B279" s="220" t="s">
        <v>1374</v>
      </c>
      <c r="C279" s="220" t="s">
        <v>260</v>
      </c>
      <c r="D279" s="220">
        <v>6</v>
      </c>
      <c r="E279" s="220">
        <v>12366</v>
      </c>
      <c r="F279" s="220">
        <v>154.58199999999999</v>
      </c>
      <c r="G279" s="220">
        <v>-1.6419999999999999</v>
      </c>
      <c r="H279" s="220">
        <v>35.829000000000001</v>
      </c>
    </row>
    <row r="280" spans="1:8" x14ac:dyDescent="0.25">
      <c r="A280" s="220">
        <v>141</v>
      </c>
      <c r="B280" s="220" t="s">
        <v>1374</v>
      </c>
      <c r="C280" s="220" t="s">
        <v>260</v>
      </c>
      <c r="D280" s="220">
        <v>7</v>
      </c>
      <c r="E280" s="220">
        <v>11661</v>
      </c>
      <c r="F280" s="220">
        <v>144.44</v>
      </c>
      <c r="G280" s="220">
        <v>-1.5780000000000001</v>
      </c>
      <c r="H280" s="220">
        <v>35.868000000000002</v>
      </c>
    </row>
    <row r="281" spans="1:8" x14ac:dyDescent="0.25">
      <c r="A281" s="220">
        <v>142</v>
      </c>
      <c r="B281" s="220" t="s">
        <v>1378</v>
      </c>
      <c r="C281" s="220" t="s">
        <v>297</v>
      </c>
      <c r="D281" s="220">
        <v>6</v>
      </c>
      <c r="E281" s="220">
        <v>13837</v>
      </c>
      <c r="F281" s="220">
        <v>175.697</v>
      </c>
      <c r="G281" s="220">
        <v>-1.6919999999999999</v>
      </c>
      <c r="H281" s="220">
        <v>35.908000000000001</v>
      </c>
    </row>
    <row r="282" spans="1:8" x14ac:dyDescent="0.25">
      <c r="A282" s="220">
        <v>142</v>
      </c>
      <c r="B282" s="220" t="s">
        <v>1378</v>
      </c>
      <c r="C282" s="220" t="s">
        <v>297</v>
      </c>
      <c r="D282" s="220">
        <v>7</v>
      </c>
      <c r="E282" s="220">
        <v>12864</v>
      </c>
      <c r="F282" s="220">
        <v>163.21</v>
      </c>
      <c r="G282" s="220">
        <v>-1.681</v>
      </c>
      <c r="H282" s="220">
        <v>35.883000000000003</v>
      </c>
    </row>
    <row r="283" spans="1:8" x14ac:dyDescent="0.25">
      <c r="A283" s="220">
        <v>143</v>
      </c>
      <c r="B283" s="220" t="s">
        <v>0</v>
      </c>
      <c r="C283"/>
      <c r="D283" s="220">
        <v>6</v>
      </c>
      <c r="E283" s="220">
        <v>20299</v>
      </c>
      <c r="F283" s="220">
        <v>246.667</v>
      </c>
      <c r="G283" s="220">
        <v>4.8079999999999998</v>
      </c>
      <c r="H283" s="220">
        <v>36.402000000000001</v>
      </c>
    </row>
    <row r="284" spans="1:8" x14ac:dyDescent="0.25">
      <c r="A284" s="220">
        <v>143</v>
      </c>
      <c r="B284" s="220" t="s">
        <v>0</v>
      </c>
      <c r="C284"/>
      <c r="D284" s="220">
        <v>7</v>
      </c>
      <c r="E284" s="220">
        <v>19128</v>
      </c>
      <c r="F284" s="220">
        <v>233.26599999999999</v>
      </c>
      <c r="G284" s="220">
        <v>4.7789999999999999</v>
      </c>
      <c r="H284" s="220">
        <v>36.558</v>
      </c>
    </row>
    <row r="285" spans="1:8" x14ac:dyDescent="0.25">
      <c r="A285" s="220">
        <v>144</v>
      </c>
      <c r="B285" s="220" t="s">
        <v>0</v>
      </c>
      <c r="C285"/>
      <c r="D285" s="220">
        <v>6</v>
      </c>
      <c r="E285" s="220">
        <v>17137</v>
      </c>
      <c r="F285" s="220">
        <v>217.387</v>
      </c>
      <c r="G285" s="220">
        <v>4.8040000000000003</v>
      </c>
      <c r="H285" s="220">
        <v>36.954000000000001</v>
      </c>
    </row>
    <row r="286" spans="1:8" x14ac:dyDescent="0.25">
      <c r="A286" s="220">
        <v>144</v>
      </c>
      <c r="B286" s="220" t="s">
        <v>0</v>
      </c>
      <c r="C286"/>
      <c r="D286" s="220">
        <v>7</v>
      </c>
      <c r="E286" s="220">
        <v>15969</v>
      </c>
      <c r="F286" s="220">
        <v>202.16900000000001</v>
      </c>
      <c r="G286" s="220">
        <v>4.8380000000000001</v>
      </c>
      <c r="H286" s="220">
        <v>36.987000000000002</v>
      </c>
    </row>
    <row r="287" spans="1:8" x14ac:dyDescent="0.25">
      <c r="A287" s="220">
        <v>145</v>
      </c>
      <c r="B287" s="220" t="s">
        <v>1389</v>
      </c>
      <c r="C287" s="220" t="s">
        <v>576</v>
      </c>
      <c r="D287" s="220">
        <v>6</v>
      </c>
      <c r="E287" s="220">
        <v>17662</v>
      </c>
      <c r="F287" s="220">
        <v>213.553</v>
      </c>
      <c r="G287" s="220">
        <v>-1.81</v>
      </c>
      <c r="H287" s="220">
        <v>35.826999999999998</v>
      </c>
    </row>
    <row r="288" spans="1:8" x14ac:dyDescent="0.25">
      <c r="A288" s="220">
        <v>145</v>
      </c>
      <c r="B288" s="220" t="s">
        <v>1389</v>
      </c>
      <c r="C288" s="220" t="s">
        <v>576</v>
      </c>
      <c r="D288" s="220">
        <v>7</v>
      </c>
      <c r="E288" s="220">
        <v>16637</v>
      </c>
      <c r="F288" s="220">
        <v>202.18</v>
      </c>
      <c r="G288" s="220">
        <v>-1.806</v>
      </c>
      <c r="H288" s="220">
        <v>35.856999999999999</v>
      </c>
    </row>
    <row r="289" spans="1:8" x14ac:dyDescent="0.25">
      <c r="A289" s="220">
        <v>146</v>
      </c>
      <c r="B289" s="220" t="s">
        <v>1394</v>
      </c>
      <c r="C289" s="220" t="s">
        <v>328</v>
      </c>
      <c r="D289" s="220">
        <v>6</v>
      </c>
      <c r="E289" s="220">
        <v>13633</v>
      </c>
      <c r="F289" s="220">
        <v>173.66399999999999</v>
      </c>
      <c r="G289" s="220">
        <v>-1.845</v>
      </c>
      <c r="H289" s="220">
        <v>36.037999999999997</v>
      </c>
    </row>
    <row r="290" spans="1:8" x14ac:dyDescent="0.25">
      <c r="A290" s="220">
        <v>146</v>
      </c>
      <c r="B290" s="220" t="s">
        <v>1394</v>
      </c>
      <c r="C290" s="220" t="s">
        <v>328</v>
      </c>
      <c r="D290" s="220">
        <v>7</v>
      </c>
      <c r="E290" s="220">
        <v>12725</v>
      </c>
      <c r="F290" s="220">
        <v>161.41999999999999</v>
      </c>
      <c r="G290" s="220">
        <v>-1.802</v>
      </c>
      <c r="H290" s="220">
        <v>36.061999999999998</v>
      </c>
    </row>
    <row r="291" spans="1:8" x14ac:dyDescent="0.25">
      <c r="A291" s="220">
        <v>147</v>
      </c>
      <c r="B291" s="220" t="s">
        <v>1398</v>
      </c>
      <c r="C291" s="220" t="s">
        <v>496</v>
      </c>
      <c r="D291" s="220">
        <v>6</v>
      </c>
      <c r="E291" s="220">
        <v>12675</v>
      </c>
      <c r="F291" s="220">
        <v>153.71799999999999</v>
      </c>
      <c r="G291" s="220">
        <v>-1.514</v>
      </c>
      <c r="H291" s="220">
        <v>36.218000000000004</v>
      </c>
    </row>
    <row r="292" spans="1:8" x14ac:dyDescent="0.25">
      <c r="A292" s="220">
        <v>147</v>
      </c>
      <c r="B292" s="220" t="s">
        <v>1398</v>
      </c>
      <c r="C292" s="220" t="s">
        <v>496</v>
      </c>
      <c r="D292" s="220">
        <v>7</v>
      </c>
      <c r="E292" s="220">
        <v>11841</v>
      </c>
      <c r="F292" s="220">
        <v>143.44499999999999</v>
      </c>
      <c r="G292" s="220">
        <v>-1.4550000000000001</v>
      </c>
      <c r="H292" s="220">
        <v>36.238999999999997</v>
      </c>
    </row>
    <row r="293" spans="1:8" x14ac:dyDescent="0.25">
      <c r="A293" s="220">
        <v>148</v>
      </c>
      <c r="B293" s="220" t="s">
        <v>1402</v>
      </c>
      <c r="C293" s="220" t="s">
        <v>297</v>
      </c>
      <c r="D293" s="220">
        <v>6</v>
      </c>
      <c r="E293" s="220">
        <v>13421</v>
      </c>
      <c r="F293" s="220">
        <v>170.64500000000001</v>
      </c>
      <c r="G293" s="220">
        <v>-1.643</v>
      </c>
      <c r="H293" s="220">
        <v>35.851999999999997</v>
      </c>
    </row>
    <row r="294" spans="1:8" x14ac:dyDescent="0.25">
      <c r="A294" s="220">
        <v>148</v>
      </c>
      <c r="B294" s="220" t="s">
        <v>1402</v>
      </c>
      <c r="C294" s="220" t="s">
        <v>297</v>
      </c>
      <c r="D294" s="220">
        <v>7</v>
      </c>
      <c r="E294" s="220">
        <v>12504</v>
      </c>
      <c r="F294" s="220">
        <v>158.499</v>
      </c>
      <c r="G294" s="220">
        <v>-1.5880000000000001</v>
      </c>
      <c r="H294" s="220">
        <v>35.893999999999998</v>
      </c>
    </row>
    <row r="295" spans="1:8" x14ac:dyDescent="0.25">
      <c r="A295" s="220">
        <v>149</v>
      </c>
      <c r="B295" s="220" t="s">
        <v>1406</v>
      </c>
      <c r="C295" s="220" t="s">
        <v>339</v>
      </c>
      <c r="D295" s="220">
        <v>6</v>
      </c>
      <c r="E295" s="220">
        <v>14461</v>
      </c>
      <c r="F295" s="220">
        <v>176.56200000000001</v>
      </c>
      <c r="G295" s="220">
        <v>-1.4019999999999999</v>
      </c>
      <c r="H295" s="220">
        <v>35.703000000000003</v>
      </c>
    </row>
    <row r="296" spans="1:8" x14ac:dyDescent="0.25">
      <c r="A296" s="220">
        <v>149</v>
      </c>
      <c r="B296" s="220" t="s">
        <v>1406</v>
      </c>
      <c r="C296" s="220" t="s">
        <v>339</v>
      </c>
      <c r="D296" s="220">
        <v>7</v>
      </c>
      <c r="E296" s="220">
        <v>13363</v>
      </c>
      <c r="F296" s="220">
        <v>163.714</v>
      </c>
      <c r="G296" s="220">
        <v>-1.339</v>
      </c>
      <c r="H296" s="220">
        <v>35.728000000000002</v>
      </c>
    </row>
    <row r="297" spans="1:8" x14ac:dyDescent="0.25">
      <c r="A297" s="220">
        <v>150</v>
      </c>
      <c r="B297" s="220" t="s">
        <v>1409</v>
      </c>
      <c r="C297" s="220" t="s">
        <v>335</v>
      </c>
      <c r="D297" s="220">
        <v>6</v>
      </c>
      <c r="E297" s="220">
        <v>12605</v>
      </c>
      <c r="F297" s="220">
        <v>159.91</v>
      </c>
      <c r="G297" s="220">
        <v>-1.397</v>
      </c>
      <c r="H297" s="220">
        <v>35.616</v>
      </c>
    </row>
    <row r="298" spans="1:8" x14ac:dyDescent="0.25">
      <c r="A298" s="220">
        <v>150</v>
      </c>
      <c r="B298" s="220" t="s">
        <v>1409</v>
      </c>
      <c r="C298" s="220" t="s">
        <v>335</v>
      </c>
      <c r="D298" s="220">
        <v>7</v>
      </c>
      <c r="E298" s="220">
        <v>11782</v>
      </c>
      <c r="F298" s="220">
        <v>148.613</v>
      </c>
      <c r="G298" s="220">
        <v>-1.3380000000000001</v>
      </c>
      <c r="H298" s="220">
        <v>35.679000000000002</v>
      </c>
    </row>
    <row r="299" spans="1:8" x14ac:dyDescent="0.25">
      <c r="A299" s="220">
        <v>151</v>
      </c>
      <c r="B299" s="220" t="s">
        <v>1413</v>
      </c>
      <c r="C299" s="220" t="s">
        <v>513</v>
      </c>
      <c r="D299" s="220">
        <v>6</v>
      </c>
      <c r="E299" s="220">
        <v>14148</v>
      </c>
      <c r="F299" s="220">
        <v>176.66499999999999</v>
      </c>
      <c r="G299" s="220">
        <v>-1.73</v>
      </c>
      <c r="H299" s="220">
        <v>35.856000000000002</v>
      </c>
    </row>
    <row r="300" spans="1:8" x14ac:dyDescent="0.25">
      <c r="A300" s="220">
        <v>151</v>
      </c>
      <c r="B300" s="220" t="s">
        <v>1413</v>
      </c>
      <c r="C300" s="220" t="s">
        <v>513</v>
      </c>
      <c r="D300" s="220">
        <v>7</v>
      </c>
      <c r="E300" s="220">
        <v>13063</v>
      </c>
      <c r="F300" s="220">
        <v>163.77699999999999</v>
      </c>
      <c r="G300" s="220">
        <v>-1.655</v>
      </c>
      <c r="H300" s="220">
        <v>35.941000000000003</v>
      </c>
    </row>
    <row r="301" spans="1:8" x14ac:dyDescent="0.25">
      <c r="A301" s="220">
        <v>152</v>
      </c>
      <c r="B301" s="220" t="s">
        <v>1416</v>
      </c>
      <c r="C301" s="220" t="s">
        <v>737</v>
      </c>
      <c r="D301" s="220">
        <v>6</v>
      </c>
      <c r="E301" s="220">
        <v>15710</v>
      </c>
      <c r="F301" s="220">
        <v>195.56700000000001</v>
      </c>
      <c r="G301" s="220">
        <v>-2.508</v>
      </c>
      <c r="H301" s="220">
        <v>35.994</v>
      </c>
    </row>
    <row r="302" spans="1:8" x14ac:dyDescent="0.25">
      <c r="A302" s="220">
        <v>152</v>
      </c>
      <c r="B302" s="220" t="s">
        <v>1416</v>
      </c>
      <c r="C302" s="220" t="s">
        <v>737</v>
      </c>
      <c r="D302" s="220">
        <v>7</v>
      </c>
      <c r="E302" s="220">
        <v>14788</v>
      </c>
      <c r="F302" s="220">
        <v>182.358</v>
      </c>
      <c r="G302" s="220">
        <v>-2.4609999999999999</v>
      </c>
      <c r="H302" s="220">
        <v>36.018999999999998</v>
      </c>
    </row>
    <row r="303" spans="1:8" x14ac:dyDescent="0.25">
      <c r="A303" s="220">
        <v>153</v>
      </c>
      <c r="B303" s="220" t="s">
        <v>1421</v>
      </c>
      <c r="C303" s="220" t="s">
        <v>729</v>
      </c>
      <c r="D303" s="220">
        <v>6</v>
      </c>
      <c r="E303" s="220">
        <v>14187</v>
      </c>
      <c r="F303" s="220">
        <v>179.84800000000001</v>
      </c>
      <c r="G303" s="220">
        <v>-2.2509999999999999</v>
      </c>
      <c r="H303" s="220">
        <v>36.268999999999998</v>
      </c>
    </row>
    <row r="304" spans="1:8" x14ac:dyDescent="0.25">
      <c r="A304" s="220">
        <v>153</v>
      </c>
      <c r="B304" s="220" t="s">
        <v>1421</v>
      </c>
      <c r="C304" s="220" t="s">
        <v>729</v>
      </c>
      <c r="D304" s="220">
        <v>7</v>
      </c>
      <c r="E304" s="220">
        <v>13168</v>
      </c>
      <c r="F304" s="220">
        <v>166.89400000000001</v>
      </c>
      <c r="G304" s="220">
        <v>-2.222</v>
      </c>
      <c r="H304" s="220">
        <v>36.298999999999999</v>
      </c>
    </row>
    <row r="305" spans="1:8" x14ac:dyDescent="0.25">
      <c r="A305" s="220">
        <v>154</v>
      </c>
      <c r="B305" s="220" t="s">
        <v>1424</v>
      </c>
      <c r="C305" s="220" t="s">
        <v>269</v>
      </c>
      <c r="D305" s="220">
        <v>6</v>
      </c>
      <c r="E305" s="220">
        <v>13487</v>
      </c>
      <c r="F305" s="220">
        <v>165.7</v>
      </c>
      <c r="G305" s="220">
        <v>-2.3969999999999998</v>
      </c>
      <c r="H305" s="220">
        <v>36.25</v>
      </c>
    </row>
    <row r="306" spans="1:8" x14ac:dyDescent="0.25">
      <c r="A306" s="220">
        <v>154</v>
      </c>
      <c r="B306" s="220" t="s">
        <v>1424</v>
      </c>
      <c r="C306" s="220" t="s">
        <v>269</v>
      </c>
      <c r="D306" s="220">
        <v>7</v>
      </c>
      <c r="E306" s="220">
        <v>12711</v>
      </c>
      <c r="F306" s="220">
        <v>155.28399999999999</v>
      </c>
      <c r="G306" s="220">
        <v>-2.3580000000000001</v>
      </c>
      <c r="H306" s="220">
        <v>36.252000000000002</v>
      </c>
    </row>
    <row r="307" spans="1:8" x14ac:dyDescent="0.25">
      <c r="A307" s="220">
        <v>155</v>
      </c>
      <c r="B307" s="220" t="s">
        <v>0</v>
      </c>
      <c r="C307"/>
      <c r="D307" s="220">
        <v>6</v>
      </c>
      <c r="E307" s="220">
        <v>18075</v>
      </c>
      <c r="F307" s="220">
        <v>229.19399999999999</v>
      </c>
      <c r="G307" s="220">
        <v>4.8380000000000001</v>
      </c>
      <c r="H307" s="220">
        <v>37.002000000000002</v>
      </c>
    </row>
    <row r="308" spans="1:8" x14ac:dyDescent="0.25">
      <c r="A308" s="220">
        <v>155</v>
      </c>
      <c r="B308" s="220" t="s">
        <v>0</v>
      </c>
      <c r="C308"/>
      <c r="D308" s="220">
        <v>7</v>
      </c>
      <c r="E308" s="220">
        <v>16831</v>
      </c>
      <c r="F308" s="220">
        <v>215.10900000000001</v>
      </c>
      <c r="G308" s="220">
        <v>4.8209999999999997</v>
      </c>
      <c r="H308" s="220">
        <v>37.027000000000001</v>
      </c>
    </row>
    <row r="309" spans="1:8" x14ac:dyDescent="0.25">
      <c r="A309" s="220">
        <v>156</v>
      </c>
      <c r="B309" s="220" t="s">
        <v>0</v>
      </c>
      <c r="C309"/>
      <c r="D309" s="220">
        <v>6</v>
      </c>
      <c r="E309" s="220">
        <v>11457</v>
      </c>
      <c r="F309" s="220">
        <v>140.131</v>
      </c>
      <c r="G309" s="220">
        <v>4.6619999999999999</v>
      </c>
      <c r="H309" s="220">
        <v>35.831000000000003</v>
      </c>
    </row>
    <row r="310" spans="1:8" x14ac:dyDescent="0.25">
      <c r="A310" s="220">
        <v>156</v>
      </c>
      <c r="B310" s="220" t="s">
        <v>0</v>
      </c>
      <c r="C310"/>
      <c r="D310" s="220">
        <v>7</v>
      </c>
      <c r="E310" s="220">
        <v>10807</v>
      </c>
      <c r="F310" s="220">
        <v>131.25</v>
      </c>
      <c r="G310" s="220">
        <v>4.7640000000000002</v>
      </c>
      <c r="H310" s="220">
        <v>35.874000000000002</v>
      </c>
    </row>
    <row r="311" spans="1:8" x14ac:dyDescent="0.25">
      <c r="A311" s="220">
        <v>157</v>
      </c>
      <c r="B311" s="220" t="s">
        <v>1433</v>
      </c>
      <c r="C311" s="220" t="s">
        <v>339</v>
      </c>
      <c r="D311" s="220">
        <v>6</v>
      </c>
      <c r="E311" s="220">
        <v>13061</v>
      </c>
      <c r="F311" s="220">
        <v>166.66300000000001</v>
      </c>
      <c r="G311" s="220">
        <v>-1.6890000000000001</v>
      </c>
      <c r="H311" s="220">
        <v>36.003</v>
      </c>
    </row>
    <row r="312" spans="1:8" x14ac:dyDescent="0.25">
      <c r="A312" s="220">
        <v>157</v>
      </c>
      <c r="B312" s="220" t="s">
        <v>1433</v>
      </c>
      <c r="C312" s="220" t="s">
        <v>339</v>
      </c>
      <c r="D312" s="220">
        <v>7</v>
      </c>
      <c r="E312" s="220">
        <v>12170</v>
      </c>
      <c r="F312" s="220">
        <v>154.74199999999999</v>
      </c>
      <c r="G312" s="220">
        <v>-1.637</v>
      </c>
      <c r="H312" s="220">
        <v>36</v>
      </c>
    </row>
    <row r="313" spans="1:8" x14ac:dyDescent="0.25">
      <c r="A313" s="220">
        <v>158</v>
      </c>
      <c r="B313" s="220" t="s">
        <v>1436</v>
      </c>
      <c r="C313" s="220" t="s">
        <v>221</v>
      </c>
      <c r="D313" s="220">
        <v>6</v>
      </c>
      <c r="E313" s="220">
        <v>16631</v>
      </c>
      <c r="F313" s="220">
        <v>201.21299999999999</v>
      </c>
      <c r="G313" s="220">
        <v>-1.9359999999999999</v>
      </c>
      <c r="H313" s="220">
        <v>35.661999999999999</v>
      </c>
    </row>
    <row r="314" spans="1:8" x14ac:dyDescent="0.25">
      <c r="A314" s="220">
        <v>158</v>
      </c>
      <c r="B314" s="220" t="s">
        <v>1436</v>
      </c>
      <c r="C314" s="220" t="s">
        <v>221</v>
      </c>
      <c r="D314" s="220">
        <v>7</v>
      </c>
      <c r="E314" s="220">
        <v>15548</v>
      </c>
      <c r="F314" s="220">
        <v>187.45400000000001</v>
      </c>
      <c r="G314" s="220">
        <v>-1.85</v>
      </c>
      <c r="H314" s="220">
        <v>35.716000000000001</v>
      </c>
    </row>
    <row r="315" spans="1:8" x14ac:dyDescent="0.25">
      <c r="A315" s="220">
        <v>159</v>
      </c>
      <c r="B315" s="220" t="s">
        <v>1439</v>
      </c>
      <c r="C315" s="220" t="s">
        <v>221</v>
      </c>
      <c r="D315" s="220">
        <v>6</v>
      </c>
      <c r="E315" s="220">
        <v>14675</v>
      </c>
      <c r="F315" s="220">
        <v>186.44</v>
      </c>
      <c r="G315" s="220">
        <v>-1.8180000000000001</v>
      </c>
      <c r="H315" s="220">
        <v>35.81</v>
      </c>
    </row>
    <row r="316" spans="1:8" x14ac:dyDescent="0.25">
      <c r="A316" s="220">
        <v>159</v>
      </c>
      <c r="B316" s="220" t="s">
        <v>1439</v>
      </c>
      <c r="C316" s="220" t="s">
        <v>221</v>
      </c>
      <c r="D316" s="220">
        <v>7</v>
      </c>
      <c r="E316" s="220">
        <v>13696</v>
      </c>
      <c r="F316" s="220">
        <v>173.43199999999999</v>
      </c>
      <c r="G316" s="220">
        <v>-1.766</v>
      </c>
      <c r="H316" s="220">
        <v>35.813000000000002</v>
      </c>
    </row>
    <row r="317" spans="1:8" x14ac:dyDescent="0.25">
      <c r="A317" s="220">
        <v>160</v>
      </c>
      <c r="B317" s="220" t="s">
        <v>1444</v>
      </c>
      <c r="C317" s="220" t="s">
        <v>294</v>
      </c>
      <c r="D317" s="220">
        <v>6</v>
      </c>
      <c r="E317" s="220">
        <v>15273</v>
      </c>
      <c r="F317" s="220">
        <v>186.43600000000001</v>
      </c>
      <c r="G317" s="220">
        <v>-2.375</v>
      </c>
      <c r="H317" s="220">
        <v>35.831000000000003</v>
      </c>
    </row>
    <row r="318" spans="1:8" x14ac:dyDescent="0.25">
      <c r="A318" s="220">
        <v>160</v>
      </c>
      <c r="B318" s="220" t="s">
        <v>1444</v>
      </c>
      <c r="C318" s="220" t="s">
        <v>294</v>
      </c>
      <c r="D318" s="220">
        <v>7</v>
      </c>
      <c r="E318" s="220">
        <v>14177</v>
      </c>
      <c r="F318" s="220">
        <v>175.42099999999999</v>
      </c>
      <c r="G318" s="220">
        <v>-2.3860000000000001</v>
      </c>
      <c r="H318" s="220">
        <v>35.850999999999999</v>
      </c>
    </row>
    <row r="319" spans="1:8" x14ac:dyDescent="0.25">
      <c r="A319" s="220">
        <v>161</v>
      </c>
      <c r="B319" s="220" t="s">
        <v>1447</v>
      </c>
      <c r="C319" s="220" t="s">
        <v>737</v>
      </c>
      <c r="D319" s="220">
        <v>6</v>
      </c>
      <c r="E319" s="220">
        <v>15978</v>
      </c>
      <c r="F319" s="220">
        <v>202.41900000000001</v>
      </c>
      <c r="G319" s="220">
        <v>-2.7440000000000002</v>
      </c>
      <c r="H319" s="220">
        <v>35.792000000000002</v>
      </c>
    </row>
    <row r="320" spans="1:8" x14ac:dyDescent="0.25">
      <c r="A320" s="220">
        <v>161</v>
      </c>
      <c r="B320" s="220" t="s">
        <v>1447</v>
      </c>
      <c r="C320" s="220" t="s">
        <v>737</v>
      </c>
      <c r="D320" s="220">
        <v>7</v>
      </c>
      <c r="E320" s="220">
        <v>14884</v>
      </c>
      <c r="F320" s="220">
        <v>187.47300000000001</v>
      </c>
      <c r="G320" s="220">
        <v>-2.7</v>
      </c>
      <c r="H320" s="220">
        <v>35.893999999999998</v>
      </c>
    </row>
    <row r="321" spans="1:8" x14ac:dyDescent="0.25">
      <c r="A321" s="220">
        <v>162</v>
      </c>
      <c r="B321" s="220" t="s">
        <v>1452</v>
      </c>
      <c r="C321" s="220" t="s">
        <v>227</v>
      </c>
      <c r="D321" s="220">
        <v>6</v>
      </c>
      <c r="E321" s="220">
        <v>12711</v>
      </c>
      <c r="F321" s="220">
        <v>158.68199999999999</v>
      </c>
      <c r="G321" s="220">
        <v>-2.3050000000000002</v>
      </c>
      <c r="H321" s="220">
        <v>36.210999999999999</v>
      </c>
    </row>
    <row r="322" spans="1:8" x14ac:dyDescent="0.25">
      <c r="A322" s="220">
        <v>162</v>
      </c>
      <c r="B322" s="220" t="s">
        <v>1452</v>
      </c>
      <c r="C322" s="220" t="s">
        <v>227</v>
      </c>
      <c r="D322" s="220">
        <v>7</v>
      </c>
      <c r="E322" s="220">
        <v>11774</v>
      </c>
      <c r="F322" s="220">
        <v>149.34899999999999</v>
      </c>
      <c r="G322" s="220">
        <v>-2.3149999999999999</v>
      </c>
      <c r="H322" s="220">
        <v>36.192999999999998</v>
      </c>
    </row>
    <row r="323" spans="1:8" x14ac:dyDescent="0.25">
      <c r="A323" s="220">
        <v>163</v>
      </c>
      <c r="B323" s="220" t="s">
        <v>1456</v>
      </c>
      <c r="C323" s="220" t="s">
        <v>269</v>
      </c>
      <c r="D323" s="220">
        <v>6</v>
      </c>
      <c r="E323" s="220">
        <v>13015</v>
      </c>
      <c r="F323" s="220">
        <v>163.99199999999999</v>
      </c>
      <c r="G323" s="220">
        <v>-2.081</v>
      </c>
      <c r="H323" s="220">
        <v>35.942999999999998</v>
      </c>
    </row>
    <row r="324" spans="1:8" x14ac:dyDescent="0.25">
      <c r="A324" s="220">
        <v>163</v>
      </c>
      <c r="B324" s="220" t="s">
        <v>1456</v>
      </c>
      <c r="C324" s="220" t="s">
        <v>269</v>
      </c>
      <c r="D324" s="220">
        <v>7</v>
      </c>
      <c r="E324" s="220">
        <v>12225</v>
      </c>
      <c r="F324" s="220">
        <v>152.72200000000001</v>
      </c>
      <c r="G324" s="220">
        <v>-2.0489999999999999</v>
      </c>
      <c r="H324" s="220">
        <v>35.975999999999999</v>
      </c>
    </row>
    <row r="325" spans="1:8" x14ac:dyDescent="0.25">
      <c r="A325" s="220">
        <v>164</v>
      </c>
      <c r="B325" s="220" t="s">
        <v>1460</v>
      </c>
      <c r="C325" s="220" t="s">
        <v>260</v>
      </c>
      <c r="D325" s="220">
        <v>6</v>
      </c>
      <c r="E325" s="220">
        <v>12602</v>
      </c>
      <c r="F325" s="220">
        <v>159.27600000000001</v>
      </c>
      <c r="G325" s="220">
        <v>-1.4139999999999999</v>
      </c>
      <c r="H325" s="220">
        <v>35.874000000000002</v>
      </c>
    </row>
    <row r="326" spans="1:8" x14ac:dyDescent="0.25">
      <c r="A326" s="220">
        <v>164</v>
      </c>
      <c r="B326" s="220" t="s">
        <v>1460</v>
      </c>
      <c r="C326" s="220" t="s">
        <v>260</v>
      </c>
      <c r="D326" s="220">
        <v>7</v>
      </c>
      <c r="E326" s="220">
        <v>11706</v>
      </c>
      <c r="F326" s="220">
        <v>148.191</v>
      </c>
      <c r="G326" s="220">
        <v>-1.3680000000000001</v>
      </c>
      <c r="H326" s="220">
        <v>35.856000000000002</v>
      </c>
    </row>
    <row r="327" spans="1:8" x14ac:dyDescent="0.25">
      <c r="A327" s="220">
        <v>165</v>
      </c>
      <c r="B327" s="220" t="s">
        <v>1463</v>
      </c>
      <c r="C327" s="220" t="s">
        <v>513</v>
      </c>
      <c r="D327" s="220">
        <v>6</v>
      </c>
      <c r="E327" s="220">
        <v>13701</v>
      </c>
      <c r="F327" s="220">
        <v>169.97499999999999</v>
      </c>
      <c r="G327" s="220">
        <v>-1.9330000000000001</v>
      </c>
      <c r="H327" s="220">
        <v>35.65</v>
      </c>
    </row>
    <row r="328" spans="1:8" x14ac:dyDescent="0.25">
      <c r="A328" s="220">
        <v>165</v>
      </c>
      <c r="B328" s="220" t="s">
        <v>1463</v>
      </c>
      <c r="C328" s="220" t="s">
        <v>513</v>
      </c>
      <c r="D328" s="220">
        <v>7</v>
      </c>
      <c r="E328" s="220">
        <v>12944</v>
      </c>
      <c r="F328" s="220">
        <v>160.738</v>
      </c>
      <c r="G328" s="220">
        <v>-1.956</v>
      </c>
      <c r="H328" s="220">
        <v>35.698</v>
      </c>
    </row>
    <row r="329" spans="1:8" x14ac:dyDescent="0.25">
      <c r="A329" s="220">
        <v>166</v>
      </c>
      <c r="B329" s="220" t="s">
        <v>1466</v>
      </c>
      <c r="C329" s="220" t="s">
        <v>297</v>
      </c>
      <c r="D329" s="220">
        <v>6</v>
      </c>
      <c r="E329" s="220">
        <v>13046</v>
      </c>
      <c r="F329" s="220">
        <v>165.91800000000001</v>
      </c>
      <c r="G329" s="220">
        <v>-2.149</v>
      </c>
      <c r="H329" s="220">
        <v>35.706000000000003</v>
      </c>
    </row>
    <row r="330" spans="1:8" x14ac:dyDescent="0.25">
      <c r="A330" s="220">
        <v>166</v>
      </c>
      <c r="B330" s="220" t="s">
        <v>1466</v>
      </c>
      <c r="C330" s="220" t="s">
        <v>297</v>
      </c>
      <c r="D330" s="220">
        <v>7</v>
      </c>
      <c r="E330" s="220">
        <v>12144</v>
      </c>
      <c r="F330" s="220">
        <v>154.27500000000001</v>
      </c>
      <c r="G330" s="220">
        <v>-2.0590000000000002</v>
      </c>
      <c r="H330" s="220">
        <v>35.698</v>
      </c>
    </row>
    <row r="331" spans="1:8" x14ac:dyDescent="0.25">
      <c r="A331" s="220">
        <v>167</v>
      </c>
      <c r="B331" s="220" t="s">
        <v>0</v>
      </c>
      <c r="C331"/>
      <c r="D331" s="220">
        <v>6</v>
      </c>
      <c r="E331" s="220">
        <v>10699</v>
      </c>
      <c r="F331" s="220">
        <v>130.91</v>
      </c>
      <c r="G331" s="220">
        <v>4.7060000000000004</v>
      </c>
      <c r="H331" s="220">
        <v>37.072000000000003</v>
      </c>
    </row>
    <row r="332" spans="1:8" x14ac:dyDescent="0.25">
      <c r="A332" s="220">
        <v>167</v>
      </c>
      <c r="B332" s="220" t="s">
        <v>0</v>
      </c>
      <c r="C332"/>
      <c r="D332" s="220">
        <v>7</v>
      </c>
      <c r="E332" s="220">
        <v>10055</v>
      </c>
      <c r="F332" s="220">
        <v>122.65</v>
      </c>
      <c r="G332" s="220">
        <v>4.7510000000000003</v>
      </c>
      <c r="H332" s="220">
        <v>37.093000000000004</v>
      </c>
    </row>
    <row r="333" spans="1:8" x14ac:dyDescent="0.25">
      <c r="A333" s="220">
        <v>168</v>
      </c>
      <c r="B333" s="220" t="s">
        <v>0</v>
      </c>
      <c r="C333"/>
      <c r="D333" s="220">
        <v>6</v>
      </c>
      <c r="E333" s="220">
        <v>12028</v>
      </c>
      <c r="F333" s="220">
        <v>153.42699999999999</v>
      </c>
      <c r="G333" s="220">
        <v>4.7770000000000001</v>
      </c>
      <c r="H333" s="220">
        <v>37.081000000000003</v>
      </c>
    </row>
    <row r="334" spans="1:8" x14ac:dyDescent="0.25">
      <c r="A334" s="220">
        <v>168</v>
      </c>
      <c r="B334" s="220" t="s">
        <v>0</v>
      </c>
      <c r="C334"/>
      <c r="D334" s="220">
        <v>7</v>
      </c>
      <c r="E334" s="220">
        <v>11208</v>
      </c>
      <c r="F334" s="220">
        <v>142.459</v>
      </c>
      <c r="G334" s="220">
        <v>4.84</v>
      </c>
      <c r="H334" s="220">
        <v>37.069000000000003</v>
      </c>
    </row>
    <row r="335" spans="1:8" x14ac:dyDescent="0.25">
      <c r="A335" s="220">
        <v>169</v>
      </c>
      <c r="B335" s="220" t="s">
        <v>1475</v>
      </c>
      <c r="C335" s="220" t="s">
        <v>518</v>
      </c>
      <c r="D335" s="220">
        <v>6</v>
      </c>
      <c r="E335" s="220">
        <v>13477</v>
      </c>
      <c r="F335" s="220">
        <v>163.76300000000001</v>
      </c>
      <c r="G335" s="220">
        <v>-2.2440000000000002</v>
      </c>
      <c r="H335" s="220">
        <v>35.695999999999998</v>
      </c>
    </row>
    <row r="336" spans="1:8" x14ac:dyDescent="0.25">
      <c r="A336" s="220">
        <v>169</v>
      </c>
      <c r="B336" s="220" t="s">
        <v>1475</v>
      </c>
      <c r="C336" s="220" t="s">
        <v>518</v>
      </c>
      <c r="D336" s="220">
        <v>7</v>
      </c>
      <c r="E336" s="220">
        <v>12574</v>
      </c>
      <c r="F336" s="220">
        <v>152.69499999999999</v>
      </c>
      <c r="G336" s="220">
        <v>-2.169</v>
      </c>
      <c r="H336" s="220">
        <v>35.753</v>
      </c>
    </row>
    <row r="337" spans="1:8" x14ac:dyDescent="0.25">
      <c r="A337" s="220">
        <v>170</v>
      </c>
      <c r="B337" s="220" t="s">
        <v>1478</v>
      </c>
      <c r="C337" s="220" t="s">
        <v>737</v>
      </c>
      <c r="D337" s="220">
        <v>6</v>
      </c>
      <c r="E337" s="220">
        <v>15534</v>
      </c>
      <c r="F337" s="220">
        <v>196.92</v>
      </c>
      <c r="G337" s="220">
        <v>-2.069</v>
      </c>
      <c r="H337" s="220">
        <v>35.860999999999997</v>
      </c>
    </row>
    <row r="338" spans="1:8" x14ac:dyDescent="0.25">
      <c r="A338" s="220">
        <v>170</v>
      </c>
      <c r="B338" s="220" t="s">
        <v>1478</v>
      </c>
      <c r="C338" s="220" t="s">
        <v>737</v>
      </c>
      <c r="D338" s="220">
        <v>7</v>
      </c>
      <c r="E338" s="220">
        <v>14484</v>
      </c>
      <c r="F338" s="220">
        <v>183.01</v>
      </c>
      <c r="G338" s="220">
        <v>-2.0249999999999999</v>
      </c>
      <c r="H338" s="220">
        <v>35.862000000000002</v>
      </c>
    </row>
    <row r="339" spans="1:8" x14ac:dyDescent="0.25">
      <c r="A339" s="220">
        <v>171</v>
      </c>
      <c r="B339" s="220" t="s">
        <v>1482</v>
      </c>
      <c r="C339" s="220" t="s">
        <v>339</v>
      </c>
      <c r="D339" s="220">
        <v>6</v>
      </c>
      <c r="E339" s="220">
        <v>13902</v>
      </c>
      <c r="F339" s="220">
        <v>170.26900000000001</v>
      </c>
      <c r="G339" s="220">
        <v>-2.4060000000000001</v>
      </c>
      <c r="H339" s="220">
        <v>36.034999999999997</v>
      </c>
    </row>
    <row r="340" spans="1:8" x14ac:dyDescent="0.25">
      <c r="A340" s="220">
        <v>171</v>
      </c>
      <c r="B340" s="220" t="s">
        <v>1482</v>
      </c>
      <c r="C340" s="220" t="s">
        <v>339</v>
      </c>
      <c r="D340" s="220">
        <v>7</v>
      </c>
      <c r="E340" s="220">
        <v>12889</v>
      </c>
      <c r="F340" s="220">
        <v>160.07900000000001</v>
      </c>
      <c r="G340" s="220">
        <v>-2.411</v>
      </c>
      <c r="H340" s="220">
        <v>36.067999999999998</v>
      </c>
    </row>
    <row r="341" spans="1:8" x14ac:dyDescent="0.25">
      <c r="A341" s="220">
        <v>172</v>
      </c>
      <c r="B341" s="220" t="s">
        <v>1485</v>
      </c>
      <c r="C341" s="220" t="s">
        <v>283</v>
      </c>
      <c r="D341" s="220">
        <v>6</v>
      </c>
      <c r="E341" s="220">
        <v>13207</v>
      </c>
      <c r="F341" s="220">
        <v>167.614</v>
      </c>
      <c r="G341" s="220">
        <v>-2.7040000000000002</v>
      </c>
      <c r="H341" s="220">
        <v>36.088999999999999</v>
      </c>
    </row>
    <row r="342" spans="1:8" x14ac:dyDescent="0.25">
      <c r="A342" s="220">
        <v>172</v>
      </c>
      <c r="B342" s="220" t="s">
        <v>1485</v>
      </c>
      <c r="C342" s="220" t="s">
        <v>283</v>
      </c>
      <c r="D342" s="220">
        <v>7</v>
      </c>
      <c r="E342" s="220">
        <v>12325</v>
      </c>
      <c r="F342" s="220">
        <v>155.76900000000001</v>
      </c>
      <c r="G342" s="220">
        <v>-2.6219999999999999</v>
      </c>
      <c r="H342" s="220">
        <v>36.122999999999998</v>
      </c>
    </row>
    <row r="343" spans="1:8" x14ac:dyDescent="0.25">
      <c r="A343" s="1"/>
      <c r="D343" s="1"/>
      <c r="E343" s="1"/>
      <c r="F343" s="1"/>
    </row>
    <row r="344" spans="1:8" x14ac:dyDescent="0.25">
      <c r="A344" s="1"/>
      <c r="D344" s="1"/>
      <c r="E344" s="1"/>
      <c r="F34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C1A-DF21-43F6-BF65-DDA169E82591}">
  <dimension ref="A1:AS161"/>
  <sheetViews>
    <sheetView topLeftCell="V1" zoomScaleNormal="100" workbookViewId="0">
      <pane ySplit="1" topLeftCell="A32" activePane="bottomLeft" state="frozen"/>
      <selection activeCell="N1" sqref="N1"/>
      <selection pane="bottomLeft" activeCell="AL5" sqref="AL5"/>
    </sheetView>
  </sheetViews>
  <sheetFormatPr defaultColWidth="9.140625" defaultRowHeight="15" x14ac:dyDescent="0.25"/>
  <cols>
    <col min="1" max="1" width="9.140625" style="4"/>
    <col min="2" max="2" width="9" style="2" bestFit="1" customWidth="1"/>
    <col min="3" max="4" width="10.85546875" style="2" bestFit="1" customWidth="1"/>
    <col min="5" max="5" width="9" style="2" bestFit="1" customWidth="1"/>
    <col min="6" max="6" width="11" style="2" bestFit="1" customWidth="1"/>
    <col min="7" max="9" width="9" style="2" bestFit="1" customWidth="1"/>
    <col min="10" max="10" width="9.140625" style="2"/>
    <col min="11" max="11" width="12" style="2" bestFit="1" customWidth="1"/>
    <col min="12" max="12" width="9" style="2" bestFit="1" customWidth="1"/>
    <col min="13" max="13" width="9.140625" style="2"/>
    <col min="14" max="14" width="9" style="2" bestFit="1" customWidth="1"/>
    <col min="15" max="15" width="15.140625" style="2" bestFit="1" customWidth="1"/>
    <col min="16" max="16" width="14.28515625" style="2" bestFit="1" customWidth="1"/>
    <col min="17" max="17" width="9" style="2" bestFit="1" customWidth="1"/>
    <col min="18" max="18" width="11.5703125" style="2" bestFit="1" customWidth="1"/>
    <col min="19" max="19" width="15.28515625" style="2" bestFit="1" customWidth="1"/>
    <col min="20" max="20" width="21.140625" style="2" bestFit="1" customWidth="1"/>
    <col min="21" max="21" width="18.42578125" style="2" bestFit="1" customWidth="1"/>
    <col min="22" max="23" width="9.140625" style="2"/>
    <col min="24" max="24" width="21" style="2" bestFit="1" customWidth="1"/>
    <col min="25" max="25" width="18.42578125" style="2" bestFit="1" customWidth="1"/>
    <col min="26" max="26" width="9.140625" style="2"/>
    <col min="27" max="27" width="12.85546875" style="2" bestFit="1" customWidth="1"/>
    <col min="28" max="28" width="10.7109375" style="2" bestFit="1" customWidth="1"/>
    <col min="29" max="37" width="9.140625" style="2"/>
    <col min="38" max="38" width="11.28515625" style="2" bestFit="1" customWidth="1"/>
    <col min="39" max="16384" width="9.140625" style="2"/>
  </cols>
  <sheetData>
    <row r="1" spans="1:38" x14ac:dyDescent="0.25">
      <c r="A1" s="4" t="s">
        <v>1</v>
      </c>
      <c r="B1" s="2" t="s">
        <v>92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 t="s">
        <v>11</v>
      </c>
      <c r="P1" s="1" t="s">
        <v>12</v>
      </c>
      <c r="Q1" s="1" t="s">
        <v>10</v>
      </c>
      <c r="T1" s="1" t="s">
        <v>14</v>
      </c>
      <c r="U1" s="1" t="s">
        <v>13</v>
      </c>
      <c r="V1" s="1"/>
      <c r="X1" s="1" t="s">
        <v>16</v>
      </c>
      <c r="Y1" s="1" t="s">
        <v>15</v>
      </c>
    </row>
    <row r="3" spans="1:38" s="13" customFormat="1" x14ac:dyDescent="0.25">
      <c r="A3" s="1">
        <v>2</v>
      </c>
      <c r="B3" s="1">
        <f>A3</f>
        <v>2</v>
      </c>
      <c r="C3" s="1" t="s">
        <v>23</v>
      </c>
      <c r="D3" s="1" t="s">
        <v>505</v>
      </c>
      <c r="E3" s="1">
        <v>6</v>
      </c>
      <c r="F3" s="1">
        <v>13350</v>
      </c>
      <c r="G3" s="1">
        <v>169.452</v>
      </c>
      <c r="H3" s="1">
        <v>-4.7290000000000001</v>
      </c>
      <c r="I3" s="1">
        <v>17.385000000000002</v>
      </c>
      <c r="K3" s="14">
        <f>AVERAGE(H3:H4)</f>
        <v>-4.6974999999999998</v>
      </c>
      <c r="L3" s="14">
        <f>STDEV(H3:H4)</f>
        <v>4.4547727214752295E-2</v>
      </c>
      <c r="M3" s="14"/>
      <c r="N3" s="15">
        <f>AVERAGE(F3,F4)</f>
        <v>12880</v>
      </c>
      <c r="O3" s="14"/>
      <c r="P3" s="14">
        <f>AVERAGE(I3:I4)</f>
        <v>17.387999999999998</v>
      </c>
      <c r="Q3" s="14">
        <f>STDEV(I3:I4)</f>
        <v>4.2426406871169334E-3</v>
      </c>
      <c r="T3" s="14">
        <f>K3-(N3-$N$124)*$AA$55</f>
        <v>-4.6818780172413792</v>
      </c>
      <c r="U3" s="14">
        <f>T3-(B3-$A$124)*$AA$4</f>
        <v>-4.6472691896551721</v>
      </c>
      <c r="V3" s="14"/>
      <c r="X3" s="14">
        <f>P3-(N3-$N$124)*$AL$54</f>
        <v>17.369253620689655</v>
      </c>
      <c r="Y3" s="14">
        <f>X3-(B3-$A$124)*$AL$5</f>
        <v>17.373803137931034</v>
      </c>
    </row>
    <row r="4" spans="1:38" x14ac:dyDescent="0.25">
      <c r="A4" s="1">
        <v>2</v>
      </c>
      <c r="B4" s="1">
        <f t="shared" ref="B4:B10" si="0">A4</f>
        <v>2</v>
      </c>
      <c r="C4" s="1" t="s">
        <v>23</v>
      </c>
      <c r="D4" s="1" t="s">
        <v>505</v>
      </c>
      <c r="E4" s="1">
        <v>7</v>
      </c>
      <c r="F4" s="1">
        <v>12410</v>
      </c>
      <c r="G4" s="1">
        <v>157.446</v>
      </c>
      <c r="H4" s="1">
        <v>-4.6660000000000004</v>
      </c>
      <c r="I4" s="1">
        <v>17.390999999999998</v>
      </c>
      <c r="K4" s="3"/>
      <c r="L4" s="3"/>
      <c r="M4" s="3"/>
      <c r="N4" s="3"/>
      <c r="O4" s="3"/>
      <c r="P4" s="3"/>
      <c r="Q4" s="3"/>
      <c r="AA4" s="2">
        <v>4.26E-4</v>
      </c>
      <c r="AL4" s="2" t="s">
        <v>522</v>
      </c>
    </row>
    <row r="5" spans="1:38" x14ac:dyDescent="0.25">
      <c r="A5" s="1">
        <v>3</v>
      </c>
      <c r="B5" s="1">
        <f t="shared" si="0"/>
        <v>3</v>
      </c>
      <c r="C5" s="1" t="s">
        <v>567</v>
      </c>
      <c r="D5" s="1" t="s">
        <v>229</v>
      </c>
      <c r="E5" s="1">
        <v>6</v>
      </c>
      <c r="F5" s="1">
        <v>15170</v>
      </c>
      <c r="G5" s="1">
        <v>185.483</v>
      </c>
      <c r="H5" s="1">
        <v>-4.7290000000000001</v>
      </c>
      <c r="I5" s="1">
        <v>17.3</v>
      </c>
      <c r="K5" s="3">
        <f>AVERAGE(H5:H6)</f>
        <v>-4.7029999999999994</v>
      </c>
      <c r="L5" s="3">
        <f>STDEV(H5:H6)</f>
        <v>3.676955262170082E-2</v>
      </c>
      <c r="M5" s="3"/>
      <c r="N5" s="4">
        <f>AVERAGE(F5,F6)</f>
        <v>14739.5</v>
      </c>
      <c r="O5" s="3"/>
      <c r="P5" s="3">
        <f>AVERAGE(I5:I6)</f>
        <v>17.312000000000001</v>
      </c>
      <c r="Q5" s="3">
        <f>STDEV(I5:I6)</f>
        <v>1.6970562748477785E-2</v>
      </c>
      <c r="T5" s="14">
        <f>K5-(N5-$N$124)*$AA$55</f>
        <v>-4.7106217672413786</v>
      </c>
      <c r="U5" s="14">
        <f>T5-(B5-$A$124)*$AA$4</f>
        <v>-4.6764389396551715</v>
      </c>
      <c r="V5" s="14"/>
      <c r="W5" s="13"/>
      <c r="X5" s="14">
        <f>P5-(N5-$N$124)*$AL$54</f>
        <v>17.321146120689658</v>
      </c>
      <c r="Y5" s="14">
        <f>X5-(B5-$A$124)*$AL$5</f>
        <v>17.325639637931037</v>
      </c>
      <c r="AL5" s="2">
        <v>5.5999999999999999E-5</v>
      </c>
    </row>
    <row r="6" spans="1:38" x14ac:dyDescent="0.25">
      <c r="A6" s="1">
        <v>3</v>
      </c>
      <c r="B6" s="1">
        <f t="shared" si="0"/>
        <v>3</v>
      </c>
      <c r="C6" s="1" t="s">
        <v>567</v>
      </c>
      <c r="D6" s="1" t="s">
        <v>229</v>
      </c>
      <c r="E6" s="1">
        <v>7</v>
      </c>
      <c r="F6" s="1">
        <v>14309</v>
      </c>
      <c r="G6" s="1">
        <v>173.64500000000001</v>
      </c>
      <c r="H6" s="1">
        <v>-4.6769999999999996</v>
      </c>
      <c r="I6" s="1">
        <v>17.324000000000002</v>
      </c>
      <c r="K6" s="3"/>
      <c r="L6" s="3"/>
      <c r="M6" s="3"/>
      <c r="N6" s="3"/>
      <c r="O6" s="3"/>
      <c r="P6" s="3"/>
      <c r="Q6" s="3"/>
    </row>
    <row r="7" spans="1:38" x14ac:dyDescent="0.25">
      <c r="A7" s="1">
        <v>4</v>
      </c>
      <c r="B7" s="1">
        <f t="shared" si="0"/>
        <v>4</v>
      </c>
      <c r="C7" s="1" t="s">
        <v>567</v>
      </c>
      <c r="D7" s="1" t="s">
        <v>328</v>
      </c>
      <c r="E7" s="1">
        <v>6</v>
      </c>
      <c r="F7" s="1">
        <v>15628</v>
      </c>
      <c r="G7" s="1">
        <v>198.58099999999999</v>
      </c>
      <c r="H7" s="1">
        <v>-4.6580000000000004</v>
      </c>
      <c r="I7" s="1">
        <v>17.242999999999999</v>
      </c>
      <c r="K7" s="3">
        <f>AVERAGE(H7:H8)</f>
        <v>-4.6379999999999999</v>
      </c>
      <c r="L7" s="3">
        <f>STDEV(H7:H8)</f>
        <v>2.8284271247461926E-2</v>
      </c>
      <c r="M7" s="3"/>
      <c r="N7" s="4">
        <f>AVERAGE(F7,F8)</f>
        <v>15106.5</v>
      </c>
      <c r="O7" s="3"/>
      <c r="P7" s="3">
        <f>AVERAGE(I7:I8)</f>
        <v>17.250499999999999</v>
      </c>
      <c r="Q7" s="3">
        <f>STDEV(I7:I8)</f>
        <v>1.0606601717798614E-2</v>
      </c>
      <c r="T7" s="14">
        <f>K7-(N7-$N$124)*$AA$55</f>
        <v>-4.6502092672413795</v>
      </c>
      <c r="U7" s="14">
        <f>T7-(B7-$A$124)*$AA$4</f>
        <v>-4.6164524396551725</v>
      </c>
      <c r="V7" s="14"/>
      <c r="W7" s="13"/>
      <c r="X7" s="14">
        <f>P7-(N7-$N$124)*$AL$54</f>
        <v>17.265151120689655</v>
      </c>
      <c r="Y7" s="14">
        <f>X7-(B7-$A$124)*$AL$5</f>
        <v>17.269588637931033</v>
      </c>
    </row>
    <row r="8" spans="1:38" x14ac:dyDescent="0.25">
      <c r="A8" s="1">
        <v>4</v>
      </c>
      <c r="B8" s="1">
        <f t="shared" si="0"/>
        <v>4</v>
      </c>
      <c r="C8" s="1" t="s">
        <v>567</v>
      </c>
      <c r="D8" s="1" t="s">
        <v>328</v>
      </c>
      <c r="E8" s="1">
        <v>7</v>
      </c>
      <c r="F8" s="1">
        <v>14585</v>
      </c>
      <c r="G8" s="1">
        <v>184.82599999999999</v>
      </c>
      <c r="H8" s="1">
        <v>-4.6180000000000003</v>
      </c>
      <c r="I8" s="1">
        <v>17.257999999999999</v>
      </c>
    </row>
    <row r="9" spans="1:38" x14ac:dyDescent="0.25">
      <c r="A9" s="1">
        <v>5</v>
      </c>
      <c r="B9" s="1">
        <f t="shared" si="0"/>
        <v>5</v>
      </c>
      <c r="C9" s="1" t="s">
        <v>567</v>
      </c>
      <c r="D9" s="1" t="s">
        <v>297</v>
      </c>
      <c r="E9" s="1">
        <v>6</v>
      </c>
      <c r="F9" s="1">
        <v>17291</v>
      </c>
      <c r="G9" s="1">
        <v>208.851</v>
      </c>
      <c r="H9" s="1">
        <v>-4.7009999999999996</v>
      </c>
      <c r="I9" s="1">
        <v>17.2</v>
      </c>
      <c r="K9" s="3">
        <f>AVERAGE(H9:H10)</f>
        <v>-4.7234999999999996</v>
      </c>
      <c r="L9" s="3">
        <f>STDEV(H9:H10)</f>
        <v>3.181980515339522E-2</v>
      </c>
      <c r="M9" s="3"/>
      <c r="N9" s="4">
        <f>AVERAGE(F9,F10)</f>
        <v>16738.5</v>
      </c>
      <c r="O9" s="3"/>
      <c r="P9" s="3">
        <f>AVERAGE(I9:I10)</f>
        <v>17.218</v>
      </c>
      <c r="Q9" s="3">
        <f>STDEV(I9:I10)</f>
        <v>2.5455844122716675E-2</v>
      </c>
      <c r="T9" s="14">
        <f>K9-(N9-$N$124)*$AA$55</f>
        <v>-4.7561092672413787</v>
      </c>
      <c r="U9" s="14">
        <f>T9-(B9-$A$124)*$AA$4</f>
        <v>-4.7227784396551717</v>
      </c>
      <c r="V9" s="14"/>
      <c r="W9" s="13"/>
      <c r="X9" s="14">
        <f>P9-(N9-$N$124)*$AL$54</f>
        <v>17.257131120689657</v>
      </c>
      <c r="Y9" s="14">
        <f>X9-(B9-$A$124)*$AL$5</f>
        <v>17.261512637931038</v>
      </c>
    </row>
    <row r="10" spans="1:38" x14ac:dyDescent="0.25">
      <c r="A10" s="1">
        <v>5</v>
      </c>
      <c r="B10" s="1">
        <f t="shared" si="0"/>
        <v>5</v>
      </c>
      <c r="C10" s="1" t="s">
        <v>567</v>
      </c>
      <c r="D10" s="1" t="s">
        <v>297</v>
      </c>
      <c r="E10" s="1">
        <v>7</v>
      </c>
      <c r="F10" s="1">
        <v>16186</v>
      </c>
      <c r="G10" s="1">
        <v>197.149</v>
      </c>
      <c r="H10" s="1">
        <v>-4.7460000000000004</v>
      </c>
      <c r="I10" s="1">
        <v>17.236000000000001</v>
      </c>
      <c r="K10" s="3"/>
      <c r="L10" s="3"/>
      <c r="M10" s="3"/>
      <c r="N10" s="4"/>
      <c r="O10" s="3"/>
      <c r="P10" s="3"/>
      <c r="Q10" s="3"/>
    </row>
    <row r="11" spans="1:38" x14ac:dyDescent="0.25">
      <c r="A11" s="2"/>
      <c r="C11" s="1"/>
      <c r="D11" s="1"/>
      <c r="E11" s="1"/>
      <c r="F11" s="1"/>
      <c r="G11" s="1"/>
      <c r="H11" s="1"/>
      <c r="I11" s="1"/>
      <c r="K11" s="3" t="e">
        <f>AVERAGE(H11:H12)</f>
        <v>#DIV/0!</v>
      </c>
      <c r="L11" s="3" t="e">
        <f>STDEV(H11:H12)</f>
        <v>#DIV/0!</v>
      </c>
      <c r="M11" s="3"/>
      <c r="N11" s="4" t="e">
        <f>AVERAGE(F11,F12)</f>
        <v>#DIV/0!</v>
      </c>
      <c r="O11" s="3"/>
      <c r="P11" s="3" t="e">
        <f>AVERAGE(I11:I12)</f>
        <v>#DIV/0!</v>
      </c>
      <c r="Q11" s="3" t="e">
        <f>STDEV(I11:I12)</f>
        <v>#DIV/0!</v>
      </c>
      <c r="T11" s="14" t="e">
        <f>U11-(N11-$N$124)*$AA$55</f>
        <v>#DIV/0!</v>
      </c>
      <c r="U11" s="14" t="e">
        <f>K11-(B11-$A$124)*$AA$4</f>
        <v>#DIV/0!</v>
      </c>
      <c r="V11" s="14"/>
      <c r="W11" s="13"/>
      <c r="X11" s="14" t="e">
        <f>P11-(N11-$N$124)*$AL$54</f>
        <v>#DIV/0!</v>
      </c>
      <c r="Y11" s="14" t="e">
        <f>P11-(B11-$A$124)*$AL$5</f>
        <v>#DIV/0!</v>
      </c>
    </row>
    <row r="12" spans="1:38" x14ac:dyDescent="0.25">
      <c r="A12" s="2"/>
      <c r="C12" s="1"/>
      <c r="D12" s="1"/>
      <c r="E12" s="1"/>
      <c r="F12" s="1"/>
      <c r="G12" s="1"/>
      <c r="H12" s="1"/>
      <c r="I12" s="1"/>
      <c r="K12" s="3"/>
      <c r="L12" s="3"/>
      <c r="M12" s="3"/>
      <c r="N12" s="4"/>
      <c r="O12" s="3"/>
      <c r="P12" s="3"/>
      <c r="Q12" s="3"/>
    </row>
    <row r="13" spans="1:38" x14ac:dyDescent="0.25">
      <c r="A13" s="2"/>
      <c r="C13" s="1"/>
      <c r="D13" s="1"/>
      <c r="E13" s="1"/>
      <c r="F13" s="1"/>
      <c r="G13" s="1"/>
      <c r="H13" s="1"/>
      <c r="I13" s="1"/>
      <c r="K13" s="3" t="e">
        <f>AVERAGE(H13:H14)</f>
        <v>#DIV/0!</v>
      </c>
      <c r="L13" s="3" t="e">
        <f>STDEV(H13:H14)</f>
        <v>#DIV/0!</v>
      </c>
      <c r="M13" s="3"/>
      <c r="N13" s="4" t="e">
        <f>AVERAGE(F13,F14)</f>
        <v>#DIV/0!</v>
      </c>
      <c r="O13" s="3"/>
      <c r="P13" s="3" t="e">
        <f>AVERAGE(I13:I14)</f>
        <v>#DIV/0!</v>
      </c>
      <c r="Q13" s="3" t="e">
        <f>STDEV(I13:I14)</f>
        <v>#DIV/0!</v>
      </c>
      <c r="T13" s="14" t="e">
        <f>U13-(N13-$N$124)*$AA$55</f>
        <v>#DIV/0!</v>
      </c>
      <c r="U13" s="14" t="e">
        <f>K13-(B13-$A$124)*$AA$4</f>
        <v>#DIV/0!</v>
      </c>
      <c r="V13" s="14"/>
      <c r="W13" s="13"/>
      <c r="X13" s="14" t="e">
        <f>Y13-(N13-$N$124)*$AL$54</f>
        <v>#DIV/0!</v>
      </c>
      <c r="Y13" s="14" t="e">
        <f>P13-(B13-$A$124)*$AL$5</f>
        <v>#DIV/0!</v>
      </c>
    </row>
    <row r="14" spans="1:38" x14ac:dyDescent="0.25">
      <c r="A14" s="2"/>
      <c r="C14" s="1"/>
      <c r="D14" s="1"/>
      <c r="E14" s="1"/>
      <c r="F14" s="1"/>
      <c r="G14" s="1"/>
      <c r="H14" s="1"/>
      <c r="I14" s="1"/>
      <c r="K14" s="3"/>
      <c r="L14" s="3"/>
      <c r="M14" s="3"/>
      <c r="N14" s="4"/>
      <c r="O14" s="3"/>
      <c r="P14" s="3"/>
      <c r="Q14" s="3"/>
    </row>
    <row r="15" spans="1:38" x14ac:dyDescent="0.25">
      <c r="A15" s="2"/>
      <c r="C15" s="1"/>
      <c r="D15" s="1"/>
      <c r="E15" s="1"/>
      <c r="F15" s="1"/>
      <c r="G15" s="1"/>
      <c r="H15" s="1"/>
      <c r="I15" s="1"/>
      <c r="K15" s="3" t="e">
        <f>AVERAGE(H15:H16)</f>
        <v>#DIV/0!</v>
      </c>
      <c r="L15" s="3" t="e">
        <f>STDEV(H15:H16)</f>
        <v>#DIV/0!</v>
      </c>
      <c r="M15" s="3"/>
      <c r="N15" s="4" t="e">
        <f>AVERAGE(F15,F16)</f>
        <v>#DIV/0!</v>
      </c>
      <c r="O15" s="3"/>
      <c r="P15" s="3" t="e">
        <f>AVERAGE(I15:I16)</f>
        <v>#DIV/0!</v>
      </c>
      <c r="Q15" s="3" t="e">
        <f>STDEV(I15:I16)</f>
        <v>#DIV/0!</v>
      </c>
      <c r="T15" s="14" t="e">
        <f>U15-(N15-$N$124)*$AA$55</f>
        <v>#DIV/0!</v>
      </c>
      <c r="U15" s="14" t="e">
        <f>K15-(B15-$A$124)*$AA$4</f>
        <v>#DIV/0!</v>
      </c>
      <c r="V15" s="14"/>
      <c r="W15" s="13"/>
      <c r="X15" s="14" t="e">
        <f>Y15-(N15-$N$124)*$AL$54</f>
        <v>#DIV/0!</v>
      </c>
      <c r="Y15" s="14" t="e">
        <f>P15-(B15-$A$124)*$AL$5</f>
        <v>#DIV/0!</v>
      </c>
    </row>
    <row r="16" spans="1:38" x14ac:dyDescent="0.25">
      <c r="A16" s="2"/>
      <c r="C16" s="1"/>
      <c r="D16" s="1"/>
      <c r="E16" s="1"/>
      <c r="F16" s="1"/>
      <c r="G16" s="1"/>
      <c r="H16" s="1"/>
      <c r="I16" s="1"/>
      <c r="K16" s="3"/>
      <c r="L16" s="3"/>
      <c r="M16" s="3"/>
      <c r="N16" s="4"/>
      <c r="O16" s="3"/>
      <c r="P16" s="3"/>
      <c r="Q16" s="3"/>
    </row>
    <row r="17" spans="1:25" x14ac:dyDescent="0.25">
      <c r="A17" s="2"/>
      <c r="C17" s="1"/>
      <c r="D17" s="1"/>
      <c r="E17" s="1"/>
      <c r="F17" s="1"/>
      <c r="G17" s="1"/>
      <c r="H17" s="1"/>
      <c r="I17" s="1"/>
      <c r="K17" s="3" t="e">
        <f>AVERAGE(H17:H18)</f>
        <v>#DIV/0!</v>
      </c>
      <c r="L17" s="3" t="e">
        <f>STDEV(H17:H18)</f>
        <v>#DIV/0!</v>
      </c>
      <c r="M17" s="3"/>
      <c r="N17" s="4" t="e">
        <f>AVERAGE(F17,F18)</f>
        <v>#DIV/0!</v>
      </c>
      <c r="O17" s="3"/>
      <c r="P17" s="3" t="e">
        <f>AVERAGE(I17:I18)</f>
        <v>#DIV/0!</v>
      </c>
      <c r="Q17" s="3" t="e">
        <f>STDEV(I17:I18)</f>
        <v>#DIV/0!</v>
      </c>
      <c r="T17" s="14" t="e">
        <f>U17-(N17-$N$124)*$AA$55</f>
        <v>#DIV/0!</v>
      </c>
      <c r="U17" s="14" t="e">
        <f>K17-(B17-$A$124)*$AA$4</f>
        <v>#DIV/0!</v>
      </c>
      <c r="V17" s="14"/>
      <c r="W17" s="13"/>
      <c r="X17" s="14" t="e">
        <f>Y17-(N17-$N$124)*$AL$54</f>
        <v>#DIV/0!</v>
      </c>
      <c r="Y17" s="14" t="e">
        <f>P17-(B17-$A$124)*$AL$5</f>
        <v>#DIV/0!</v>
      </c>
    </row>
    <row r="18" spans="1:25" x14ac:dyDescent="0.25">
      <c r="A18" s="2"/>
      <c r="C18" s="1"/>
      <c r="D18" s="1"/>
      <c r="E18" s="1"/>
      <c r="F18" s="1"/>
      <c r="G18" s="1"/>
      <c r="H18" s="1"/>
      <c r="I18" s="1"/>
      <c r="K18" s="3"/>
      <c r="L18" s="3"/>
      <c r="M18" s="3"/>
      <c r="N18" s="4"/>
      <c r="O18" s="3"/>
      <c r="P18" s="3"/>
      <c r="Q18" s="3"/>
    </row>
    <row r="19" spans="1:25" x14ac:dyDescent="0.25">
      <c r="K19" s="3"/>
      <c r="L19" s="3"/>
      <c r="M19" s="3"/>
      <c r="N19" s="4"/>
      <c r="O19" s="3"/>
      <c r="P19" s="3"/>
      <c r="Q19" s="3"/>
    </row>
    <row r="20" spans="1:25" ht="15.75" thickBot="1" x14ac:dyDescent="0.3">
      <c r="K20" s="3"/>
      <c r="L20" s="3"/>
      <c r="M20" s="3"/>
      <c r="N20" s="4"/>
      <c r="O20" s="3"/>
      <c r="P20" s="3"/>
      <c r="Q20" s="3"/>
    </row>
    <row r="21" spans="1:25" ht="15.75" x14ac:dyDescent="0.25">
      <c r="A21" s="2"/>
      <c r="K21" s="3">
        <f>AVERAGE(K3:K9)</f>
        <v>-4.6905000000000001</v>
      </c>
      <c r="L21" s="3"/>
      <c r="M21" s="3"/>
      <c r="N21" s="3"/>
      <c r="O21" s="2" t="s">
        <v>17</v>
      </c>
      <c r="P21" s="3">
        <f>AVERAGE(P3:P9)</f>
        <v>17.292125000000002</v>
      </c>
      <c r="Q21" s="3"/>
      <c r="S21" s="2" t="s">
        <v>17</v>
      </c>
      <c r="T21" s="3">
        <f>AVERAGE(T3:T9)</f>
        <v>-4.699704579741379</v>
      </c>
      <c r="U21" s="146">
        <f>AVERAGE(U3:U9)</f>
        <v>-4.6657347521551724</v>
      </c>
      <c r="V21" s="5"/>
      <c r="W21" s="2" t="s">
        <v>17</v>
      </c>
      <c r="X21" s="3">
        <f>AVERAGE(X3:X9)</f>
        <v>17.303170495689656</v>
      </c>
      <c r="Y21" s="146">
        <f>AVERAGE(Y3:Y9)</f>
        <v>17.307636012931034</v>
      </c>
    </row>
    <row r="22" spans="1:25" ht="15.75" thickBot="1" x14ac:dyDescent="0.3">
      <c r="K22" s="3">
        <f>STDEV(K3:K9)</f>
        <v>3.6744614117808549E-2</v>
      </c>
      <c r="L22" s="3"/>
      <c r="M22" s="3"/>
      <c r="N22" s="3"/>
      <c r="O22" s="2" t="s">
        <v>18</v>
      </c>
      <c r="P22" s="3">
        <f>STDEV(P3:P9)</f>
        <v>7.4864739141110997E-2</v>
      </c>
      <c r="Q22" s="3"/>
      <c r="S22" s="2" t="s">
        <v>18</v>
      </c>
      <c r="T22" s="3">
        <f>STDEV(T3:T9)</f>
        <v>4.4974978395109791E-2</v>
      </c>
      <c r="U22" s="147">
        <f>STDEV(U3:U9)</f>
        <v>4.5233782498709907E-2</v>
      </c>
      <c r="V22" s="3"/>
      <c r="W22" s="2" t="s">
        <v>18</v>
      </c>
      <c r="X22" s="3">
        <f>STDEV(X3:X9)</f>
        <v>5.245696467800192E-2</v>
      </c>
      <c r="Y22" s="147">
        <f>STDEV(Y3:Y9)</f>
        <v>5.2526778598118821E-2</v>
      </c>
    </row>
    <row r="23" spans="1:25" x14ac:dyDescent="0.25">
      <c r="K23" s="3"/>
      <c r="L23" s="3"/>
      <c r="M23" s="3"/>
      <c r="N23" s="3"/>
      <c r="O23" s="3"/>
      <c r="P23" s="3"/>
      <c r="Q23" s="3"/>
    </row>
    <row r="24" spans="1:25" x14ac:dyDescent="0.25">
      <c r="K24" s="3"/>
      <c r="L24" s="3"/>
      <c r="M24" s="3"/>
      <c r="N24" s="3"/>
      <c r="O24" s="3"/>
      <c r="P24" s="3"/>
      <c r="Q24" s="3"/>
    </row>
    <row r="25" spans="1:25" x14ac:dyDescent="0.25">
      <c r="A25" s="1">
        <v>6</v>
      </c>
      <c r="B25" s="1">
        <f t="shared" ref="B25:B32" si="1">A25</f>
        <v>6</v>
      </c>
      <c r="C25" s="1" t="s">
        <v>24</v>
      </c>
      <c r="D25" s="1" t="s">
        <v>496</v>
      </c>
      <c r="E25" s="1">
        <v>6</v>
      </c>
      <c r="F25" s="1">
        <v>13590</v>
      </c>
      <c r="G25" s="1">
        <v>172.613</v>
      </c>
      <c r="H25" s="1">
        <v>2.2120000000000002</v>
      </c>
      <c r="I25" s="1">
        <v>39.091000000000001</v>
      </c>
      <c r="K25" s="3">
        <f>AVERAGE(H25:H26)</f>
        <v>2.2385000000000002</v>
      </c>
      <c r="L25" s="3">
        <f>STDEV(H25:H26)</f>
        <v>3.7476659402886976E-2</v>
      </c>
      <c r="M25" s="3"/>
      <c r="N25" s="4">
        <f>AVERAGE(F25,F26)</f>
        <v>13131.5</v>
      </c>
      <c r="O25" s="3"/>
      <c r="P25" s="3">
        <f>AVERAGE(I25:I26)</f>
        <v>39.097999999999999</v>
      </c>
      <c r="Q25" s="3">
        <f>STDEV(I25:I26)</f>
        <v>9.8994949366086916E-3</v>
      </c>
      <c r="T25" s="14">
        <f>K25-(N25-$N$124)*$AA$55</f>
        <v>2.2509782327586207</v>
      </c>
      <c r="U25" s="14">
        <f>T25-(B25-$A$124)*$AA$4</f>
        <v>2.2838830603448277</v>
      </c>
      <c r="V25" s="14"/>
      <c r="W25" s="13"/>
      <c r="X25" s="14">
        <f>P25-(N25-$N$124)*$AL$54</f>
        <v>39.083026120689652</v>
      </c>
      <c r="Y25" s="14">
        <f>X25-(B25-$A$124)*$AL$5</f>
        <v>39.087351637931029</v>
      </c>
    </row>
    <row r="26" spans="1:25" x14ac:dyDescent="0.25">
      <c r="A26" s="1">
        <v>6</v>
      </c>
      <c r="B26" s="1">
        <f t="shared" si="1"/>
        <v>6</v>
      </c>
      <c r="C26" s="1" t="s">
        <v>24</v>
      </c>
      <c r="D26" s="1" t="s">
        <v>496</v>
      </c>
      <c r="E26" s="1">
        <v>7</v>
      </c>
      <c r="F26" s="1">
        <v>12673</v>
      </c>
      <c r="G26" s="1">
        <v>160.447</v>
      </c>
      <c r="H26" s="1">
        <v>2.2650000000000001</v>
      </c>
      <c r="I26" s="1">
        <v>39.104999999999997</v>
      </c>
      <c r="K26" s="3"/>
      <c r="L26" s="3"/>
      <c r="M26" s="3"/>
      <c r="N26" s="3"/>
      <c r="O26" s="3"/>
      <c r="P26" s="3"/>
      <c r="Q26" s="3"/>
    </row>
    <row r="27" spans="1:25" x14ac:dyDescent="0.25">
      <c r="A27" s="1">
        <v>7</v>
      </c>
      <c r="B27" s="1">
        <f t="shared" si="1"/>
        <v>7</v>
      </c>
      <c r="C27" s="1" t="s">
        <v>24</v>
      </c>
      <c r="D27" s="1" t="s">
        <v>783</v>
      </c>
      <c r="E27" s="1">
        <v>6</v>
      </c>
      <c r="F27" s="1">
        <v>20377</v>
      </c>
      <c r="G27" s="1">
        <v>248.59100000000001</v>
      </c>
      <c r="H27" s="1">
        <v>2.3330000000000002</v>
      </c>
      <c r="I27" s="1">
        <v>39.058</v>
      </c>
      <c r="K27" s="3">
        <f>AVERAGE(H27:H28)</f>
        <v>2.3595000000000002</v>
      </c>
      <c r="L27" s="3">
        <f>STDEV(H27:H28)</f>
        <v>3.7476659402886976E-2</v>
      </c>
      <c r="M27" s="3"/>
      <c r="N27" s="4">
        <f>AVERAGE(F27,F28)</f>
        <v>19584.5</v>
      </c>
      <c r="O27" s="3"/>
      <c r="P27" s="3">
        <f>AVERAGE(I27:I28)</f>
        <v>39.058499999999995</v>
      </c>
      <c r="Q27" s="3">
        <f>STDEV(I27:I28)</f>
        <v>7.0710678118489963E-4</v>
      </c>
      <c r="T27" s="14">
        <f>K27-(N27-$N$124)*$AA$55</f>
        <v>2.2913157327586209</v>
      </c>
      <c r="U27" s="14">
        <f>T27-(B27-$A$124)*$AA$4</f>
        <v>2.3237945603448278</v>
      </c>
      <c r="V27" s="14"/>
      <c r="W27" s="13"/>
      <c r="X27" s="14">
        <f>P27-(N27-$N$124)*$AL$54</f>
        <v>39.140321120689649</v>
      </c>
      <c r="Y27" s="14">
        <f>X27-(B27-$A$124)*$AL$5</f>
        <v>39.144590637931024</v>
      </c>
    </row>
    <row r="28" spans="1:25" x14ac:dyDescent="0.25">
      <c r="A28" s="1">
        <v>7</v>
      </c>
      <c r="B28" s="1">
        <f t="shared" si="1"/>
        <v>7</v>
      </c>
      <c r="C28" s="1" t="s">
        <v>24</v>
      </c>
      <c r="D28" s="1" t="s">
        <v>783</v>
      </c>
      <c r="E28" s="1">
        <v>7</v>
      </c>
      <c r="F28" s="1">
        <v>18792</v>
      </c>
      <c r="G28" s="1">
        <v>230.56800000000001</v>
      </c>
      <c r="H28" s="1">
        <v>2.3860000000000001</v>
      </c>
      <c r="I28" s="1">
        <v>39.058999999999997</v>
      </c>
      <c r="K28" s="3"/>
      <c r="L28" s="3"/>
      <c r="M28" s="3"/>
      <c r="N28" s="3"/>
      <c r="O28" s="3"/>
      <c r="P28" s="3"/>
      <c r="Q28" s="3"/>
    </row>
    <row r="29" spans="1:25" x14ac:dyDescent="0.25">
      <c r="A29" s="1">
        <v>8</v>
      </c>
      <c r="B29" s="1">
        <f t="shared" si="1"/>
        <v>8</v>
      </c>
      <c r="C29" s="1" t="s">
        <v>24</v>
      </c>
      <c r="D29" s="1" t="s">
        <v>783</v>
      </c>
      <c r="E29" s="1">
        <v>6</v>
      </c>
      <c r="F29" s="1">
        <v>17177</v>
      </c>
      <c r="G29" s="1">
        <v>215.74799999999999</v>
      </c>
      <c r="H29" s="1">
        <v>2.298</v>
      </c>
      <c r="I29" s="1">
        <v>39.042999999999999</v>
      </c>
      <c r="K29" s="3">
        <f>AVERAGE(H29:H30)</f>
        <v>2.2835000000000001</v>
      </c>
      <c r="L29" s="3">
        <f>STDEV(H29:H30)</f>
        <v>2.0506096654409819E-2</v>
      </c>
      <c r="M29" s="3"/>
      <c r="N29" s="4">
        <f>AVERAGE(F29,F30)</f>
        <v>16652.5</v>
      </c>
      <c r="O29" s="3"/>
      <c r="P29" s="3">
        <f>AVERAGE(I29:I30)</f>
        <v>39.06</v>
      </c>
      <c r="Q29" s="3">
        <f>STDEV(I29:I30)</f>
        <v>2.4041630560341854E-2</v>
      </c>
      <c r="T29" s="14">
        <f>K29-(N29-$N$124)*$AA$55</f>
        <v>2.2519657327586207</v>
      </c>
      <c r="U29" s="14">
        <f>T29-(B29-$A$124)*$AA$4</f>
        <v>2.2840185603448275</v>
      </c>
      <c r="V29" s="14"/>
      <c r="W29" s="13"/>
      <c r="X29" s="14">
        <f>P29-(N29-$N$124)*$AL$54</f>
        <v>39.097841120689658</v>
      </c>
      <c r="Y29" s="14">
        <f>X29-(B29-$A$124)*$AL$5</f>
        <v>39.10205463793104</v>
      </c>
    </row>
    <row r="30" spans="1:25" x14ac:dyDescent="0.25">
      <c r="A30" s="1">
        <v>8</v>
      </c>
      <c r="B30" s="1">
        <f t="shared" si="1"/>
        <v>8</v>
      </c>
      <c r="C30" s="1" t="s">
        <v>24</v>
      </c>
      <c r="D30" s="1" t="s">
        <v>783</v>
      </c>
      <c r="E30" s="1">
        <v>7</v>
      </c>
      <c r="F30" s="1">
        <v>16128</v>
      </c>
      <c r="G30" s="1">
        <v>203.08799999999999</v>
      </c>
      <c r="H30" s="1">
        <v>2.2690000000000001</v>
      </c>
      <c r="I30" s="1">
        <v>39.076999999999998</v>
      </c>
      <c r="K30" s="3"/>
      <c r="L30" s="3"/>
      <c r="M30" s="3"/>
      <c r="N30" s="3"/>
      <c r="O30" s="3"/>
      <c r="P30" s="3"/>
      <c r="Q30" s="3"/>
    </row>
    <row r="31" spans="1:25" x14ac:dyDescent="0.25">
      <c r="A31" s="1">
        <v>9</v>
      </c>
      <c r="B31" s="1">
        <f t="shared" si="1"/>
        <v>9</v>
      </c>
      <c r="C31" s="1" t="s">
        <v>24</v>
      </c>
      <c r="D31" s="1" t="s">
        <v>299</v>
      </c>
      <c r="E31" s="1">
        <v>6</v>
      </c>
      <c r="F31" s="1">
        <v>11846</v>
      </c>
      <c r="G31" s="1">
        <v>150.02500000000001</v>
      </c>
      <c r="H31" s="1">
        <v>2.21</v>
      </c>
      <c r="I31" s="1">
        <v>39.246000000000002</v>
      </c>
      <c r="K31" s="3">
        <f>AVERAGE(H31:H32)</f>
        <v>2.2364999999999999</v>
      </c>
      <c r="L31" s="3">
        <f>STDEV(H31:H32)</f>
        <v>3.7476659402886976E-2</v>
      </c>
      <c r="M31" s="3"/>
      <c r="N31" s="4">
        <f>AVERAGE(F31,F32)</f>
        <v>11416.5</v>
      </c>
      <c r="O31" s="3"/>
      <c r="P31" s="3">
        <f>AVERAGE(I31:I32)</f>
        <v>39.243499999999997</v>
      </c>
      <c r="Q31" s="3">
        <f>STDEV(I31:I32)</f>
        <v>3.5355339059345461E-3</v>
      </c>
      <c r="T31" s="14">
        <f>K31-(N31-$N$124)*$AA$55</f>
        <v>2.2704157327586207</v>
      </c>
      <c r="U31" s="14">
        <f>T31-(B31-$A$124)*$AA$4</f>
        <v>2.3020425603448276</v>
      </c>
      <c r="V31" s="14"/>
      <c r="W31" s="13"/>
      <c r="X31" s="14">
        <f>P31-(N31-$N$124)*$AL$54</f>
        <v>39.202801120689649</v>
      </c>
      <c r="Y31" s="14">
        <f>X31-(B31-$A$124)*$AL$5</f>
        <v>39.206958637931031</v>
      </c>
    </row>
    <row r="32" spans="1:25" x14ac:dyDescent="0.25">
      <c r="A32" s="1">
        <v>9</v>
      </c>
      <c r="B32" s="1">
        <f t="shared" si="1"/>
        <v>9</v>
      </c>
      <c r="C32" s="1" t="s">
        <v>24</v>
      </c>
      <c r="D32" s="1" t="s">
        <v>299</v>
      </c>
      <c r="E32" s="1">
        <v>7</v>
      </c>
      <c r="F32" s="1">
        <v>10987</v>
      </c>
      <c r="G32" s="1">
        <v>139.30000000000001</v>
      </c>
      <c r="H32" s="1">
        <v>2.2629999999999999</v>
      </c>
      <c r="I32" s="1">
        <v>39.241</v>
      </c>
      <c r="K32" s="3"/>
      <c r="L32" s="3"/>
      <c r="M32" s="3"/>
      <c r="N32" s="3"/>
      <c r="O32" s="3"/>
      <c r="P32" s="3"/>
      <c r="Q32" s="3"/>
    </row>
    <row r="33" spans="1:25" x14ac:dyDescent="0.25">
      <c r="A33" s="2"/>
      <c r="C33" s="1"/>
      <c r="D33" s="1"/>
      <c r="E33" s="1"/>
      <c r="F33" s="1"/>
      <c r="G33" s="1"/>
      <c r="H33" s="1"/>
      <c r="I33" s="1"/>
      <c r="K33" s="3" t="e">
        <f>AVERAGE(H33:H34)</f>
        <v>#DIV/0!</v>
      </c>
      <c r="L33" s="3" t="e">
        <f>STDEV(H33:H34)</f>
        <v>#DIV/0!</v>
      </c>
      <c r="M33" s="3"/>
      <c r="N33" s="4" t="e">
        <f>AVERAGE(F33,F34)</f>
        <v>#DIV/0!</v>
      </c>
      <c r="O33" s="3"/>
      <c r="P33" s="3" t="e">
        <f>AVERAGE(I33:I34)</f>
        <v>#DIV/0!</v>
      </c>
      <c r="Q33" s="3" t="e">
        <f>STDEV(I33:I34)</f>
        <v>#DIV/0!</v>
      </c>
      <c r="T33" s="14" t="e">
        <f>U33-(N33-$N$124)*$AA$55</f>
        <v>#DIV/0!</v>
      </c>
      <c r="U33" s="14" t="e">
        <f>K33-(B33-$A$124)*$AA$4</f>
        <v>#DIV/0!</v>
      </c>
      <c r="V33" s="14"/>
      <c r="W33" s="13"/>
      <c r="X33" s="14" t="e">
        <f>Y33-(N33-$N$124)*$AL$54</f>
        <v>#DIV/0!</v>
      </c>
      <c r="Y33" s="14" t="e">
        <f>P33-(B33-$A$124)*$AL$5</f>
        <v>#DIV/0!</v>
      </c>
    </row>
    <row r="34" spans="1:25" x14ac:dyDescent="0.25">
      <c r="A34" s="2"/>
      <c r="C34" s="1"/>
      <c r="D34" s="1"/>
      <c r="E34" s="1"/>
      <c r="F34" s="1"/>
      <c r="G34" s="1"/>
      <c r="H34" s="1"/>
      <c r="I34" s="1"/>
      <c r="K34" s="3"/>
      <c r="L34" s="3"/>
      <c r="M34" s="3"/>
      <c r="N34" s="3"/>
      <c r="O34" s="3"/>
      <c r="P34" s="3"/>
      <c r="Q34" s="3"/>
    </row>
    <row r="35" spans="1:25" x14ac:dyDescent="0.25">
      <c r="A35" s="2"/>
      <c r="C35" s="1"/>
      <c r="D35" s="1"/>
      <c r="E35" s="1"/>
      <c r="F35" s="1"/>
      <c r="G35" s="1"/>
      <c r="H35" s="1"/>
      <c r="I35" s="1"/>
      <c r="K35" s="3" t="e">
        <f>AVERAGE(H35:H36)</f>
        <v>#DIV/0!</v>
      </c>
      <c r="L35" s="3" t="e">
        <f>STDEV(H35:H36)</f>
        <v>#DIV/0!</v>
      </c>
      <c r="M35" s="3"/>
      <c r="N35" s="4" t="e">
        <f>AVERAGE(F35,F36)</f>
        <v>#DIV/0!</v>
      </c>
      <c r="O35" s="3"/>
      <c r="P35" s="3" t="e">
        <f>AVERAGE(I35:I36)</f>
        <v>#DIV/0!</v>
      </c>
      <c r="Q35" s="3" t="e">
        <f>STDEV(I35:I36)</f>
        <v>#DIV/0!</v>
      </c>
      <c r="T35" s="14" t="e">
        <f>U35-(N35-$N$124)*$AA$55</f>
        <v>#DIV/0!</v>
      </c>
      <c r="U35" s="14" t="e">
        <f>K35-(B35-$A$124)*$AA$4</f>
        <v>#DIV/0!</v>
      </c>
      <c r="V35" s="14"/>
      <c r="W35" s="13"/>
      <c r="X35" s="14" t="e">
        <f>Y35-(N35-$N$124)*$AL$54</f>
        <v>#DIV/0!</v>
      </c>
      <c r="Y35" s="14" t="e">
        <f>P35-(B35-$A$124)*$AL$5</f>
        <v>#DIV/0!</v>
      </c>
    </row>
    <row r="36" spans="1:25" x14ac:dyDescent="0.25">
      <c r="A36" s="2"/>
      <c r="C36" s="1"/>
      <c r="D36" s="1"/>
      <c r="E36" s="1"/>
      <c r="F36" s="1"/>
      <c r="G36" s="1"/>
      <c r="H36" s="1"/>
      <c r="I36" s="1"/>
      <c r="K36" s="3"/>
      <c r="L36" s="3"/>
      <c r="M36" s="3"/>
      <c r="N36" s="3"/>
      <c r="O36" s="3"/>
      <c r="P36" s="3"/>
      <c r="Q36" s="3"/>
    </row>
    <row r="37" spans="1:25" x14ac:dyDescent="0.25">
      <c r="A37" s="2"/>
      <c r="C37" s="1"/>
      <c r="D37" s="1"/>
      <c r="E37" s="1"/>
      <c r="F37" s="1"/>
      <c r="G37" s="1"/>
      <c r="H37" s="1"/>
      <c r="I37" s="1"/>
      <c r="K37" s="3" t="e">
        <f>AVERAGE(H37:H38)</f>
        <v>#DIV/0!</v>
      </c>
      <c r="L37" s="3" t="e">
        <f>STDEV(H37:H38)</f>
        <v>#DIV/0!</v>
      </c>
      <c r="M37" s="3"/>
      <c r="N37" s="4" t="e">
        <f>AVERAGE(F37,F38)</f>
        <v>#DIV/0!</v>
      </c>
      <c r="O37" s="3"/>
      <c r="P37" s="3" t="e">
        <f>AVERAGE(I37:I38)</f>
        <v>#DIV/0!</v>
      </c>
      <c r="Q37" s="3" t="e">
        <f>STDEV(I37:I38)</f>
        <v>#DIV/0!</v>
      </c>
      <c r="T37" s="14" t="e">
        <f>U37-(N37-$N$124)*$AA$55</f>
        <v>#DIV/0!</v>
      </c>
      <c r="U37" s="14" t="e">
        <f>K37-(B37-$A$124)*$AA$4</f>
        <v>#DIV/0!</v>
      </c>
      <c r="V37" s="14"/>
      <c r="W37" s="13"/>
      <c r="X37" s="14" t="e">
        <f>Y37-(N37-$N$124)*$AL$54</f>
        <v>#DIV/0!</v>
      </c>
      <c r="Y37" s="14" t="e">
        <f>P37-(B37-$A$124)*$AL$5</f>
        <v>#DIV/0!</v>
      </c>
    </row>
    <row r="38" spans="1:25" x14ac:dyDescent="0.25">
      <c r="A38" s="2"/>
      <c r="C38" s="1"/>
      <c r="D38" s="1"/>
      <c r="E38" s="1"/>
      <c r="F38" s="1"/>
      <c r="G38" s="1"/>
      <c r="H38" s="1"/>
      <c r="I38" s="1"/>
      <c r="K38" s="3"/>
      <c r="L38" s="3"/>
      <c r="M38" s="3"/>
      <c r="N38" s="3"/>
      <c r="O38" s="3"/>
      <c r="P38" s="3"/>
      <c r="Q38" s="3"/>
    </row>
    <row r="39" spans="1:25" x14ac:dyDescent="0.25">
      <c r="A39" s="2"/>
      <c r="C39" s="1"/>
      <c r="D39" s="1"/>
      <c r="E39" s="1"/>
      <c r="F39" s="1"/>
      <c r="G39" s="1"/>
      <c r="H39" s="1"/>
      <c r="I39" s="1"/>
      <c r="K39" s="3" t="e">
        <f>AVERAGE(H39:H40)</f>
        <v>#DIV/0!</v>
      </c>
      <c r="L39" s="3" t="e">
        <f>STDEV(H39:H40)</f>
        <v>#DIV/0!</v>
      </c>
      <c r="M39" s="3"/>
      <c r="N39" s="4" t="e">
        <f>AVERAGE(F39,F40)</f>
        <v>#DIV/0!</v>
      </c>
      <c r="O39" s="3"/>
      <c r="P39" s="3" t="e">
        <f>AVERAGE(I39:I40)</f>
        <v>#DIV/0!</v>
      </c>
      <c r="Q39" s="3" t="e">
        <f>STDEV(I39:I40)</f>
        <v>#DIV/0!</v>
      </c>
      <c r="T39" s="14" t="e">
        <f>U39-(N39-$N$124)*$AA$55</f>
        <v>#DIV/0!</v>
      </c>
      <c r="U39" s="14" t="e">
        <f>K39-(B39-$A$124)*$AA$4</f>
        <v>#DIV/0!</v>
      </c>
      <c r="V39" s="14"/>
      <c r="W39" s="13"/>
      <c r="X39" s="14" t="e">
        <f>Y39-(N39-$N$124)*$AL$54</f>
        <v>#DIV/0!</v>
      </c>
      <c r="Y39" s="14" t="e">
        <f>P39-(B39-$A$124)*$AL$5</f>
        <v>#DIV/0!</v>
      </c>
    </row>
    <row r="40" spans="1:25" x14ac:dyDescent="0.25">
      <c r="A40" s="2"/>
      <c r="C40" s="1"/>
      <c r="D40" s="1"/>
      <c r="E40" s="1"/>
      <c r="F40" s="1"/>
      <c r="G40" s="1"/>
      <c r="H40" s="1"/>
      <c r="I40" s="1"/>
      <c r="K40" s="3"/>
      <c r="L40" s="3"/>
      <c r="M40" s="3"/>
      <c r="N40" s="3"/>
      <c r="O40" s="3"/>
      <c r="P40" s="3"/>
      <c r="Q40" s="3"/>
    </row>
    <row r="41" spans="1:25" x14ac:dyDescent="0.25">
      <c r="B41" s="54"/>
      <c r="C41" s="1"/>
      <c r="D41" s="1"/>
      <c r="E41" s="1"/>
      <c r="F41" s="1"/>
      <c r="G41" s="1"/>
      <c r="H41" s="1"/>
      <c r="I41" s="1"/>
      <c r="K41" s="3"/>
      <c r="L41" s="3"/>
      <c r="M41" s="3"/>
      <c r="N41" s="4"/>
      <c r="O41" s="3"/>
      <c r="P41" s="3"/>
      <c r="Q41" s="3"/>
      <c r="T41" s="3"/>
      <c r="U41" s="3"/>
      <c r="X41" s="14"/>
      <c r="Y41" s="3"/>
    </row>
    <row r="42" spans="1:25" ht="15.75" thickBot="1" x14ac:dyDescent="0.3">
      <c r="B42" s="1"/>
      <c r="C42" s="1"/>
      <c r="D42" s="1"/>
      <c r="E42" s="1"/>
      <c r="F42" s="1"/>
      <c r="G42" s="1"/>
      <c r="H42" s="1"/>
      <c r="I42" s="1"/>
      <c r="K42" s="3"/>
      <c r="L42" s="3"/>
      <c r="M42" s="3"/>
      <c r="N42" s="4"/>
      <c r="O42" s="3"/>
      <c r="P42" s="3"/>
      <c r="Q42" s="3"/>
      <c r="T42" s="3"/>
      <c r="U42" s="3"/>
      <c r="X42" s="14"/>
      <c r="Y42" s="3"/>
    </row>
    <row r="43" spans="1:25" ht="15.75" x14ac:dyDescent="0.25">
      <c r="K43" s="3">
        <f>AVERAGE(K25:K31)</f>
        <v>2.2795000000000001</v>
      </c>
      <c r="L43" s="3"/>
      <c r="M43" s="3"/>
      <c r="N43" s="3"/>
      <c r="O43" s="2" t="s">
        <v>17</v>
      </c>
      <c r="P43" s="3">
        <f>AVERAGE(P25:P31)</f>
        <v>39.114999999999995</v>
      </c>
      <c r="Q43" s="3"/>
      <c r="S43" s="2" t="s">
        <v>17</v>
      </c>
      <c r="T43" s="3">
        <f>AVERAGE(T25:T31)</f>
        <v>2.266168857758621</v>
      </c>
      <c r="U43" s="146">
        <f>AVERAGE(U25:U31)</f>
        <v>2.2984346853448274</v>
      </c>
      <c r="V43" s="5"/>
      <c r="W43" s="2" t="s">
        <v>17</v>
      </c>
      <c r="X43" s="3">
        <f>AVERAGE(X25:X31)</f>
        <v>39.130997370689656</v>
      </c>
      <c r="Y43" s="146">
        <f>AVERAGE(Y25:Y31)</f>
        <v>39.135238887931031</v>
      </c>
    </row>
    <row r="44" spans="1:25" ht="15.75" thickBot="1" x14ac:dyDescent="0.3">
      <c r="K44" s="3">
        <f>STDEV(K25:K31)</f>
        <v>5.7578931331984086E-2</v>
      </c>
      <c r="L44" s="3"/>
      <c r="M44" s="3"/>
      <c r="N44" s="3"/>
      <c r="O44" s="2" t="s">
        <v>18</v>
      </c>
      <c r="P44" s="3">
        <f>STDEV(P25:P31)</f>
        <v>8.7594710647008953E-2</v>
      </c>
      <c r="Q44" s="3"/>
      <c r="S44" s="2" t="s">
        <v>18</v>
      </c>
      <c r="T44" s="3">
        <f>STDEV(T25:T31)</f>
        <v>1.8998992229304418E-2</v>
      </c>
      <c r="U44" s="147">
        <f>STDEV(U25:U31)</f>
        <v>1.8935984017979354E-2</v>
      </c>
      <c r="V44" s="3"/>
      <c r="W44" s="2" t="s">
        <v>18</v>
      </c>
      <c r="X44" s="3">
        <f>STDEV(X25:X31)</f>
        <v>5.3675843631777631E-2</v>
      </c>
      <c r="Y44" s="147">
        <f>STDEV(Y25:Y31)</f>
        <v>5.3620770007990516E-2</v>
      </c>
    </row>
    <row r="45" spans="1:25" x14ac:dyDescent="0.25">
      <c r="K45" s="3"/>
      <c r="L45" s="3"/>
      <c r="M45" s="3"/>
      <c r="N45" s="3"/>
      <c r="O45" s="3"/>
      <c r="P45" s="3"/>
      <c r="Q45" s="3"/>
    </row>
    <row r="46" spans="1:25" x14ac:dyDescent="0.25">
      <c r="K46" s="3"/>
      <c r="L46" s="3"/>
      <c r="M46" s="3"/>
      <c r="N46" s="3"/>
      <c r="O46" s="3"/>
      <c r="P46" s="3"/>
      <c r="Q46" s="3"/>
    </row>
    <row r="47" spans="1:25" x14ac:dyDescent="0.25">
      <c r="K47" s="3"/>
      <c r="L47" s="3"/>
      <c r="M47" s="3"/>
      <c r="N47" s="3"/>
      <c r="O47" s="3"/>
      <c r="P47" s="3"/>
      <c r="Q47" s="3"/>
    </row>
    <row r="48" spans="1:25" x14ac:dyDescent="0.25">
      <c r="K48" s="3"/>
      <c r="L48" s="3"/>
      <c r="M48" s="3"/>
      <c r="N48" s="3"/>
      <c r="O48" s="3"/>
      <c r="P48" s="3"/>
      <c r="Q48" s="3"/>
    </row>
    <row r="49" spans="1:45" s="13" customFormat="1" x14ac:dyDescent="0.25">
      <c r="A49" s="1">
        <v>10</v>
      </c>
      <c r="B49" s="1">
        <f t="shared" ref="B49:B110" si="2">A49</f>
        <v>10</v>
      </c>
      <c r="C49" s="1" t="s">
        <v>0</v>
      </c>
      <c r="D49" s="1" t="s">
        <v>254</v>
      </c>
      <c r="E49" s="1">
        <v>6</v>
      </c>
      <c r="F49" s="1">
        <v>14953</v>
      </c>
      <c r="G49" s="1">
        <v>183.512</v>
      </c>
      <c r="H49" s="1">
        <v>4.6289999999999996</v>
      </c>
      <c r="I49" s="1">
        <v>36.991</v>
      </c>
      <c r="K49" s="14">
        <f>AVERAGE(H49:H50)</f>
        <v>4.6784999999999997</v>
      </c>
      <c r="L49" s="14">
        <f>STDEV(H49:H50)</f>
        <v>7.0003571337468345E-2</v>
      </c>
      <c r="M49" s="14"/>
      <c r="N49" s="15">
        <f>AVERAGE(F49,F50)</f>
        <v>14533.5</v>
      </c>
      <c r="O49" s="14"/>
      <c r="P49" s="14">
        <f>AVERAGE(I49:I50)</f>
        <v>37.007999999999996</v>
      </c>
      <c r="Q49" s="14">
        <f>STDEV(I49:I50)</f>
        <v>2.4041630560341854E-2</v>
      </c>
      <c r="T49" s="14">
        <f>K49-(N49-$N$124)*$AA$55</f>
        <v>4.6734532327586207</v>
      </c>
      <c r="U49" s="14">
        <f>T49-(B49-$A$124)*$AA$4</f>
        <v>4.7046540603448275</v>
      </c>
      <c r="V49" s="14"/>
      <c r="X49" s="14">
        <f>P49-(N49-$N$124)*$AL$54</f>
        <v>37.014056120689652</v>
      </c>
      <c r="Y49" s="14">
        <f>X49-(B49-$A$124)*$AL$5</f>
        <v>37.018157637931033</v>
      </c>
    </row>
    <row r="50" spans="1:45" s="13" customFormat="1" x14ac:dyDescent="0.25">
      <c r="A50" s="1">
        <v>10</v>
      </c>
      <c r="B50" s="1">
        <f t="shared" si="2"/>
        <v>10</v>
      </c>
      <c r="C50" s="1" t="s">
        <v>0</v>
      </c>
      <c r="D50" s="1" t="s">
        <v>254</v>
      </c>
      <c r="E50" s="1">
        <v>7</v>
      </c>
      <c r="F50" s="1">
        <v>14114</v>
      </c>
      <c r="G50" s="1">
        <v>171.81700000000001</v>
      </c>
      <c r="H50" s="1">
        <v>4.7279999999999998</v>
      </c>
      <c r="I50" s="1">
        <v>37.024999999999999</v>
      </c>
      <c r="K50" s="14"/>
      <c r="L50" s="14"/>
      <c r="M50" s="14"/>
      <c r="N50" s="15"/>
      <c r="O50" s="14"/>
      <c r="P50" s="14"/>
      <c r="Q50" s="14"/>
      <c r="T50" s="14"/>
      <c r="U50" s="14"/>
      <c r="V50" s="14"/>
      <c r="X50" s="14"/>
      <c r="Y50" s="14"/>
    </row>
    <row r="51" spans="1:45" s="17" customFormat="1" x14ac:dyDescent="0.25">
      <c r="A51" s="1">
        <v>11</v>
      </c>
      <c r="B51" s="1">
        <f t="shared" si="2"/>
        <v>11</v>
      </c>
      <c r="C51" s="1" t="s">
        <v>0</v>
      </c>
      <c r="D51" s="1" t="s">
        <v>335</v>
      </c>
      <c r="E51" s="1">
        <v>6</v>
      </c>
      <c r="F51" s="1">
        <v>11903</v>
      </c>
      <c r="G51" s="1">
        <v>152.077</v>
      </c>
      <c r="H51" s="1">
        <v>4.7249999999999996</v>
      </c>
      <c r="I51" s="1">
        <v>37.112000000000002</v>
      </c>
      <c r="J51" s="13"/>
      <c r="K51" s="14">
        <f>AVERAGE(H51:H52)</f>
        <v>4.7554999999999996</v>
      </c>
      <c r="L51" s="14">
        <f>STDEV(H51:H52)</f>
        <v>4.3133513652379357E-2</v>
      </c>
      <c r="M51" s="14"/>
      <c r="N51" s="15">
        <f>AVERAGE(F51,F52)</f>
        <v>11505</v>
      </c>
      <c r="O51" s="14"/>
      <c r="P51" s="14">
        <f>AVERAGE(I51:I52)</f>
        <v>37.129000000000005</v>
      </c>
      <c r="Q51" s="14">
        <f>STDEV(I51:I52)</f>
        <v>2.4041630560341854E-2</v>
      </c>
      <c r="R51" s="13"/>
      <c r="S51" s="13"/>
      <c r="T51" s="14">
        <f>K51-(N51-$N$124)*$AA$55</f>
        <v>4.7883094827586206</v>
      </c>
      <c r="U51" s="14">
        <f>T51-(B51-$A$124)*$AA$4</f>
        <v>4.8190843103448273</v>
      </c>
      <c r="V51" s="14"/>
      <c r="W51" s="13"/>
      <c r="X51" s="14">
        <f>P51-(N51-$N$124)*$AL$54</f>
        <v>37.089628620689659</v>
      </c>
      <c r="Y51" s="14">
        <f>X51-(B51-$A$124)*$AL$5</f>
        <v>37.093674137931039</v>
      </c>
    </row>
    <row r="52" spans="1:45" s="17" customFormat="1" x14ac:dyDescent="0.25">
      <c r="A52" s="1">
        <v>11</v>
      </c>
      <c r="B52" s="1">
        <f t="shared" si="2"/>
        <v>11</v>
      </c>
      <c r="C52" s="1" t="s">
        <v>0</v>
      </c>
      <c r="D52" s="1" t="s">
        <v>335</v>
      </c>
      <c r="E52" s="1">
        <v>7</v>
      </c>
      <c r="F52" s="1">
        <v>11107</v>
      </c>
      <c r="G52" s="1">
        <v>141.435</v>
      </c>
      <c r="H52" s="1">
        <v>4.7859999999999996</v>
      </c>
      <c r="I52" s="1">
        <v>37.146000000000001</v>
      </c>
      <c r="J52" s="13"/>
      <c r="K52" s="14"/>
      <c r="L52" s="14"/>
      <c r="M52" s="14"/>
      <c r="N52" s="15"/>
      <c r="O52" s="14"/>
      <c r="P52" s="14"/>
      <c r="Q52" s="14"/>
      <c r="R52" s="13"/>
      <c r="S52" s="13"/>
      <c r="T52" s="14"/>
      <c r="U52" s="14"/>
      <c r="V52" s="14"/>
      <c r="W52" s="13"/>
      <c r="X52" s="14"/>
      <c r="Y52" s="14"/>
    </row>
    <row r="53" spans="1:45" s="13" customFormat="1" x14ac:dyDescent="0.25">
      <c r="A53" s="1">
        <v>12</v>
      </c>
      <c r="B53" s="1">
        <f t="shared" si="2"/>
        <v>12</v>
      </c>
      <c r="C53" s="1" t="s">
        <v>0</v>
      </c>
      <c r="D53" s="1" t="s">
        <v>496</v>
      </c>
      <c r="E53" s="1">
        <v>6</v>
      </c>
      <c r="F53" s="1">
        <v>12846</v>
      </c>
      <c r="G53" s="1">
        <v>156.38900000000001</v>
      </c>
      <c r="H53" s="1">
        <v>4.641</v>
      </c>
      <c r="I53" s="1">
        <v>37.003</v>
      </c>
      <c r="K53" s="14">
        <f>AVERAGE(H53:H54)</f>
        <v>4.6890000000000001</v>
      </c>
      <c r="L53" s="14">
        <f>STDEV(H53:H54)</f>
        <v>6.7882250993908627E-2</v>
      </c>
      <c r="M53" s="14"/>
      <c r="N53" s="15">
        <f>AVERAGE(F53,F54)</f>
        <v>12445.5</v>
      </c>
      <c r="O53" s="14"/>
      <c r="P53" s="14">
        <f>AVERAGE(I53:I54)</f>
        <v>37.001999999999995</v>
      </c>
      <c r="Q53" s="14">
        <f>STDEV(I53:I54)</f>
        <v>1.4142135623748235E-3</v>
      </c>
      <c r="T53" s="14">
        <f>K53-(N53-$N$124)*$AA$55</f>
        <v>4.7100532327586206</v>
      </c>
      <c r="U53" s="14">
        <f>T53-(B53-$A$124)*$AA$4</f>
        <v>4.7404020603448274</v>
      </c>
      <c r="V53" s="14"/>
      <c r="X53" s="14">
        <f>P53-(N53-$N$124)*$AL$54</f>
        <v>36.976736120689651</v>
      </c>
      <c r="Y53" s="14">
        <f>X53-(B53-$A$124)*$AL$5</f>
        <v>36.98072563793103</v>
      </c>
      <c r="AL53" s="13" t="s">
        <v>523</v>
      </c>
    </row>
    <row r="54" spans="1:45" s="13" customFormat="1" x14ac:dyDescent="0.25">
      <c r="A54" s="1">
        <v>12</v>
      </c>
      <c r="B54" s="1">
        <f t="shared" si="2"/>
        <v>12</v>
      </c>
      <c r="C54" s="1" t="s">
        <v>0</v>
      </c>
      <c r="D54" s="1" t="s">
        <v>496</v>
      </c>
      <c r="E54" s="1">
        <v>7</v>
      </c>
      <c r="F54" s="1">
        <v>12045</v>
      </c>
      <c r="G54" s="1">
        <v>145.94499999999999</v>
      </c>
      <c r="H54" s="1">
        <v>4.7370000000000001</v>
      </c>
      <c r="I54" s="1">
        <v>37.000999999999998</v>
      </c>
      <c r="K54" s="14"/>
      <c r="L54" s="14"/>
      <c r="M54" s="14"/>
      <c r="N54" s="15"/>
      <c r="O54" s="14"/>
      <c r="P54" s="14"/>
      <c r="Q54" s="14"/>
      <c r="T54" s="14"/>
      <c r="U54" s="14"/>
      <c r="V54" s="14"/>
      <c r="X54" s="14"/>
      <c r="Y54" s="14"/>
      <c r="AA54" s="13" t="s">
        <v>521</v>
      </c>
      <c r="AL54" s="13">
        <v>-1.5E-5</v>
      </c>
    </row>
    <row r="55" spans="1:45" s="13" customFormat="1" x14ac:dyDescent="0.25">
      <c r="A55" s="1">
        <v>23</v>
      </c>
      <c r="B55" s="1">
        <f t="shared" si="2"/>
        <v>23</v>
      </c>
      <c r="C55" s="1" t="s">
        <v>0</v>
      </c>
      <c r="D55" s="1" t="s">
        <v>513</v>
      </c>
      <c r="E55" s="1">
        <v>6</v>
      </c>
      <c r="F55" s="1">
        <v>14249</v>
      </c>
      <c r="G55" s="1">
        <v>172.76499999999999</v>
      </c>
      <c r="H55" s="1">
        <v>4.7229999999999999</v>
      </c>
      <c r="I55" s="1">
        <v>37.027999999999999</v>
      </c>
      <c r="K55" s="14">
        <f>AVERAGE(H55:H56)</f>
        <v>4.7359999999999998</v>
      </c>
      <c r="L55" s="14">
        <f>STDEV(H55:H56)</f>
        <v>1.8384776310850094E-2</v>
      </c>
      <c r="M55" s="14"/>
      <c r="N55" s="15">
        <f>AVERAGE(F55,F56)</f>
        <v>13803.5</v>
      </c>
      <c r="O55" s="14"/>
      <c r="P55" s="14">
        <f>AVERAGE(I55:I56)</f>
        <v>37.033500000000004</v>
      </c>
      <c r="Q55" s="14">
        <f>STDEV(I55:I56)</f>
        <v>7.7781745930539919E-3</v>
      </c>
      <c r="T55" s="14">
        <f>K55-(N55-$N$124)*$AA$55</f>
        <v>4.7400782327586208</v>
      </c>
      <c r="U55" s="14">
        <f>T55-(B55-$A$124)*$AA$4</f>
        <v>4.765741060344828</v>
      </c>
      <c r="V55" s="14"/>
      <c r="X55" s="14">
        <f>P55-(N55-$N$124)*$AL$54</f>
        <v>37.028606120689659</v>
      </c>
      <c r="Y55" s="14">
        <f>X55-(B55-$A$124)*$AL$5</f>
        <v>37.031979637931038</v>
      </c>
      <c r="AA55" s="13">
        <v>1.2500000000000001E-5</v>
      </c>
    </row>
    <row r="56" spans="1:45" s="13" customFormat="1" x14ac:dyDescent="0.25">
      <c r="A56" s="1">
        <v>23</v>
      </c>
      <c r="B56" s="1">
        <f t="shared" si="2"/>
        <v>23</v>
      </c>
      <c r="C56" s="1" t="s">
        <v>0</v>
      </c>
      <c r="D56" s="1" t="s">
        <v>513</v>
      </c>
      <c r="E56" s="1">
        <v>7</v>
      </c>
      <c r="F56" s="1">
        <v>13358</v>
      </c>
      <c r="G56" s="1">
        <v>161.71700000000001</v>
      </c>
      <c r="H56" s="1">
        <v>4.7489999999999997</v>
      </c>
      <c r="I56" s="1">
        <v>37.039000000000001</v>
      </c>
      <c r="K56" s="14"/>
      <c r="L56" s="14"/>
      <c r="M56" s="14"/>
      <c r="N56" s="15"/>
      <c r="O56" s="14"/>
      <c r="P56" s="14"/>
      <c r="Q56" s="14"/>
      <c r="T56" s="14"/>
      <c r="U56" s="14"/>
      <c r="V56" s="14"/>
      <c r="X56" s="14"/>
      <c r="Y56" s="14"/>
    </row>
    <row r="57" spans="1:45" s="13" customFormat="1" x14ac:dyDescent="0.25">
      <c r="A57" s="1">
        <v>24</v>
      </c>
      <c r="B57" s="1">
        <f t="shared" si="2"/>
        <v>24</v>
      </c>
      <c r="C57" s="1" t="s">
        <v>0</v>
      </c>
      <c r="D57" s="1" t="s">
        <v>286</v>
      </c>
      <c r="E57" s="1">
        <v>6</v>
      </c>
      <c r="F57" s="1">
        <v>13745</v>
      </c>
      <c r="G57" s="1">
        <v>175.06899999999999</v>
      </c>
      <c r="H57" s="1">
        <v>4.7380000000000004</v>
      </c>
      <c r="I57" s="1">
        <v>36.982999999999997</v>
      </c>
      <c r="K57" s="14">
        <f>AVERAGE(H57:H58)</f>
        <v>4.7670000000000003</v>
      </c>
      <c r="L57" s="14">
        <f>STDEV(H57:H58)</f>
        <v>4.1012193308819639E-2</v>
      </c>
      <c r="M57" s="14"/>
      <c r="N57" s="15">
        <f>AVERAGE(F57,F58)</f>
        <v>13291.5</v>
      </c>
      <c r="O57" s="14"/>
      <c r="P57" s="14">
        <f>AVERAGE(I57:I58)</f>
        <v>37.006999999999998</v>
      </c>
      <c r="Q57" s="14">
        <f>STDEV(I57:I58)</f>
        <v>3.394112549695557E-2</v>
      </c>
      <c r="T57" s="14">
        <f>K57-(N57-$N$124)*$AA$55</f>
        <v>4.7774782327586207</v>
      </c>
      <c r="U57" s="14">
        <f>T57-(B57-$A$124)*$AA$4</f>
        <v>4.8027150603448279</v>
      </c>
      <c r="V57" s="14"/>
      <c r="X57" s="14">
        <f>P57-(N57-$N$124)*$AL$54</f>
        <v>36.994426120689653</v>
      </c>
      <c r="Y57" s="14">
        <f>X57-(B57-$A$124)*$AL$5</f>
        <v>36.99774363793103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s="13" customFormat="1" x14ac:dyDescent="0.25">
      <c r="A58" s="1">
        <v>24</v>
      </c>
      <c r="B58" s="1">
        <f t="shared" si="2"/>
        <v>24</v>
      </c>
      <c r="C58" s="1" t="s">
        <v>0</v>
      </c>
      <c r="D58" s="1" t="s">
        <v>286</v>
      </c>
      <c r="E58" s="1">
        <v>7</v>
      </c>
      <c r="F58" s="1">
        <v>12838</v>
      </c>
      <c r="G58" s="1">
        <v>162.93299999999999</v>
      </c>
      <c r="H58" s="1">
        <v>4.7960000000000003</v>
      </c>
      <c r="I58" s="1">
        <v>37.030999999999999</v>
      </c>
      <c r="K58" s="14"/>
      <c r="L58" s="14"/>
      <c r="M58" s="14"/>
      <c r="N58" s="15"/>
      <c r="O58" s="14"/>
      <c r="P58" s="14"/>
      <c r="Q58" s="14"/>
      <c r="T58" s="14"/>
      <c r="U58" s="14"/>
      <c r="V58" s="14"/>
      <c r="X58" s="14"/>
      <c r="Y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s="13" customFormat="1" x14ac:dyDescent="0.25">
      <c r="A59" s="1">
        <v>35</v>
      </c>
      <c r="B59" s="1">
        <f t="shared" si="2"/>
        <v>35</v>
      </c>
      <c r="C59" s="1" t="s">
        <v>0</v>
      </c>
      <c r="D59" s="1" t="s">
        <v>729</v>
      </c>
      <c r="E59" s="1">
        <v>6</v>
      </c>
      <c r="F59" s="1">
        <v>14725</v>
      </c>
      <c r="G59" s="1">
        <v>187.21799999999999</v>
      </c>
      <c r="H59" s="1">
        <v>4.7469999999999999</v>
      </c>
      <c r="I59" s="1">
        <v>36.978000000000002</v>
      </c>
      <c r="K59" s="14">
        <f>AVERAGE(H59:H60)</f>
        <v>4.782</v>
      </c>
      <c r="L59" s="14">
        <f>STDEV(H59:H60)</f>
        <v>4.9497474683058526E-2</v>
      </c>
      <c r="M59" s="14"/>
      <c r="N59" s="15">
        <f>AVERAGE(F59,F60)</f>
        <v>14228.5</v>
      </c>
      <c r="O59" s="14"/>
      <c r="P59" s="14">
        <f>AVERAGE(I59:I60)</f>
        <v>36.998000000000005</v>
      </c>
      <c r="Q59" s="14">
        <f>STDEV(I59:I60)</f>
        <v>2.8284271247461298E-2</v>
      </c>
      <c r="T59" s="14">
        <f>K59-(N59-$N$124)*$AA$55</f>
        <v>4.7807657327586206</v>
      </c>
      <c r="U59" s="14">
        <f>T59-(B59-$A$124)*$AA$4</f>
        <v>4.8013165603448273</v>
      </c>
      <c r="V59" s="14"/>
      <c r="X59" s="14">
        <f>P59-(N59-$N$124)*$AL$54</f>
        <v>36.999481120689659</v>
      </c>
      <c r="Y59" s="14">
        <f>X59-(B59-$A$124)*$AL$5</f>
        <v>37.002182637931035</v>
      </c>
    </row>
    <row r="60" spans="1:45" s="13" customFormat="1" x14ac:dyDescent="0.25">
      <c r="A60" s="1">
        <v>35</v>
      </c>
      <c r="B60" s="1">
        <f t="shared" si="2"/>
        <v>35</v>
      </c>
      <c r="C60" s="1" t="s">
        <v>0</v>
      </c>
      <c r="D60" s="1" t="s">
        <v>729</v>
      </c>
      <c r="E60" s="1">
        <v>7</v>
      </c>
      <c r="F60" s="1">
        <v>13732</v>
      </c>
      <c r="G60" s="1">
        <v>173.92599999999999</v>
      </c>
      <c r="H60" s="1">
        <v>4.8170000000000002</v>
      </c>
      <c r="I60" s="1">
        <v>37.018000000000001</v>
      </c>
      <c r="K60" s="14"/>
      <c r="L60" s="14"/>
      <c r="M60" s="14"/>
      <c r="N60" s="15"/>
      <c r="O60" s="14"/>
      <c r="P60" s="14"/>
      <c r="Q60" s="14"/>
      <c r="T60" s="14"/>
      <c r="U60" s="14"/>
      <c r="V60" s="14"/>
      <c r="X60" s="14"/>
      <c r="Y60" s="14"/>
    </row>
    <row r="61" spans="1:45" s="13" customFormat="1" x14ac:dyDescent="0.25">
      <c r="A61" s="1">
        <v>36</v>
      </c>
      <c r="B61" s="1">
        <f t="shared" si="2"/>
        <v>36</v>
      </c>
      <c r="C61" s="1" t="s">
        <v>0</v>
      </c>
      <c r="D61" s="1" t="s">
        <v>725</v>
      </c>
      <c r="E61" s="1">
        <v>6</v>
      </c>
      <c r="F61" s="1">
        <v>17746</v>
      </c>
      <c r="G61" s="1">
        <v>214.78299999999999</v>
      </c>
      <c r="H61" s="1">
        <v>4.71</v>
      </c>
      <c r="I61" s="1">
        <v>36.938000000000002</v>
      </c>
      <c r="K61" s="14">
        <f>AVERAGE(H61:H62)</f>
        <v>4.7004999999999999</v>
      </c>
      <c r="L61" s="14">
        <f>STDEV(H61:H62)</f>
        <v>1.3435028842544494E-2</v>
      </c>
      <c r="M61" s="14"/>
      <c r="N61" s="15">
        <f>AVERAGE(F61,F62)</f>
        <v>17109</v>
      </c>
      <c r="O61" s="14"/>
      <c r="P61" s="14">
        <f>AVERAGE(I61:I62)</f>
        <v>36.950500000000005</v>
      </c>
      <c r="Q61" s="14">
        <f>STDEV(I61:I62)</f>
        <v>1.7677669529662685E-2</v>
      </c>
      <c r="T61" s="14">
        <f>K61-(N61-$N$124)*$AA$55</f>
        <v>4.6632594827586207</v>
      </c>
      <c r="U61" s="14">
        <f>T61-(B61-$A$124)*$AA$4</f>
        <v>4.6833843103448274</v>
      </c>
      <c r="V61" s="14"/>
      <c r="X61" s="14">
        <f>P61-(N61-$N$124)*$AL$54</f>
        <v>36.99518862068966</v>
      </c>
      <c r="Y61" s="14">
        <f>X61-(B61-$A$124)*$AL$5</f>
        <v>36.997834137931036</v>
      </c>
    </row>
    <row r="62" spans="1:45" s="13" customFormat="1" x14ac:dyDescent="0.25">
      <c r="A62" s="1">
        <v>36</v>
      </c>
      <c r="B62" s="1">
        <f t="shared" si="2"/>
        <v>36</v>
      </c>
      <c r="C62" s="1" t="s">
        <v>0</v>
      </c>
      <c r="D62" s="1" t="s">
        <v>725</v>
      </c>
      <c r="E62" s="1">
        <v>7</v>
      </c>
      <c r="F62" s="1">
        <v>16472</v>
      </c>
      <c r="G62" s="1">
        <v>201.999</v>
      </c>
      <c r="H62" s="1">
        <v>4.6909999999999998</v>
      </c>
      <c r="I62" s="1">
        <v>36.963000000000001</v>
      </c>
      <c r="K62" s="14"/>
      <c r="L62" s="14"/>
      <c r="M62" s="14"/>
      <c r="N62" s="15"/>
      <c r="O62" s="14"/>
      <c r="P62" s="14"/>
      <c r="Q62" s="14"/>
      <c r="T62" s="14"/>
      <c r="U62" s="14"/>
      <c r="V62" s="14"/>
      <c r="X62" s="14"/>
      <c r="Y62" s="14"/>
    </row>
    <row r="63" spans="1:45" s="13" customFormat="1" x14ac:dyDescent="0.25">
      <c r="A63" s="1">
        <v>47</v>
      </c>
      <c r="B63" s="1">
        <f t="shared" si="2"/>
        <v>47</v>
      </c>
      <c r="C63" s="1" t="s">
        <v>0</v>
      </c>
      <c r="D63" s="1" t="s">
        <v>513</v>
      </c>
      <c r="E63" s="1">
        <v>6</v>
      </c>
      <c r="F63" s="1">
        <v>14203</v>
      </c>
      <c r="G63" s="1">
        <v>172.30099999999999</v>
      </c>
      <c r="H63" s="1">
        <v>4.6859999999999999</v>
      </c>
      <c r="I63" s="1">
        <v>37.036000000000001</v>
      </c>
      <c r="K63" s="14">
        <f>AVERAGE(H63:H64)</f>
        <v>4.7249999999999996</v>
      </c>
      <c r="L63" s="14">
        <f>STDEV(H63:H64)</f>
        <v>5.5154328932550914E-2</v>
      </c>
      <c r="M63" s="14"/>
      <c r="N63" s="15">
        <f>AVERAGE(F63,F64)</f>
        <v>13704</v>
      </c>
      <c r="O63" s="14"/>
      <c r="P63" s="14">
        <f>AVERAGE(I63:I64)</f>
        <v>37.045500000000004</v>
      </c>
      <c r="Q63" s="14">
        <f>STDEV(I63:I64)</f>
        <v>1.3435028842543236E-2</v>
      </c>
      <c r="T63" s="14">
        <f>K63-(N63-$N$124)*$AA$55</f>
        <v>4.7303219827586203</v>
      </c>
      <c r="U63" s="14">
        <f>T63-(B63-$A$124)*$AA$4</f>
        <v>4.7457608103448274</v>
      </c>
      <c r="V63" s="14"/>
      <c r="X63" s="14">
        <f>P63-(N63-$N$124)*$AL$54</f>
        <v>37.039113620689662</v>
      </c>
      <c r="Y63" s="14">
        <f>X63-(B63-$A$124)*$AL$5</f>
        <v>37.041143137931044</v>
      </c>
    </row>
    <row r="64" spans="1:45" s="13" customFormat="1" x14ac:dyDescent="0.25">
      <c r="A64" s="1">
        <v>47</v>
      </c>
      <c r="B64" s="1">
        <f t="shared" si="2"/>
        <v>47</v>
      </c>
      <c r="C64" s="1" t="s">
        <v>0</v>
      </c>
      <c r="D64" s="1" t="s">
        <v>513</v>
      </c>
      <c r="E64" s="1">
        <v>7</v>
      </c>
      <c r="F64" s="1">
        <v>13205</v>
      </c>
      <c r="G64" s="1">
        <v>160.077</v>
      </c>
      <c r="H64" s="1">
        <v>4.7640000000000002</v>
      </c>
      <c r="I64" s="1">
        <v>37.055</v>
      </c>
      <c r="K64" s="14"/>
      <c r="L64" s="14"/>
      <c r="M64" s="14"/>
      <c r="N64" s="15"/>
      <c r="O64" s="14"/>
      <c r="P64" s="14"/>
      <c r="Q64" s="14"/>
      <c r="T64" s="14"/>
      <c r="U64" s="14"/>
      <c r="V64" s="14"/>
      <c r="X64" s="14"/>
      <c r="Y64" s="14"/>
    </row>
    <row r="65" spans="1:45" s="13" customFormat="1" x14ac:dyDescent="0.25">
      <c r="A65" s="1">
        <v>48</v>
      </c>
      <c r="B65" s="1">
        <f t="shared" si="2"/>
        <v>48</v>
      </c>
      <c r="C65" s="1" t="s">
        <v>0</v>
      </c>
      <c r="D65" s="1" t="s">
        <v>380</v>
      </c>
      <c r="E65" s="1">
        <v>6</v>
      </c>
      <c r="F65" s="1">
        <v>14153</v>
      </c>
      <c r="G65" s="1">
        <v>179.643</v>
      </c>
      <c r="H65" s="1">
        <v>4.718</v>
      </c>
      <c r="I65" s="1">
        <v>36.865000000000002</v>
      </c>
      <c r="K65" s="14">
        <f>AVERAGE(H65:H66)</f>
        <v>4.7445000000000004</v>
      </c>
      <c r="L65" s="14">
        <f>STDEV(H65:H66)</f>
        <v>3.7476659402886976E-2</v>
      </c>
      <c r="M65" s="14"/>
      <c r="N65" s="15">
        <f>AVERAGE(F65,F66)</f>
        <v>13677.5</v>
      </c>
      <c r="O65" s="14"/>
      <c r="P65" s="14">
        <f>AVERAGE(I65:I66)</f>
        <v>36.887500000000003</v>
      </c>
      <c r="Q65" s="14">
        <f>STDEV(I65:I66)</f>
        <v>3.181980515339082E-2</v>
      </c>
      <c r="T65" s="14">
        <f>K65-(N65-$N$124)*$AA$55</f>
        <v>4.7501532327586213</v>
      </c>
      <c r="U65" s="14">
        <f>T65-(B65-$A$124)*$AA$4</f>
        <v>4.7651660603448285</v>
      </c>
      <c r="V65" s="14"/>
      <c r="X65" s="14">
        <f>P65-(N65-$N$124)*$AL$54</f>
        <v>36.880716120689655</v>
      </c>
      <c r="Y65" s="14">
        <f>X65-(B65-$A$124)*$AL$5</f>
        <v>36.882689637931037</v>
      </c>
    </row>
    <row r="66" spans="1:45" s="13" customFormat="1" x14ac:dyDescent="0.25">
      <c r="A66" s="1">
        <v>48</v>
      </c>
      <c r="B66" s="1">
        <f t="shared" si="2"/>
        <v>48</v>
      </c>
      <c r="C66" s="1" t="s">
        <v>0</v>
      </c>
      <c r="D66" s="1" t="s">
        <v>380</v>
      </c>
      <c r="E66" s="1">
        <v>7</v>
      </c>
      <c r="F66" s="1">
        <v>13202</v>
      </c>
      <c r="G66" s="1">
        <v>167.017</v>
      </c>
      <c r="H66" s="1">
        <v>4.7709999999999999</v>
      </c>
      <c r="I66" s="1">
        <v>36.909999999999997</v>
      </c>
      <c r="K66" s="14"/>
      <c r="L66" s="14"/>
      <c r="M66" s="14"/>
      <c r="N66" s="15"/>
      <c r="O66" s="14"/>
      <c r="P66" s="14"/>
      <c r="Q66" s="14"/>
      <c r="T66" s="14"/>
      <c r="U66" s="14"/>
      <c r="V66" s="14"/>
      <c r="X66" s="14"/>
      <c r="Y66" s="14"/>
    </row>
    <row r="67" spans="1:45" s="13" customFormat="1" x14ac:dyDescent="0.25">
      <c r="A67" s="1">
        <v>59</v>
      </c>
      <c r="B67" s="1">
        <f t="shared" si="2"/>
        <v>59</v>
      </c>
      <c r="C67" s="1" t="s">
        <v>0</v>
      </c>
      <c r="D67" s="1" t="s">
        <v>289</v>
      </c>
      <c r="E67" s="1">
        <v>6</v>
      </c>
      <c r="F67" s="1">
        <v>14088</v>
      </c>
      <c r="G67" s="1">
        <v>178.83799999999999</v>
      </c>
      <c r="H67" s="1">
        <v>4.7409999999999997</v>
      </c>
      <c r="I67" s="1">
        <v>37</v>
      </c>
      <c r="K67" s="14">
        <f>AVERAGE(H67:H68)</f>
        <v>4.7594999999999992</v>
      </c>
      <c r="L67" s="14">
        <f>STDEV(H67:H68)</f>
        <v>2.6162950903902204E-2</v>
      </c>
      <c r="M67" s="14"/>
      <c r="N67" s="15">
        <f>AVERAGE(F67,F68)</f>
        <v>13612.5</v>
      </c>
      <c r="O67" s="14"/>
      <c r="P67" s="14">
        <f>AVERAGE(I67:I68)</f>
        <v>37.015000000000001</v>
      </c>
      <c r="Q67" s="14">
        <f>STDEV(I67:I68)</f>
        <v>2.1213203435597228E-2</v>
      </c>
      <c r="T67" s="14">
        <f>K67-(N67-$N$124)*$AA$55</f>
        <v>4.7659657327586196</v>
      </c>
      <c r="U67" s="14">
        <f>T67-(B67-$A$124)*$AA$4</f>
        <v>4.7762925603448263</v>
      </c>
      <c r="V67" s="14"/>
      <c r="X67" s="14">
        <f>P67-(N67-$N$124)*$AL$54</f>
        <v>37.007241120689656</v>
      </c>
      <c r="Y67" s="14">
        <f>X67-(B67-$A$124)*$AL$5</f>
        <v>37.008598637931037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s="13" customFormat="1" x14ac:dyDescent="0.25">
      <c r="A68" s="1">
        <v>59</v>
      </c>
      <c r="B68" s="1">
        <f t="shared" si="2"/>
        <v>59</v>
      </c>
      <c r="C68" s="1" t="s">
        <v>0</v>
      </c>
      <c r="D68" s="1" t="s">
        <v>289</v>
      </c>
      <c r="E68" s="1">
        <v>7</v>
      </c>
      <c r="F68" s="1">
        <v>13137</v>
      </c>
      <c r="G68" s="1">
        <v>166.16300000000001</v>
      </c>
      <c r="H68" s="1">
        <v>4.7779999999999996</v>
      </c>
      <c r="I68" s="1">
        <v>37.03</v>
      </c>
      <c r="K68" s="14"/>
      <c r="L68" s="14"/>
      <c r="M68" s="14"/>
      <c r="N68" s="15"/>
      <c r="O68" s="14"/>
      <c r="P68" s="14"/>
      <c r="Q68" s="14"/>
      <c r="T68" s="14"/>
      <c r="U68" s="14"/>
      <c r="V68" s="14"/>
      <c r="X68" s="14"/>
      <c r="Y68" s="14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s="13" customFormat="1" x14ac:dyDescent="0.25">
      <c r="A69" s="1">
        <v>60</v>
      </c>
      <c r="B69" s="1">
        <f t="shared" si="2"/>
        <v>60</v>
      </c>
      <c r="C69" s="1" t="s">
        <v>0</v>
      </c>
      <c r="D69" s="1" t="s">
        <v>380</v>
      </c>
      <c r="E69" s="1">
        <v>6</v>
      </c>
      <c r="F69" s="1">
        <v>15759</v>
      </c>
      <c r="G69" s="1">
        <v>193.91399999999999</v>
      </c>
      <c r="H69" s="1">
        <v>4.7169999999999996</v>
      </c>
      <c r="I69" s="1">
        <v>36.959000000000003</v>
      </c>
      <c r="K69" s="14">
        <f>AVERAGE(H69:H70)</f>
        <v>4.7464999999999993</v>
      </c>
      <c r="L69" s="14">
        <f>STDEV(H69:H70)</f>
        <v>4.171930009000642E-2</v>
      </c>
      <c r="M69" s="14"/>
      <c r="N69" s="15">
        <f>AVERAGE(F69,F70)</f>
        <v>15155</v>
      </c>
      <c r="O69" s="14"/>
      <c r="P69" s="14">
        <f>AVERAGE(I69:I70)</f>
        <v>36.970500000000001</v>
      </c>
      <c r="Q69" s="14">
        <f>STDEV(I69:I70)</f>
        <v>1.626345596728786E-2</v>
      </c>
      <c r="T69" s="14">
        <f>K69-(N69-$N$124)*$AA$55</f>
        <v>4.73368448275862</v>
      </c>
      <c r="U69" s="14">
        <f>T69-(B69-$A$124)*$AA$4</f>
        <v>4.7435853103448267</v>
      </c>
      <c r="V69" s="14"/>
      <c r="X69" s="14">
        <f>P69-(N69-$N$124)*$AL$54</f>
        <v>36.985878620689654</v>
      </c>
      <c r="Y69" s="14">
        <f>X69-(B69-$A$124)*$AL$5</f>
        <v>36.987180137931034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s="13" customFormat="1" x14ac:dyDescent="0.25">
      <c r="A70" s="1">
        <v>60</v>
      </c>
      <c r="B70" s="1">
        <f t="shared" si="2"/>
        <v>60</v>
      </c>
      <c r="C70" s="1" t="s">
        <v>0</v>
      </c>
      <c r="D70" s="1" t="s">
        <v>380</v>
      </c>
      <c r="E70" s="1">
        <v>7</v>
      </c>
      <c r="F70" s="1">
        <v>14551</v>
      </c>
      <c r="G70" s="1">
        <v>179.70099999999999</v>
      </c>
      <c r="H70" s="1">
        <v>4.7759999999999998</v>
      </c>
      <c r="I70" s="1">
        <v>36.981999999999999</v>
      </c>
      <c r="K70" s="14"/>
      <c r="L70" s="14"/>
      <c r="M70" s="14"/>
      <c r="N70" s="15"/>
      <c r="O70" s="14"/>
      <c r="P70" s="14"/>
      <c r="Q70" s="14"/>
      <c r="T70" s="14"/>
      <c r="U70" s="14"/>
      <c r="V70" s="14"/>
      <c r="X70" s="14"/>
      <c r="Y70" s="14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s="13" customFormat="1" x14ac:dyDescent="0.25">
      <c r="A71" s="1">
        <v>71</v>
      </c>
      <c r="B71" s="1">
        <f t="shared" si="2"/>
        <v>71</v>
      </c>
      <c r="C71" s="1" t="s">
        <v>0</v>
      </c>
      <c r="D71" s="1" t="s">
        <v>518</v>
      </c>
      <c r="E71" s="1">
        <v>6</v>
      </c>
      <c r="F71" s="1">
        <v>14004</v>
      </c>
      <c r="G71" s="1">
        <v>174.72</v>
      </c>
      <c r="H71" s="1">
        <v>4.7130000000000001</v>
      </c>
      <c r="I71" s="1">
        <v>36.993000000000002</v>
      </c>
      <c r="K71" s="14">
        <f>AVERAGE(H71:H72)</f>
        <v>4.7</v>
      </c>
      <c r="L71" s="14">
        <f>STDEV(H71:H72)</f>
        <v>1.8384776310850094E-2</v>
      </c>
      <c r="M71" s="14"/>
      <c r="N71" s="15">
        <f>AVERAGE(F71,F72)</f>
        <v>13494</v>
      </c>
      <c r="O71" s="14"/>
      <c r="P71" s="14">
        <f>AVERAGE(I71:I72)</f>
        <v>37.0015</v>
      </c>
      <c r="Q71" s="14">
        <f>STDEV(I71:I72)</f>
        <v>1.2020815280168415E-2</v>
      </c>
      <c r="T71" s="14">
        <f>K71-(N71-$N$124)*$AA$55</f>
        <v>4.7079469827586209</v>
      </c>
      <c r="U71" s="14">
        <f>T71-(B71-$A$124)*$AA$4</f>
        <v>4.7131618103448281</v>
      </c>
      <c r="V71" s="14"/>
      <c r="X71" s="14">
        <f>P71-(N71-$N$124)*$AL$54</f>
        <v>36.991963620689653</v>
      </c>
      <c r="Y71" s="14">
        <f>X71-(B71-$A$124)*$AL$5</f>
        <v>36.992649137931032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s="13" customFormat="1" x14ac:dyDescent="0.25">
      <c r="A72" s="1">
        <v>71</v>
      </c>
      <c r="B72" s="1">
        <f t="shared" si="2"/>
        <v>71</v>
      </c>
      <c r="C72" s="1" t="s">
        <v>0</v>
      </c>
      <c r="D72" s="1" t="s">
        <v>518</v>
      </c>
      <c r="E72" s="1">
        <v>7</v>
      </c>
      <c r="F72" s="1">
        <v>12984</v>
      </c>
      <c r="G72" s="1">
        <v>164.16800000000001</v>
      </c>
      <c r="H72" s="1">
        <v>4.6870000000000003</v>
      </c>
      <c r="I72" s="1">
        <v>37.01</v>
      </c>
      <c r="K72" s="14"/>
      <c r="L72" s="14"/>
      <c r="M72" s="14"/>
      <c r="N72" s="15"/>
      <c r="O72" s="14"/>
      <c r="P72" s="14"/>
      <c r="Q72" s="14"/>
      <c r="T72" s="14"/>
      <c r="U72" s="14"/>
      <c r="V72" s="14"/>
      <c r="X72" s="14"/>
      <c r="Y72" s="14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s="13" customFormat="1" x14ac:dyDescent="0.25">
      <c r="A73" s="1">
        <v>72</v>
      </c>
      <c r="B73" s="1">
        <f t="shared" si="2"/>
        <v>72</v>
      </c>
      <c r="C73" s="1" t="s">
        <v>0</v>
      </c>
      <c r="D73" s="1" t="s">
        <v>576</v>
      </c>
      <c r="E73" s="1">
        <v>6</v>
      </c>
      <c r="F73" s="1">
        <v>13499</v>
      </c>
      <c r="G73" s="1">
        <v>169.52199999999999</v>
      </c>
      <c r="H73" s="1">
        <v>4.6559999999999997</v>
      </c>
      <c r="I73" s="1">
        <v>37.054000000000002</v>
      </c>
      <c r="K73" s="14">
        <f>AVERAGE(H73:H74)</f>
        <v>4.6929999999999996</v>
      </c>
      <c r="L73" s="14">
        <f>STDEV(H73:H74)</f>
        <v>5.2325901807805032E-2</v>
      </c>
      <c r="M73" s="14"/>
      <c r="N73" s="15">
        <f>AVERAGE(F73,F74)</f>
        <v>13109</v>
      </c>
      <c r="O73" s="14"/>
      <c r="P73" s="14">
        <f>AVERAGE(I73:I74)</f>
        <v>37.058</v>
      </c>
      <c r="Q73" s="14">
        <f>STDEV(I73:I74)</f>
        <v>5.6568542494892455E-3</v>
      </c>
      <c r="T73" s="14">
        <f>K73-(N73-$N$124)*$AA$55</f>
        <v>4.7057594827586202</v>
      </c>
      <c r="U73" s="14">
        <f>T73-(B73-$A$124)*$AA$4</f>
        <v>4.7105483103448273</v>
      </c>
      <c r="V73" s="14"/>
      <c r="X73" s="14">
        <f>P73-(N73-$N$124)*$AL$54</f>
        <v>37.042688620689653</v>
      </c>
      <c r="Y73" s="14">
        <f>X73-(B73-$A$124)*$AL$5</f>
        <v>37.043318137931031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s="13" customFormat="1" x14ac:dyDescent="0.25">
      <c r="A74" s="1">
        <v>72</v>
      </c>
      <c r="B74" s="1">
        <f t="shared" si="2"/>
        <v>72</v>
      </c>
      <c r="C74" s="1" t="s">
        <v>0</v>
      </c>
      <c r="D74" s="1" t="s">
        <v>576</v>
      </c>
      <c r="E74" s="1">
        <v>7</v>
      </c>
      <c r="F74" s="1">
        <v>12719</v>
      </c>
      <c r="G74" s="1">
        <v>158.21299999999999</v>
      </c>
      <c r="H74" s="1">
        <v>4.7300000000000004</v>
      </c>
      <c r="I74" s="1">
        <v>37.061999999999998</v>
      </c>
      <c r="K74" s="14"/>
      <c r="L74" s="14"/>
      <c r="M74" s="14"/>
      <c r="N74" s="15"/>
      <c r="O74" s="14"/>
      <c r="P74" s="14"/>
      <c r="Q74" s="14"/>
      <c r="T74" s="14"/>
      <c r="U74" s="14"/>
      <c r="V74" s="14"/>
      <c r="X74" s="14"/>
      <c r="Y74" s="14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s="13" customFormat="1" x14ac:dyDescent="0.25">
      <c r="A75" s="1">
        <v>83</v>
      </c>
      <c r="B75" s="1">
        <f t="shared" si="2"/>
        <v>83</v>
      </c>
      <c r="C75" s="1" t="s">
        <v>0</v>
      </c>
      <c r="D75" s="1" t="s">
        <v>518</v>
      </c>
      <c r="E75" s="1">
        <v>6</v>
      </c>
      <c r="F75" s="1">
        <v>13181</v>
      </c>
      <c r="G75" s="1">
        <v>166.489</v>
      </c>
      <c r="H75" s="1">
        <v>4.7</v>
      </c>
      <c r="I75" s="1">
        <v>37.012999999999998</v>
      </c>
      <c r="K75" s="14">
        <f>AVERAGE(H75:H76)</f>
        <v>4.7275</v>
      </c>
      <c r="L75" s="14">
        <f>STDEV(H75:H76)</f>
        <v>3.8890872965259914E-2</v>
      </c>
      <c r="M75" s="14"/>
      <c r="N75" s="15">
        <f>AVERAGE(F75,F76)</f>
        <v>12773.5</v>
      </c>
      <c r="O75" s="14"/>
      <c r="P75" s="14">
        <f>AVERAGE(I75:I76)</f>
        <v>37.027000000000001</v>
      </c>
      <c r="Q75" s="14">
        <f>STDEV(I75:I76)</f>
        <v>1.9798989873222407E-2</v>
      </c>
      <c r="T75" s="14">
        <f>K75-(N75-$N$124)*$AA$55</f>
        <v>4.7444532327586204</v>
      </c>
      <c r="U75" s="14">
        <f>T75-(B75-$A$124)*$AA$4</f>
        <v>4.7445560603448271</v>
      </c>
      <c r="V75" s="14"/>
      <c r="X75" s="14">
        <f>P75-(N75-$N$124)*$AL$54</f>
        <v>37.006656120689655</v>
      </c>
      <c r="Y75" s="14">
        <f>X75-(B75-$A$124)*$AL$5</f>
        <v>37.006669637931033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s="13" customFormat="1" x14ac:dyDescent="0.25">
      <c r="A76" s="1">
        <v>83</v>
      </c>
      <c r="B76" s="1">
        <f t="shared" si="2"/>
        <v>83</v>
      </c>
      <c r="C76" s="1" t="s">
        <v>0</v>
      </c>
      <c r="D76" s="1" t="s">
        <v>518</v>
      </c>
      <c r="E76" s="1">
        <v>7</v>
      </c>
      <c r="F76" s="1">
        <v>12366</v>
      </c>
      <c r="G76" s="1">
        <v>154.828</v>
      </c>
      <c r="H76" s="1">
        <v>4.7549999999999999</v>
      </c>
      <c r="I76" s="1">
        <v>37.040999999999997</v>
      </c>
      <c r="K76" s="14"/>
      <c r="L76" s="14"/>
      <c r="M76" s="14"/>
      <c r="N76" s="15"/>
      <c r="O76" s="14"/>
      <c r="P76" s="14"/>
      <c r="Q76" s="14"/>
      <c r="T76" s="14"/>
      <c r="U76" s="14"/>
      <c r="V76" s="14"/>
      <c r="X76" s="14"/>
      <c r="Y76" s="14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s="13" customFormat="1" x14ac:dyDescent="0.25">
      <c r="A77" s="1">
        <v>84</v>
      </c>
      <c r="B77" s="1">
        <f t="shared" si="2"/>
        <v>84</v>
      </c>
      <c r="C77" s="1" t="s">
        <v>0</v>
      </c>
      <c r="D77" s="1" t="s">
        <v>269</v>
      </c>
      <c r="E77" s="1">
        <v>6</v>
      </c>
      <c r="F77" s="1">
        <v>12830</v>
      </c>
      <c r="G77" s="1">
        <v>161.59299999999999</v>
      </c>
      <c r="H77" s="1">
        <v>4.6849999999999996</v>
      </c>
      <c r="I77" s="1">
        <v>37.058999999999997</v>
      </c>
      <c r="K77" s="14">
        <f>AVERAGE(H77:H78)</f>
        <v>4.6715</v>
      </c>
      <c r="L77" s="14">
        <f>STDEV(H77:H78)</f>
        <v>1.9091883092036251E-2</v>
      </c>
      <c r="M77" s="14"/>
      <c r="N77" s="15">
        <f>AVERAGE(F77,F78)</f>
        <v>12370.5</v>
      </c>
      <c r="O77" s="14"/>
      <c r="P77" s="14">
        <f>AVERAGE(I77:I78)</f>
        <v>37.069000000000003</v>
      </c>
      <c r="Q77" s="14">
        <f>STDEV(I77:I78)</f>
        <v>1.4142135623733162E-2</v>
      </c>
      <c r="T77" s="14">
        <f>K77-(N77-$N$124)*$AA$55</f>
        <v>4.6934907327586206</v>
      </c>
      <c r="U77" s="14">
        <f>T77-(B77-$A$124)*$AA$4</f>
        <v>4.6931675603448273</v>
      </c>
      <c r="V77" s="14"/>
      <c r="X77" s="14">
        <f>P77-(N77-$N$124)*$AL$54</f>
        <v>37.042611120689656</v>
      </c>
      <c r="Y77" s="14">
        <f>X77-(B77-$A$124)*$AL$5</f>
        <v>37.042568637931033</v>
      </c>
    </row>
    <row r="78" spans="1:45" s="13" customFormat="1" x14ac:dyDescent="0.25">
      <c r="A78" s="1">
        <v>84</v>
      </c>
      <c r="B78" s="1">
        <f t="shared" si="2"/>
        <v>84</v>
      </c>
      <c r="C78" s="1" t="s">
        <v>0</v>
      </c>
      <c r="D78" s="1" t="s">
        <v>269</v>
      </c>
      <c r="E78" s="1">
        <v>7</v>
      </c>
      <c r="F78" s="1">
        <v>11911</v>
      </c>
      <c r="G78" s="1">
        <v>151.83500000000001</v>
      </c>
      <c r="H78" s="1">
        <v>4.6580000000000004</v>
      </c>
      <c r="I78" s="1">
        <v>37.079000000000001</v>
      </c>
      <c r="K78" s="14"/>
      <c r="L78" s="14"/>
      <c r="M78" s="14"/>
      <c r="N78" s="15"/>
      <c r="O78" s="14"/>
      <c r="P78" s="14"/>
      <c r="Q78" s="14"/>
      <c r="T78" s="14"/>
      <c r="U78" s="14"/>
      <c r="V78" s="14"/>
      <c r="X78" s="14"/>
      <c r="Y78" s="14"/>
      <c r="Z78" s="14"/>
    </row>
    <row r="79" spans="1:45" x14ac:dyDescent="0.25">
      <c r="A79" s="1">
        <v>95</v>
      </c>
      <c r="B79" s="1">
        <f t="shared" si="2"/>
        <v>95</v>
      </c>
      <c r="C79" s="1" t="s">
        <v>0</v>
      </c>
      <c r="D79" s="1" t="s">
        <v>513</v>
      </c>
      <c r="E79" s="1">
        <v>6</v>
      </c>
      <c r="F79" s="1">
        <v>12129</v>
      </c>
      <c r="G79" s="1">
        <v>153.238</v>
      </c>
      <c r="H79" s="1">
        <v>4.6479999999999997</v>
      </c>
      <c r="I79" s="1">
        <v>36.911000000000001</v>
      </c>
      <c r="J79" s="13"/>
      <c r="K79" s="14">
        <f>AVERAGE(H79:H80)</f>
        <v>4.6890000000000001</v>
      </c>
      <c r="L79" s="14">
        <f>STDEV(H79:H80)</f>
        <v>5.798275605729742E-2</v>
      </c>
      <c r="M79" s="14"/>
      <c r="N79" s="15">
        <f>AVERAGE(F79,F80)</f>
        <v>11762.5</v>
      </c>
      <c r="O79" s="14"/>
      <c r="P79" s="14">
        <f>AVERAGE(I79:I80)</f>
        <v>36.917000000000002</v>
      </c>
      <c r="Q79" s="14">
        <f>STDEV(I79:I80)</f>
        <v>8.4852813742388924E-3</v>
      </c>
      <c r="R79" s="13"/>
      <c r="S79" s="13"/>
      <c r="T79" s="14">
        <f>K79-(N79-$N$124)*$AA$55</f>
        <v>4.7185907327586207</v>
      </c>
      <c r="U79" s="14">
        <f>T79-(B79-$A$124)*$AA$4</f>
        <v>4.7135815603448279</v>
      </c>
      <c r="V79" s="14"/>
      <c r="W79" s="13"/>
      <c r="X79" s="14">
        <f>P79-(N79-$N$124)*$AL$54</f>
        <v>36.88149112068966</v>
      </c>
      <c r="Y79" s="14">
        <f>X79-(B79-$A$124)*$AL$5</f>
        <v>36.880832637931036</v>
      </c>
      <c r="Z79" s="14"/>
    </row>
    <row r="80" spans="1:45" s="57" customFormat="1" x14ac:dyDescent="0.25">
      <c r="A80" s="1">
        <v>95</v>
      </c>
      <c r="B80" s="1">
        <f t="shared" si="2"/>
        <v>95</v>
      </c>
      <c r="C80" s="1" t="s">
        <v>0</v>
      </c>
      <c r="D80" s="1" t="s">
        <v>513</v>
      </c>
      <c r="E80" s="1">
        <v>7</v>
      </c>
      <c r="F80" s="1">
        <v>11396</v>
      </c>
      <c r="G80" s="1">
        <v>142.67400000000001</v>
      </c>
      <c r="H80" s="1">
        <v>4.7300000000000004</v>
      </c>
      <c r="I80" s="1">
        <v>36.923000000000002</v>
      </c>
      <c r="J80" s="56"/>
      <c r="K80" s="55"/>
      <c r="L80" s="55"/>
      <c r="M80" s="55"/>
      <c r="N80" s="71"/>
      <c r="O80" s="55"/>
      <c r="P80" s="55"/>
      <c r="Q80" s="55"/>
      <c r="R80" s="56"/>
      <c r="S80" s="56"/>
      <c r="T80" s="55"/>
      <c r="U80" s="55"/>
      <c r="V80" s="55"/>
      <c r="W80" s="56"/>
      <c r="X80" s="55"/>
      <c r="Y80" s="55"/>
      <c r="Z80" s="55"/>
    </row>
    <row r="81" spans="1:26" x14ac:dyDescent="0.25">
      <c r="A81" s="1">
        <v>96</v>
      </c>
      <c r="B81" s="1">
        <f t="shared" si="2"/>
        <v>96</v>
      </c>
      <c r="C81" s="1" t="s">
        <v>0</v>
      </c>
      <c r="D81" s="1" t="s">
        <v>1202</v>
      </c>
      <c r="E81" s="1">
        <v>6</v>
      </c>
      <c r="F81" s="1">
        <v>16636</v>
      </c>
      <c r="G81" s="1">
        <v>208.79400000000001</v>
      </c>
      <c r="H81" s="1">
        <v>4.7670000000000003</v>
      </c>
      <c r="I81" s="1">
        <v>37.091999999999999</v>
      </c>
      <c r="J81" s="13"/>
      <c r="K81" s="14">
        <f>AVERAGE(H81:H82)</f>
        <v>4.7885</v>
      </c>
      <c r="L81" s="14">
        <f>STDEV(H81:H82)</f>
        <v>3.0405591591021019E-2</v>
      </c>
      <c r="M81" s="14"/>
      <c r="N81" s="15">
        <f>AVERAGE(F81,F82)</f>
        <v>16035.5</v>
      </c>
      <c r="O81" s="14"/>
      <c r="P81" s="14">
        <f>AVERAGE(I81:I82)</f>
        <v>37.100499999999997</v>
      </c>
      <c r="Q81" s="14">
        <f>STDEV(I81:I82)</f>
        <v>1.2020815280173439E-2</v>
      </c>
      <c r="R81" s="13"/>
      <c r="S81" s="13"/>
      <c r="T81" s="14">
        <f>K81-(N81-$N$124)*$AA$55</f>
        <v>4.7646782327586203</v>
      </c>
      <c r="U81" s="14">
        <f>T81-(B81-$A$124)*$AA$4</f>
        <v>4.7592430603448275</v>
      </c>
      <c r="V81" s="14"/>
      <c r="W81" s="13"/>
      <c r="X81" s="14">
        <f>P81-(N81-$N$124)*$AL$54</f>
        <v>37.129086120689649</v>
      </c>
      <c r="Y81" s="14">
        <f>X81-(B81-$A$124)*$AL$5</f>
        <v>37.128371637931032</v>
      </c>
      <c r="Z81" s="14"/>
    </row>
    <row r="82" spans="1:26" x14ac:dyDescent="0.25">
      <c r="A82" s="1">
        <v>96</v>
      </c>
      <c r="B82" s="1">
        <f t="shared" si="2"/>
        <v>96</v>
      </c>
      <c r="C82" s="1" t="s">
        <v>0</v>
      </c>
      <c r="D82" s="1" t="s">
        <v>1202</v>
      </c>
      <c r="E82" s="1">
        <v>7</v>
      </c>
      <c r="F82" s="1">
        <v>15435</v>
      </c>
      <c r="G82" s="1">
        <v>194.173</v>
      </c>
      <c r="H82" s="1">
        <v>4.8099999999999996</v>
      </c>
      <c r="I82" s="1">
        <v>37.109000000000002</v>
      </c>
      <c r="J82" s="13"/>
      <c r="K82" s="14"/>
      <c r="L82" s="14"/>
      <c r="M82" s="14"/>
      <c r="N82" s="15"/>
      <c r="O82" s="14"/>
      <c r="P82" s="14"/>
      <c r="Q82" s="14"/>
      <c r="R82" s="13"/>
      <c r="S82" s="13"/>
      <c r="T82" s="3"/>
      <c r="U82" s="3"/>
      <c r="V82" s="14"/>
      <c r="W82" s="13"/>
      <c r="X82" s="14"/>
      <c r="Y82" s="3"/>
      <c r="Z82" s="14"/>
    </row>
    <row r="83" spans="1:26" x14ac:dyDescent="0.25">
      <c r="A83" s="1">
        <v>98</v>
      </c>
      <c r="B83" s="1">
        <f t="shared" si="2"/>
        <v>98</v>
      </c>
      <c r="C83" s="1" t="s">
        <v>0</v>
      </c>
      <c r="D83" s="1" t="s">
        <v>299</v>
      </c>
      <c r="E83" s="1">
        <v>6</v>
      </c>
      <c r="F83" s="1">
        <v>14717</v>
      </c>
      <c r="G83" s="1">
        <v>187.13</v>
      </c>
      <c r="H83" s="1">
        <v>4.774</v>
      </c>
      <c r="I83" s="1">
        <v>37.034999999999997</v>
      </c>
      <c r="J83" s="13"/>
      <c r="K83" s="14">
        <f>AVERAGE(H83:H84)</f>
        <v>4.7985000000000007</v>
      </c>
      <c r="L83" s="14">
        <f>STDEV(H83:H84)</f>
        <v>3.4648232278141095E-2</v>
      </c>
      <c r="M83" s="14"/>
      <c r="N83" s="15">
        <f>AVERAGE(F83,F84)</f>
        <v>14211</v>
      </c>
      <c r="O83" s="14"/>
      <c r="P83" s="14">
        <f>AVERAGE(I83:I84)</f>
        <v>37.058499999999995</v>
      </c>
      <c r="Q83" s="14">
        <f>STDEV(I83:I84)</f>
        <v>3.3234018715770669E-2</v>
      </c>
      <c r="R83" s="13"/>
      <c r="S83" s="13"/>
      <c r="T83" s="14">
        <f>K83-(N83-$N$124)*$AA$55</f>
        <v>4.7974844827586214</v>
      </c>
      <c r="U83" s="14">
        <f>T83-(B83-$A$124)*$AA$4</f>
        <v>4.7911973103448284</v>
      </c>
      <c r="V83" s="14"/>
      <c r="W83" s="13"/>
      <c r="X83" s="14">
        <f>P83-(N83-$N$124)*$AL$54</f>
        <v>37.059718620689651</v>
      </c>
      <c r="Y83" s="14">
        <f>X83-(B83-$A$124)*$AL$5</f>
        <v>37.058892137931032</v>
      </c>
      <c r="Z83" s="14"/>
    </row>
    <row r="84" spans="1:26" x14ac:dyDescent="0.25">
      <c r="A84" s="1">
        <v>98</v>
      </c>
      <c r="B84" s="1">
        <f t="shared" si="2"/>
        <v>98</v>
      </c>
      <c r="C84" s="1" t="s">
        <v>0</v>
      </c>
      <c r="D84" s="1" t="s">
        <v>299</v>
      </c>
      <c r="E84" s="1">
        <v>7</v>
      </c>
      <c r="F84" s="1">
        <v>13705</v>
      </c>
      <c r="G84" s="1">
        <v>173.839</v>
      </c>
      <c r="H84" s="1">
        <v>4.8230000000000004</v>
      </c>
      <c r="I84" s="1">
        <v>37.082000000000001</v>
      </c>
      <c r="J84" s="13"/>
      <c r="K84" s="14"/>
      <c r="L84" s="14"/>
      <c r="M84" s="14"/>
      <c r="N84" s="15"/>
      <c r="O84" s="14"/>
      <c r="P84" s="14"/>
      <c r="Q84" s="14"/>
      <c r="R84" s="13"/>
      <c r="S84" s="13"/>
      <c r="T84" s="3"/>
      <c r="U84" s="3"/>
      <c r="V84" s="14"/>
      <c r="W84" s="13"/>
      <c r="X84" s="14"/>
      <c r="Y84" s="3"/>
      <c r="Z84" s="14"/>
    </row>
    <row r="85" spans="1:26" x14ac:dyDescent="0.25">
      <c r="A85" s="1">
        <v>99</v>
      </c>
      <c r="B85" s="1">
        <f t="shared" si="2"/>
        <v>99</v>
      </c>
      <c r="C85" s="1" t="s">
        <v>0</v>
      </c>
      <c r="D85" s="1" t="s">
        <v>286</v>
      </c>
      <c r="E85" s="1">
        <v>6</v>
      </c>
      <c r="F85" s="1">
        <v>14843</v>
      </c>
      <c r="G85" s="1">
        <v>180.15299999999999</v>
      </c>
      <c r="H85" s="1">
        <v>4.6929999999999996</v>
      </c>
      <c r="I85" s="1">
        <v>37.020000000000003</v>
      </c>
      <c r="K85" s="14">
        <f>AVERAGE(H85:H86)</f>
        <v>4.6869999999999994</v>
      </c>
      <c r="L85" s="14">
        <f>STDEV(H85:H86)</f>
        <v>8.4852813742382644E-3</v>
      </c>
      <c r="M85" s="14"/>
      <c r="N85" s="15">
        <f>AVERAGE(F85,F86)</f>
        <v>14413.5</v>
      </c>
      <c r="O85" s="14"/>
      <c r="P85" s="14">
        <f>AVERAGE(I85:I86)</f>
        <v>37.042000000000002</v>
      </c>
      <c r="Q85" s="14">
        <f>STDEV(I85:I86)</f>
        <v>3.111269837220592E-2</v>
      </c>
      <c r="R85" s="13"/>
      <c r="S85" s="13"/>
      <c r="T85" s="14">
        <f>K85-(N85-$N$124)*$AA$55</f>
        <v>4.6834532327586205</v>
      </c>
      <c r="U85" s="14">
        <f>T85-(B85-$A$124)*$AA$4</f>
        <v>4.6767400603448275</v>
      </c>
      <c r="V85" s="14"/>
      <c r="W85" s="13"/>
      <c r="X85" s="14">
        <f>P85-(N85-$N$124)*$AL$54</f>
        <v>37.046256120689655</v>
      </c>
      <c r="Y85" s="14">
        <f>X85-(B85-$A$124)*$AL$5</f>
        <v>37.045373637931036</v>
      </c>
      <c r="Z85" s="14"/>
    </row>
    <row r="86" spans="1:26" x14ac:dyDescent="0.25">
      <c r="A86" s="1">
        <v>99</v>
      </c>
      <c r="B86" s="1">
        <f t="shared" si="2"/>
        <v>99</v>
      </c>
      <c r="C86" s="1" t="s">
        <v>0</v>
      </c>
      <c r="D86" s="1" t="s">
        <v>286</v>
      </c>
      <c r="E86" s="1">
        <v>7</v>
      </c>
      <c r="F86" s="1">
        <v>13984</v>
      </c>
      <c r="G86" s="1">
        <v>170.92</v>
      </c>
      <c r="H86" s="1">
        <v>4.681</v>
      </c>
      <c r="I86" s="1">
        <v>37.064</v>
      </c>
      <c r="K86" s="14"/>
      <c r="L86" s="14"/>
      <c r="M86" s="14"/>
      <c r="N86" s="15"/>
      <c r="O86" s="14"/>
      <c r="P86" s="14"/>
      <c r="Q86" s="14"/>
      <c r="R86" s="13"/>
      <c r="S86" s="13"/>
      <c r="T86" s="14"/>
      <c r="U86" s="14"/>
      <c r="V86" s="14"/>
      <c r="W86" s="13"/>
      <c r="X86" s="14"/>
      <c r="Y86" s="14"/>
      <c r="Z86" s="14"/>
    </row>
    <row r="87" spans="1:26" x14ac:dyDescent="0.25">
      <c r="A87" s="1">
        <v>107</v>
      </c>
      <c r="B87" s="1">
        <f t="shared" si="2"/>
        <v>107</v>
      </c>
      <c r="C87" s="1" t="s">
        <v>0</v>
      </c>
      <c r="D87" s="1" t="s">
        <v>737</v>
      </c>
      <c r="E87" s="1">
        <v>6</v>
      </c>
      <c r="F87" s="1">
        <v>15094</v>
      </c>
      <c r="G87" s="1">
        <v>191.33099999999999</v>
      </c>
      <c r="H87" s="1">
        <v>4.75</v>
      </c>
      <c r="I87" s="1">
        <v>36.966999999999999</v>
      </c>
      <c r="K87" s="14">
        <f>AVERAGE(H87:H88)</f>
        <v>4.7625000000000002</v>
      </c>
      <c r="L87" s="14">
        <f>STDEV(H87:H88)</f>
        <v>1.7677669529663941E-2</v>
      </c>
      <c r="M87" s="14"/>
      <c r="N87" s="15">
        <f>AVERAGE(F87,F88)</f>
        <v>14561.5</v>
      </c>
      <c r="O87" s="14"/>
      <c r="P87" s="14">
        <f>AVERAGE(I87:I88)</f>
        <v>36.979500000000002</v>
      </c>
      <c r="Q87" s="14">
        <f>STDEV(I87:I88)</f>
        <v>1.7677669529662685E-2</v>
      </c>
      <c r="R87" s="13"/>
      <c r="S87" s="13"/>
      <c r="T87" s="14">
        <f>K87-(N87-$N$124)*$AA$55</f>
        <v>4.7571032327586211</v>
      </c>
      <c r="U87" s="14">
        <f>T87-(B87-$A$124)*$AA$4</f>
        <v>4.7469820603448278</v>
      </c>
      <c r="V87" s="14"/>
      <c r="W87" s="13"/>
      <c r="X87" s="14">
        <f>P87-(N87-$N$124)*$AL$54</f>
        <v>36.985976120689656</v>
      </c>
      <c r="Y87" s="14">
        <f>X87-(B87-$A$124)*$AL$5</f>
        <v>36.984645637931038</v>
      </c>
      <c r="Z87" s="14"/>
    </row>
    <row r="88" spans="1:26" x14ac:dyDescent="0.25">
      <c r="A88" s="1">
        <v>107</v>
      </c>
      <c r="B88" s="1">
        <f t="shared" si="2"/>
        <v>107</v>
      </c>
      <c r="C88" s="1" t="s">
        <v>0</v>
      </c>
      <c r="D88" s="1" t="s">
        <v>737</v>
      </c>
      <c r="E88" s="1">
        <v>7</v>
      </c>
      <c r="F88" s="1">
        <v>14029</v>
      </c>
      <c r="G88" s="1">
        <v>177.77500000000001</v>
      </c>
      <c r="H88" s="1">
        <v>4.7750000000000004</v>
      </c>
      <c r="I88" s="1">
        <v>36.991999999999997</v>
      </c>
      <c r="K88" s="14"/>
      <c r="L88" s="14"/>
      <c r="M88" s="14"/>
      <c r="N88" s="15"/>
      <c r="O88" s="14"/>
      <c r="P88" s="14"/>
      <c r="Q88" s="14"/>
      <c r="R88" s="13"/>
      <c r="S88" s="13"/>
      <c r="T88" s="14"/>
      <c r="U88" s="14"/>
      <c r="V88" s="14"/>
      <c r="W88" s="13"/>
      <c r="X88" s="14"/>
      <c r="Y88" s="14"/>
      <c r="Z88" s="14"/>
    </row>
    <row r="89" spans="1:26" x14ac:dyDescent="0.25">
      <c r="A89" s="1">
        <v>108</v>
      </c>
      <c r="B89" s="1">
        <f t="shared" si="2"/>
        <v>108</v>
      </c>
      <c r="C89" s="1" t="s">
        <v>0</v>
      </c>
      <c r="D89" s="1" t="s">
        <v>229</v>
      </c>
      <c r="E89" s="1">
        <v>6</v>
      </c>
      <c r="F89" s="1">
        <v>13925</v>
      </c>
      <c r="G89" s="1">
        <v>171.35900000000001</v>
      </c>
      <c r="H89" s="1">
        <v>4.6779999999999999</v>
      </c>
      <c r="I89" s="1">
        <v>37.01</v>
      </c>
      <c r="K89" s="14">
        <f>AVERAGE(H89:H90)</f>
        <v>4.6974999999999998</v>
      </c>
      <c r="L89" s="14">
        <f>STDEV(H89:H90)</f>
        <v>2.7577164466275145E-2</v>
      </c>
      <c r="M89" s="14"/>
      <c r="N89" s="15">
        <f>AVERAGE(F89,F90)</f>
        <v>13517.5</v>
      </c>
      <c r="O89" s="14"/>
      <c r="P89" s="14">
        <f>AVERAGE(I89:I90)</f>
        <v>37.037499999999994</v>
      </c>
      <c r="Q89" s="14">
        <f>STDEV(I89:I90)</f>
        <v>3.8890872965259914E-2</v>
      </c>
      <c r="R89" s="13"/>
      <c r="S89" s="13"/>
      <c r="T89" s="14">
        <f>K89-(N89-$N$124)*$AA$55</f>
        <v>4.7051532327586205</v>
      </c>
      <c r="U89" s="14">
        <f>T89-(B89-$A$124)*$AA$4</f>
        <v>4.6946060603448272</v>
      </c>
      <c r="V89" s="14"/>
      <c r="W89" s="13"/>
      <c r="X89" s="14">
        <f>P89-(N89-$N$124)*$AL$54</f>
        <v>37.028316120689652</v>
      </c>
      <c r="Y89" s="14">
        <f>X89-(B89-$A$124)*$AL$5</f>
        <v>37.026929637931033</v>
      </c>
      <c r="Z89" s="14"/>
    </row>
    <row r="90" spans="1:26" x14ac:dyDescent="0.25">
      <c r="A90" s="1">
        <v>108</v>
      </c>
      <c r="B90" s="1">
        <f t="shared" si="2"/>
        <v>108</v>
      </c>
      <c r="C90" s="1" t="s">
        <v>0</v>
      </c>
      <c r="D90" s="1" t="s">
        <v>229</v>
      </c>
      <c r="E90" s="1">
        <v>7</v>
      </c>
      <c r="F90" s="1">
        <v>13110</v>
      </c>
      <c r="G90" s="1">
        <v>160.28</v>
      </c>
      <c r="H90" s="1">
        <v>4.7169999999999996</v>
      </c>
      <c r="I90" s="1">
        <v>37.064999999999998</v>
      </c>
      <c r="K90" s="14"/>
      <c r="L90" s="14"/>
      <c r="M90" s="14"/>
      <c r="N90" s="15"/>
      <c r="O90" s="14"/>
      <c r="P90" s="14"/>
      <c r="Q90" s="14"/>
      <c r="R90" s="13"/>
      <c r="S90" s="13"/>
      <c r="T90" s="14"/>
      <c r="U90" s="14"/>
      <c r="V90" s="14"/>
      <c r="W90" s="13"/>
      <c r="X90" s="14"/>
      <c r="Y90" s="14"/>
      <c r="Z90" s="14"/>
    </row>
    <row r="91" spans="1:26" x14ac:dyDescent="0.25">
      <c r="A91" s="1">
        <v>119</v>
      </c>
      <c r="B91" s="1">
        <f t="shared" si="2"/>
        <v>119</v>
      </c>
      <c r="C91" s="1" t="s">
        <v>0</v>
      </c>
      <c r="E91" s="1">
        <v>6</v>
      </c>
      <c r="F91" s="1">
        <v>14949</v>
      </c>
      <c r="G91" s="1">
        <v>184.74199999999999</v>
      </c>
      <c r="H91" s="1">
        <v>4.7370000000000001</v>
      </c>
      <c r="I91" s="1">
        <v>36.844999999999999</v>
      </c>
      <c r="K91" s="14">
        <f>AVERAGE(H91:H92)</f>
        <v>4.7709999999999999</v>
      </c>
      <c r="L91" s="14">
        <f>STDEV(H91:H92)</f>
        <v>4.8083261120684957E-2</v>
      </c>
      <c r="M91" s="14"/>
      <c r="N91" s="15">
        <f>AVERAGE(F91,F92)</f>
        <v>14518</v>
      </c>
      <c r="O91" s="14"/>
      <c r="P91" s="14">
        <f>AVERAGE(I91:I92)</f>
        <v>36.880499999999998</v>
      </c>
      <c r="Q91" s="14">
        <f>STDEV(I91:I92)</f>
        <v>5.0204581464243427E-2</v>
      </c>
      <c r="R91" s="13"/>
      <c r="S91" s="13"/>
      <c r="T91" s="14">
        <f>K91-(N91-$N$124)*$AA$55</f>
        <v>4.7661469827586203</v>
      </c>
      <c r="U91" s="14">
        <f>T91-(B91-$A$124)*$AA$4</f>
        <v>4.7509138103448274</v>
      </c>
      <c r="V91" s="14"/>
      <c r="W91" s="13"/>
      <c r="X91" s="14">
        <f>P91-(N91-$N$124)*$AL$54</f>
        <v>36.886323620689652</v>
      </c>
      <c r="Y91" s="14">
        <f>X91-(B91-$A$124)*$AL$5</f>
        <v>36.884321137931032</v>
      </c>
      <c r="Z91" s="14"/>
    </row>
    <row r="92" spans="1:26" x14ac:dyDescent="0.25">
      <c r="A92" s="1">
        <v>119</v>
      </c>
      <c r="B92" s="1">
        <f t="shared" si="2"/>
        <v>119</v>
      </c>
      <c r="C92" s="1" t="s">
        <v>0</v>
      </c>
      <c r="E92" s="1">
        <v>7</v>
      </c>
      <c r="F92" s="1">
        <v>14087</v>
      </c>
      <c r="G92" s="1">
        <v>172.649</v>
      </c>
      <c r="H92" s="1">
        <v>4.8049999999999997</v>
      </c>
      <c r="I92" s="1">
        <v>36.915999999999997</v>
      </c>
      <c r="K92" s="14"/>
      <c r="L92" s="14"/>
      <c r="M92" s="14"/>
      <c r="N92" s="15"/>
      <c r="O92" s="14"/>
      <c r="P92" s="14"/>
      <c r="Q92" s="14"/>
      <c r="R92" s="13"/>
      <c r="S92" s="13"/>
      <c r="T92" s="14"/>
      <c r="U92" s="14"/>
      <c r="V92" s="14"/>
      <c r="W92" s="13"/>
      <c r="X92" s="14"/>
      <c r="Y92" s="14"/>
      <c r="Z92" s="14"/>
    </row>
    <row r="93" spans="1:26" x14ac:dyDescent="0.25">
      <c r="A93" s="1">
        <v>120</v>
      </c>
      <c r="B93" s="1">
        <f t="shared" si="2"/>
        <v>120</v>
      </c>
      <c r="C93" s="1" t="s">
        <v>0</v>
      </c>
      <c r="E93" s="1">
        <v>6</v>
      </c>
      <c r="F93" s="1">
        <v>15186</v>
      </c>
      <c r="G93" s="1">
        <v>192.816</v>
      </c>
      <c r="H93" s="1">
        <v>4.78</v>
      </c>
      <c r="I93" s="1">
        <v>36.984999999999999</v>
      </c>
      <c r="K93" s="14">
        <f>AVERAGE(H93:H94)</f>
        <v>4.8130000000000006</v>
      </c>
      <c r="L93" s="14">
        <f>STDEV(H93:H94)</f>
        <v>4.666904755831202E-2</v>
      </c>
      <c r="M93" s="14"/>
      <c r="N93" s="15">
        <f>AVERAGE(F93,F94)</f>
        <v>14637.5</v>
      </c>
      <c r="O93" s="14"/>
      <c r="P93" s="14">
        <f>AVERAGE(I93:I94)</f>
        <v>37.015999999999998</v>
      </c>
      <c r="Q93" s="14">
        <f>STDEV(I93:I94)</f>
        <v>4.3840620433564258E-2</v>
      </c>
      <c r="R93" s="13"/>
      <c r="S93" s="13"/>
      <c r="T93" s="14">
        <f>K93-(N93-$N$124)*$AA$55</f>
        <v>4.8066532327586211</v>
      </c>
      <c r="U93" s="14">
        <f>T93-(B93-$A$124)*$AA$4</f>
        <v>4.7909940603448282</v>
      </c>
      <c r="V93" s="14"/>
      <c r="W93" s="13"/>
      <c r="X93" s="14">
        <f>P93-(N93-$N$124)*$AL$54</f>
        <v>37.023616120689653</v>
      </c>
      <c r="Y93" s="14">
        <f>X93-(B93-$A$124)*$AL$5</f>
        <v>37.021557637931032</v>
      </c>
      <c r="Z93" s="14"/>
    </row>
    <row r="94" spans="1:26" x14ac:dyDescent="0.25">
      <c r="A94" s="1">
        <v>120</v>
      </c>
      <c r="B94" s="1">
        <f t="shared" si="2"/>
        <v>120</v>
      </c>
      <c r="C94" s="1" t="s">
        <v>0</v>
      </c>
      <c r="E94" s="1">
        <v>7</v>
      </c>
      <c r="F94" s="1">
        <v>14089</v>
      </c>
      <c r="G94" s="1">
        <v>178.97200000000001</v>
      </c>
      <c r="H94" s="1">
        <v>4.8460000000000001</v>
      </c>
      <c r="I94" s="1">
        <v>37.046999999999997</v>
      </c>
      <c r="K94" s="14"/>
      <c r="L94" s="14"/>
      <c r="M94" s="14"/>
      <c r="N94" s="15"/>
      <c r="O94" s="14"/>
      <c r="P94" s="14"/>
      <c r="Q94" s="14"/>
      <c r="R94" s="13"/>
      <c r="S94" s="13"/>
      <c r="T94" s="14"/>
      <c r="U94" s="14"/>
      <c r="V94" s="14"/>
      <c r="W94" s="13"/>
      <c r="X94" s="14"/>
      <c r="Y94" s="14"/>
      <c r="Z94" s="14"/>
    </row>
    <row r="95" spans="1:26" x14ac:dyDescent="0.25">
      <c r="A95" s="1">
        <v>131</v>
      </c>
      <c r="B95" s="1">
        <f t="shared" si="2"/>
        <v>131</v>
      </c>
      <c r="C95" s="1" t="s">
        <v>0</v>
      </c>
      <c r="E95" s="1">
        <v>6</v>
      </c>
      <c r="F95" s="1">
        <v>16505</v>
      </c>
      <c r="G95" s="1">
        <v>207.922</v>
      </c>
      <c r="H95" s="1">
        <v>4.8070000000000004</v>
      </c>
      <c r="I95" s="1">
        <v>36.99</v>
      </c>
      <c r="K95" s="14">
        <f>AVERAGE(H95:H96)</f>
        <v>4.8004999999999995</v>
      </c>
      <c r="L95" s="14">
        <f>STDEV(H95:H96)</f>
        <v>9.1923881554256751E-3</v>
      </c>
      <c r="M95" s="14"/>
      <c r="N95" s="15">
        <f>AVERAGE(F95,F96)</f>
        <v>15915</v>
      </c>
      <c r="O95" s="14"/>
      <c r="P95" s="14">
        <f>AVERAGE(I95:I96)</f>
        <v>36.999000000000002</v>
      </c>
      <c r="Q95" s="14">
        <f>STDEV(I95:I96)</f>
        <v>1.2727922061358338E-2</v>
      </c>
      <c r="R95" s="13"/>
      <c r="S95" s="13"/>
      <c r="T95" s="14">
        <f>K95-(N95-$N$124)*$AA$55</f>
        <v>4.7781844827586202</v>
      </c>
      <c r="U95" s="14">
        <f>T95-(B95-$A$124)*$AA$4</f>
        <v>4.7578393103448269</v>
      </c>
      <c r="V95" s="14"/>
      <c r="W95" s="13"/>
      <c r="X95" s="14">
        <f>P95-(N95-$N$124)*$AL$54</f>
        <v>37.025778620689657</v>
      </c>
      <c r="Y95" s="14">
        <f>X95-(B95-$A$124)*$AL$5</f>
        <v>37.023104137931035</v>
      </c>
      <c r="Z95" s="14"/>
    </row>
    <row r="96" spans="1:26" x14ac:dyDescent="0.25">
      <c r="A96" s="1">
        <v>131</v>
      </c>
      <c r="B96" s="1">
        <f t="shared" si="2"/>
        <v>131</v>
      </c>
      <c r="C96" s="1" t="s">
        <v>0</v>
      </c>
      <c r="E96" s="1">
        <v>7</v>
      </c>
      <c r="F96" s="1">
        <v>15325</v>
      </c>
      <c r="G96" s="1">
        <v>195.23400000000001</v>
      </c>
      <c r="H96" s="1">
        <v>4.7939999999999996</v>
      </c>
      <c r="I96" s="1">
        <v>37.008000000000003</v>
      </c>
      <c r="K96" s="14"/>
      <c r="L96" s="14"/>
      <c r="M96" s="14"/>
      <c r="N96" s="15"/>
      <c r="O96" s="14"/>
      <c r="P96" s="14"/>
      <c r="Q96" s="14"/>
      <c r="R96" s="13"/>
      <c r="S96" s="13"/>
      <c r="T96" s="14"/>
      <c r="U96" s="14"/>
      <c r="V96" s="14"/>
      <c r="W96" s="13"/>
      <c r="X96" s="14"/>
      <c r="Y96" s="14"/>
      <c r="Z96" s="14"/>
    </row>
    <row r="97" spans="1:26" x14ac:dyDescent="0.25">
      <c r="A97" s="1">
        <v>132</v>
      </c>
      <c r="B97" s="1">
        <f t="shared" si="2"/>
        <v>132</v>
      </c>
      <c r="C97" s="1" t="s">
        <v>0</v>
      </c>
      <c r="E97" s="1">
        <v>6</v>
      </c>
      <c r="F97" s="1">
        <v>19965</v>
      </c>
      <c r="G97" s="1">
        <v>243.29300000000001</v>
      </c>
      <c r="H97" s="1">
        <v>4.8620000000000001</v>
      </c>
      <c r="I97" s="1">
        <v>36.822000000000003</v>
      </c>
      <c r="K97" s="14">
        <f>AVERAGE(H97:H98)</f>
        <v>4.8294999999999995</v>
      </c>
      <c r="L97" s="14">
        <f>STDEV(H97:H98)</f>
        <v>4.5961940777125863E-2</v>
      </c>
      <c r="M97" s="14"/>
      <c r="N97" s="15">
        <f>AVERAGE(F97,F98)</f>
        <v>19377.5</v>
      </c>
      <c r="O97" s="14"/>
      <c r="P97" s="14">
        <f>AVERAGE(I97:I98)</f>
        <v>36.866</v>
      </c>
      <c r="Q97" s="14">
        <f>STDEV(I97:I98)</f>
        <v>6.222539674441184E-2</v>
      </c>
      <c r="R97" s="13"/>
      <c r="S97" s="13"/>
      <c r="T97" s="14">
        <f>K97-(N97-$N$124)*$AA$55</f>
        <v>4.7639032327586204</v>
      </c>
      <c r="U97" s="14">
        <f>T97-(B97-$A$124)*$AA$4</f>
        <v>4.743132060344827</v>
      </c>
      <c r="V97" s="14"/>
      <c r="W97" s="13"/>
      <c r="X97" s="14">
        <f>P97-(N97-$N$124)*$AL$54</f>
        <v>36.944716120689655</v>
      </c>
      <c r="Y97" s="14">
        <f>X97-(B97-$A$124)*$AL$5</f>
        <v>36.941985637931033</v>
      </c>
      <c r="Z97" s="14"/>
    </row>
    <row r="98" spans="1:26" x14ac:dyDescent="0.25">
      <c r="A98" s="1">
        <v>132</v>
      </c>
      <c r="B98" s="1">
        <f t="shared" si="2"/>
        <v>132</v>
      </c>
      <c r="C98" s="1" t="s">
        <v>0</v>
      </c>
      <c r="E98" s="1">
        <v>7</v>
      </c>
      <c r="F98" s="1">
        <v>18790</v>
      </c>
      <c r="G98" s="1">
        <v>230.37799999999999</v>
      </c>
      <c r="H98" s="1">
        <v>4.7969999999999997</v>
      </c>
      <c r="I98" s="1">
        <v>36.909999999999997</v>
      </c>
      <c r="K98" s="14"/>
      <c r="L98" s="14"/>
      <c r="M98" s="14"/>
      <c r="N98" s="15"/>
      <c r="O98" s="14"/>
      <c r="P98" s="14"/>
      <c r="Q98" s="14"/>
      <c r="R98" s="13"/>
      <c r="S98" s="13"/>
      <c r="T98" s="14"/>
      <c r="U98" s="14"/>
      <c r="V98" s="14"/>
      <c r="W98" s="13"/>
      <c r="X98" s="14"/>
      <c r="Y98" s="14"/>
      <c r="Z98" s="14"/>
    </row>
    <row r="99" spans="1:26" x14ac:dyDescent="0.25">
      <c r="A99" s="221"/>
      <c r="B99" s="221">
        <v>143</v>
      </c>
      <c r="C99" s="221" t="s">
        <v>0</v>
      </c>
      <c r="D99" s="130"/>
      <c r="E99" s="221">
        <v>6</v>
      </c>
      <c r="F99" s="221">
        <v>20299</v>
      </c>
      <c r="G99" s="221">
        <v>246.667</v>
      </c>
      <c r="H99" s="221">
        <v>4.8079999999999998</v>
      </c>
      <c r="I99" s="221">
        <v>36.402000000000001</v>
      </c>
      <c r="K99" s="14"/>
      <c r="L99" s="14"/>
      <c r="M99" s="14"/>
      <c r="N99" s="15"/>
      <c r="O99" s="14"/>
      <c r="P99" s="14"/>
      <c r="Q99" s="14"/>
      <c r="R99" s="13"/>
      <c r="S99" s="13"/>
      <c r="T99" s="14"/>
      <c r="U99" s="14"/>
      <c r="V99" s="14"/>
      <c r="W99" s="13"/>
      <c r="X99" s="14"/>
      <c r="Y99" s="14"/>
      <c r="Z99" s="14"/>
    </row>
    <row r="100" spans="1:26" x14ac:dyDescent="0.25">
      <c r="A100" s="221"/>
      <c r="B100" s="221">
        <v>143</v>
      </c>
      <c r="C100" s="221" t="s">
        <v>0</v>
      </c>
      <c r="D100" s="130"/>
      <c r="E100" s="221">
        <v>7</v>
      </c>
      <c r="F100" s="221">
        <v>19128</v>
      </c>
      <c r="G100" s="221">
        <v>233.26599999999999</v>
      </c>
      <c r="H100" s="221">
        <v>4.7789999999999999</v>
      </c>
      <c r="I100" s="221">
        <v>36.558</v>
      </c>
      <c r="K100" s="14"/>
      <c r="L100" s="14"/>
      <c r="M100" s="14"/>
      <c r="N100" s="15"/>
      <c r="O100" s="14"/>
      <c r="P100" s="14"/>
      <c r="Q100" s="14"/>
      <c r="R100" s="13"/>
      <c r="S100" s="13"/>
      <c r="T100" s="14"/>
      <c r="U100" s="14"/>
      <c r="V100" s="14"/>
      <c r="W100" s="13"/>
      <c r="X100" s="14"/>
      <c r="Y100" s="14"/>
      <c r="Z100" s="14"/>
    </row>
    <row r="101" spans="1:26" x14ac:dyDescent="0.25">
      <c r="A101" s="1">
        <v>144</v>
      </c>
      <c r="B101" s="1">
        <f t="shared" si="2"/>
        <v>144</v>
      </c>
      <c r="C101" s="1" t="s">
        <v>0</v>
      </c>
      <c r="E101" s="1">
        <v>6</v>
      </c>
      <c r="F101" s="1">
        <v>17137</v>
      </c>
      <c r="G101" s="1">
        <v>217.387</v>
      </c>
      <c r="H101" s="1">
        <v>4.8040000000000003</v>
      </c>
      <c r="I101" s="1">
        <v>36.954000000000001</v>
      </c>
      <c r="K101" s="14">
        <f>AVERAGE(H101:H102)</f>
        <v>4.8209999999999997</v>
      </c>
      <c r="L101" s="14">
        <f>STDEV(H101:H102)</f>
        <v>2.4041630560342479E-2</v>
      </c>
      <c r="M101" s="14"/>
      <c r="N101" s="15">
        <f>AVERAGE(F101,F102)</f>
        <v>16553</v>
      </c>
      <c r="O101" s="14"/>
      <c r="P101" s="14">
        <f>AVERAGE(I101:I102)</f>
        <v>36.970500000000001</v>
      </c>
      <c r="Q101" s="14">
        <f>STDEV(I101:I102)</f>
        <v>2.3334523779156954E-2</v>
      </c>
      <c r="R101" s="13"/>
      <c r="S101" s="13"/>
      <c r="T101" s="14">
        <f>K101-(N101-$N$124)*$AA$55</f>
        <v>4.7907094827586203</v>
      </c>
      <c r="U101" s="14">
        <f>T101-(B101-$A$124)*$AA$4</f>
        <v>4.7648263103448274</v>
      </c>
      <c r="V101" s="14"/>
      <c r="W101" s="13"/>
      <c r="X101" s="14">
        <f>P101-(N101-$N$124)*$AL$54</f>
        <v>37.006848620689659</v>
      </c>
      <c r="Y101" s="14">
        <f>X101-(B101-$A$124)*$AL$5</f>
        <v>37.003446137931036</v>
      </c>
      <c r="Z101" s="14"/>
    </row>
    <row r="102" spans="1:26" x14ac:dyDescent="0.25">
      <c r="A102" s="1">
        <v>144</v>
      </c>
      <c r="B102" s="1">
        <f t="shared" si="2"/>
        <v>144</v>
      </c>
      <c r="C102" s="1" t="s">
        <v>0</v>
      </c>
      <c r="E102" s="1">
        <v>7</v>
      </c>
      <c r="F102" s="1">
        <v>15969</v>
      </c>
      <c r="G102" s="1">
        <v>202.16900000000001</v>
      </c>
      <c r="H102" s="1">
        <v>4.8380000000000001</v>
      </c>
      <c r="I102" s="1">
        <v>36.987000000000002</v>
      </c>
      <c r="K102" s="14"/>
      <c r="L102" s="14"/>
      <c r="M102" s="14"/>
      <c r="N102" s="15"/>
      <c r="O102" s="14"/>
      <c r="P102" s="14"/>
      <c r="Q102" s="14"/>
      <c r="R102" s="13"/>
      <c r="S102" s="13"/>
      <c r="T102" s="14"/>
      <c r="U102" s="14"/>
      <c r="V102" s="14"/>
      <c r="W102" s="13"/>
      <c r="X102" s="14"/>
      <c r="Y102" s="14"/>
      <c r="Z102" s="14"/>
    </row>
    <row r="103" spans="1:26" x14ac:dyDescent="0.25">
      <c r="A103" s="1">
        <v>155</v>
      </c>
      <c r="B103" s="1">
        <f t="shared" si="2"/>
        <v>155</v>
      </c>
      <c r="C103" s="1" t="s">
        <v>0</v>
      </c>
      <c r="E103" s="1">
        <v>6</v>
      </c>
      <c r="F103" s="1">
        <v>18075</v>
      </c>
      <c r="G103" s="1">
        <v>229.19399999999999</v>
      </c>
      <c r="H103" s="1">
        <v>4.8380000000000001</v>
      </c>
      <c r="I103" s="1">
        <v>37.002000000000002</v>
      </c>
      <c r="K103" s="14">
        <f>AVERAGE(H103:H104)</f>
        <v>4.8294999999999995</v>
      </c>
      <c r="L103" s="14">
        <f>STDEV(H103:H104)</f>
        <v>1.2020815280171555E-2</v>
      </c>
      <c r="M103" s="14"/>
      <c r="N103" s="15">
        <f>AVERAGE(F103,F104)</f>
        <v>17453</v>
      </c>
      <c r="O103" s="14"/>
      <c r="P103" s="14">
        <f>AVERAGE(I103:I104)</f>
        <v>37.014499999999998</v>
      </c>
      <c r="Q103" s="14">
        <f>STDEV(I103:I104)</f>
        <v>1.7677669529662685E-2</v>
      </c>
      <c r="R103" s="13"/>
      <c r="S103" s="13"/>
      <c r="T103" s="14">
        <f>K103-(N103-$N$124)*$AA$55</f>
        <v>4.7879594827586205</v>
      </c>
      <c r="U103" s="14">
        <f>T103-(B103-$A$124)*$AA$4</f>
        <v>4.7573903103448272</v>
      </c>
      <c r="V103" s="14"/>
      <c r="W103" s="13"/>
      <c r="X103" s="14">
        <f>P103-(N103-$N$124)*$AL$54</f>
        <v>37.064348620689657</v>
      </c>
      <c r="Y103" s="14">
        <f>X103-(B103-$A$124)*$AL$5</f>
        <v>37.060330137931039</v>
      </c>
      <c r="Z103" s="14"/>
    </row>
    <row r="104" spans="1:26" x14ac:dyDescent="0.25">
      <c r="A104" s="1">
        <v>155</v>
      </c>
      <c r="B104" s="1">
        <f t="shared" si="2"/>
        <v>155</v>
      </c>
      <c r="C104" s="1" t="s">
        <v>0</v>
      </c>
      <c r="E104" s="1">
        <v>7</v>
      </c>
      <c r="F104" s="1">
        <v>16831</v>
      </c>
      <c r="G104" s="1">
        <v>215.10900000000001</v>
      </c>
      <c r="H104" s="1">
        <v>4.8209999999999997</v>
      </c>
      <c r="I104" s="1">
        <v>37.027000000000001</v>
      </c>
      <c r="K104" s="14"/>
      <c r="L104" s="14"/>
      <c r="M104" s="14"/>
      <c r="N104" s="15"/>
      <c r="O104" s="14"/>
      <c r="P104" s="14"/>
      <c r="Q104" s="14"/>
      <c r="R104" s="13"/>
      <c r="S104" s="13"/>
      <c r="T104" s="14"/>
      <c r="U104" s="14"/>
      <c r="V104" s="14"/>
      <c r="W104" s="13"/>
      <c r="X104" s="14"/>
      <c r="Y104" s="14"/>
      <c r="Z104" s="14"/>
    </row>
    <row r="105" spans="1:26" x14ac:dyDescent="0.25">
      <c r="A105" s="221"/>
      <c r="B105" s="221">
        <v>156</v>
      </c>
      <c r="C105" s="221" t="s">
        <v>0</v>
      </c>
      <c r="D105" s="130"/>
      <c r="E105" s="221">
        <v>6</v>
      </c>
      <c r="F105" s="221">
        <v>11457</v>
      </c>
      <c r="G105" s="221">
        <v>140.131</v>
      </c>
      <c r="H105" s="221">
        <v>4.6619999999999999</v>
      </c>
      <c r="I105" s="221">
        <v>35.831000000000003</v>
      </c>
      <c r="K105" s="14"/>
      <c r="L105" s="14"/>
      <c r="M105" s="14"/>
      <c r="N105" s="15"/>
      <c r="O105" s="14"/>
      <c r="P105" s="14"/>
      <c r="Q105" s="14"/>
      <c r="R105" s="13"/>
      <c r="S105" s="13"/>
      <c r="T105" s="14"/>
      <c r="U105" s="14"/>
      <c r="V105" s="14"/>
      <c r="W105" s="13"/>
      <c r="X105" s="14"/>
      <c r="Y105" s="14"/>
      <c r="Z105" s="14"/>
    </row>
    <row r="106" spans="1:26" x14ac:dyDescent="0.25">
      <c r="A106" s="221"/>
      <c r="B106" s="221">
        <v>156</v>
      </c>
      <c r="C106" s="221" t="s">
        <v>0</v>
      </c>
      <c r="D106" s="130"/>
      <c r="E106" s="221">
        <v>7</v>
      </c>
      <c r="F106" s="221">
        <v>10807</v>
      </c>
      <c r="G106" s="221">
        <v>131.25</v>
      </c>
      <c r="H106" s="221">
        <v>4.7640000000000002</v>
      </c>
      <c r="I106" s="221">
        <v>35.874000000000002</v>
      </c>
      <c r="K106" s="14"/>
      <c r="L106" s="14"/>
      <c r="M106" s="14"/>
      <c r="N106" s="15"/>
      <c r="O106" s="14"/>
      <c r="P106" s="14"/>
      <c r="Q106" s="14"/>
      <c r="R106" s="13"/>
      <c r="S106" s="13"/>
      <c r="T106" s="14"/>
      <c r="U106" s="14"/>
      <c r="V106" s="14"/>
      <c r="W106" s="13"/>
      <c r="X106" s="14"/>
      <c r="Y106" s="14"/>
      <c r="Z106" s="14"/>
    </row>
    <row r="107" spans="1:26" x14ac:dyDescent="0.25">
      <c r="A107" s="1">
        <v>167</v>
      </c>
      <c r="B107" s="1">
        <f t="shared" si="2"/>
        <v>167</v>
      </c>
      <c r="C107" s="1" t="s">
        <v>0</v>
      </c>
      <c r="E107" s="1">
        <v>6</v>
      </c>
      <c r="F107" s="1">
        <v>10699</v>
      </c>
      <c r="G107" s="1">
        <v>130.91</v>
      </c>
      <c r="H107" s="1">
        <v>4.7060000000000004</v>
      </c>
      <c r="I107" s="1">
        <v>37.072000000000003</v>
      </c>
      <c r="K107" s="14">
        <f>AVERAGE(H107:H108)</f>
        <v>4.7285000000000004</v>
      </c>
      <c r="L107" s="14">
        <f>STDEV(H107:H108)</f>
        <v>3.1819805153394588E-2</v>
      </c>
      <c r="M107" s="14"/>
      <c r="N107" s="15">
        <f>AVERAGE(F107,F108)</f>
        <v>10377</v>
      </c>
      <c r="O107" s="14"/>
      <c r="P107" s="14">
        <f>AVERAGE(I107:I108)</f>
        <v>37.082500000000003</v>
      </c>
      <c r="Q107" s="14">
        <f>STDEV(I107:I108)</f>
        <v>1.4849242404918061E-2</v>
      </c>
      <c r="R107" s="13"/>
      <c r="S107" s="13"/>
      <c r="T107" s="14">
        <f>K107-(N107-$N$124)*$AA$55</f>
        <v>4.7754094827586213</v>
      </c>
      <c r="U107" s="14">
        <f>T107-(B107-$A$124)*$AA$4</f>
        <v>4.7397283103448284</v>
      </c>
      <c r="V107" s="14"/>
      <c r="W107" s="13"/>
      <c r="X107" s="14">
        <f>P107-(N107-$N$124)*$AL$54</f>
        <v>37.026208620689658</v>
      </c>
      <c r="Y107" s="14">
        <f>X107-(B107-$A$124)*$AL$5</f>
        <v>37.021518137931039</v>
      </c>
      <c r="Z107" s="14"/>
    </row>
    <row r="108" spans="1:26" x14ac:dyDescent="0.25">
      <c r="A108" s="1">
        <v>167</v>
      </c>
      <c r="B108" s="1">
        <f t="shared" si="2"/>
        <v>167</v>
      </c>
      <c r="C108" s="1" t="s">
        <v>0</v>
      </c>
      <c r="E108" s="1">
        <v>7</v>
      </c>
      <c r="F108" s="1">
        <v>10055</v>
      </c>
      <c r="G108" s="1">
        <v>122.65</v>
      </c>
      <c r="H108" s="1">
        <v>4.7510000000000003</v>
      </c>
      <c r="I108" s="1">
        <v>37.093000000000004</v>
      </c>
      <c r="K108" s="14"/>
      <c r="L108" s="14"/>
      <c r="M108" s="14"/>
      <c r="N108" s="15"/>
      <c r="O108" s="14"/>
      <c r="P108" s="14"/>
      <c r="Q108" s="14"/>
      <c r="R108" s="13"/>
      <c r="S108" s="13"/>
      <c r="T108" s="14"/>
      <c r="U108" s="14"/>
      <c r="V108" s="14"/>
      <c r="W108" s="13"/>
      <c r="X108" s="14"/>
      <c r="Y108" s="14"/>
      <c r="Z108" s="14"/>
    </row>
    <row r="109" spans="1:26" x14ac:dyDescent="0.25">
      <c r="A109" s="1">
        <v>168</v>
      </c>
      <c r="B109" s="1">
        <f t="shared" si="2"/>
        <v>168</v>
      </c>
      <c r="C109" s="1" t="s">
        <v>0</v>
      </c>
      <c r="E109" s="1">
        <v>6</v>
      </c>
      <c r="F109" s="1">
        <v>12028</v>
      </c>
      <c r="G109" s="1">
        <v>153.42699999999999</v>
      </c>
      <c r="H109" s="1">
        <v>4.7770000000000001</v>
      </c>
      <c r="I109" s="1">
        <v>37.081000000000003</v>
      </c>
      <c r="K109" s="14">
        <f>AVERAGE(H109:H110)</f>
        <v>4.8085000000000004</v>
      </c>
      <c r="L109" s="14">
        <f>STDEV(H109:H110)</f>
        <v>4.4547727214752295E-2</v>
      </c>
      <c r="M109" s="14"/>
      <c r="N109" s="15">
        <f>AVERAGE(F109,F110)</f>
        <v>11618</v>
      </c>
      <c r="O109" s="14"/>
      <c r="P109" s="14">
        <f>AVERAGE(I109:I110)</f>
        <v>37.075000000000003</v>
      </c>
      <c r="Q109" s="14">
        <f>STDEV(I109:I110)</f>
        <v>8.4852813742388924E-3</v>
      </c>
      <c r="R109" s="13"/>
      <c r="S109" s="13"/>
      <c r="T109" s="14">
        <f>K109-(N109-$N$124)*$AA$55</f>
        <v>4.8398969827586216</v>
      </c>
      <c r="U109" s="14">
        <f>T109-(B109-$A$124)*$AA$4</f>
        <v>4.8037898103448287</v>
      </c>
      <c r="V109" s="14"/>
      <c r="W109" s="13"/>
      <c r="X109" s="14">
        <f>P109-(N109-$N$124)*$AL$54</f>
        <v>37.037323620689655</v>
      </c>
      <c r="Y109" s="14">
        <f>X109-(B109-$A$124)*$AL$5</f>
        <v>37.032577137931035</v>
      </c>
      <c r="Z109" s="14"/>
    </row>
    <row r="110" spans="1:26" x14ac:dyDescent="0.25">
      <c r="A110" s="1">
        <v>168</v>
      </c>
      <c r="B110" s="1">
        <f t="shared" si="2"/>
        <v>168</v>
      </c>
      <c r="C110" s="1" t="s">
        <v>0</v>
      </c>
      <c r="E110" s="1">
        <v>7</v>
      </c>
      <c r="F110" s="1">
        <v>11208</v>
      </c>
      <c r="G110" s="1">
        <v>142.459</v>
      </c>
      <c r="H110" s="1">
        <v>4.84</v>
      </c>
      <c r="I110" s="1">
        <v>37.069000000000003</v>
      </c>
      <c r="K110" s="14"/>
      <c r="L110" s="14"/>
      <c r="M110" s="14"/>
      <c r="N110" s="15"/>
      <c r="O110" s="14"/>
      <c r="P110" s="14"/>
      <c r="Q110" s="14"/>
      <c r="R110" s="13"/>
      <c r="S110" s="13"/>
      <c r="T110" s="14"/>
      <c r="U110" s="14"/>
      <c r="V110" s="14"/>
      <c r="W110" s="13"/>
      <c r="X110" s="14"/>
      <c r="Y110" s="14"/>
      <c r="Z110" s="14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K111" s="14"/>
      <c r="L111" s="14"/>
      <c r="M111" s="14"/>
      <c r="N111" s="15"/>
      <c r="O111" s="14"/>
      <c r="P111" s="14"/>
      <c r="Q111" s="14"/>
      <c r="R111" s="13"/>
      <c r="S111" s="13"/>
      <c r="T111" s="14"/>
      <c r="U111" s="14"/>
      <c r="V111" s="14"/>
      <c r="W111" s="13"/>
      <c r="X111" s="14"/>
      <c r="Y111" s="14"/>
      <c r="Z111" s="14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K112" s="14"/>
      <c r="L112" s="14"/>
      <c r="M112" s="14"/>
      <c r="N112" s="15"/>
      <c r="O112" s="14"/>
      <c r="P112" s="14"/>
      <c r="Q112" s="14"/>
      <c r="R112" s="13"/>
      <c r="S112" s="13"/>
      <c r="T112" s="14"/>
      <c r="U112" s="14"/>
      <c r="V112" s="14"/>
      <c r="W112" s="13"/>
      <c r="X112" s="14"/>
      <c r="Y112" s="14"/>
      <c r="Z112" s="14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K113" s="14" t="e">
        <f>AVERAGE(H113:H114)</f>
        <v>#DIV/0!</v>
      </c>
      <c r="L113" s="14" t="e">
        <f>STDEV(H113:H114)</f>
        <v>#DIV/0!</v>
      </c>
      <c r="M113" s="14"/>
      <c r="N113" s="15" t="e">
        <f>AVERAGE(F113,F114)</f>
        <v>#DIV/0!</v>
      </c>
      <c r="O113" s="14"/>
      <c r="P113" s="14" t="e">
        <f>AVERAGE(I113:I114)</f>
        <v>#DIV/0!</v>
      </c>
      <c r="Q113" s="14" t="e">
        <f>STDEV(I113:I114)</f>
        <v>#DIV/0!</v>
      </c>
      <c r="R113" s="13"/>
      <c r="S113" s="13"/>
      <c r="T113" s="14" t="e">
        <f>U113-(N113-$N$124)*$AA$55</f>
        <v>#DIV/0!</v>
      </c>
      <c r="U113" s="14" t="e">
        <f>K113-(B113-$A$124)*$AA$4</f>
        <v>#DIV/0!</v>
      </c>
      <c r="V113" s="14"/>
      <c r="W113" s="13"/>
      <c r="X113" s="14" t="e">
        <f>Y113-(N113-$N$124)*$AL$54</f>
        <v>#DIV/0!</v>
      </c>
      <c r="Y113" s="14" t="e">
        <f>P113-(B113-$A$124)*$AL$5</f>
        <v>#DIV/0!</v>
      </c>
      <c r="Z113" s="14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K114" s="14"/>
      <c r="L114" s="14"/>
      <c r="M114" s="14"/>
      <c r="N114" s="15"/>
      <c r="O114" s="14"/>
      <c r="P114" s="14"/>
      <c r="Q114" s="14"/>
      <c r="R114" s="13"/>
      <c r="S114" s="13"/>
      <c r="T114" s="14"/>
      <c r="U114" s="14"/>
      <c r="V114" s="14"/>
      <c r="W114" s="13"/>
      <c r="X114" s="14"/>
      <c r="Y114" s="14"/>
      <c r="Z114" s="14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K115" s="14" t="e">
        <f>AVERAGE(H115:H116)</f>
        <v>#DIV/0!</v>
      </c>
      <c r="L115" s="14" t="e">
        <f>STDEV(H115:H116)</f>
        <v>#DIV/0!</v>
      </c>
      <c r="M115" s="14"/>
      <c r="N115" s="15" t="e">
        <f>AVERAGE(F115,F116)</f>
        <v>#DIV/0!</v>
      </c>
      <c r="O115" s="14"/>
      <c r="P115" s="14" t="e">
        <f>AVERAGE(I115:I116)</f>
        <v>#DIV/0!</v>
      </c>
      <c r="Q115" s="14" t="e">
        <f>STDEV(I115:I116)</f>
        <v>#DIV/0!</v>
      </c>
      <c r="R115" s="13"/>
      <c r="S115" s="13"/>
      <c r="T115" s="14" t="e">
        <f>U115-(N115-$N$124)*$AA$55</f>
        <v>#DIV/0!</v>
      </c>
      <c r="U115" s="14" t="e">
        <f>K115-(B115-$A$124)*$AA$4</f>
        <v>#DIV/0!</v>
      </c>
      <c r="V115" s="14"/>
      <c r="W115" s="13"/>
      <c r="X115" s="14" t="e">
        <f>Y115-(N115-$N$124)*$AL$54</f>
        <v>#DIV/0!</v>
      </c>
      <c r="Y115" s="14" t="e">
        <f>P115-(B115-$A$124)*$AL$5</f>
        <v>#DIV/0!</v>
      </c>
      <c r="Z115" s="14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K116" s="14"/>
      <c r="L116" s="14"/>
      <c r="M116" s="14"/>
      <c r="N116" s="15"/>
      <c r="O116" s="14"/>
      <c r="P116" s="14"/>
      <c r="Q116" s="14"/>
      <c r="R116" s="13"/>
      <c r="S116" s="13"/>
      <c r="T116" s="14"/>
      <c r="U116" s="14"/>
      <c r="V116" s="14"/>
      <c r="W116" s="13"/>
      <c r="X116" s="14"/>
      <c r="Y116" s="14"/>
      <c r="Z116" s="14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K117" s="14" t="e">
        <f>AVERAGE(H117:H118)</f>
        <v>#DIV/0!</v>
      </c>
      <c r="L117" s="14" t="e">
        <f>STDEV(H117:H118)</f>
        <v>#DIV/0!</v>
      </c>
      <c r="M117" s="14"/>
      <c r="N117" s="15" t="e">
        <f>AVERAGE(F117,F118)</f>
        <v>#DIV/0!</v>
      </c>
      <c r="O117" s="14"/>
      <c r="P117" s="14" t="e">
        <f>AVERAGE(I117:I118)</f>
        <v>#DIV/0!</v>
      </c>
      <c r="Q117" s="14" t="e">
        <f>STDEV(I117:I118)</f>
        <v>#DIV/0!</v>
      </c>
      <c r="R117" s="13"/>
      <c r="S117" s="13"/>
      <c r="T117" s="14" t="e">
        <f>U117-(N117-$N$124)*$AA$55</f>
        <v>#DIV/0!</v>
      </c>
      <c r="U117" s="14" t="e">
        <f>K117-(B117-$A$124)*$AA$4</f>
        <v>#DIV/0!</v>
      </c>
      <c r="V117" s="14"/>
      <c r="W117" s="13"/>
      <c r="X117" s="14" t="e">
        <f>Y117-(N117-$N$124)*$AL$54</f>
        <v>#DIV/0!</v>
      </c>
      <c r="Y117" s="14" t="e">
        <f>P117-(B117-$A$124)*$AL$5</f>
        <v>#DIV/0!</v>
      </c>
      <c r="Z117" s="14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K118" s="14"/>
      <c r="L118" s="14"/>
      <c r="M118" s="14"/>
      <c r="N118" s="15"/>
      <c r="O118" s="14"/>
      <c r="P118" s="14"/>
      <c r="Q118" s="14"/>
      <c r="R118" s="13"/>
      <c r="S118" s="13"/>
      <c r="T118" s="14"/>
      <c r="U118" s="14"/>
      <c r="V118" s="14"/>
      <c r="W118" s="13"/>
      <c r="X118" s="14"/>
      <c r="Y118" s="14"/>
      <c r="Z118" s="14"/>
    </row>
    <row r="119" spans="1:26" x14ac:dyDescent="0.25">
      <c r="K119" s="14"/>
      <c r="L119" s="14"/>
      <c r="M119" s="14"/>
      <c r="N119" s="15"/>
      <c r="O119" s="14"/>
      <c r="P119" s="14"/>
      <c r="Q119" s="14"/>
      <c r="R119" s="13"/>
      <c r="S119" s="13"/>
      <c r="T119" s="14"/>
      <c r="U119" s="14"/>
      <c r="V119" s="14"/>
      <c r="W119" s="13"/>
      <c r="X119" s="14"/>
      <c r="Y119" s="14"/>
      <c r="Z119" s="14"/>
    </row>
    <row r="120" spans="1:26" x14ac:dyDescent="0.25">
      <c r="K120" s="14"/>
      <c r="L120" s="14"/>
      <c r="M120" s="14"/>
      <c r="N120" s="15"/>
      <c r="O120" s="14"/>
      <c r="P120" s="14"/>
      <c r="Q120" s="14"/>
      <c r="R120" s="13"/>
      <c r="S120" s="13"/>
      <c r="T120" s="14"/>
      <c r="U120" s="14"/>
      <c r="V120" s="14"/>
      <c r="W120" s="13"/>
      <c r="X120" s="14"/>
      <c r="Y120" s="14"/>
      <c r="Z120" s="14"/>
    </row>
    <row r="121" spans="1:26" x14ac:dyDescent="0.25">
      <c r="L121" s="14"/>
      <c r="M121" s="14"/>
      <c r="N121" s="15"/>
      <c r="O121" s="14"/>
      <c r="P121" s="14"/>
      <c r="Q121" s="14"/>
      <c r="R121" s="13"/>
      <c r="S121" s="13"/>
      <c r="T121" s="14"/>
      <c r="U121" s="14"/>
      <c r="V121" s="14"/>
      <c r="W121" s="13"/>
      <c r="X121" s="14"/>
      <c r="Y121" s="14"/>
      <c r="Z121" s="14"/>
    </row>
    <row r="122" spans="1:26" x14ac:dyDescent="0.25">
      <c r="L122" s="14"/>
      <c r="M122" s="14"/>
      <c r="N122" s="15"/>
      <c r="O122" s="14"/>
      <c r="P122" s="14"/>
      <c r="Q122" s="14"/>
      <c r="R122" s="13"/>
      <c r="S122" s="13"/>
      <c r="T122" s="14"/>
      <c r="U122" s="14"/>
      <c r="V122" s="14"/>
      <c r="W122" s="13"/>
      <c r="X122" s="14"/>
      <c r="Y122" s="14"/>
      <c r="Z122" s="14"/>
    </row>
    <row r="123" spans="1:26" x14ac:dyDescent="0.25">
      <c r="L123" s="14"/>
      <c r="M123" s="14"/>
      <c r="N123" s="15"/>
      <c r="O123" s="14"/>
      <c r="P123" s="14"/>
      <c r="Q123" s="14"/>
      <c r="R123" s="13"/>
      <c r="S123" s="13"/>
      <c r="T123" s="14"/>
      <c r="U123" s="14"/>
      <c r="V123" s="14"/>
      <c r="W123" s="13"/>
      <c r="X123" s="14"/>
      <c r="Y123" s="14"/>
      <c r="Z123" s="14"/>
    </row>
    <row r="124" spans="1:26" x14ac:dyDescent="0.25">
      <c r="A124" s="71">
        <f>AVERAGE(A49:A118)</f>
        <v>83.241379310344826</v>
      </c>
      <c r="K124" s="14"/>
      <c r="L124" s="14"/>
      <c r="M124" s="14"/>
      <c r="N124" s="71">
        <f>AVERAGE(N49:N110)</f>
        <v>14129.758620689656</v>
      </c>
      <c r="O124" s="14"/>
      <c r="P124" s="14"/>
      <c r="Q124" s="14"/>
      <c r="R124" s="13"/>
      <c r="S124" s="13"/>
      <c r="T124" s="14"/>
      <c r="U124" s="14"/>
      <c r="V124" s="14"/>
      <c r="W124" s="13"/>
      <c r="X124" s="14"/>
      <c r="Y124" s="14"/>
      <c r="Z124" s="14"/>
    </row>
    <row r="125" spans="1:26" ht="15.75" thickBot="1" x14ac:dyDescent="0.3">
      <c r="A125" s="2"/>
      <c r="K125" s="14"/>
      <c r="L125" s="14"/>
      <c r="M125" s="14"/>
      <c r="N125" s="15"/>
      <c r="O125" s="14"/>
      <c r="P125" s="14"/>
      <c r="Q125" s="14"/>
      <c r="R125" s="13"/>
      <c r="S125" s="13"/>
      <c r="T125" s="18"/>
      <c r="U125" s="18"/>
      <c r="V125" s="55"/>
      <c r="W125" s="56"/>
      <c r="X125" s="55"/>
      <c r="Y125" s="18"/>
      <c r="Z125" s="14"/>
    </row>
    <row r="126" spans="1:26" s="57" customFormat="1" x14ac:dyDescent="0.25">
      <c r="J126" s="56"/>
      <c r="K126" s="3">
        <f>AVERAGE(K49:K110)</f>
        <v>4.748293103448276</v>
      </c>
      <c r="L126" s="55"/>
      <c r="M126" s="55"/>
      <c r="O126" s="55"/>
      <c r="P126" s="55">
        <f>AVERAGE(P49:P110)</f>
        <v>37.008310344827592</v>
      </c>
      <c r="Q126" s="55"/>
      <c r="R126" s="56"/>
      <c r="S126" s="56"/>
      <c r="T126" s="55">
        <f>AVERAGE(T49:T110)</f>
        <v>4.748293103448276</v>
      </c>
      <c r="U126" s="146">
        <f>AVERAGE(U49:U110)</f>
        <v>4.7482931034482752</v>
      </c>
      <c r="V126" s="55"/>
      <c r="W126" s="56"/>
      <c r="X126" s="55">
        <f>AVERAGE(X49:X110)</f>
        <v>37.008310344827585</v>
      </c>
      <c r="Y126" s="146">
        <f>AVERAGE(Y49:Y110)</f>
        <v>37.008310344827578</v>
      </c>
      <c r="Z126" s="55"/>
    </row>
    <row r="127" spans="1:26" s="57" customFormat="1" ht="15.75" thickBot="1" x14ac:dyDescent="0.3">
      <c r="J127" s="56"/>
      <c r="K127" s="3">
        <f>STDEV(K49:K110)</f>
        <v>4.959722004763175E-2</v>
      </c>
      <c r="L127" s="55"/>
      <c r="M127" s="55"/>
      <c r="N127" s="71"/>
      <c r="O127" s="55"/>
      <c r="P127" s="55">
        <f>STDEV(P49:P110)</f>
        <v>6.3531968020762108E-2</v>
      </c>
      <c r="Q127" s="55"/>
      <c r="R127" s="56"/>
      <c r="S127" s="56"/>
      <c r="T127" s="55">
        <f>STDEV(T49:T110)</f>
        <v>4.3198261025403001E-2</v>
      </c>
      <c r="U127" s="147">
        <f>STDEV(U49:U110)</f>
        <v>3.812785377153468E-2</v>
      </c>
      <c r="V127" s="55"/>
      <c r="W127" s="56"/>
      <c r="X127" s="55">
        <f>STDEV(X49:X110)</f>
        <v>5.6150254090441637E-2</v>
      </c>
      <c r="Y127" s="147">
        <f>STDEV(Y49:Y110)</f>
        <v>5.6086724591971907E-2</v>
      </c>
      <c r="Z127" s="55"/>
    </row>
    <row r="128" spans="1:26" s="57" customFormat="1" x14ac:dyDescent="0.25">
      <c r="J128" s="56"/>
      <c r="L128" s="55"/>
      <c r="M128" s="55"/>
      <c r="N128" s="71"/>
      <c r="O128" s="55"/>
      <c r="P128" s="55"/>
      <c r="Q128" s="55"/>
      <c r="R128" s="56"/>
      <c r="S128" s="56"/>
      <c r="T128" s="55"/>
      <c r="U128" s="55"/>
      <c r="V128" s="55"/>
      <c r="W128" s="56"/>
      <c r="X128" s="55"/>
      <c r="Y128" s="55"/>
      <c r="Z128" s="55"/>
    </row>
    <row r="129" spans="1:39" s="10" customFormat="1" ht="15.75" thickBot="1" x14ac:dyDescent="0.3">
      <c r="A129" s="70"/>
      <c r="J129" s="68"/>
      <c r="K129" s="69"/>
      <c r="L129" s="69"/>
      <c r="M129" s="69"/>
      <c r="N129" s="70"/>
      <c r="O129" s="69"/>
      <c r="P129" s="69"/>
      <c r="Q129" s="69"/>
      <c r="R129" s="68"/>
      <c r="S129" s="68"/>
      <c r="Z129" s="69"/>
    </row>
    <row r="134" spans="1:39" ht="15.75" thickBot="1" x14ac:dyDescent="0.3">
      <c r="R134" s="10"/>
      <c r="S134" s="10"/>
      <c r="T134" s="10"/>
      <c r="U134" s="10"/>
    </row>
    <row r="135" spans="1:39" x14ac:dyDescent="0.25">
      <c r="Q135" s="6"/>
      <c r="R135" s="41" t="s">
        <v>19</v>
      </c>
      <c r="S135" s="42" t="s">
        <v>20</v>
      </c>
      <c r="T135" s="43" t="s">
        <v>22</v>
      </c>
      <c r="U135" s="177" t="s">
        <v>21</v>
      </c>
    </row>
    <row r="136" spans="1:39" x14ac:dyDescent="0.25">
      <c r="Q136" s="7" t="s">
        <v>23</v>
      </c>
      <c r="R136" s="2">
        <v>-5.0140000000000002</v>
      </c>
      <c r="S136" s="3">
        <f>U21</f>
        <v>-4.6657347521551724</v>
      </c>
      <c r="T136" s="8">
        <f>Y21</f>
        <v>17.307636012931034</v>
      </c>
      <c r="U136" s="176">
        <v>7.2</v>
      </c>
      <c r="W136" s="3"/>
      <c r="Y136" s="3"/>
    </row>
    <row r="137" spans="1:39" x14ac:dyDescent="0.25">
      <c r="Q137" s="7" t="s">
        <v>24</v>
      </c>
      <c r="R137" s="2">
        <v>1.95</v>
      </c>
      <c r="S137" s="3">
        <f>U43</f>
        <v>2.2984346853448274</v>
      </c>
      <c r="T137" s="8">
        <f>Y43</f>
        <v>39.135238887931031</v>
      </c>
      <c r="U137" s="175">
        <v>28.6</v>
      </c>
      <c r="W137" s="3"/>
      <c r="Y137" s="3"/>
    </row>
    <row r="138" spans="1:39" ht="15.75" thickBot="1" x14ac:dyDescent="0.3">
      <c r="Q138" s="9" t="s">
        <v>0</v>
      </c>
      <c r="R138" s="10">
        <v>4.49</v>
      </c>
      <c r="S138" s="11">
        <f>U126</f>
        <v>4.7482931034482752</v>
      </c>
      <c r="T138" s="12">
        <f>Y126</f>
        <v>37.008310344827578</v>
      </c>
      <c r="U138" s="174">
        <v>26.5</v>
      </c>
      <c r="W138" s="3"/>
      <c r="Y138" s="3"/>
      <c r="AA138" s="13"/>
    </row>
    <row r="140" spans="1:39" x14ac:dyDescent="0.25">
      <c r="AM140" s="13"/>
    </row>
    <row r="141" spans="1:39" x14ac:dyDescent="0.25">
      <c r="AM141" s="13"/>
    </row>
    <row r="159" spans="12:21" ht="16.5" x14ac:dyDescent="0.25">
      <c r="L159" s="44" t="s">
        <v>25</v>
      </c>
      <c r="M159" s="44"/>
      <c r="N159" s="44"/>
      <c r="O159" s="45">
        <f>SLOPE(R136:R138,S136:S138)</f>
        <v>1.0074525872022739</v>
      </c>
      <c r="P159" s="44"/>
      <c r="Q159" s="44"/>
      <c r="R159" s="44"/>
      <c r="S159" s="44" t="s">
        <v>25</v>
      </c>
      <c r="U159" s="45">
        <f>SLOPE(U136:U138,T136:T138)</f>
        <v>0.98011197697831776</v>
      </c>
    </row>
    <row r="160" spans="12:21" ht="16.5" x14ac:dyDescent="0.25">
      <c r="L160" s="44" t="s">
        <v>26</v>
      </c>
      <c r="M160" s="44"/>
      <c r="N160" s="44"/>
      <c r="O160" s="44">
        <f>INTERCEPT(R136:R138,S136:S138)</f>
        <v>-0.32424586495716046</v>
      </c>
      <c r="P160" s="44"/>
      <c r="Q160" s="44"/>
      <c r="R160" s="44"/>
      <c r="S160" s="44" t="s">
        <v>26</v>
      </c>
      <c r="U160" s="44">
        <f>INTERCEPT(U136:U138,T136:T138)</f>
        <v>-9.7642086407066238</v>
      </c>
    </row>
    <row r="161" spans="12:21" ht="19.5" x14ac:dyDescent="0.25">
      <c r="L161" s="44" t="s">
        <v>97</v>
      </c>
      <c r="M161" s="44"/>
      <c r="N161" s="44"/>
      <c r="O161" s="46">
        <f>RSQ(R136:R138,S136:S138)</f>
        <v>0.99994306528736965</v>
      </c>
      <c r="P161" s="44"/>
      <c r="Q161" s="44"/>
      <c r="R161" s="44"/>
      <c r="S161" s="44" t="s">
        <v>97</v>
      </c>
      <c r="U161" s="46">
        <f>RSQ(U136:U138,T136:T138)</f>
        <v>0.99999957210744683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21D-4149-4765-9B2D-09520252EEA7}">
  <dimension ref="A1:I80"/>
  <sheetViews>
    <sheetView zoomScaleNormal="100" workbookViewId="0">
      <selection activeCell="A19" sqref="A19:I80"/>
    </sheetView>
  </sheetViews>
  <sheetFormatPr defaultColWidth="8.85546875" defaultRowHeight="15" x14ac:dyDescent="0.25"/>
  <cols>
    <col min="1" max="16384" width="8.85546875" style="119"/>
  </cols>
  <sheetData>
    <row r="1" spans="1:9" x14ac:dyDescent="0.25">
      <c r="A1" s="1" t="s">
        <v>1</v>
      </c>
      <c r="B1" s="1"/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>
        <v>2</v>
      </c>
      <c r="B3" s="1">
        <f>A3</f>
        <v>2</v>
      </c>
      <c r="C3" s="1" t="s">
        <v>23</v>
      </c>
      <c r="D3" s="1" t="s">
        <v>505</v>
      </c>
      <c r="E3" s="1">
        <v>6</v>
      </c>
      <c r="F3" s="1">
        <v>13350</v>
      </c>
      <c r="G3" s="1">
        <v>169.452</v>
      </c>
      <c r="H3" s="1">
        <v>-4.7290000000000001</v>
      </c>
      <c r="I3" s="1">
        <v>17.385000000000002</v>
      </c>
    </row>
    <row r="4" spans="1:9" x14ac:dyDescent="0.25">
      <c r="A4" s="1">
        <v>2</v>
      </c>
      <c r="B4" s="1">
        <f t="shared" ref="B4:B67" si="0">A4</f>
        <v>2</v>
      </c>
      <c r="C4" s="1" t="s">
        <v>23</v>
      </c>
      <c r="D4" s="1" t="s">
        <v>505</v>
      </c>
      <c r="E4" s="1">
        <v>7</v>
      </c>
      <c r="F4" s="1">
        <v>12410</v>
      </c>
      <c r="G4" s="1">
        <v>157.446</v>
      </c>
      <c r="H4" s="1">
        <v>-4.6660000000000004</v>
      </c>
      <c r="I4" s="1">
        <v>17.390999999999998</v>
      </c>
    </row>
    <row r="5" spans="1:9" x14ac:dyDescent="0.25">
      <c r="A5" s="1">
        <v>3</v>
      </c>
      <c r="B5" s="1">
        <f t="shared" si="0"/>
        <v>3</v>
      </c>
      <c r="C5" s="1" t="s">
        <v>567</v>
      </c>
      <c r="D5" s="1" t="s">
        <v>229</v>
      </c>
      <c r="E5" s="1">
        <v>6</v>
      </c>
      <c r="F5" s="1">
        <v>15170</v>
      </c>
      <c r="G5" s="1">
        <v>185.483</v>
      </c>
      <c r="H5" s="1">
        <v>-4.7290000000000001</v>
      </c>
      <c r="I5" s="1">
        <v>17.3</v>
      </c>
    </row>
    <row r="6" spans="1:9" x14ac:dyDescent="0.25">
      <c r="A6" s="1">
        <v>3</v>
      </c>
      <c r="B6" s="1">
        <f t="shared" si="0"/>
        <v>3</v>
      </c>
      <c r="C6" s="1" t="s">
        <v>567</v>
      </c>
      <c r="D6" s="1" t="s">
        <v>229</v>
      </c>
      <c r="E6" s="1">
        <v>7</v>
      </c>
      <c r="F6" s="1">
        <v>14309</v>
      </c>
      <c r="G6" s="1">
        <v>173.64500000000001</v>
      </c>
      <c r="H6" s="1">
        <v>-4.6769999999999996</v>
      </c>
      <c r="I6" s="1">
        <v>17.324000000000002</v>
      </c>
    </row>
    <row r="7" spans="1:9" x14ac:dyDescent="0.25">
      <c r="A7" s="1">
        <v>4</v>
      </c>
      <c r="B7" s="1">
        <f t="shared" si="0"/>
        <v>4</v>
      </c>
      <c r="C7" s="1" t="s">
        <v>567</v>
      </c>
      <c r="D7" s="1" t="s">
        <v>328</v>
      </c>
      <c r="E7" s="1">
        <v>6</v>
      </c>
      <c r="F7" s="1">
        <v>15628</v>
      </c>
      <c r="G7" s="1">
        <v>198.58099999999999</v>
      </c>
      <c r="H7" s="1">
        <v>-4.6580000000000004</v>
      </c>
      <c r="I7" s="1">
        <v>17.242999999999999</v>
      </c>
    </row>
    <row r="8" spans="1:9" x14ac:dyDescent="0.25">
      <c r="A8" s="1">
        <v>4</v>
      </c>
      <c r="B8" s="1">
        <f t="shared" si="0"/>
        <v>4</v>
      </c>
      <c r="C8" s="1" t="s">
        <v>567</v>
      </c>
      <c r="D8" s="1" t="s">
        <v>328</v>
      </c>
      <c r="E8" s="1">
        <v>7</v>
      </c>
      <c r="F8" s="1">
        <v>14585</v>
      </c>
      <c r="G8" s="1">
        <v>184.82599999999999</v>
      </c>
      <c r="H8" s="1">
        <v>-4.6180000000000003</v>
      </c>
      <c r="I8" s="1">
        <v>17.257999999999999</v>
      </c>
    </row>
    <row r="9" spans="1:9" x14ac:dyDescent="0.25">
      <c r="A9" s="1">
        <v>5</v>
      </c>
      <c r="B9" s="1">
        <f t="shared" si="0"/>
        <v>5</v>
      </c>
      <c r="C9" s="1" t="s">
        <v>567</v>
      </c>
      <c r="D9" s="1" t="s">
        <v>297</v>
      </c>
      <c r="E9" s="1">
        <v>6</v>
      </c>
      <c r="F9" s="1">
        <v>17291</v>
      </c>
      <c r="G9" s="1">
        <v>208.851</v>
      </c>
      <c r="H9" s="1">
        <v>-4.7009999999999996</v>
      </c>
      <c r="I9" s="1">
        <v>17.2</v>
      </c>
    </row>
    <row r="10" spans="1:9" x14ac:dyDescent="0.25">
      <c r="A10" s="1">
        <v>5</v>
      </c>
      <c r="B10" s="1">
        <f t="shared" si="0"/>
        <v>5</v>
      </c>
      <c r="C10" s="1" t="s">
        <v>567</v>
      </c>
      <c r="D10" s="1" t="s">
        <v>297</v>
      </c>
      <c r="E10" s="1">
        <v>7</v>
      </c>
      <c r="F10" s="1">
        <v>16186</v>
      </c>
      <c r="G10" s="1">
        <v>197.149</v>
      </c>
      <c r="H10" s="1">
        <v>-4.7460000000000004</v>
      </c>
      <c r="I10" s="1">
        <v>17.236000000000001</v>
      </c>
    </row>
    <row r="11" spans="1:9" x14ac:dyDescent="0.25">
      <c r="A11" s="1">
        <v>6</v>
      </c>
      <c r="B11" s="1">
        <f t="shared" si="0"/>
        <v>6</v>
      </c>
      <c r="C11" s="1" t="s">
        <v>24</v>
      </c>
      <c r="D11" s="1" t="s">
        <v>496</v>
      </c>
      <c r="E11" s="1">
        <v>6</v>
      </c>
      <c r="F11" s="1">
        <v>13590</v>
      </c>
      <c r="G11" s="1">
        <v>172.613</v>
      </c>
      <c r="H11" s="1">
        <v>2.2120000000000002</v>
      </c>
      <c r="I11" s="1">
        <v>39.091000000000001</v>
      </c>
    </row>
    <row r="12" spans="1:9" x14ac:dyDescent="0.25">
      <c r="A12" s="1">
        <v>6</v>
      </c>
      <c r="B12" s="1">
        <f t="shared" si="0"/>
        <v>6</v>
      </c>
      <c r="C12" s="1" t="s">
        <v>24</v>
      </c>
      <c r="D12" s="1" t="s">
        <v>496</v>
      </c>
      <c r="E12" s="1">
        <v>7</v>
      </c>
      <c r="F12" s="1">
        <v>12673</v>
      </c>
      <c r="G12" s="1">
        <v>160.447</v>
      </c>
      <c r="H12" s="1">
        <v>2.2650000000000001</v>
      </c>
      <c r="I12" s="1">
        <v>39.104999999999997</v>
      </c>
    </row>
    <row r="13" spans="1:9" x14ac:dyDescent="0.25">
      <c r="A13" s="1">
        <v>7</v>
      </c>
      <c r="B13" s="1">
        <f t="shared" si="0"/>
        <v>7</v>
      </c>
      <c r="C13" s="1" t="s">
        <v>24</v>
      </c>
      <c r="D13" s="1" t="s">
        <v>783</v>
      </c>
      <c r="E13" s="1">
        <v>6</v>
      </c>
      <c r="F13" s="1">
        <v>20377</v>
      </c>
      <c r="G13" s="1">
        <v>248.59100000000001</v>
      </c>
      <c r="H13" s="1">
        <v>2.3330000000000002</v>
      </c>
      <c r="I13" s="1">
        <v>39.058</v>
      </c>
    </row>
    <row r="14" spans="1:9" x14ac:dyDescent="0.25">
      <c r="A14" s="1">
        <v>7</v>
      </c>
      <c r="B14" s="1">
        <f t="shared" si="0"/>
        <v>7</v>
      </c>
      <c r="C14" s="1" t="s">
        <v>24</v>
      </c>
      <c r="D14" s="1" t="s">
        <v>783</v>
      </c>
      <c r="E14" s="1">
        <v>7</v>
      </c>
      <c r="F14" s="1">
        <v>18792</v>
      </c>
      <c r="G14" s="1">
        <v>230.56800000000001</v>
      </c>
      <c r="H14" s="1">
        <v>2.3860000000000001</v>
      </c>
      <c r="I14" s="1">
        <v>39.058999999999997</v>
      </c>
    </row>
    <row r="15" spans="1:9" x14ac:dyDescent="0.25">
      <c r="A15" s="1">
        <v>8</v>
      </c>
      <c r="B15" s="1">
        <f t="shared" si="0"/>
        <v>8</v>
      </c>
      <c r="C15" s="1" t="s">
        <v>24</v>
      </c>
      <c r="D15" s="1" t="s">
        <v>783</v>
      </c>
      <c r="E15" s="1">
        <v>6</v>
      </c>
      <c r="F15" s="1">
        <v>17177</v>
      </c>
      <c r="G15" s="1">
        <v>215.74799999999999</v>
      </c>
      <c r="H15" s="1">
        <v>2.298</v>
      </c>
      <c r="I15" s="1">
        <v>39.042999999999999</v>
      </c>
    </row>
    <row r="16" spans="1:9" x14ac:dyDescent="0.25">
      <c r="A16" s="1">
        <v>8</v>
      </c>
      <c r="B16" s="1">
        <f t="shared" si="0"/>
        <v>8</v>
      </c>
      <c r="C16" s="1" t="s">
        <v>24</v>
      </c>
      <c r="D16" s="1" t="s">
        <v>783</v>
      </c>
      <c r="E16" s="1">
        <v>7</v>
      </c>
      <c r="F16" s="1">
        <v>16128</v>
      </c>
      <c r="G16" s="1">
        <v>203.08799999999999</v>
      </c>
      <c r="H16" s="1">
        <v>2.2690000000000001</v>
      </c>
      <c r="I16" s="1">
        <v>39.076999999999998</v>
      </c>
    </row>
    <row r="17" spans="1:9" x14ac:dyDescent="0.25">
      <c r="A17" s="1">
        <v>9</v>
      </c>
      <c r="B17" s="1">
        <f t="shared" si="0"/>
        <v>9</v>
      </c>
      <c r="C17" s="1" t="s">
        <v>24</v>
      </c>
      <c r="D17" s="1" t="s">
        <v>299</v>
      </c>
      <c r="E17" s="1">
        <v>6</v>
      </c>
      <c r="F17" s="1">
        <v>11846</v>
      </c>
      <c r="G17" s="1">
        <v>150.02500000000001</v>
      </c>
      <c r="H17" s="1">
        <v>2.21</v>
      </c>
      <c r="I17" s="1">
        <v>39.246000000000002</v>
      </c>
    </row>
    <row r="18" spans="1:9" x14ac:dyDescent="0.25">
      <c r="A18" s="1">
        <v>9</v>
      </c>
      <c r="B18" s="1">
        <f t="shared" si="0"/>
        <v>9</v>
      </c>
      <c r="C18" s="1" t="s">
        <v>24</v>
      </c>
      <c r="D18" s="1" t="s">
        <v>299</v>
      </c>
      <c r="E18" s="1">
        <v>7</v>
      </c>
      <c r="F18" s="1">
        <v>10987</v>
      </c>
      <c r="G18" s="1">
        <v>139.30000000000001</v>
      </c>
      <c r="H18" s="1">
        <v>2.2629999999999999</v>
      </c>
      <c r="I18" s="1">
        <v>39.241</v>
      </c>
    </row>
    <row r="19" spans="1:9" x14ac:dyDescent="0.25">
      <c r="A19" s="1">
        <v>10</v>
      </c>
      <c r="B19" s="1">
        <f t="shared" si="0"/>
        <v>10</v>
      </c>
      <c r="C19" s="1" t="s">
        <v>0</v>
      </c>
      <c r="D19" s="1" t="s">
        <v>254</v>
      </c>
      <c r="E19" s="1">
        <v>6</v>
      </c>
      <c r="F19" s="1">
        <v>14953</v>
      </c>
      <c r="G19" s="1">
        <v>183.512</v>
      </c>
      <c r="H19" s="1">
        <v>4.6289999999999996</v>
      </c>
      <c r="I19" s="1">
        <v>36.991</v>
      </c>
    </row>
    <row r="20" spans="1:9" x14ac:dyDescent="0.25">
      <c r="A20" s="1">
        <v>10</v>
      </c>
      <c r="B20" s="1">
        <f t="shared" si="0"/>
        <v>10</v>
      </c>
      <c r="C20" s="1" t="s">
        <v>0</v>
      </c>
      <c r="D20" s="1" t="s">
        <v>254</v>
      </c>
      <c r="E20" s="1">
        <v>7</v>
      </c>
      <c r="F20" s="1">
        <v>14114</v>
      </c>
      <c r="G20" s="1">
        <v>171.81700000000001</v>
      </c>
      <c r="H20" s="1">
        <v>4.7279999999999998</v>
      </c>
      <c r="I20" s="1">
        <v>37.024999999999999</v>
      </c>
    </row>
    <row r="21" spans="1:9" x14ac:dyDescent="0.25">
      <c r="A21" s="1">
        <v>11</v>
      </c>
      <c r="B21" s="1">
        <f t="shared" si="0"/>
        <v>11</v>
      </c>
      <c r="C21" s="1" t="s">
        <v>0</v>
      </c>
      <c r="D21" s="1" t="s">
        <v>335</v>
      </c>
      <c r="E21" s="1">
        <v>6</v>
      </c>
      <c r="F21" s="1">
        <v>11903</v>
      </c>
      <c r="G21" s="1">
        <v>152.077</v>
      </c>
      <c r="H21" s="1">
        <v>4.7249999999999996</v>
      </c>
      <c r="I21" s="1">
        <v>37.112000000000002</v>
      </c>
    </row>
    <row r="22" spans="1:9" x14ac:dyDescent="0.25">
      <c r="A22" s="1">
        <v>11</v>
      </c>
      <c r="B22" s="1">
        <f t="shared" si="0"/>
        <v>11</v>
      </c>
      <c r="C22" s="1" t="s">
        <v>0</v>
      </c>
      <c r="D22" s="1" t="s">
        <v>335</v>
      </c>
      <c r="E22" s="1">
        <v>7</v>
      </c>
      <c r="F22" s="1">
        <v>11107</v>
      </c>
      <c r="G22" s="1">
        <v>141.435</v>
      </c>
      <c r="H22" s="1">
        <v>4.7859999999999996</v>
      </c>
      <c r="I22" s="1">
        <v>37.146000000000001</v>
      </c>
    </row>
    <row r="23" spans="1:9" x14ac:dyDescent="0.25">
      <c r="A23" s="1">
        <v>12</v>
      </c>
      <c r="B23" s="1">
        <f t="shared" si="0"/>
        <v>12</v>
      </c>
      <c r="C23" s="1" t="s">
        <v>0</v>
      </c>
      <c r="D23" s="1" t="s">
        <v>496</v>
      </c>
      <c r="E23" s="1">
        <v>6</v>
      </c>
      <c r="F23" s="1">
        <v>12846</v>
      </c>
      <c r="G23" s="1">
        <v>156.38900000000001</v>
      </c>
      <c r="H23" s="1">
        <v>4.641</v>
      </c>
      <c r="I23" s="1">
        <v>37.003</v>
      </c>
    </row>
    <row r="24" spans="1:9" x14ac:dyDescent="0.25">
      <c r="A24" s="1">
        <v>12</v>
      </c>
      <c r="B24" s="1">
        <f t="shared" si="0"/>
        <v>12</v>
      </c>
      <c r="C24" s="1" t="s">
        <v>0</v>
      </c>
      <c r="D24" s="1" t="s">
        <v>496</v>
      </c>
      <c r="E24" s="1">
        <v>7</v>
      </c>
      <c r="F24" s="1">
        <v>12045</v>
      </c>
      <c r="G24" s="1">
        <v>145.94499999999999</v>
      </c>
      <c r="H24" s="1">
        <v>4.7370000000000001</v>
      </c>
      <c r="I24" s="1">
        <v>37.000999999999998</v>
      </c>
    </row>
    <row r="25" spans="1:9" x14ac:dyDescent="0.25">
      <c r="A25" s="1">
        <v>23</v>
      </c>
      <c r="B25" s="1">
        <f t="shared" si="0"/>
        <v>23</v>
      </c>
      <c r="C25" s="1" t="s">
        <v>0</v>
      </c>
      <c r="D25" s="1" t="s">
        <v>513</v>
      </c>
      <c r="E25" s="1">
        <v>6</v>
      </c>
      <c r="F25" s="1">
        <v>14249</v>
      </c>
      <c r="G25" s="1">
        <v>172.76499999999999</v>
      </c>
      <c r="H25" s="1">
        <v>4.7229999999999999</v>
      </c>
      <c r="I25" s="1">
        <v>37.027999999999999</v>
      </c>
    </row>
    <row r="26" spans="1:9" x14ac:dyDescent="0.25">
      <c r="A26" s="1">
        <v>23</v>
      </c>
      <c r="B26" s="1">
        <f t="shared" si="0"/>
        <v>23</v>
      </c>
      <c r="C26" s="1" t="s">
        <v>0</v>
      </c>
      <c r="D26" s="1" t="s">
        <v>513</v>
      </c>
      <c r="E26" s="1">
        <v>7</v>
      </c>
      <c r="F26" s="1">
        <v>13358</v>
      </c>
      <c r="G26" s="1">
        <v>161.71700000000001</v>
      </c>
      <c r="H26" s="1">
        <v>4.7489999999999997</v>
      </c>
      <c r="I26" s="1">
        <v>37.039000000000001</v>
      </c>
    </row>
    <row r="27" spans="1:9" x14ac:dyDescent="0.25">
      <c r="A27" s="1">
        <v>24</v>
      </c>
      <c r="B27" s="1">
        <f t="shared" si="0"/>
        <v>24</v>
      </c>
      <c r="C27" s="1" t="s">
        <v>0</v>
      </c>
      <c r="D27" s="1" t="s">
        <v>286</v>
      </c>
      <c r="E27" s="1">
        <v>6</v>
      </c>
      <c r="F27" s="1">
        <v>13745</v>
      </c>
      <c r="G27" s="1">
        <v>175.06899999999999</v>
      </c>
      <c r="H27" s="1">
        <v>4.7380000000000004</v>
      </c>
      <c r="I27" s="1">
        <v>36.982999999999997</v>
      </c>
    </row>
    <row r="28" spans="1:9" x14ac:dyDescent="0.25">
      <c r="A28" s="1">
        <v>24</v>
      </c>
      <c r="B28" s="1">
        <f t="shared" si="0"/>
        <v>24</v>
      </c>
      <c r="C28" s="1" t="s">
        <v>0</v>
      </c>
      <c r="D28" s="1" t="s">
        <v>286</v>
      </c>
      <c r="E28" s="1">
        <v>7</v>
      </c>
      <c r="F28" s="1">
        <v>12838</v>
      </c>
      <c r="G28" s="1">
        <v>162.93299999999999</v>
      </c>
      <c r="H28" s="1">
        <v>4.7960000000000003</v>
      </c>
      <c r="I28" s="1">
        <v>37.030999999999999</v>
      </c>
    </row>
    <row r="29" spans="1:9" x14ac:dyDescent="0.25">
      <c r="A29" s="1">
        <v>35</v>
      </c>
      <c r="B29" s="1">
        <f t="shared" si="0"/>
        <v>35</v>
      </c>
      <c r="C29" s="1" t="s">
        <v>0</v>
      </c>
      <c r="D29" s="1" t="s">
        <v>729</v>
      </c>
      <c r="E29" s="1">
        <v>6</v>
      </c>
      <c r="F29" s="1">
        <v>14725</v>
      </c>
      <c r="G29" s="1">
        <v>187.21799999999999</v>
      </c>
      <c r="H29" s="1">
        <v>4.7469999999999999</v>
      </c>
      <c r="I29" s="1">
        <v>36.978000000000002</v>
      </c>
    </row>
    <row r="30" spans="1:9" x14ac:dyDescent="0.25">
      <c r="A30" s="1">
        <v>35</v>
      </c>
      <c r="B30" s="1">
        <f t="shared" si="0"/>
        <v>35</v>
      </c>
      <c r="C30" s="1" t="s">
        <v>0</v>
      </c>
      <c r="D30" s="1" t="s">
        <v>729</v>
      </c>
      <c r="E30" s="1">
        <v>7</v>
      </c>
      <c r="F30" s="1">
        <v>13732</v>
      </c>
      <c r="G30" s="1">
        <v>173.92599999999999</v>
      </c>
      <c r="H30" s="1">
        <v>4.8170000000000002</v>
      </c>
      <c r="I30" s="1">
        <v>37.018000000000001</v>
      </c>
    </row>
    <row r="31" spans="1:9" x14ac:dyDescent="0.25">
      <c r="A31" s="1">
        <v>36</v>
      </c>
      <c r="B31" s="1">
        <f t="shared" si="0"/>
        <v>36</v>
      </c>
      <c r="C31" s="1" t="s">
        <v>0</v>
      </c>
      <c r="D31" s="1" t="s">
        <v>725</v>
      </c>
      <c r="E31" s="1">
        <v>6</v>
      </c>
      <c r="F31" s="1">
        <v>17746</v>
      </c>
      <c r="G31" s="1">
        <v>214.78299999999999</v>
      </c>
      <c r="H31" s="1">
        <v>4.71</v>
      </c>
      <c r="I31" s="1">
        <v>36.938000000000002</v>
      </c>
    </row>
    <row r="32" spans="1:9" x14ac:dyDescent="0.25">
      <c r="A32" s="1">
        <v>36</v>
      </c>
      <c r="B32" s="1">
        <f t="shared" si="0"/>
        <v>36</v>
      </c>
      <c r="C32" s="1" t="s">
        <v>0</v>
      </c>
      <c r="D32" s="1" t="s">
        <v>725</v>
      </c>
      <c r="E32" s="1">
        <v>7</v>
      </c>
      <c r="F32" s="1">
        <v>16472</v>
      </c>
      <c r="G32" s="1">
        <v>201.999</v>
      </c>
      <c r="H32" s="1">
        <v>4.6909999999999998</v>
      </c>
      <c r="I32" s="1">
        <v>36.963000000000001</v>
      </c>
    </row>
    <row r="33" spans="1:9" x14ac:dyDescent="0.25">
      <c r="A33" s="1">
        <v>47</v>
      </c>
      <c r="B33" s="1">
        <f t="shared" si="0"/>
        <v>47</v>
      </c>
      <c r="C33" s="1" t="s">
        <v>0</v>
      </c>
      <c r="D33" s="1" t="s">
        <v>513</v>
      </c>
      <c r="E33" s="1">
        <v>6</v>
      </c>
      <c r="F33" s="1">
        <v>14203</v>
      </c>
      <c r="G33" s="1">
        <v>172.30099999999999</v>
      </c>
      <c r="H33" s="1">
        <v>4.6859999999999999</v>
      </c>
      <c r="I33" s="1">
        <v>37.036000000000001</v>
      </c>
    </row>
    <row r="34" spans="1:9" x14ac:dyDescent="0.25">
      <c r="A34" s="1">
        <v>47</v>
      </c>
      <c r="B34" s="1">
        <f t="shared" si="0"/>
        <v>47</v>
      </c>
      <c r="C34" s="1" t="s">
        <v>0</v>
      </c>
      <c r="D34" s="1" t="s">
        <v>513</v>
      </c>
      <c r="E34" s="1">
        <v>7</v>
      </c>
      <c r="F34" s="1">
        <v>13205</v>
      </c>
      <c r="G34" s="1">
        <v>160.077</v>
      </c>
      <c r="H34" s="1">
        <v>4.7640000000000002</v>
      </c>
      <c r="I34" s="1">
        <v>37.055</v>
      </c>
    </row>
    <row r="35" spans="1:9" x14ac:dyDescent="0.25">
      <c r="A35" s="1">
        <v>48</v>
      </c>
      <c r="B35" s="1">
        <f t="shared" si="0"/>
        <v>48</v>
      </c>
      <c r="C35" s="1" t="s">
        <v>0</v>
      </c>
      <c r="D35" s="1" t="s">
        <v>380</v>
      </c>
      <c r="E35" s="1">
        <v>6</v>
      </c>
      <c r="F35" s="1">
        <v>14153</v>
      </c>
      <c r="G35" s="1">
        <v>179.643</v>
      </c>
      <c r="H35" s="1">
        <v>4.718</v>
      </c>
      <c r="I35" s="1">
        <v>36.865000000000002</v>
      </c>
    </row>
    <row r="36" spans="1:9" x14ac:dyDescent="0.25">
      <c r="A36" s="1">
        <v>48</v>
      </c>
      <c r="B36" s="1">
        <f t="shared" si="0"/>
        <v>48</v>
      </c>
      <c r="C36" s="1" t="s">
        <v>0</v>
      </c>
      <c r="D36" s="1" t="s">
        <v>380</v>
      </c>
      <c r="E36" s="1">
        <v>7</v>
      </c>
      <c r="F36" s="1">
        <v>13202</v>
      </c>
      <c r="G36" s="1">
        <v>167.017</v>
      </c>
      <c r="H36" s="1">
        <v>4.7709999999999999</v>
      </c>
      <c r="I36" s="1">
        <v>36.909999999999997</v>
      </c>
    </row>
    <row r="37" spans="1:9" x14ac:dyDescent="0.25">
      <c r="A37" s="1">
        <v>59</v>
      </c>
      <c r="B37" s="1">
        <f t="shared" si="0"/>
        <v>59</v>
      </c>
      <c r="C37" s="1" t="s">
        <v>0</v>
      </c>
      <c r="D37" s="1" t="s">
        <v>289</v>
      </c>
      <c r="E37" s="1">
        <v>6</v>
      </c>
      <c r="F37" s="1">
        <v>14088</v>
      </c>
      <c r="G37" s="1">
        <v>178.83799999999999</v>
      </c>
      <c r="H37" s="1">
        <v>4.7409999999999997</v>
      </c>
      <c r="I37" s="1">
        <v>37</v>
      </c>
    </row>
    <row r="38" spans="1:9" x14ac:dyDescent="0.25">
      <c r="A38" s="1">
        <v>59</v>
      </c>
      <c r="B38" s="1">
        <f t="shared" si="0"/>
        <v>59</v>
      </c>
      <c r="C38" s="1" t="s">
        <v>0</v>
      </c>
      <c r="D38" s="1" t="s">
        <v>289</v>
      </c>
      <c r="E38" s="1">
        <v>7</v>
      </c>
      <c r="F38" s="1">
        <v>13137</v>
      </c>
      <c r="G38" s="1">
        <v>166.16300000000001</v>
      </c>
      <c r="H38" s="1">
        <v>4.7779999999999996</v>
      </c>
      <c r="I38" s="1">
        <v>37.03</v>
      </c>
    </row>
    <row r="39" spans="1:9" x14ac:dyDescent="0.25">
      <c r="A39" s="1">
        <v>60</v>
      </c>
      <c r="B39" s="1">
        <f t="shared" si="0"/>
        <v>60</v>
      </c>
      <c r="C39" s="1" t="s">
        <v>0</v>
      </c>
      <c r="D39" s="1" t="s">
        <v>380</v>
      </c>
      <c r="E39" s="1">
        <v>6</v>
      </c>
      <c r="F39" s="1">
        <v>15759</v>
      </c>
      <c r="G39" s="1">
        <v>193.91399999999999</v>
      </c>
      <c r="H39" s="1">
        <v>4.7169999999999996</v>
      </c>
      <c r="I39" s="1">
        <v>36.959000000000003</v>
      </c>
    </row>
    <row r="40" spans="1:9" x14ac:dyDescent="0.25">
      <c r="A40" s="1">
        <v>60</v>
      </c>
      <c r="B40" s="1">
        <f t="shared" si="0"/>
        <v>60</v>
      </c>
      <c r="C40" s="1" t="s">
        <v>0</v>
      </c>
      <c r="D40" s="1" t="s">
        <v>380</v>
      </c>
      <c r="E40" s="1">
        <v>7</v>
      </c>
      <c r="F40" s="1">
        <v>14551</v>
      </c>
      <c r="G40" s="1">
        <v>179.70099999999999</v>
      </c>
      <c r="H40" s="1">
        <v>4.7759999999999998</v>
      </c>
      <c r="I40" s="1">
        <v>36.981999999999999</v>
      </c>
    </row>
    <row r="41" spans="1:9" x14ac:dyDescent="0.25">
      <c r="A41" s="1">
        <v>71</v>
      </c>
      <c r="B41" s="1">
        <f t="shared" si="0"/>
        <v>71</v>
      </c>
      <c r="C41" s="1" t="s">
        <v>0</v>
      </c>
      <c r="D41" s="1" t="s">
        <v>518</v>
      </c>
      <c r="E41" s="1">
        <v>6</v>
      </c>
      <c r="F41" s="1">
        <v>14004</v>
      </c>
      <c r="G41" s="1">
        <v>174.72</v>
      </c>
      <c r="H41" s="1">
        <v>4.7130000000000001</v>
      </c>
      <c r="I41" s="1">
        <v>36.993000000000002</v>
      </c>
    </row>
    <row r="42" spans="1:9" x14ac:dyDescent="0.25">
      <c r="A42" s="1">
        <v>71</v>
      </c>
      <c r="B42" s="1">
        <f t="shared" si="0"/>
        <v>71</v>
      </c>
      <c r="C42" s="1" t="s">
        <v>0</v>
      </c>
      <c r="D42" s="1" t="s">
        <v>518</v>
      </c>
      <c r="E42" s="1">
        <v>7</v>
      </c>
      <c r="F42" s="1">
        <v>12984</v>
      </c>
      <c r="G42" s="1">
        <v>164.16800000000001</v>
      </c>
      <c r="H42" s="1">
        <v>4.6870000000000003</v>
      </c>
      <c r="I42" s="1">
        <v>37.01</v>
      </c>
    </row>
    <row r="43" spans="1:9" x14ac:dyDescent="0.25">
      <c r="A43" s="1">
        <v>72</v>
      </c>
      <c r="B43" s="1">
        <f t="shared" si="0"/>
        <v>72</v>
      </c>
      <c r="C43" s="1" t="s">
        <v>0</v>
      </c>
      <c r="D43" s="1" t="s">
        <v>576</v>
      </c>
      <c r="E43" s="1">
        <v>6</v>
      </c>
      <c r="F43" s="1">
        <v>13499</v>
      </c>
      <c r="G43" s="1">
        <v>169.52199999999999</v>
      </c>
      <c r="H43" s="1">
        <v>4.6559999999999997</v>
      </c>
      <c r="I43" s="1">
        <v>37.054000000000002</v>
      </c>
    </row>
    <row r="44" spans="1:9" x14ac:dyDescent="0.25">
      <c r="A44" s="1">
        <v>72</v>
      </c>
      <c r="B44" s="1">
        <f t="shared" si="0"/>
        <v>72</v>
      </c>
      <c r="C44" s="1" t="s">
        <v>0</v>
      </c>
      <c r="D44" s="1" t="s">
        <v>576</v>
      </c>
      <c r="E44" s="1">
        <v>7</v>
      </c>
      <c r="F44" s="1">
        <v>12719</v>
      </c>
      <c r="G44" s="1">
        <v>158.21299999999999</v>
      </c>
      <c r="H44" s="1">
        <v>4.7300000000000004</v>
      </c>
      <c r="I44" s="1">
        <v>37.061999999999998</v>
      </c>
    </row>
    <row r="45" spans="1:9" x14ac:dyDescent="0.25">
      <c r="A45" s="1">
        <v>83</v>
      </c>
      <c r="B45" s="1">
        <f t="shared" si="0"/>
        <v>83</v>
      </c>
      <c r="C45" s="1" t="s">
        <v>0</v>
      </c>
      <c r="D45" s="1" t="s">
        <v>518</v>
      </c>
      <c r="E45" s="1">
        <v>6</v>
      </c>
      <c r="F45" s="1">
        <v>13181</v>
      </c>
      <c r="G45" s="1">
        <v>166.489</v>
      </c>
      <c r="H45" s="1">
        <v>4.7</v>
      </c>
      <c r="I45" s="1">
        <v>37.012999999999998</v>
      </c>
    </row>
    <row r="46" spans="1:9" x14ac:dyDescent="0.25">
      <c r="A46" s="1">
        <v>83</v>
      </c>
      <c r="B46" s="1">
        <f t="shared" si="0"/>
        <v>83</v>
      </c>
      <c r="C46" s="1" t="s">
        <v>0</v>
      </c>
      <c r="D46" s="1" t="s">
        <v>518</v>
      </c>
      <c r="E46" s="1">
        <v>7</v>
      </c>
      <c r="F46" s="1">
        <v>12366</v>
      </c>
      <c r="G46" s="1">
        <v>154.828</v>
      </c>
      <c r="H46" s="1">
        <v>4.7549999999999999</v>
      </c>
      <c r="I46" s="1">
        <v>37.040999999999997</v>
      </c>
    </row>
    <row r="47" spans="1:9" x14ac:dyDescent="0.25">
      <c r="A47" s="1">
        <v>84</v>
      </c>
      <c r="B47" s="1">
        <f t="shared" si="0"/>
        <v>84</v>
      </c>
      <c r="C47" s="1" t="s">
        <v>0</v>
      </c>
      <c r="D47" s="1" t="s">
        <v>269</v>
      </c>
      <c r="E47" s="1">
        <v>6</v>
      </c>
      <c r="F47" s="1">
        <v>12830</v>
      </c>
      <c r="G47" s="1">
        <v>161.59299999999999</v>
      </c>
      <c r="H47" s="1">
        <v>4.6849999999999996</v>
      </c>
      <c r="I47" s="1">
        <v>37.058999999999997</v>
      </c>
    </row>
    <row r="48" spans="1:9" x14ac:dyDescent="0.25">
      <c r="A48" s="1">
        <v>84</v>
      </c>
      <c r="B48" s="1">
        <f t="shared" si="0"/>
        <v>84</v>
      </c>
      <c r="C48" s="1" t="s">
        <v>0</v>
      </c>
      <c r="D48" s="1" t="s">
        <v>269</v>
      </c>
      <c r="E48" s="1">
        <v>7</v>
      </c>
      <c r="F48" s="1">
        <v>11911</v>
      </c>
      <c r="G48" s="1">
        <v>151.83500000000001</v>
      </c>
      <c r="H48" s="1">
        <v>4.6580000000000004</v>
      </c>
      <c r="I48" s="1">
        <v>37.079000000000001</v>
      </c>
    </row>
    <row r="49" spans="1:9" x14ac:dyDescent="0.25">
      <c r="A49" s="1">
        <v>95</v>
      </c>
      <c r="B49" s="1">
        <f t="shared" si="0"/>
        <v>95</v>
      </c>
      <c r="C49" s="1" t="s">
        <v>0</v>
      </c>
      <c r="D49" s="1" t="s">
        <v>513</v>
      </c>
      <c r="E49" s="1">
        <v>6</v>
      </c>
      <c r="F49" s="1">
        <v>12129</v>
      </c>
      <c r="G49" s="1">
        <v>153.238</v>
      </c>
      <c r="H49" s="1">
        <v>4.6479999999999997</v>
      </c>
      <c r="I49" s="1">
        <v>36.911000000000001</v>
      </c>
    </row>
    <row r="50" spans="1:9" x14ac:dyDescent="0.25">
      <c r="A50" s="1">
        <v>95</v>
      </c>
      <c r="B50" s="1">
        <f t="shared" si="0"/>
        <v>95</v>
      </c>
      <c r="C50" s="1" t="s">
        <v>0</v>
      </c>
      <c r="D50" s="1" t="s">
        <v>513</v>
      </c>
      <c r="E50" s="1">
        <v>7</v>
      </c>
      <c r="F50" s="1">
        <v>11396</v>
      </c>
      <c r="G50" s="1">
        <v>142.67400000000001</v>
      </c>
      <c r="H50" s="1">
        <v>4.7300000000000004</v>
      </c>
      <c r="I50" s="1">
        <v>36.923000000000002</v>
      </c>
    </row>
    <row r="51" spans="1:9" x14ac:dyDescent="0.25">
      <c r="A51" s="1">
        <v>96</v>
      </c>
      <c r="B51" s="1">
        <f t="shared" si="0"/>
        <v>96</v>
      </c>
      <c r="C51" s="1" t="s">
        <v>0</v>
      </c>
      <c r="D51" s="1" t="s">
        <v>1202</v>
      </c>
      <c r="E51" s="1">
        <v>6</v>
      </c>
      <c r="F51" s="1">
        <v>16636</v>
      </c>
      <c r="G51" s="1">
        <v>208.79400000000001</v>
      </c>
      <c r="H51" s="1">
        <v>4.7670000000000003</v>
      </c>
      <c r="I51" s="1">
        <v>37.091999999999999</v>
      </c>
    </row>
    <row r="52" spans="1:9" x14ac:dyDescent="0.25">
      <c r="A52" s="1">
        <v>96</v>
      </c>
      <c r="B52" s="1">
        <f t="shared" si="0"/>
        <v>96</v>
      </c>
      <c r="C52" s="1" t="s">
        <v>0</v>
      </c>
      <c r="D52" s="1" t="s">
        <v>1202</v>
      </c>
      <c r="E52" s="1">
        <v>7</v>
      </c>
      <c r="F52" s="1">
        <v>15435</v>
      </c>
      <c r="G52" s="1">
        <v>194.173</v>
      </c>
      <c r="H52" s="1">
        <v>4.8099999999999996</v>
      </c>
      <c r="I52" s="1">
        <v>37.109000000000002</v>
      </c>
    </row>
    <row r="53" spans="1:9" x14ac:dyDescent="0.25">
      <c r="A53" s="1">
        <v>98</v>
      </c>
      <c r="B53" s="1">
        <f t="shared" si="0"/>
        <v>98</v>
      </c>
      <c r="C53" s="1" t="s">
        <v>0</v>
      </c>
      <c r="D53" s="1" t="s">
        <v>299</v>
      </c>
      <c r="E53" s="1">
        <v>6</v>
      </c>
      <c r="F53" s="1">
        <v>14717</v>
      </c>
      <c r="G53" s="1">
        <v>187.13</v>
      </c>
      <c r="H53" s="1">
        <v>4.774</v>
      </c>
      <c r="I53" s="1">
        <v>37.034999999999997</v>
      </c>
    </row>
    <row r="54" spans="1:9" x14ac:dyDescent="0.25">
      <c r="A54" s="1">
        <v>98</v>
      </c>
      <c r="B54" s="1">
        <f t="shared" si="0"/>
        <v>98</v>
      </c>
      <c r="C54" s="1" t="s">
        <v>0</v>
      </c>
      <c r="D54" s="1" t="s">
        <v>299</v>
      </c>
      <c r="E54" s="1">
        <v>7</v>
      </c>
      <c r="F54" s="1">
        <v>13705</v>
      </c>
      <c r="G54" s="1">
        <v>173.839</v>
      </c>
      <c r="H54" s="1">
        <v>4.8230000000000004</v>
      </c>
      <c r="I54" s="1">
        <v>37.082000000000001</v>
      </c>
    </row>
    <row r="55" spans="1:9" x14ac:dyDescent="0.25">
      <c r="A55" s="1">
        <v>99</v>
      </c>
      <c r="B55" s="1">
        <f t="shared" si="0"/>
        <v>99</v>
      </c>
      <c r="C55" s="1" t="s">
        <v>0</v>
      </c>
      <c r="D55" s="1" t="s">
        <v>286</v>
      </c>
      <c r="E55" s="1">
        <v>6</v>
      </c>
      <c r="F55" s="1">
        <v>14843</v>
      </c>
      <c r="G55" s="1">
        <v>180.15299999999999</v>
      </c>
      <c r="H55" s="1">
        <v>4.6929999999999996</v>
      </c>
      <c r="I55" s="1">
        <v>37.020000000000003</v>
      </c>
    </row>
    <row r="56" spans="1:9" x14ac:dyDescent="0.25">
      <c r="A56" s="1">
        <v>99</v>
      </c>
      <c r="B56" s="1">
        <f t="shared" si="0"/>
        <v>99</v>
      </c>
      <c r="C56" s="1" t="s">
        <v>0</v>
      </c>
      <c r="D56" s="1" t="s">
        <v>286</v>
      </c>
      <c r="E56" s="1">
        <v>7</v>
      </c>
      <c r="F56" s="1">
        <v>13984</v>
      </c>
      <c r="G56" s="1">
        <v>170.92</v>
      </c>
      <c r="H56" s="1">
        <v>4.681</v>
      </c>
      <c r="I56" s="1">
        <v>37.064</v>
      </c>
    </row>
    <row r="57" spans="1:9" x14ac:dyDescent="0.25">
      <c r="A57" s="1">
        <v>107</v>
      </c>
      <c r="B57" s="1">
        <f t="shared" si="0"/>
        <v>107</v>
      </c>
      <c r="C57" s="1" t="s">
        <v>0</v>
      </c>
      <c r="D57" s="1" t="s">
        <v>737</v>
      </c>
      <c r="E57" s="1">
        <v>6</v>
      </c>
      <c r="F57" s="1">
        <v>15094</v>
      </c>
      <c r="G57" s="1">
        <v>191.33099999999999</v>
      </c>
      <c r="H57" s="1">
        <v>4.75</v>
      </c>
      <c r="I57" s="1">
        <v>36.966999999999999</v>
      </c>
    </row>
    <row r="58" spans="1:9" x14ac:dyDescent="0.25">
      <c r="A58" s="1">
        <v>107</v>
      </c>
      <c r="B58" s="1">
        <f t="shared" si="0"/>
        <v>107</v>
      </c>
      <c r="C58" s="1" t="s">
        <v>0</v>
      </c>
      <c r="D58" s="1" t="s">
        <v>737</v>
      </c>
      <c r="E58" s="1">
        <v>7</v>
      </c>
      <c r="F58" s="1">
        <v>14029</v>
      </c>
      <c r="G58" s="1">
        <v>177.77500000000001</v>
      </c>
      <c r="H58" s="1">
        <v>4.7750000000000004</v>
      </c>
      <c r="I58" s="1">
        <v>36.991999999999997</v>
      </c>
    </row>
    <row r="59" spans="1:9" x14ac:dyDescent="0.25">
      <c r="A59" s="1">
        <v>108</v>
      </c>
      <c r="B59" s="1">
        <f t="shared" si="0"/>
        <v>108</v>
      </c>
      <c r="C59" s="1" t="s">
        <v>0</v>
      </c>
      <c r="D59" s="1" t="s">
        <v>229</v>
      </c>
      <c r="E59" s="1">
        <v>6</v>
      </c>
      <c r="F59" s="1">
        <v>13925</v>
      </c>
      <c r="G59" s="1">
        <v>171.35900000000001</v>
      </c>
      <c r="H59" s="1">
        <v>4.6779999999999999</v>
      </c>
      <c r="I59" s="1">
        <v>37.01</v>
      </c>
    </row>
    <row r="60" spans="1:9" x14ac:dyDescent="0.25">
      <c r="A60" s="1">
        <v>108</v>
      </c>
      <c r="B60" s="1">
        <f t="shared" si="0"/>
        <v>108</v>
      </c>
      <c r="C60" s="1" t="s">
        <v>0</v>
      </c>
      <c r="D60" s="1" t="s">
        <v>229</v>
      </c>
      <c r="E60" s="1">
        <v>7</v>
      </c>
      <c r="F60" s="1">
        <v>13110</v>
      </c>
      <c r="G60" s="1">
        <v>160.28</v>
      </c>
      <c r="H60" s="1">
        <v>4.7169999999999996</v>
      </c>
      <c r="I60" s="1">
        <v>37.064999999999998</v>
      </c>
    </row>
    <row r="61" spans="1:9" x14ac:dyDescent="0.25">
      <c r="A61" s="1">
        <v>119</v>
      </c>
      <c r="B61" s="1">
        <f t="shared" si="0"/>
        <v>119</v>
      </c>
      <c r="C61" s="1" t="s">
        <v>0</v>
      </c>
      <c r="D61" s="2"/>
      <c r="E61" s="1">
        <v>6</v>
      </c>
      <c r="F61" s="1">
        <v>14949</v>
      </c>
      <c r="G61" s="1">
        <v>184.74199999999999</v>
      </c>
      <c r="H61" s="1">
        <v>4.7370000000000001</v>
      </c>
      <c r="I61" s="1">
        <v>36.844999999999999</v>
      </c>
    </row>
    <row r="62" spans="1:9" x14ac:dyDescent="0.25">
      <c r="A62" s="1">
        <v>119</v>
      </c>
      <c r="B62" s="1">
        <f t="shared" si="0"/>
        <v>119</v>
      </c>
      <c r="C62" s="1" t="s">
        <v>0</v>
      </c>
      <c r="D62" s="2"/>
      <c r="E62" s="1">
        <v>7</v>
      </c>
      <c r="F62" s="1">
        <v>14087</v>
      </c>
      <c r="G62" s="1">
        <v>172.649</v>
      </c>
      <c r="H62" s="1">
        <v>4.8049999999999997</v>
      </c>
      <c r="I62" s="1">
        <v>36.915999999999997</v>
      </c>
    </row>
    <row r="63" spans="1:9" x14ac:dyDescent="0.25">
      <c r="A63" s="1">
        <v>120</v>
      </c>
      <c r="B63" s="1">
        <f t="shared" si="0"/>
        <v>120</v>
      </c>
      <c r="C63" s="1" t="s">
        <v>0</v>
      </c>
      <c r="D63" s="2"/>
      <c r="E63" s="1">
        <v>6</v>
      </c>
      <c r="F63" s="1">
        <v>15186</v>
      </c>
      <c r="G63" s="1">
        <v>192.816</v>
      </c>
      <c r="H63" s="1">
        <v>4.78</v>
      </c>
      <c r="I63" s="1">
        <v>36.984999999999999</v>
      </c>
    </row>
    <row r="64" spans="1:9" x14ac:dyDescent="0.25">
      <c r="A64" s="1">
        <v>120</v>
      </c>
      <c r="B64" s="1">
        <f t="shared" si="0"/>
        <v>120</v>
      </c>
      <c r="C64" s="1" t="s">
        <v>0</v>
      </c>
      <c r="D64" s="2"/>
      <c r="E64" s="1">
        <v>7</v>
      </c>
      <c r="F64" s="1">
        <v>14089</v>
      </c>
      <c r="G64" s="1">
        <v>178.97200000000001</v>
      </c>
      <c r="H64" s="1">
        <v>4.8460000000000001</v>
      </c>
      <c r="I64" s="1">
        <v>37.046999999999997</v>
      </c>
    </row>
    <row r="65" spans="1:9" x14ac:dyDescent="0.25">
      <c r="A65" s="1">
        <v>131</v>
      </c>
      <c r="B65" s="1">
        <f t="shared" si="0"/>
        <v>131</v>
      </c>
      <c r="C65" s="1" t="s">
        <v>0</v>
      </c>
      <c r="D65" s="2"/>
      <c r="E65" s="1">
        <v>6</v>
      </c>
      <c r="F65" s="1">
        <v>16505</v>
      </c>
      <c r="G65" s="1">
        <v>207.922</v>
      </c>
      <c r="H65" s="1">
        <v>4.8070000000000004</v>
      </c>
      <c r="I65" s="1">
        <v>36.99</v>
      </c>
    </row>
    <row r="66" spans="1:9" x14ac:dyDescent="0.25">
      <c r="A66" s="1">
        <v>131</v>
      </c>
      <c r="B66" s="1">
        <f t="shared" si="0"/>
        <v>131</v>
      </c>
      <c r="C66" s="1" t="s">
        <v>0</v>
      </c>
      <c r="D66" s="2"/>
      <c r="E66" s="1">
        <v>7</v>
      </c>
      <c r="F66" s="1">
        <v>15325</v>
      </c>
      <c r="G66" s="1">
        <v>195.23400000000001</v>
      </c>
      <c r="H66" s="1">
        <v>4.7939999999999996</v>
      </c>
      <c r="I66" s="1">
        <v>37.008000000000003</v>
      </c>
    </row>
    <row r="67" spans="1:9" x14ac:dyDescent="0.25">
      <c r="A67" s="1">
        <v>132</v>
      </c>
      <c r="B67" s="1">
        <f t="shared" si="0"/>
        <v>132</v>
      </c>
      <c r="C67" s="1" t="s">
        <v>0</v>
      </c>
      <c r="D67" s="2"/>
      <c r="E67" s="1">
        <v>6</v>
      </c>
      <c r="F67" s="1">
        <v>19965</v>
      </c>
      <c r="G67" s="1">
        <v>243.29300000000001</v>
      </c>
      <c r="H67" s="1">
        <v>4.8620000000000001</v>
      </c>
      <c r="I67" s="1">
        <v>36.822000000000003</v>
      </c>
    </row>
    <row r="68" spans="1:9" x14ac:dyDescent="0.25">
      <c r="A68" s="1">
        <v>132</v>
      </c>
      <c r="B68" s="1">
        <f t="shared" ref="B68:B80" si="1">A68</f>
        <v>132</v>
      </c>
      <c r="C68" s="1" t="s">
        <v>0</v>
      </c>
      <c r="D68" s="2"/>
      <c r="E68" s="1">
        <v>7</v>
      </c>
      <c r="F68" s="1">
        <v>18790</v>
      </c>
      <c r="G68" s="1">
        <v>230.37799999999999</v>
      </c>
      <c r="H68" s="1">
        <v>4.7969999999999997</v>
      </c>
      <c r="I68" s="1">
        <v>36.909999999999997</v>
      </c>
    </row>
    <row r="69" spans="1:9" x14ac:dyDescent="0.25">
      <c r="A69" s="1">
        <v>143</v>
      </c>
      <c r="B69" s="1">
        <f t="shared" si="1"/>
        <v>143</v>
      </c>
      <c r="C69" s="1" t="s">
        <v>0</v>
      </c>
      <c r="D69" s="2"/>
      <c r="E69" s="1">
        <v>6</v>
      </c>
      <c r="F69" s="1">
        <v>20299</v>
      </c>
      <c r="G69" s="1">
        <v>246.667</v>
      </c>
      <c r="H69" s="1">
        <v>4.8079999999999998</v>
      </c>
      <c r="I69" s="1">
        <v>36.402000000000001</v>
      </c>
    </row>
    <row r="70" spans="1:9" x14ac:dyDescent="0.25">
      <c r="A70" s="1">
        <v>143</v>
      </c>
      <c r="B70" s="1">
        <f t="shared" si="1"/>
        <v>143</v>
      </c>
      <c r="C70" s="1" t="s">
        <v>0</v>
      </c>
      <c r="D70" s="2"/>
      <c r="E70" s="1">
        <v>7</v>
      </c>
      <c r="F70" s="1">
        <v>19128</v>
      </c>
      <c r="G70" s="1">
        <v>233.26599999999999</v>
      </c>
      <c r="H70" s="1">
        <v>4.7789999999999999</v>
      </c>
      <c r="I70" s="1">
        <v>36.558</v>
      </c>
    </row>
    <row r="71" spans="1:9" x14ac:dyDescent="0.25">
      <c r="A71" s="1">
        <v>144</v>
      </c>
      <c r="B71" s="1">
        <f t="shared" si="1"/>
        <v>144</v>
      </c>
      <c r="C71" s="1" t="s">
        <v>0</v>
      </c>
      <c r="D71" s="2"/>
      <c r="E71" s="1">
        <v>6</v>
      </c>
      <c r="F71" s="1">
        <v>17137</v>
      </c>
      <c r="G71" s="1">
        <v>217.387</v>
      </c>
      <c r="H71" s="1">
        <v>4.8040000000000003</v>
      </c>
      <c r="I71" s="1">
        <v>36.954000000000001</v>
      </c>
    </row>
    <row r="72" spans="1:9" x14ac:dyDescent="0.25">
      <c r="A72" s="1">
        <v>144</v>
      </c>
      <c r="B72" s="1">
        <f t="shared" si="1"/>
        <v>144</v>
      </c>
      <c r="C72" s="1" t="s">
        <v>0</v>
      </c>
      <c r="D72" s="2"/>
      <c r="E72" s="1">
        <v>7</v>
      </c>
      <c r="F72" s="1">
        <v>15969</v>
      </c>
      <c r="G72" s="1">
        <v>202.16900000000001</v>
      </c>
      <c r="H72" s="1">
        <v>4.8380000000000001</v>
      </c>
      <c r="I72" s="1">
        <v>36.987000000000002</v>
      </c>
    </row>
    <row r="73" spans="1:9" x14ac:dyDescent="0.25">
      <c r="A73" s="1">
        <v>155</v>
      </c>
      <c r="B73" s="1">
        <f t="shared" si="1"/>
        <v>155</v>
      </c>
      <c r="C73" s="1" t="s">
        <v>0</v>
      </c>
      <c r="D73" s="2"/>
      <c r="E73" s="1">
        <v>6</v>
      </c>
      <c r="F73" s="1">
        <v>18075</v>
      </c>
      <c r="G73" s="1">
        <v>229.19399999999999</v>
      </c>
      <c r="H73" s="1">
        <v>4.8380000000000001</v>
      </c>
      <c r="I73" s="1">
        <v>37.002000000000002</v>
      </c>
    </row>
    <row r="74" spans="1:9" x14ac:dyDescent="0.25">
      <c r="A74" s="1">
        <v>155</v>
      </c>
      <c r="B74" s="1">
        <f t="shared" si="1"/>
        <v>155</v>
      </c>
      <c r="C74" s="1" t="s">
        <v>0</v>
      </c>
      <c r="D74" s="2"/>
      <c r="E74" s="1">
        <v>7</v>
      </c>
      <c r="F74" s="1">
        <v>16831</v>
      </c>
      <c r="G74" s="1">
        <v>215.10900000000001</v>
      </c>
      <c r="H74" s="1">
        <v>4.8209999999999997</v>
      </c>
      <c r="I74" s="1">
        <v>37.027000000000001</v>
      </c>
    </row>
    <row r="75" spans="1:9" x14ac:dyDescent="0.25">
      <c r="A75" s="1">
        <v>156</v>
      </c>
      <c r="B75" s="1">
        <f t="shared" si="1"/>
        <v>156</v>
      </c>
      <c r="C75" s="1" t="s">
        <v>0</v>
      </c>
      <c r="D75" s="2"/>
      <c r="E75" s="1">
        <v>6</v>
      </c>
      <c r="F75" s="1">
        <v>11457</v>
      </c>
      <c r="G75" s="1">
        <v>140.131</v>
      </c>
      <c r="H75" s="1">
        <v>4.6619999999999999</v>
      </c>
      <c r="I75" s="1">
        <v>35.831000000000003</v>
      </c>
    </row>
    <row r="76" spans="1:9" x14ac:dyDescent="0.25">
      <c r="A76" s="1">
        <v>156</v>
      </c>
      <c r="B76" s="1">
        <f t="shared" si="1"/>
        <v>156</v>
      </c>
      <c r="C76" s="1" t="s">
        <v>0</v>
      </c>
      <c r="D76" s="2"/>
      <c r="E76" s="1">
        <v>7</v>
      </c>
      <c r="F76" s="1">
        <v>10807</v>
      </c>
      <c r="G76" s="1">
        <v>131.25</v>
      </c>
      <c r="H76" s="1">
        <v>4.7640000000000002</v>
      </c>
      <c r="I76" s="1">
        <v>35.874000000000002</v>
      </c>
    </row>
    <row r="77" spans="1:9" x14ac:dyDescent="0.25">
      <c r="A77" s="1">
        <v>167</v>
      </c>
      <c r="B77" s="1">
        <f t="shared" si="1"/>
        <v>167</v>
      </c>
      <c r="C77" s="1" t="s">
        <v>0</v>
      </c>
      <c r="D77" s="2"/>
      <c r="E77" s="1">
        <v>6</v>
      </c>
      <c r="F77" s="1">
        <v>10699</v>
      </c>
      <c r="G77" s="1">
        <v>130.91</v>
      </c>
      <c r="H77" s="1">
        <v>4.7060000000000004</v>
      </c>
      <c r="I77" s="1">
        <v>37.072000000000003</v>
      </c>
    </row>
    <row r="78" spans="1:9" x14ac:dyDescent="0.25">
      <c r="A78" s="1">
        <v>167</v>
      </c>
      <c r="B78" s="1">
        <f t="shared" si="1"/>
        <v>167</v>
      </c>
      <c r="C78" s="1" t="s">
        <v>0</v>
      </c>
      <c r="D78" s="2"/>
      <c r="E78" s="1">
        <v>7</v>
      </c>
      <c r="F78" s="1">
        <v>10055</v>
      </c>
      <c r="G78" s="1">
        <v>122.65</v>
      </c>
      <c r="H78" s="1">
        <v>4.7510000000000003</v>
      </c>
      <c r="I78" s="1">
        <v>37.093000000000004</v>
      </c>
    </row>
    <row r="79" spans="1:9" x14ac:dyDescent="0.25">
      <c r="A79" s="1">
        <v>168</v>
      </c>
      <c r="B79" s="1">
        <f t="shared" si="1"/>
        <v>168</v>
      </c>
      <c r="C79" s="1" t="s">
        <v>0</v>
      </c>
      <c r="D79" s="2"/>
      <c r="E79" s="1">
        <v>6</v>
      </c>
      <c r="F79" s="1">
        <v>12028</v>
      </c>
      <c r="G79" s="1">
        <v>153.42699999999999</v>
      </c>
      <c r="H79" s="1">
        <v>4.7770000000000001</v>
      </c>
      <c r="I79" s="1">
        <v>37.081000000000003</v>
      </c>
    </row>
    <row r="80" spans="1:9" x14ac:dyDescent="0.25">
      <c r="A80" s="1">
        <v>168</v>
      </c>
      <c r="B80" s="1">
        <f t="shared" si="1"/>
        <v>168</v>
      </c>
      <c r="C80" s="1" t="s">
        <v>0</v>
      </c>
      <c r="D80" s="2"/>
      <c r="E80" s="1">
        <v>7</v>
      </c>
      <c r="F80" s="1">
        <v>11208</v>
      </c>
      <c r="G80" s="1">
        <v>142.459</v>
      </c>
      <c r="H80" s="1">
        <v>4.84</v>
      </c>
      <c r="I80" s="1">
        <v>37.069000000000003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7C7F-9204-4E0E-90C2-298C84AF35D0}">
  <sheetPr filterMode="1"/>
  <dimension ref="A1:S1200"/>
  <sheetViews>
    <sheetView zoomScale="93" zoomScaleNormal="93" workbookViewId="0">
      <selection activeCell="A12" sqref="A12:S1200"/>
    </sheetView>
  </sheetViews>
  <sheetFormatPr defaultColWidth="8.85546875" defaultRowHeight="15" x14ac:dyDescent="0.25"/>
  <cols>
    <col min="1" max="16384" width="8.85546875" style="2"/>
  </cols>
  <sheetData>
    <row r="1" spans="1:19" x14ac:dyDescent="0.25">
      <c r="A1" s="220" t="s">
        <v>1</v>
      </c>
      <c r="B1" s="220" t="s">
        <v>2</v>
      </c>
      <c r="C1" s="220" t="s">
        <v>3</v>
      </c>
      <c r="D1" s="220" t="s">
        <v>33</v>
      </c>
      <c r="E1" s="220" t="s">
        <v>4</v>
      </c>
      <c r="F1" s="220" t="s">
        <v>40</v>
      </c>
      <c r="G1" s="220" t="s">
        <v>5</v>
      </c>
      <c r="H1" s="220" t="s">
        <v>34</v>
      </c>
      <c r="I1" s="220" t="s">
        <v>35</v>
      </c>
      <c r="J1" s="220" t="s">
        <v>6</v>
      </c>
      <c r="K1" s="220" t="s">
        <v>7</v>
      </c>
      <c r="L1" s="220" t="s">
        <v>8</v>
      </c>
      <c r="M1" s="220" t="s">
        <v>36</v>
      </c>
      <c r="N1" s="220" t="s">
        <v>37</v>
      </c>
      <c r="O1" s="220" t="s">
        <v>38</v>
      </c>
      <c r="P1" s="220" t="s">
        <v>39</v>
      </c>
      <c r="Q1" s="220" t="s">
        <v>41</v>
      </c>
      <c r="R1" s="220" t="s">
        <v>42</v>
      </c>
      <c r="S1" s="220" t="s">
        <v>43</v>
      </c>
    </row>
    <row r="2" spans="1:19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</row>
    <row r="3" spans="1:19" hidden="1" x14ac:dyDescent="0.25">
      <c r="A3" s="220">
        <v>1</v>
      </c>
      <c r="B3" s="220" t="s">
        <v>223</v>
      </c>
      <c r="C3" s="220" t="s">
        <v>199</v>
      </c>
      <c r="D3" s="220" t="s">
        <v>291</v>
      </c>
      <c r="E3" s="220">
        <v>1</v>
      </c>
      <c r="F3" s="220">
        <v>202.63900000000001</v>
      </c>
      <c r="G3" s="220">
        <v>10433</v>
      </c>
      <c r="H3" s="220">
        <v>12305</v>
      </c>
      <c r="I3" s="220">
        <v>14378</v>
      </c>
      <c r="J3" s="220">
        <v>199.46199999999999</v>
      </c>
      <c r="K3" s="220">
        <v>-19.917000000000002</v>
      </c>
      <c r="L3" s="220">
        <v>24.417999999999999</v>
      </c>
      <c r="M3" s="220" t="s">
        <v>761</v>
      </c>
      <c r="N3" s="220" t="s">
        <v>762</v>
      </c>
      <c r="O3" s="220" t="s">
        <v>763</v>
      </c>
      <c r="P3" s="220" t="s">
        <v>764</v>
      </c>
      <c r="Q3" s="220" t="s">
        <v>565</v>
      </c>
      <c r="R3" s="220" t="s">
        <v>55</v>
      </c>
      <c r="S3" s="220" t="s">
        <v>570</v>
      </c>
    </row>
    <row r="4" spans="1:19" hidden="1" x14ac:dyDescent="0.25">
      <c r="A4" s="220">
        <v>1</v>
      </c>
      <c r="B4" s="220" t="s">
        <v>223</v>
      </c>
      <c r="C4" s="220" t="s">
        <v>199</v>
      </c>
      <c r="D4" s="220" t="s">
        <v>291</v>
      </c>
      <c r="E4" s="220">
        <v>2</v>
      </c>
      <c r="F4" s="220">
        <v>203.631</v>
      </c>
      <c r="G4" s="220">
        <v>10474</v>
      </c>
      <c r="H4" s="220">
        <v>12355</v>
      </c>
      <c r="I4" s="220">
        <v>14429</v>
      </c>
      <c r="J4" s="220">
        <v>200.43799999999999</v>
      </c>
      <c r="K4" s="220">
        <v>-19.927</v>
      </c>
      <c r="L4" s="220">
        <v>24.420999999999999</v>
      </c>
      <c r="M4" s="220" t="s">
        <v>761</v>
      </c>
      <c r="N4" s="220" t="s">
        <v>762</v>
      </c>
      <c r="O4" s="220" t="s">
        <v>763</v>
      </c>
      <c r="P4" s="220" t="s">
        <v>764</v>
      </c>
      <c r="Q4" s="220" t="s">
        <v>67</v>
      </c>
      <c r="R4" s="220" t="s">
        <v>206</v>
      </c>
      <c r="S4" s="220" t="s">
        <v>192</v>
      </c>
    </row>
    <row r="5" spans="1:19" hidden="1" x14ac:dyDescent="0.25">
      <c r="A5" s="220">
        <v>1</v>
      </c>
      <c r="B5" s="220" t="s">
        <v>223</v>
      </c>
      <c r="C5" s="220" t="s">
        <v>199</v>
      </c>
      <c r="D5" s="220" t="s">
        <v>291</v>
      </c>
      <c r="E5" s="220">
        <v>3</v>
      </c>
      <c r="F5" s="220">
        <v>203.328</v>
      </c>
      <c r="G5" s="220">
        <v>10509</v>
      </c>
      <c r="H5" s="220">
        <v>12394</v>
      </c>
      <c r="I5" s="220">
        <v>14481</v>
      </c>
      <c r="J5" s="220">
        <v>200.14</v>
      </c>
      <c r="K5" s="220">
        <v>-19.937999999999999</v>
      </c>
      <c r="L5" s="220">
        <v>24.420999999999999</v>
      </c>
      <c r="M5" s="220" t="s">
        <v>761</v>
      </c>
      <c r="N5" s="220" t="s">
        <v>762</v>
      </c>
      <c r="O5" s="220" t="s">
        <v>763</v>
      </c>
      <c r="P5" s="220" t="s">
        <v>764</v>
      </c>
      <c r="Q5" s="220" t="s">
        <v>62</v>
      </c>
      <c r="R5" s="220" t="s">
        <v>145</v>
      </c>
      <c r="S5" s="220" t="s">
        <v>147</v>
      </c>
    </row>
    <row r="6" spans="1:19" hidden="1" x14ac:dyDescent="0.25">
      <c r="A6" s="220">
        <v>1</v>
      </c>
      <c r="B6" s="220" t="s">
        <v>223</v>
      </c>
      <c r="C6" s="220" t="s">
        <v>199</v>
      </c>
      <c r="D6" s="220" t="s">
        <v>291</v>
      </c>
      <c r="E6" s="220">
        <v>4</v>
      </c>
      <c r="F6" s="220">
        <v>203.83199999999999</v>
      </c>
      <c r="G6" s="220">
        <v>10477</v>
      </c>
      <c r="H6" s="220">
        <v>12356</v>
      </c>
      <c r="I6" s="220">
        <v>14431</v>
      </c>
      <c r="J6" s="220">
        <v>200.636</v>
      </c>
      <c r="K6" s="220">
        <v>-19.937000000000001</v>
      </c>
      <c r="L6" s="220">
        <v>24.417999999999999</v>
      </c>
      <c r="M6" s="220" t="s">
        <v>761</v>
      </c>
      <c r="N6" s="220" t="s">
        <v>762</v>
      </c>
      <c r="O6" s="220" t="s">
        <v>763</v>
      </c>
      <c r="P6" s="220" t="s">
        <v>764</v>
      </c>
      <c r="Q6" s="220" t="s">
        <v>213</v>
      </c>
      <c r="R6" s="220" t="s">
        <v>236</v>
      </c>
      <c r="S6" s="220" t="s">
        <v>105</v>
      </c>
    </row>
    <row r="7" spans="1:19" hidden="1" x14ac:dyDescent="0.25">
      <c r="A7" s="220">
        <v>2</v>
      </c>
      <c r="B7" s="220" t="s">
        <v>23</v>
      </c>
      <c r="C7" s="220" t="s">
        <v>505</v>
      </c>
      <c r="D7" s="220" t="s">
        <v>295</v>
      </c>
      <c r="E7" s="220">
        <v>1</v>
      </c>
      <c r="F7" s="220">
        <v>202.643</v>
      </c>
      <c r="G7" s="220">
        <v>10440</v>
      </c>
      <c r="H7" s="220">
        <v>12312</v>
      </c>
      <c r="I7" s="220">
        <v>14386</v>
      </c>
      <c r="J7" s="220">
        <v>199.46600000000001</v>
      </c>
      <c r="K7" s="220">
        <v>-19.93</v>
      </c>
      <c r="L7" s="220">
        <v>24.425999999999998</v>
      </c>
      <c r="M7" s="220" t="s">
        <v>765</v>
      </c>
      <c r="N7" s="220" t="s">
        <v>762</v>
      </c>
      <c r="O7" s="220" t="s">
        <v>766</v>
      </c>
      <c r="P7" s="220" t="s">
        <v>767</v>
      </c>
      <c r="Q7" s="220" t="s">
        <v>89</v>
      </c>
      <c r="R7" s="220" t="s">
        <v>83</v>
      </c>
      <c r="S7" s="220" t="s">
        <v>60</v>
      </c>
    </row>
    <row r="8" spans="1:19" hidden="1" x14ac:dyDescent="0.25">
      <c r="A8" s="220">
        <v>2</v>
      </c>
      <c r="B8" s="220" t="s">
        <v>23</v>
      </c>
      <c r="C8" s="220" t="s">
        <v>505</v>
      </c>
      <c r="D8" s="220" t="s">
        <v>295</v>
      </c>
      <c r="E8" s="220">
        <v>2</v>
      </c>
      <c r="F8" s="220">
        <v>203.452</v>
      </c>
      <c r="G8" s="220">
        <v>10464</v>
      </c>
      <c r="H8" s="220">
        <v>12340</v>
      </c>
      <c r="I8" s="220">
        <v>14420</v>
      </c>
      <c r="J8" s="220">
        <v>200.262</v>
      </c>
      <c r="K8" s="220">
        <v>-19.925999999999998</v>
      </c>
      <c r="L8" s="220">
        <v>24.431000000000001</v>
      </c>
      <c r="M8" s="220" t="s">
        <v>765</v>
      </c>
      <c r="N8" s="220" t="s">
        <v>762</v>
      </c>
      <c r="O8" s="220" t="s">
        <v>766</v>
      </c>
      <c r="P8" s="220" t="s">
        <v>767</v>
      </c>
      <c r="Q8" s="220" t="s">
        <v>59</v>
      </c>
      <c r="R8" s="220" t="s">
        <v>211</v>
      </c>
      <c r="S8" s="220" t="s">
        <v>203</v>
      </c>
    </row>
    <row r="9" spans="1:19" hidden="1" x14ac:dyDescent="0.25">
      <c r="A9" s="220">
        <v>2</v>
      </c>
      <c r="B9" s="220" t="s">
        <v>23</v>
      </c>
      <c r="C9" s="220" t="s">
        <v>505</v>
      </c>
      <c r="D9" s="220" t="s">
        <v>295</v>
      </c>
      <c r="E9" s="220">
        <v>3</v>
      </c>
      <c r="F9" s="220">
        <v>203.61099999999999</v>
      </c>
      <c r="G9" s="220">
        <v>10508</v>
      </c>
      <c r="H9" s="220">
        <v>12392</v>
      </c>
      <c r="I9" s="220">
        <v>14479</v>
      </c>
      <c r="J9" s="220">
        <v>200.41900000000001</v>
      </c>
      <c r="K9" s="220">
        <v>-19.936</v>
      </c>
      <c r="L9" s="220">
        <v>24.436</v>
      </c>
      <c r="M9" s="220" t="s">
        <v>765</v>
      </c>
      <c r="N9" s="220" t="s">
        <v>762</v>
      </c>
      <c r="O9" s="220" t="s">
        <v>766</v>
      </c>
      <c r="P9" s="220" t="s">
        <v>767</v>
      </c>
      <c r="Q9" s="220" t="s">
        <v>649</v>
      </c>
      <c r="R9" s="220" t="s">
        <v>115</v>
      </c>
      <c r="S9" s="220" t="s">
        <v>159</v>
      </c>
    </row>
    <row r="10" spans="1:19" hidden="1" x14ac:dyDescent="0.25">
      <c r="A10" s="220">
        <v>2</v>
      </c>
      <c r="B10" s="220" t="s">
        <v>23</v>
      </c>
      <c r="C10" s="220" t="s">
        <v>505</v>
      </c>
      <c r="D10" s="220" t="s">
        <v>295</v>
      </c>
      <c r="E10" s="220">
        <v>4</v>
      </c>
      <c r="F10" s="220">
        <v>203.50200000000001</v>
      </c>
      <c r="G10" s="220">
        <v>10462</v>
      </c>
      <c r="H10" s="220">
        <v>12338</v>
      </c>
      <c r="I10" s="220">
        <v>14416</v>
      </c>
      <c r="J10" s="220">
        <v>200.31100000000001</v>
      </c>
      <c r="K10" s="220">
        <v>-19.937000000000001</v>
      </c>
      <c r="L10" s="220">
        <v>24.417999999999999</v>
      </c>
      <c r="M10" s="220" t="s">
        <v>765</v>
      </c>
      <c r="N10" s="220" t="s">
        <v>762</v>
      </c>
      <c r="O10" s="220" t="s">
        <v>766</v>
      </c>
      <c r="P10" s="220" t="s">
        <v>767</v>
      </c>
      <c r="Q10" s="220" t="s">
        <v>78</v>
      </c>
      <c r="R10" s="220" t="s">
        <v>249</v>
      </c>
      <c r="S10" s="220" t="s">
        <v>113</v>
      </c>
    </row>
    <row r="11" spans="1:19" hidden="1" x14ac:dyDescent="0.25">
      <c r="A11" s="220">
        <v>2</v>
      </c>
      <c r="B11" s="220" t="s">
        <v>23</v>
      </c>
      <c r="C11" s="220" t="s">
        <v>505</v>
      </c>
      <c r="D11" s="220" t="s">
        <v>295</v>
      </c>
      <c r="E11" s="220">
        <v>5</v>
      </c>
      <c r="F11" s="220">
        <v>197.376</v>
      </c>
      <c r="G11" s="220">
        <v>15121</v>
      </c>
      <c r="H11" s="220">
        <v>18136</v>
      </c>
      <c r="I11" s="220">
        <v>20695</v>
      </c>
      <c r="J11" s="220">
        <v>194.255</v>
      </c>
      <c r="K11" s="220">
        <v>-4.6180000000000003</v>
      </c>
      <c r="L11" s="220">
        <v>16.321999999999999</v>
      </c>
      <c r="M11" s="220" t="s">
        <v>765</v>
      </c>
      <c r="N11" s="220" t="s">
        <v>762</v>
      </c>
      <c r="O11" s="220" t="s">
        <v>766</v>
      </c>
      <c r="P11" s="220" t="s">
        <v>767</v>
      </c>
      <c r="Q11" s="220" t="s">
        <v>157</v>
      </c>
      <c r="R11" s="220" t="s">
        <v>176</v>
      </c>
      <c r="S11" s="220" t="s">
        <v>71</v>
      </c>
    </row>
    <row r="12" spans="1:19" x14ac:dyDescent="0.25">
      <c r="A12" s="220">
        <v>2</v>
      </c>
      <c r="B12" s="220" t="s">
        <v>23</v>
      </c>
      <c r="C12" s="220" t="s">
        <v>505</v>
      </c>
      <c r="D12" s="220" t="s">
        <v>295</v>
      </c>
      <c r="E12" s="220">
        <v>6</v>
      </c>
      <c r="F12" s="220">
        <v>172.17400000000001</v>
      </c>
      <c r="G12" s="220">
        <v>13350</v>
      </c>
      <c r="H12" s="220">
        <v>16008</v>
      </c>
      <c r="I12" s="220">
        <v>18272</v>
      </c>
      <c r="J12" s="220">
        <v>169.452</v>
      </c>
      <c r="K12" s="220">
        <v>-4.7290000000000001</v>
      </c>
      <c r="L12" s="220">
        <v>17.385000000000002</v>
      </c>
      <c r="M12" s="220" t="s">
        <v>765</v>
      </c>
      <c r="N12" s="220" t="s">
        <v>762</v>
      </c>
      <c r="O12" s="220" t="s">
        <v>766</v>
      </c>
      <c r="P12" s="220" t="s">
        <v>767</v>
      </c>
      <c r="Q12" s="220" t="s">
        <v>118</v>
      </c>
      <c r="R12" s="220" t="s">
        <v>170</v>
      </c>
      <c r="S12" s="220" t="s">
        <v>150</v>
      </c>
    </row>
    <row r="13" spans="1:19" x14ac:dyDescent="0.25">
      <c r="A13" s="220">
        <v>2</v>
      </c>
      <c r="B13" s="220" t="s">
        <v>23</v>
      </c>
      <c r="C13" s="220" t="s">
        <v>505</v>
      </c>
      <c r="D13" s="220" t="s">
        <v>295</v>
      </c>
      <c r="E13" s="220">
        <v>7</v>
      </c>
      <c r="F13" s="220">
        <v>159.976</v>
      </c>
      <c r="G13" s="220">
        <v>12410</v>
      </c>
      <c r="H13" s="220">
        <v>14880</v>
      </c>
      <c r="I13" s="220">
        <v>16991</v>
      </c>
      <c r="J13" s="220">
        <v>157.446</v>
      </c>
      <c r="K13" s="220">
        <v>-4.6660000000000004</v>
      </c>
      <c r="L13" s="220">
        <v>17.390999999999998</v>
      </c>
      <c r="M13" s="220" t="s">
        <v>765</v>
      </c>
      <c r="N13" s="220" t="s">
        <v>762</v>
      </c>
      <c r="O13" s="220" t="s">
        <v>766</v>
      </c>
      <c r="P13" s="220" t="s">
        <v>767</v>
      </c>
      <c r="Q13" s="220" t="s">
        <v>361</v>
      </c>
      <c r="R13" s="220" t="s">
        <v>313</v>
      </c>
      <c r="S13" s="220" t="s">
        <v>768</v>
      </c>
    </row>
    <row r="14" spans="1:19" hidden="1" x14ac:dyDescent="0.25">
      <c r="A14" s="220">
        <v>3</v>
      </c>
      <c r="B14" s="220" t="s">
        <v>567</v>
      </c>
      <c r="C14" s="220" t="s">
        <v>229</v>
      </c>
      <c r="D14" s="220" t="s">
        <v>292</v>
      </c>
      <c r="E14" s="220">
        <v>1</v>
      </c>
      <c r="F14" s="220">
        <v>202.56899999999999</v>
      </c>
      <c r="G14" s="220">
        <v>10437</v>
      </c>
      <c r="H14" s="220">
        <v>12310</v>
      </c>
      <c r="I14" s="220">
        <v>14382</v>
      </c>
      <c r="J14" s="220">
        <v>199.393</v>
      </c>
      <c r="K14" s="220">
        <v>-19.927</v>
      </c>
      <c r="L14" s="220">
        <v>24.393999999999998</v>
      </c>
      <c r="M14" s="220" t="s">
        <v>769</v>
      </c>
      <c r="N14" s="220" t="s">
        <v>762</v>
      </c>
      <c r="O14" s="220" t="s">
        <v>770</v>
      </c>
      <c r="P14" s="220" t="s">
        <v>771</v>
      </c>
      <c r="Q14" s="220" t="s">
        <v>48</v>
      </c>
      <c r="R14" s="220" t="s">
        <v>62</v>
      </c>
      <c r="S14" s="220" t="s">
        <v>122</v>
      </c>
    </row>
    <row r="15" spans="1:19" hidden="1" x14ac:dyDescent="0.25">
      <c r="A15" s="220">
        <v>3</v>
      </c>
      <c r="B15" s="220" t="s">
        <v>567</v>
      </c>
      <c r="C15" s="220" t="s">
        <v>229</v>
      </c>
      <c r="D15" s="220" t="s">
        <v>292</v>
      </c>
      <c r="E15" s="220">
        <v>2</v>
      </c>
      <c r="F15" s="220">
        <v>202.99600000000001</v>
      </c>
      <c r="G15" s="220">
        <v>10445</v>
      </c>
      <c r="H15" s="220">
        <v>12319</v>
      </c>
      <c r="I15" s="220">
        <v>14386</v>
      </c>
      <c r="J15" s="220">
        <v>199.81299999999999</v>
      </c>
      <c r="K15" s="220">
        <v>-19.923999999999999</v>
      </c>
      <c r="L15" s="220">
        <v>24.387</v>
      </c>
      <c r="M15" s="220" t="s">
        <v>769</v>
      </c>
      <c r="N15" s="220" t="s">
        <v>762</v>
      </c>
      <c r="O15" s="220" t="s">
        <v>770</v>
      </c>
      <c r="P15" s="220" t="s">
        <v>771</v>
      </c>
      <c r="Q15" s="220" t="s">
        <v>121</v>
      </c>
      <c r="R15" s="220" t="s">
        <v>140</v>
      </c>
      <c r="S15" s="220" t="s">
        <v>224</v>
      </c>
    </row>
    <row r="16" spans="1:19" hidden="1" x14ac:dyDescent="0.25">
      <c r="A16" s="220">
        <v>3</v>
      </c>
      <c r="B16" s="220" t="s">
        <v>567</v>
      </c>
      <c r="C16" s="220" t="s">
        <v>229</v>
      </c>
      <c r="D16" s="220" t="s">
        <v>292</v>
      </c>
      <c r="E16" s="220">
        <v>3</v>
      </c>
      <c r="F16" s="220">
        <v>203.07599999999999</v>
      </c>
      <c r="G16" s="220">
        <v>10496</v>
      </c>
      <c r="H16" s="220">
        <v>12380</v>
      </c>
      <c r="I16" s="220">
        <v>14461</v>
      </c>
      <c r="J16" s="220">
        <v>199.892</v>
      </c>
      <c r="K16" s="220">
        <v>-19.920000000000002</v>
      </c>
      <c r="L16" s="220">
        <v>24.402999999999999</v>
      </c>
      <c r="M16" s="220" t="s">
        <v>769</v>
      </c>
      <c r="N16" s="220" t="s">
        <v>762</v>
      </c>
      <c r="O16" s="220" t="s">
        <v>770</v>
      </c>
      <c r="P16" s="220" t="s">
        <v>771</v>
      </c>
      <c r="Q16" s="220" t="s">
        <v>128</v>
      </c>
      <c r="R16" s="220" t="s">
        <v>244</v>
      </c>
      <c r="S16" s="220" t="s">
        <v>290</v>
      </c>
    </row>
    <row r="17" spans="1:19" hidden="1" x14ac:dyDescent="0.25">
      <c r="A17" s="220">
        <v>3</v>
      </c>
      <c r="B17" s="220" t="s">
        <v>567</v>
      </c>
      <c r="C17" s="220" t="s">
        <v>229</v>
      </c>
      <c r="D17" s="220" t="s">
        <v>292</v>
      </c>
      <c r="E17" s="220">
        <v>4</v>
      </c>
      <c r="F17" s="220">
        <v>203.22499999999999</v>
      </c>
      <c r="G17" s="220">
        <v>10451</v>
      </c>
      <c r="H17" s="220">
        <v>12326</v>
      </c>
      <c r="I17" s="220">
        <v>14397</v>
      </c>
      <c r="J17" s="220">
        <v>200.03800000000001</v>
      </c>
      <c r="K17" s="220">
        <v>-19.937000000000001</v>
      </c>
      <c r="L17" s="220">
        <v>24.417999999999999</v>
      </c>
      <c r="M17" s="220" t="s">
        <v>769</v>
      </c>
      <c r="N17" s="220" t="s">
        <v>762</v>
      </c>
      <c r="O17" s="220" t="s">
        <v>770</v>
      </c>
      <c r="P17" s="220" t="s">
        <v>771</v>
      </c>
      <c r="Q17" s="220" t="s">
        <v>127</v>
      </c>
      <c r="R17" s="220" t="s">
        <v>262</v>
      </c>
      <c r="S17" s="220" t="s">
        <v>279</v>
      </c>
    </row>
    <row r="18" spans="1:19" hidden="1" x14ac:dyDescent="0.25">
      <c r="A18" s="220">
        <v>3</v>
      </c>
      <c r="B18" s="220" t="s">
        <v>567</v>
      </c>
      <c r="C18" s="220" t="s">
        <v>229</v>
      </c>
      <c r="D18" s="220" t="s">
        <v>292</v>
      </c>
      <c r="E18" s="220">
        <v>5</v>
      </c>
      <c r="F18" s="220">
        <v>211.245</v>
      </c>
      <c r="G18" s="220">
        <v>16658</v>
      </c>
      <c r="H18" s="220">
        <v>20013</v>
      </c>
      <c r="I18" s="220">
        <v>22799</v>
      </c>
      <c r="J18" s="220">
        <v>207.904</v>
      </c>
      <c r="K18" s="220">
        <v>-4.7510000000000003</v>
      </c>
      <c r="L18" s="220">
        <v>17.212</v>
      </c>
      <c r="M18" s="220" t="s">
        <v>769</v>
      </c>
      <c r="N18" s="220" t="s">
        <v>762</v>
      </c>
      <c r="O18" s="220" t="s">
        <v>770</v>
      </c>
      <c r="P18" s="220" t="s">
        <v>771</v>
      </c>
      <c r="Q18" s="220" t="s">
        <v>173</v>
      </c>
      <c r="R18" s="220" t="s">
        <v>169</v>
      </c>
      <c r="S18" s="220" t="s">
        <v>44</v>
      </c>
    </row>
    <row r="19" spans="1:19" x14ac:dyDescent="0.25">
      <c r="A19" s="220">
        <v>3</v>
      </c>
      <c r="B19" s="220" t="s">
        <v>567</v>
      </c>
      <c r="C19" s="220" t="s">
        <v>229</v>
      </c>
      <c r="D19" s="220" t="s">
        <v>292</v>
      </c>
      <c r="E19" s="220">
        <v>6</v>
      </c>
      <c r="F19" s="220">
        <v>188.46299999999999</v>
      </c>
      <c r="G19" s="220">
        <v>15170</v>
      </c>
      <c r="H19" s="220">
        <v>18217</v>
      </c>
      <c r="I19" s="220">
        <v>20758</v>
      </c>
      <c r="J19" s="220">
        <v>185.483</v>
      </c>
      <c r="K19" s="220">
        <v>-4.7290000000000001</v>
      </c>
      <c r="L19" s="220">
        <v>17.3</v>
      </c>
      <c r="M19" s="220" t="s">
        <v>769</v>
      </c>
      <c r="N19" s="220" t="s">
        <v>762</v>
      </c>
      <c r="O19" s="220" t="s">
        <v>770</v>
      </c>
      <c r="P19" s="220" t="s">
        <v>771</v>
      </c>
      <c r="Q19" s="220" t="s">
        <v>113</v>
      </c>
      <c r="R19" s="220" t="s">
        <v>172</v>
      </c>
      <c r="S19" s="220" t="s">
        <v>645</v>
      </c>
    </row>
    <row r="20" spans="1:19" x14ac:dyDescent="0.25">
      <c r="A20" s="220">
        <v>3</v>
      </c>
      <c r="B20" s="220" t="s">
        <v>567</v>
      </c>
      <c r="C20" s="220" t="s">
        <v>229</v>
      </c>
      <c r="D20" s="220" t="s">
        <v>292</v>
      </c>
      <c r="E20" s="220">
        <v>7</v>
      </c>
      <c r="F20" s="220">
        <v>176.435</v>
      </c>
      <c r="G20" s="220">
        <v>14309</v>
      </c>
      <c r="H20" s="220">
        <v>17177</v>
      </c>
      <c r="I20" s="220">
        <v>19579</v>
      </c>
      <c r="J20" s="220">
        <v>173.64500000000001</v>
      </c>
      <c r="K20" s="220">
        <v>-4.6769999999999996</v>
      </c>
      <c r="L20" s="220">
        <v>17.324000000000002</v>
      </c>
      <c r="M20" s="220" t="s">
        <v>769</v>
      </c>
      <c r="N20" s="220" t="s">
        <v>762</v>
      </c>
      <c r="O20" s="220" t="s">
        <v>770</v>
      </c>
      <c r="P20" s="220" t="s">
        <v>771</v>
      </c>
      <c r="Q20" s="220" t="s">
        <v>599</v>
      </c>
      <c r="R20" s="220" t="s">
        <v>621</v>
      </c>
      <c r="S20" s="220" t="s">
        <v>772</v>
      </c>
    </row>
    <row r="21" spans="1:19" hidden="1" x14ac:dyDescent="0.25">
      <c r="A21" s="220">
        <v>4</v>
      </c>
      <c r="B21" s="220" t="s">
        <v>567</v>
      </c>
      <c r="C21" s="220" t="s">
        <v>328</v>
      </c>
      <c r="D21" s="220" t="s">
        <v>301</v>
      </c>
      <c r="E21" s="220">
        <v>1</v>
      </c>
      <c r="F21" s="220">
        <v>202.35</v>
      </c>
      <c r="G21" s="220">
        <v>10423</v>
      </c>
      <c r="H21" s="220">
        <v>12293</v>
      </c>
      <c r="I21" s="220">
        <v>14362</v>
      </c>
      <c r="J21" s="220">
        <v>199.17699999999999</v>
      </c>
      <c r="K21" s="220">
        <v>-19.928000000000001</v>
      </c>
      <c r="L21" s="220">
        <v>24.396999999999998</v>
      </c>
      <c r="M21" s="220" t="s">
        <v>773</v>
      </c>
      <c r="N21" s="220" t="s">
        <v>762</v>
      </c>
      <c r="O21" s="220" t="s">
        <v>774</v>
      </c>
      <c r="P21" s="220" t="s">
        <v>775</v>
      </c>
      <c r="Q21" s="220" t="s">
        <v>69</v>
      </c>
      <c r="R21" s="220" t="s">
        <v>64</v>
      </c>
      <c r="S21" s="220" t="s">
        <v>111</v>
      </c>
    </row>
    <row r="22" spans="1:19" hidden="1" x14ac:dyDescent="0.25">
      <c r="A22" s="220">
        <v>4</v>
      </c>
      <c r="B22" s="220" t="s">
        <v>567</v>
      </c>
      <c r="C22" s="220" t="s">
        <v>328</v>
      </c>
      <c r="D22" s="220" t="s">
        <v>301</v>
      </c>
      <c r="E22" s="220">
        <v>2</v>
      </c>
      <c r="F22" s="220">
        <v>202.75700000000001</v>
      </c>
      <c r="G22" s="220">
        <v>10442</v>
      </c>
      <c r="H22" s="220">
        <v>12315</v>
      </c>
      <c r="I22" s="220">
        <v>14383</v>
      </c>
      <c r="J22" s="220">
        <v>199.578</v>
      </c>
      <c r="K22" s="220">
        <v>-19.922999999999998</v>
      </c>
      <c r="L22" s="220">
        <v>24.393999999999998</v>
      </c>
      <c r="M22" s="220" t="s">
        <v>773</v>
      </c>
      <c r="N22" s="220" t="s">
        <v>762</v>
      </c>
      <c r="O22" s="220" t="s">
        <v>774</v>
      </c>
      <c r="P22" s="220" t="s">
        <v>775</v>
      </c>
      <c r="Q22" s="220" t="s">
        <v>127</v>
      </c>
      <c r="R22" s="220" t="s">
        <v>192</v>
      </c>
      <c r="S22" s="220" t="s">
        <v>290</v>
      </c>
    </row>
    <row r="23" spans="1:19" hidden="1" x14ac:dyDescent="0.25">
      <c r="A23" s="220">
        <v>4</v>
      </c>
      <c r="B23" s="220" t="s">
        <v>567</v>
      </c>
      <c r="C23" s="220" t="s">
        <v>328</v>
      </c>
      <c r="D23" s="220" t="s">
        <v>301</v>
      </c>
      <c r="E23" s="220">
        <v>3</v>
      </c>
      <c r="F23" s="220">
        <v>203.13300000000001</v>
      </c>
      <c r="G23" s="220">
        <v>10493</v>
      </c>
      <c r="H23" s="220">
        <v>12376</v>
      </c>
      <c r="I23" s="220">
        <v>14457</v>
      </c>
      <c r="J23" s="220">
        <v>199.94800000000001</v>
      </c>
      <c r="K23" s="220">
        <v>-19.948</v>
      </c>
      <c r="L23" s="220">
        <v>24.387</v>
      </c>
      <c r="M23" s="220" t="s">
        <v>773</v>
      </c>
      <c r="N23" s="220" t="s">
        <v>762</v>
      </c>
      <c r="O23" s="220" t="s">
        <v>774</v>
      </c>
      <c r="P23" s="220" t="s">
        <v>775</v>
      </c>
      <c r="Q23" s="220" t="s">
        <v>109</v>
      </c>
      <c r="R23" s="220" t="s">
        <v>195</v>
      </c>
      <c r="S23" s="220" t="s">
        <v>179</v>
      </c>
    </row>
    <row r="24" spans="1:19" hidden="1" x14ac:dyDescent="0.25">
      <c r="A24" s="220">
        <v>4</v>
      </c>
      <c r="B24" s="220" t="s">
        <v>567</v>
      </c>
      <c r="C24" s="220" t="s">
        <v>328</v>
      </c>
      <c r="D24" s="220" t="s">
        <v>301</v>
      </c>
      <c r="E24" s="220">
        <v>4</v>
      </c>
      <c r="F24" s="220">
        <v>203.14099999999999</v>
      </c>
      <c r="G24" s="220">
        <v>10437</v>
      </c>
      <c r="H24" s="220">
        <v>12309</v>
      </c>
      <c r="I24" s="220">
        <v>14378</v>
      </c>
      <c r="J24" s="220">
        <v>199.95599999999999</v>
      </c>
      <c r="K24" s="220">
        <v>-19.937000000000001</v>
      </c>
      <c r="L24" s="220">
        <v>24.417999999999999</v>
      </c>
      <c r="M24" s="220" t="s">
        <v>773</v>
      </c>
      <c r="N24" s="220" t="s">
        <v>762</v>
      </c>
      <c r="O24" s="220" t="s">
        <v>774</v>
      </c>
      <c r="P24" s="220" t="s">
        <v>775</v>
      </c>
      <c r="Q24" s="220" t="s">
        <v>130</v>
      </c>
      <c r="R24" s="220" t="s">
        <v>245</v>
      </c>
      <c r="S24" s="220" t="s">
        <v>234</v>
      </c>
    </row>
    <row r="25" spans="1:19" hidden="1" x14ac:dyDescent="0.25">
      <c r="A25" s="220">
        <v>4</v>
      </c>
      <c r="B25" s="220" t="s">
        <v>567</v>
      </c>
      <c r="C25" s="220" t="s">
        <v>328</v>
      </c>
      <c r="D25" s="220" t="s">
        <v>301</v>
      </c>
      <c r="E25" s="220">
        <v>5</v>
      </c>
      <c r="F25" s="220">
        <v>229.52</v>
      </c>
      <c r="G25" s="220">
        <v>17467</v>
      </c>
      <c r="H25" s="220">
        <v>20966</v>
      </c>
      <c r="I25" s="220">
        <v>23901</v>
      </c>
      <c r="J25" s="220">
        <v>225.89099999999999</v>
      </c>
      <c r="K25" s="220">
        <v>-4.7030000000000003</v>
      </c>
      <c r="L25" s="220">
        <v>17.076000000000001</v>
      </c>
      <c r="M25" s="220" t="s">
        <v>773</v>
      </c>
      <c r="N25" s="220" t="s">
        <v>762</v>
      </c>
      <c r="O25" s="220" t="s">
        <v>774</v>
      </c>
      <c r="P25" s="220" t="s">
        <v>775</v>
      </c>
      <c r="Q25" s="220" t="s">
        <v>154</v>
      </c>
      <c r="R25" s="220" t="s">
        <v>153</v>
      </c>
      <c r="S25" s="220" t="s">
        <v>582</v>
      </c>
    </row>
    <row r="26" spans="1:19" x14ac:dyDescent="0.25">
      <c r="A26" s="220">
        <v>4</v>
      </c>
      <c r="B26" s="220" t="s">
        <v>567</v>
      </c>
      <c r="C26" s="220" t="s">
        <v>328</v>
      </c>
      <c r="D26" s="220" t="s">
        <v>301</v>
      </c>
      <c r="E26" s="220">
        <v>6</v>
      </c>
      <c r="F26" s="220">
        <v>201.77199999999999</v>
      </c>
      <c r="G26" s="220">
        <v>15628</v>
      </c>
      <c r="H26" s="220">
        <v>18753</v>
      </c>
      <c r="I26" s="220">
        <v>21383</v>
      </c>
      <c r="J26" s="220">
        <v>198.58099999999999</v>
      </c>
      <c r="K26" s="220">
        <v>-4.6580000000000004</v>
      </c>
      <c r="L26" s="220">
        <v>17.242999999999999</v>
      </c>
      <c r="M26" s="220" t="s">
        <v>773</v>
      </c>
      <c r="N26" s="220" t="s">
        <v>762</v>
      </c>
      <c r="O26" s="220" t="s">
        <v>774</v>
      </c>
      <c r="P26" s="220" t="s">
        <v>775</v>
      </c>
      <c r="Q26" s="220" t="s">
        <v>216</v>
      </c>
      <c r="R26" s="220" t="s">
        <v>190</v>
      </c>
      <c r="S26" s="220" t="s">
        <v>550</v>
      </c>
    </row>
    <row r="27" spans="1:19" x14ac:dyDescent="0.25">
      <c r="A27" s="220">
        <v>4</v>
      </c>
      <c r="B27" s="220" t="s">
        <v>567</v>
      </c>
      <c r="C27" s="220" t="s">
        <v>328</v>
      </c>
      <c r="D27" s="220" t="s">
        <v>301</v>
      </c>
      <c r="E27" s="220">
        <v>7</v>
      </c>
      <c r="F27" s="220">
        <v>187.79599999999999</v>
      </c>
      <c r="G27" s="220">
        <v>14585</v>
      </c>
      <c r="H27" s="220">
        <v>17502</v>
      </c>
      <c r="I27" s="220">
        <v>19958</v>
      </c>
      <c r="J27" s="220">
        <v>184.82599999999999</v>
      </c>
      <c r="K27" s="220">
        <v>-4.6180000000000003</v>
      </c>
      <c r="L27" s="220">
        <v>17.257999999999999</v>
      </c>
      <c r="M27" s="220" t="s">
        <v>773</v>
      </c>
      <c r="N27" s="220" t="s">
        <v>762</v>
      </c>
      <c r="O27" s="220" t="s">
        <v>774</v>
      </c>
      <c r="P27" s="220" t="s">
        <v>775</v>
      </c>
      <c r="Q27" s="220" t="s">
        <v>734</v>
      </c>
      <c r="R27" s="220" t="s">
        <v>350</v>
      </c>
      <c r="S27" s="220" t="s">
        <v>776</v>
      </c>
    </row>
    <row r="28" spans="1:19" hidden="1" x14ac:dyDescent="0.25">
      <c r="A28" s="220">
        <v>5</v>
      </c>
      <c r="B28" s="220" t="s">
        <v>567</v>
      </c>
      <c r="C28" s="220" t="s">
        <v>297</v>
      </c>
      <c r="D28" s="220" t="s">
        <v>304</v>
      </c>
      <c r="E28" s="220">
        <v>1</v>
      </c>
      <c r="F28" s="220">
        <v>201.673</v>
      </c>
      <c r="G28" s="220">
        <v>10427</v>
      </c>
      <c r="H28" s="220">
        <v>12299</v>
      </c>
      <c r="I28" s="220">
        <v>14355</v>
      </c>
      <c r="J28" s="220">
        <v>198.512</v>
      </c>
      <c r="K28" s="220">
        <v>-19.928999999999998</v>
      </c>
      <c r="L28" s="220">
        <v>24.42</v>
      </c>
      <c r="M28" s="220" t="s">
        <v>715</v>
      </c>
      <c r="N28" s="220" t="s">
        <v>762</v>
      </c>
      <c r="O28" s="220" t="s">
        <v>777</v>
      </c>
      <c r="P28" s="220" t="s">
        <v>778</v>
      </c>
      <c r="Q28" s="220" t="s">
        <v>57</v>
      </c>
      <c r="R28" s="220" t="s">
        <v>225</v>
      </c>
      <c r="S28" s="220" t="s">
        <v>158</v>
      </c>
    </row>
    <row r="29" spans="1:19" hidden="1" x14ac:dyDescent="0.25">
      <c r="A29" s="220">
        <v>5</v>
      </c>
      <c r="B29" s="220" t="s">
        <v>567</v>
      </c>
      <c r="C29" s="220" t="s">
        <v>297</v>
      </c>
      <c r="D29" s="220" t="s">
        <v>304</v>
      </c>
      <c r="E29" s="220">
        <v>2</v>
      </c>
      <c r="F29" s="220">
        <v>202.60400000000001</v>
      </c>
      <c r="G29" s="220">
        <v>10428</v>
      </c>
      <c r="H29" s="220">
        <v>12301</v>
      </c>
      <c r="I29" s="220">
        <v>14361</v>
      </c>
      <c r="J29" s="220">
        <v>199.428</v>
      </c>
      <c r="K29" s="220">
        <v>-19.93</v>
      </c>
      <c r="L29" s="220">
        <v>24.422999999999998</v>
      </c>
      <c r="M29" s="220" t="s">
        <v>715</v>
      </c>
      <c r="N29" s="220" t="s">
        <v>762</v>
      </c>
      <c r="O29" s="220" t="s">
        <v>777</v>
      </c>
      <c r="P29" s="220" t="s">
        <v>778</v>
      </c>
      <c r="Q29" s="220" t="s">
        <v>136</v>
      </c>
      <c r="R29" s="220" t="s">
        <v>159</v>
      </c>
      <c r="S29" s="220" t="s">
        <v>196</v>
      </c>
    </row>
    <row r="30" spans="1:19" hidden="1" x14ac:dyDescent="0.25">
      <c r="A30" s="220">
        <v>5</v>
      </c>
      <c r="B30" s="220" t="s">
        <v>567</v>
      </c>
      <c r="C30" s="220" t="s">
        <v>297</v>
      </c>
      <c r="D30" s="220" t="s">
        <v>304</v>
      </c>
      <c r="E30" s="220">
        <v>3</v>
      </c>
      <c r="F30" s="220">
        <v>203.12700000000001</v>
      </c>
      <c r="G30" s="220">
        <v>10480</v>
      </c>
      <c r="H30" s="220">
        <v>12361</v>
      </c>
      <c r="I30" s="220">
        <v>14427</v>
      </c>
      <c r="J30" s="220">
        <v>199.94200000000001</v>
      </c>
      <c r="K30" s="220">
        <v>-19.939</v>
      </c>
      <c r="L30" s="220">
        <v>24.408000000000001</v>
      </c>
      <c r="M30" s="220" t="s">
        <v>715</v>
      </c>
      <c r="N30" s="220" t="s">
        <v>762</v>
      </c>
      <c r="O30" s="220" t="s">
        <v>777</v>
      </c>
      <c r="P30" s="220" t="s">
        <v>778</v>
      </c>
      <c r="Q30" s="220" t="s">
        <v>134</v>
      </c>
      <c r="R30" s="220" t="s">
        <v>219</v>
      </c>
      <c r="S30" s="220" t="s">
        <v>234</v>
      </c>
    </row>
    <row r="31" spans="1:19" hidden="1" x14ac:dyDescent="0.25">
      <c r="A31" s="220">
        <v>5</v>
      </c>
      <c r="B31" s="220" t="s">
        <v>567</v>
      </c>
      <c r="C31" s="220" t="s">
        <v>297</v>
      </c>
      <c r="D31" s="220" t="s">
        <v>304</v>
      </c>
      <c r="E31" s="220">
        <v>4</v>
      </c>
      <c r="F31" s="220">
        <v>203.328</v>
      </c>
      <c r="G31" s="220">
        <v>10448</v>
      </c>
      <c r="H31" s="220">
        <v>12325</v>
      </c>
      <c r="I31" s="220">
        <v>14385</v>
      </c>
      <c r="J31" s="220">
        <v>200.14099999999999</v>
      </c>
      <c r="K31" s="220">
        <v>-19.937000000000001</v>
      </c>
      <c r="L31" s="220">
        <v>24.417999999999999</v>
      </c>
      <c r="M31" s="220" t="s">
        <v>715</v>
      </c>
      <c r="N31" s="220" t="s">
        <v>762</v>
      </c>
      <c r="O31" s="220" t="s">
        <v>777</v>
      </c>
      <c r="P31" s="220" t="s">
        <v>778</v>
      </c>
      <c r="Q31" s="220" t="s">
        <v>129</v>
      </c>
      <c r="R31" s="220" t="s">
        <v>219</v>
      </c>
      <c r="S31" s="220" t="s">
        <v>193</v>
      </c>
    </row>
    <row r="32" spans="1:19" hidden="1" x14ac:dyDescent="0.25">
      <c r="A32" s="220">
        <v>5</v>
      </c>
      <c r="B32" s="220" t="s">
        <v>567</v>
      </c>
      <c r="C32" s="220" t="s">
        <v>297</v>
      </c>
      <c r="D32" s="220" t="s">
        <v>304</v>
      </c>
      <c r="E32" s="220">
        <v>5</v>
      </c>
      <c r="F32" s="220">
        <v>238.774</v>
      </c>
      <c r="G32" s="220">
        <v>19154</v>
      </c>
      <c r="H32" s="220">
        <v>23015</v>
      </c>
      <c r="I32" s="220">
        <v>26188</v>
      </c>
      <c r="J32" s="220">
        <v>234.999</v>
      </c>
      <c r="K32" s="220">
        <v>-4.7450000000000001</v>
      </c>
      <c r="L32" s="220">
        <v>17.100999999999999</v>
      </c>
      <c r="M32" s="220" t="s">
        <v>715</v>
      </c>
      <c r="N32" s="220" t="s">
        <v>762</v>
      </c>
      <c r="O32" s="220" t="s">
        <v>777</v>
      </c>
      <c r="P32" s="220" t="s">
        <v>778</v>
      </c>
      <c r="Q32" s="220" t="s">
        <v>165</v>
      </c>
      <c r="R32" s="220" t="s">
        <v>399</v>
      </c>
      <c r="S32" s="220" t="s">
        <v>89</v>
      </c>
    </row>
    <row r="33" spans="1:19" x14ac:dyDescent="0.25">
      <c r="A33" s="220">
        <v>5</v>
      </c>
      <c r="B33" s="220" t="s">
        <v>567</v>
      </c>
      <c r="C33" s="220" t="s">
        <v>297</v>
      </c>
      <c r="D33" s="220" t="s">
        <v>304</v>
      </c>
      <c r="E33" s="220">
        <v>6</v>
      </c>
      <c r="F33" s="220">
        <v>212.20599999999999</v>
      </c>
      <c r="G33" s="220">
        <v>17291</v>
      </c>
      <c r="H33" s="220">
        <v>20766</v>
      </c>
      <c r="I33" s="220">
        <v>23645</v>
      </c>
      <c r="J33" s="220">
        <v>208.851</v>
      </c>
      <c r="K33" s="220">
        <v>-4.7009999999999996</v>
      </c>
      <c r="L33" s="220">
        <v>17.2</v>
      </c>
      <c r="M33" s="220" t="s">
        <v>715</v>
      </c>
      <c r="N33" s="220" t="s">
        <v>762</v>
      </c>
      <c r="O33" s="220" t="s">
        <v>777</v>
      </c>
      <c r="P33" s="220" t="s">
        <v>778</v>
      </c>
      <c r="Q33" s="220" t="s">
        <v>166</v>
      </c>
      <c r="R33" s="220" t="s">
        <v>568</v>
      </c>
      <c r="S33" s="220" t="s">
        <v>779</v>
      </c>
    </row>
    <row r="34" spans="1:19" x14ac:dyDescent="0.25">
      <c r="A34" s="220">
        <v>5</v>
      </c>
      <c r="B34" s="220" t="s">
        <v>567</v>
      </c>
      <c r="C34" s="220" t="s">
        <v>297</v>
      </c>
      <c r="D34" s="220" t="s">
        <v>304</v>
      </c>
      <c r="E34" s="220">
        <v>7</v>
      </c>
      <c r="F34" s="220">
        <v>200.31700000000001</v>
      </c>
      <c r="G34" s="220">
        <v>16186</v>
      </c>
      <c r="H34" s="220">
        <v>19430</v>
      </c>
      <c r="I34" s="220">
        <v>22134</v>
      </c>
      <c r="J34" s="220">
        <v>197.149</v>
      </c>
      <c r="K34" s="220">
        <v>-4.7460000000000004</v>
      </c>
      <c r="L34" s="220">
        <v>17.236000000000001</v>
      </c>
      <c r="M34" s="220" t="s">
        <v>715</v>
      </c>
      <c r="N34" s="220" t="s">
        <v>762</v>
      </c>
      <c r="O34" s="220" t="s">
        <v>777</v>
      </c>
      <c r="P34" s="220" t="s">
        <v>778</v>
      </c>
      <c r="Q34" s="220" t="s">
        <v>166</v>
      </c>
      <c r="R34" s="220" t="s">
        <v>568</v>
      </c>
      <c r="S34" s="220" t="s">
        <v>779</v>
      </c>
    </row>
    <row r="35" spans="1:19" hidden="1" x14ac:dyDescent="0.25">
      <c r="A35" s="220">
        <v>6</v>
      </c>
      <c r="B35" s="220" t="s">
        <v>24</v>
      </c>
      <c r="C35" s="220" t="s">
        <v>496</v>
      </c>
      <c r="D35" s="220" t="s">
        <v>306</v>
      </c>
      <c r="E35" s="220">
        <v>1</v>
      </c>
      <c r="F35" s="220">
        <v>201.55500000000001</v>
      </c>
      <c r="G35" s="220">
        <v>10373</v>
      </c>
      <c r="H35" s="220">
        <v>12236</v>
      </c>
      <c r="I35" s="220">
        <v>14282</v>
      </c>
      <c r="J35" s="220">
        <v>198.39500000000001</v>
      </c>
      <c r="K35" s="220">
        <v>-19.949000000000002</v>
      </c>
      <c r="L35" s="220">
        <v>24.42</v>
      </c>
      <c r="M35" s="220" t="s">
        <v>714</v>
      </c>
      <c r="N35" s="220" t="s">
        <v>762</v>
      </c>
      <c r="O35" s="220" t="s">
        <v>780</v>
      </c>
      <c r="P35" s="220" t="s">
        <v>781</v>
      </c>
      <c r="Q35" s="220" t="s">
        <v>58</v>
      </c>
      <c r="R35" s="220" t="s">
        <v>72</v>
      </c>
      <c r="S35" s="220" t="s">
        <v>110</v>
      </c>
    </row>
    <row r="36" spans="1:19" hidden="1" x14ac:dyDescent="0.25">
      <c r="A36" s="220">
        <v>6</v>
      </c>
      <c r="B36" s="220" t="s">
        <v>24</v>
      </c>
      <c r="C36" s="220" t="s">
        <v>496</v>
      </c>
      <c r="D36" s="220" t="s">
        <v>306</v>
      </c>
      <c r="E36" s="220">
        <v>2</v>
      </c>
      <c r="F36" s="220">
        <v>202.322</v>
      </c>
      <c r="G36" s="220">
        <v>10412</v>
      </c>
      <c r="H36" s="220">
        <v>12282</v>
      </c>
      <c r="I36" s="220">
        <v>14335</v>
      </c>
      <c r="J36" s="220">
        <v>199.15</v>
      </c>
      <c r="K36" s="220">
        <v>-19.949000000000002</v>
      </c>
      <c r="L36" s="220">
        <v>24.427</v>
      </c>
      <c r="M36" s="220" t="s">
        <v>714</v>
      </c>
      <c r="N36" s="220" t="s">
        <v>762</v>
      </c>
      <c r="O36" s="220" t="s">
        <v>780</v>
      </c>
      <c r="P36" s="220" t="s">
        <v>781</v>
      </c>
      <c r="Q36" s="220" t="s">
        <v>130</v>
      </c>
      <c r="R36" s="220" t="s">
        <v>245</v>
      </c>
      <c r="S36" s="220" t="s">
        <v>266</v>
      </c>
    </row>
    <row r="37" spans="1:19" hidden="1" x14ac:dyDescent="0.25">
      <c r="A37" s="220">
        <v>6</v>
      </c>
      <c r="B37" s="220" t="s">
        <v>24</v>
      </c>
      <c r="C37" s="220" t="s">
        <v>496</v>
      </c>
      <c r="D37" s="220" t="s">
        <v>306</v>
      </c>
      <c r="E37" s="220">
        <v>3</v>
      </c>
      <c r="F37" s="220">
        <v>202.846</v>
      </c>
      <c r="G37" s="220">
        <v>10478</v>
      </c>
      <c r="H37" s="220">
        <v>12358</v>
      </c>
      <c r="I37" s="220">
        <v>14427</v>
      </c>
      <c r="J37" s="220">
        <v>199.66499999999999</v>
      </c>
      <c r="K37" s="220">
        <v>-19.946000000000002</v>
      </c>
      <c r="L37" s="220">
        <v>24.413</v>
      </c>
      <c r="M37" s="220" t="s">
        <v>714</v>
      </c>
      <c r="N37" s="220" t="s">
        <v>762</v>
      </c>
      <c r="O37" s="220" t="s">
        <v>780</v>
      </c>
      <c r="P37" s="220" t="s">
        <v>781</v>
      </c>
      <c r="Q37" s="220" t="s">
        <v>122</v>
      </c>
      <c r="R37" s="220" t="s">
        <v>113</v>
      </c>
      <c r="S37" s="220" t="s">
        <v>215</v>
      </c>
    </row>
    <row r="38" spans="1:19" hidden="1" x14ac:dyDescent="0.25">
      <c r="A38" s="220">
        <v>6</v>
      </c>
      <c r="B38" s="220" t="s">
        <v>24</v>
      </c>
      <c r="C38" s="220" t="s">
        <v>496</v>
      </c>
      <c r="D38" s="220" t="s">
        <v>306</v>
      </c>
      <c r="E38" s="220">
        <v>4</v>
      </c>
      <c r="F38" s="220">
        <v>202.571</v>
      </c>
      <c r="G38" s="220">
        <v>10429</v>
      </c>
      <c r="H38" s="220">
        <v>12301</v>
      </c>
      <c r="I38" s="220">
        <v>14357</v>
      </c>
      <c r="J38" s="220">
        <v>199.39500000000001</v>
      </c>
      <c r="K38" s="220">
        <v>-19.937000000000001</v>
      </c>
      <c r="L38" s="220">
        <v>24.417999999999999</v>
      </c>
      <c r="M38" s="220" t="s">
        <v>714</v>
      </c>
      <c r="N38" s="220" t="s">
        <v>762</v>
      </c>
      <c r="O38" s="220" t="s">
        <v>780</v>
      </c>
      <c r="P38" s="220" t="s">
        <v>781</v>
      </c>
      <c r="Q38" s="220" t="s">
        <v>249</v>
      </c>
      <c r="R38" s="220" t="s">
        <v>113</v>
      </c>
      <c r="S38" s="220" t="s">
        <v>197</v>
      </c>
    </row>
    <row r="39" spans="1:19" hidden="1" x14ac:dyDescent="0.25">
      <c r="A39" s="220">
        <v>6</v>
      </c>
      <c r="B39" s="220" t="s">
        <v>24</v>
      </c>
      <c r="C39" s="220" t="s">
        <v>496</v>
      </c>
      <c r="D39" s="220" t="s">
        <v>306</v>
      </c>
      <c r="E39" s="220">
        <v>5</v>
      </c>
      <c r="F39" s="220">
        <v>199.857</v>
      </c>
      <c r="G39" s="220">
        <v>15215</v>
      </c>
      <c r="H39" s="220">
        <v>18395</v>
      </c>
      <c r="I39" s="220">
        <v>21249</v>
      </c>
      <c r="J39" s="220">
        <v>196.66300000000001</v>
      </c>
      <c r="K39" s="220">
        <v>2.1520000000000001</v>
      </c>
      <c r="L39" s="220">
        <v>38.948</v>
      </c>
      <c r="M39" s="220" t="s">
        <v>714</v>
      </c>
      <c r="N39" s="220" t="s">
        <v>762</v>
      </c>
      <c r="O39" s="220" t="s">
        <v>780</v>
      </c>
      <c r="P39" s="220" t="s">
        <v>781</v>
      </c>
      <c r="Q39" s="220" t="s">
        <v>157</v>
      </c>
      <c r="R39" s="220" t="s">
        <v>103</v>
      </c>
      <c r="S39" s="220" t="s">
        <v>601</v>
      </c>
    </row>
    <row r="40" spans="1:19" x14ac:dyDescent="0.25">
      <c r="A40" s="220">
        <v>6</v>
      </c>
      <c r="B40" s="220" t="s">
        <v>24</v>
      </c>
      <c r="C40" s="220" t="s">
        <v>496</v>
      </c>
      <c r="D40" s="220" t="s">
        <v>306</v>
      </c>
      <c r="E40" s="220">
        <v>6</v>
      </c>
      <c r="F40" s="220">
        <v>175.417</v>
      </c>
      <c r="G40" s="220">
        <v>13590</v>
      </c>
      <c r="H40" s="220">
        <v>16430</v>
      </c>
      <c r="I40" s="220">
        <v>18983</v>
      </c>
      <c r="J40" s="220">
        <v>172.613</v>
      </c>
      <c r="K40" s="220">
        <v>2.2120000000000002</v>
      </c>
      <c r="L40" s="220">
        <v>39.091000000000001</v>
      </c>
      <c r="M40" s="220" t="s">
        <v>714</v>
      </c>
      <c r="N40" s="220" t="s">
        <v>762</v>
      </c>
      <c r="O40" s="220" t="s">
        <v>780</v>
      </c>
      <c r="P40" s="220" t="s">
        <v>781</v>
      </c>
      <c r="Q40" s="220" t="s">
        <v>262</v>
      </c>
      <c r="R40" s="220" t="s">
        <v>266</v>
      </c>
      <c r="S40" s="220" t="s">
        <v>600</v>
      </c>
    </row>
    <row r="41" spans="1:19" x14ac:dyDescent="0.25">
      <c r="A41" s="220">
        <v>6</v>
      </c>
      <c r="B41" s="220" t="s">
        <v>24</v>
      </c>
      <c r="C41" s="220" t="s">
        <v>496</v>
      </c>
      <c r="D41" s="220" t="s">
        <v>306</v>
      </c>
      <c r="E41" s="220">
        <v>7</v>
      </c>
      <c r="F41" s="220">
        <v>163.053</v>
      </c>
      <c r="G41" s="220">
        <v>12673</v>
      </c>
      <c r="H41" s="220">
        <v>15317</v>
      </c>
      <c r="I41" s="220">
        <v>17705</v>
      </c>
      <c r="J41" s="220">
        <v>160.447</v>
      </c>
      <c r="K41" s="220">
        <v>2.2650000000000001</v>
      </c>
      <c r="L41" s="220">
        <v>39.104999999999997</v>
      </c>
      <c r="M41" s="220" t="s">
        <v>714</v>
      </c>
      <c r="N41" s="220" t="s">
        <v>762</v>
      </c>
      <c r="O41" s="220" t="s">
        <v>780</v>
      </c>
      <c r="P41" s="220" t="s">
        <v>781</v>
      </c>
      <c r="Q41" s="220" t="s">
        <v>782</v>
      </c>
      <c r="R41" s="220" t="s">
        <v>701</v>
      </c>
      <c r="S41" s="220" t="s">
        <v>720</v>
      </c>
    </row>
    <row r="42" spans="1:19" hidden="1" x14ac:dyDescent="0.25">
      <c r="A42" s="220">
        <v>7</v>
      </c>
      <c r="B42" s="220" t="s">
        <v>24</v>
      </c>
      <c r="C42" s="220" t="s">
        <v>783</v>
      </c>
      <c r="D42" s="220" t="s">
        <v>307</v>
      </c>
      <c r="E42" s="220">
        <v>1</v>
      </c>
      <c r="F42" s="220">
        <v>202.595</v>
      </c>
      <c r="G42" s="220">
        <v>10439</v>
      </c>
      <c r="H42" s="220">
        <v>12313</v>
      </c>
      <c r="I42" s="220">
        <v>14383</v>
      </c>
      <c r="J42" s="220">
        <v>199.41800000000001</v>
      </c>
      <c r="K42" s="220">
        <v>-19.931000000000001</v>
      </c>
      <c r="L42" s="220">
        <v>24.414999999999999</v>
      </c>
      <c r="M42" s="220" t="s">
        <v>784</v>
      </c>
      <c r="N42" s="220" t="s">
        <v>762</v>
      </c>
      <c r="O42" s="220" t="s">
        <v>785</v>
      </c>
      <c r="P42" s="220" t="s">
        <v>786</v>
      </c>
      <c r="Q42" s="220" t="s">
        <v>69</v>
      </c>
      <c r="R42" s="220" t="s">
        <v>64</v>
      </c>
      <c r="S42" s="220" t="s">
        <v>120</v>
      </c>
    </row>
    <row r="43" spans="1:19" hidden="1" x14ac:dyDescent="0.25">
      <c r="A43" s="220">
        <v>7</v>
      </c>
      <c r="B43" s="220" t="s">
        <v>24</v>
      </c>
      <c r="C43" s="220" t="s">
        <v>783</v>
      </c>
      <c r="D43" s="220" t="s">
        <v>307</v>
      </c>
      <c r="E43" s="220">
        <v>2</v>
      </c>
      <c r="F43" s="220">
        <v>202.96899999999999</v>
      </c>
      <c r="G43" s="220">
        <v>10457</v>
      </c>
      <c r="H43" s="220">
        <v>12334</v>
      </c>
      <c r="I43" s="220">
        <v>14407</v>
      </c>
      <c r="J43" s="220">
        <v>199.78700000000001</v>
      </c>
      <c r="K43" s="220">
        <v>-19.937000000000001</v>
      </c>
      <c r="L43" s="220">
        <v>24.405000000000001</v>
      </c>
      <c r="M43" s="220" t="s">
        <v>784</v>
      </c>
      <c r="N43" s="220" t="s">
        <v>762</v>
      </c>
      <c r="O43" s="220" t="s">
        <v>785</v>
      </c>
      <c r="P43" s="220" t="s">
        <v>786</v>
      </c>
      <c r="Q43" s="220" t="s">
        <v>127</v>
      </c>
      <c r="R43" s="220" t="s">
        <v>148</v>
      </c>
      <c r="S43" s="220" t="s">
        <v>290</v>
      </c>
    </row>
    <row r="44" spans="1:19" hidden="1" x14ac:dyDescent="0.25">
      <c r="A44" s="220">
        <v>7</v>
      </c>
      <c r="B44" s="220" t="s">
        <v>24</v>
      </c>
      <c r="C44" s="220" t="s">
        <v>783</v>
      </c>
      <c r="D44" s="220" t="s">
        <v>307</v>
      </c>
      <c r="E44" s="220">
        <v>3</v>
      </c>
      <c r="F44" s="220">
        <v>203.38900000000001</v>
      </c>
      <c r="G44" s="220">
        <v>10503</v>
      </c>
      <c r="H44" s="220">
        <v>12388</v>
      </c>
      <c r="I44" s="220">
        <v>14471</v>
      </c>
      <c r="J44" s="220">
        <v>200.19900000000001</v>
      </c>
      <c r="K44" s="220">
        <v>-19.937000000000001</v>
      </c>
      <c r="L44" s="220">
        <v>24.396000000000001</v>
      </c>
      <c r="M44" s="220" t="s">
        <v>784</v>
      </c>
      <c r="N44" s="220" t="s">
        <v>762</v>
      </c>
      <c r="O44" s="220" t="s">
        <v>785</v>
      </c>
      <c r="P44" s="220" t="s">
        <v>786</v>
      </c>
      <c r="Q44" s="220" t="s">
        <v>130</v>
      </c>
      <c r="R44" s="220" t="s">
        <v>146</v>
      </c>
      <c r="S44" s="220" t="s">
        <v>234</v>
      </c>
    </row>
    <row r="45" spans="1:19" hidden="1" x14ac:dyDescent="0.25">
      <c r="A45" s="220">
        <v>7</v>
      </c>
      <c r="B45" s="220" t="s">
        <v>24</v>
      </c>
      <c r="C45" s="220" t="s">
        <v>783</v>
      </c>
      <c r="D45" s="220" t="s">
        <v>307</v>
      </c>
      <c r="E45" s="220">
        <v>4</v>
      </c>
      <c r="F45" s="220">
        <v>203.28299999999999</v>
      </c>
      <c r="G45" s="220">
        <v>10471</v>
      </c>
      <c r="H45" s="220">
        <v>12349</v>
      </c>
      <c r="I45" s="220">
        <v>14427</v>
      </c>
      <c r="J45" s="220">
        <v>200.096</v>
      </c>
      <c r="K45" s="220">
        <v>-19.937000000000001</v>
      </c>
      <c r="L45" s="220">
        <v>24.417999999999999</v>
      </c>
      <c r="M45" s="220" t="s">
        <v>784</v>
      </c>
      <c r="N45" s="220" t="s">
        <v>762</v>
      </c>
      <c r="O45" s="220" t="s">
        <v>785</v>
      </c>
      <c r="P45" s="220" t="s">
        <v>786</v>
      </c>
      <c r="Q45" s="220" t="s">
        <v>134</v>
      </c>
      <c r="R45" s="220" t="s">
        <v>219</v>
      </c>
      <c r="S45" s="220" t="s">
        <v>193</v>
      </c>
    </row>
    <row r="46" spans="1:19" hidden="1" x14ac:dyDescent="0.25">
      <c r="A46" s="220">
        <v>7</v>
      </c>
      <c r="B46" s="220" t="s">
        <v>24</v>
      </c>
      <c r="C46" s="220" t="s">
        <v>783</v>
      </c>
      <c r="D46" s="220" t="s">
        <v>307</v>
      </c>
      <c r="E46" s="220">
        <v>5</v>
      </c>
      <c r="F46" s="220">
        <v>289.238</v>
      </c>
      <c r="G46" s="220">
        <v>23186</v>
      </c>
      <c r="H46" s="220">
        <v>28063</v>
      </c>
      <c r="I46" s="220">
        <v>32409</v>
      </c>
      <c r="J46" s="220">
        <v>284.61500000000001</v>
      </c>
      <c r="K46" s="220">
        <v>2.3109999999999999</v>
      </c>
      <c r="L46" s="220">
        <v>38.886000000000003</v>
      </c>
      <c r="M46" s="220" t="s">
        <v>784</v>
      </c>
      <c r="N46" s="220" t="s">
        <v>762</v>
      </c>
      <c r="O46" s="220" t="s">
        <v>785</v>
      </c>
      <c r="P46" s="220" t="s">
        <v>786</v>
      </c>
      <c r="Q46" s="220" t="s">
        <v>156</v>
      </c>
      <c r="R46" s="220" t="s">
        <v>160</v>
      </c>
      <c r="S46" s="220" t="s">
        <v>565</v>
      </c>
    </row>
    <row r="47" spans="1:19" x14ac:dyDescent="0.25">
      <c r="A47" s="220">
        <v>7</v>
      </c>
      <c r="B47" s="220" t="s">
        <v>24</v>
      </c>
      <c r="C47" s="220" t="s">
        <v>783</v>
      </c>
      <c r="D47" s="220" t="s">
        <v>307</v>
      </c>
      <c r="E47" s="220">
        <v>6</v>
      </c>
      <c r="F47" s="220">
        <v>252.63</v>
      </c>
      <c r="G47" s="220">
        <v>20377</v>
      </c>
      <c r="H47" s="220">
        <v>24651</v>
      </c>
      <c r="I47" s="220">
        <v>28488</v>
      </c>
      <c r="J47" s="220">
        <v>248.59100000000001</v>
      </c>
      <c r="K47" s="220">
        <v>2.3330000000000002</v>
      </c>
      <c r="L47" s="220">
        <v>39.058</v>
      </c>
      <c r="M47" s="220" t="s">
        <v>784</v>
      </c>
      <c r="N47" s="220" t="s">
        <v>762</v>
      </c>
      <c r="O47" s="220" t="s">
        <v>785</v>
      </c>
      <c r="P47" s="220" t="s">
        <v>786</v>
      </c>
      <c r="Q47" s="220" t="s">
        <v>235</v>
      </c>
      <c r="R47" s="220" t="s">
        <v>639</v>
      </c>
      <c r="S47" s="220" t="s">
        <v>787</v>
      </c>
    </row>
    <row r="48" spans="1:19" x14ac:dyDescent="0.25">
      <c r="A48" s="220">
        <v>7</v>
      </c>
      <c r="B48" s="220" t="s">
        <v>24</v>
      </c>
      <c r="C48" s="220" t="s">
        <v>783</v>
      </c>
      <c r="D48" s="220" t="s">
        <v>307</v>
      </c>
      <c r="E48" s="220">
        <v>7</v>
      </c>
      <c r="F48" s="220">
        <v>234.31299999999999</v>
      </c>
      <c r="G48" s="220">
        <v>18792</v>
      </c>
      <c r="H48" s="220">
        <v>22722</v>
      </c>
      <c r="I48" s="220">
        <v>26263</v>
      </c>
      <c r="J48" s="220">
        <v>230.56800000000001</v>
      </c>
      <c r="K48" s="220">
        <v>2.3860000000000001</v>
      </c>
      <c r="L48" s="220">
        <v>39.058999999999997</v>
      </c>
      <c r="M48" s="220" t="s">
        <v>784</v>
      </c>
      <c r="N48" s="220" t="s">
        <v>762</v>
      </c>
      <c r="O48" s="220" t="s">
        <v>785</v>
      </c>
      <c r="P48" s="220" t="s">
        <v>786</v>
      </c>
      <c r="Q48" s="220" t="s">
        <v>560</v>
      </c>
      <c r="R48" s="220" t="s">
        <v>788</v>
      </c>
      <c r="S48" s="220" t="s">
        <v>789</v>
      </c>
    </row>
    <row r="49" spans="1:19" hidden="1" x14ac:dyDescent="0.25">
      <c r="A49" s="220">
        <v>8</v>
      </c>
      <c r="B49" s="220" t="s">
        <v>24</v>
      </c>
      <c r="C49" s="220" t="s">
        <v>783</v>
      </c>
      <c r="D49" s="220" t="s">
        <v>308</v>
      </c>
      <c r="E49" s="220">
        <v>1</v>
      </c>
      <c r="F49" s="220">
        <v>202.40899999999999</v>
      </c>
      <c r="G49" s="220">
        <v>10422</v>
      </c>
      <c r="H49" s="220">
        <v>12292</v>
      </c>
      <c r="I49" s="220">
        <v>14360</v>
      </c>
      <c r="J49" s="220">
        <v>199.23599999999999</v>
      </c>
      <c r="K49" s="220">
        <v>-19.940000000000001</v>
      </c>
      <c r="L49" s="220">
        <v>24.405000000000001</v>
      </c>
      <c r="M49" s="220" t="s">
        <v>790</v>
      </c>
      <c r="N49" s="220" t="s">
        <v>762</v>
      </c>
      <c r="O49" s="220" t="s">
        <v>791</v>
      </c>
      <c r="P49" s="220" t="s">
        <v>792</v>
      </c>
      <c r="Q49" s="220" t="s">
        <v>71</v>
      </c>
      <c r="R49" s="220" t="s">
        <v>115</v>
      </c>
      <c r="S49" s="220" t="s">
        <v>244</v>
      </c>
    </row>
    <row r="50" spans="1:19" hidden="1" x14ac:dyDescent="0.25">
      <c r="A50" s="220">
        <v>8</v>
      </c>
      <c r="B50" s="220" t="s">
        <v>24</v>
      </c>
      <c r="C50" s="220" t="s">
        <v>783</v>
      </c>
      <c r="D50" s="220" t="s">
        <v>308</v>
      </c>
      <c r="E50" s="220">
        <v>2</v>
      </c>
      <c r="F50" s="220">
        <v>203.17400000000001</v>
      </c>
      <c r="G50" s="220">
        <v>10431</v>
      </c>
      <c r="H50" s="220">
        <v>12302</v>
      </c>
      <c r="I50" s="220">
        <v>14371</v>
      </c>
      <c r="J50" s="220">
        <v>199.988</v>
      </c>
      <c r="K50" s="220">
        <v>-19.916</v>
      </c>
      <c r="L50" s="220">
        <v>24.42</v>
      </c>
      <c r="M50" s="220" t="s">
        <v>790</v>
      </c>
      <c r="N50" s="220" t="s">
        <v>762</v>
      </c>
      <c r="O50" s="220" t="s">
        <v>791</v>
      </c>
      <c r="P50" s="220" t="s">
        <v>792</v>
      </c>
      <c r="Q50" s="220" t="s">
        <v>145</v>
      </c>
      <c r="R50" s="220" t="s">
        <v>147</v>
      </c>
      <c r="S50" s="220" t="s">
        <v>379</v>
      </c>
    </row>
    <row r="51" spans="1:19" hidden="1" x14ac:dyDescent="0.25">
      <c r="A51" s="220">
        <v>8</v>
      </c>
      <c r="B51" s="220" t="s">
        <v>24</v>
      </c>
      <c r="C51" s="220" t="s">
        <v>783</v>
      </c>
      <c r="D51" s="220" t="s">
        <v>308</v>
      </c>
      <c r="E51" s="220">
        <v>3</v>
      </c>
      <c r="F51" s="220">
        <v>202.77699999999999</v>
      </c>
      <c r="G51" s="220">
        <v>10488</v>
      </c>
      <c r="H51" s="220">
        <v>12370</v>
      </c>
      <c r="I51" s="220">
        <v>14451</v>
      </c>
      <c r="J51" s="220">
        <v>199.59800000000001</v>
      </c>
      <c r="K51" s="220">
        <v>-19.933</v>
      </c>
      <c r="L51" s="220">
        <v>24.411000000000001</v>
      </c>
      <c r="M51" s="220" t="s">
        <v>790</v>
      </c>
      <c r="N51" s="220" t="s">
        <v>762</v>
      </c>
      <c r="O51" s="220" t="s">
        <v>791</v>
      </c>
      <c r="P51" s="220" t="s">
        <v>792</v>
      </c>
      <c r="Q51" s="220" t="s">
        <v>131</v>
      </c>
      <c r="R51" s="220" t="s">
        <v>270</v>
      </c>
      <c r="S51" s="220" t="s">
        <v>208</v>
      </c>
    </row>
    <row r="52" spans="1:19" hidden="1" x14ac:dyDescent="0.25">
      <c r="A52" s="220">
        <v>8</v>
      </c>
      <c r="B52" s="220" t="s">
        <v>24</v>
      </c>
      <c r="C52" s="220" t="s">
        <v>783</v>
      </c>
      <c r="D52" s="220" t="s">
        <v>308</v>
      </c>
      <c r="E52" s="220">
        <v>4</v>
      </c>
      <c r="F52" s="220">
        <v>203.00700000000001</v>
      </c>
      <c r="G52" s="220">
        <v>10446</v>
      </c>
      <c r="H52" s="220">
        <v>12320</v>
      </c>
      <c r="I52" s="220">
        <v>14392</v>
      </c>
      <c r="J52" s="220">
        <v>199.82400000000001</v>
      </c>
      <c r="K52" s="220">
        <v>-19.937000000000001</v>
      </c>
      <c r="L52" s="220">
        <v>24.417999999999999</v>
      </c>
      <c r="M52" s="220" t="s">
        <v>790</v>
      </c>
      <c r="N52" s="220" t="s">
        <v>762</v>
      </c>
      <c r="O52" s="220" t="s">
        <v>791</v>
      </c>
      <c r="P52" s="220" t="s">
        <v>792</v>
      </c>
      <c r="Q52" s="220" t="s">
        <v>207</v>
      </c>
      <c r="R52" s="220" t="s">
        <v>274</v>
      </c>
      <c r="S52" s="220" t="s">
        <v>208</v>
      </c>
    </row>
    <row r="53" spans="1:19" hidden="1" x14ac:dyDescent="0.25">
      <c r="A53" s="220">
        <v>8</v>
      </c>
      <c r="B53" s="220" t="s">
        <v>24</v>
      </c>
      <c r="C53" s="220" t="s">
        <v>783</v>
      </c>
      <c r="D53" s="220" t="s">
        <v>308</v>
      </c>
      <c r="E53" s="220">
        <v>5</v>
      </c>
      <c r="F53" s="220">
        <v>250.023</v>
      </c>
      <c r="G53" s="220">
        <v>19224</v>
      </c>
      <c r="H53" s="220">
        <v>23268</v>
      </c>
      <c r="I53" s="220">
        <v>26864</v>
      </c>
      <c r="J53" s="220">
        <v>246.02699999999999</v>
      </c>
      <c r="K53" s="220">
        <v>2.2799999999999998</v>
      </c>
      <c r="L53" s="220">
        <v>38.92</v>
      </c>
      <c r="M53" s="220" t="s">
        <v>790</v>
      </c>
      <c r="N53" s="220" t="s">
        <v>762</v>
      </c>
      <c r="O53" s="220" t="s">
        <v>791</v>
      </c>
      <c r="P53" s="220" t="s">
        <v>792</v>
      </c>
      <c r="Q53" s="220" t="s">
        <v>164</v>
      </c>
      <c r="R53" s="220" t="s">
        <v>153</v>
      </c>
      <c r="S53" s="220" t="s">
        <v>87</v>
      </c>
    </row>
    <row r="54" spans="1:19" x14ac:dyDescent="0.25">
      <c r="A54" s="220">
        <v>8</v>
      </c>
      <c r="B54" s="220" t="s">
        <v>24</v>
      </c>
      <c r="C54" s="220" t="s">
        <v>783</v>
      </c>
      <c r="D54" s="220" t="s">
        <v>308</v>
      </c>
      <c r="E54" s="220">
        <v>6</v>
      </c>
      <c r="F54" s="220">
        <v>219.25299999999999</v>
      </c>
      <c r="G54" s="220">
        <v>17177</v>
      </c>
      <c r="H54" s="220">
        <v>20787</v>
      </c>
      <c r="I54" s="220">
        <v>24011</v>
      </c>
      <c r="J54" s="220">
        <v>215.74799999999999</v>
      </c>
      <c r="K54" s="220">
        <v>2.298</v>
      </c>
      <c r="L54" s="220">
        <v>39.042999999999999</v>
      </c>
      <c r="M54" s="220" t="s">
        <v>790</v>
      </c>
      <c r="N54" s="220" t="s">
        <v>762</v>
      </c>
      <c r="O54" s="220" t="s">
        <v>791</v>
      </c>
      <c r="P54" s="220" t="s">
        <v>792</v>
      </c>
      <c r="Q54" s="220" t="s">
        <v>259</v>
      </c>
      <c r="R54" s="220" t="s">
        <v>257</v>
      </c>
      <c r="S54" s="220" t="s">
        <v>793</v>
      </c>
    </row>
    <row r="55" spans="1:19" x14ac:dyDescent="0.25">
      <c r="A55" s="220">
        <v>8</v>
      </c>
      <c r="B55" s="220" t="s">
        <v>24</v>
      </c>
      <c r="C55" s="220" t="s">
        <v>783</v>
      </c>
      <c r="D55" s="220" t="s">
        <v>308</v>
      </c>
      <c r="E55" s="220">
        <v>7</v>
      </c>
      <c r="F55" s="220">
        <v>206.387</v>
      </c>
      <c r="G55" s="220">
        <v>16128</v>
      </c>
      <c r="H55" s="220">
        <v>19515</v>
      </c>
      <c r="I55" s="220">
        <v>22543</v>
      </c>
      <c r="J55" s="220">
        <v>203.08799999999999</v>
      </c>
      <c r="K55" s="220">
        <v>2.2690000000000001</v>
      </c>
      <c r="L55" s="220">
        <v>39.076999999999998</v>
      </c>
      <c r="M55" s="220" t="s">
        <v>790</v>
      </c>
      <c r="N55" s="220" t="s">
        <v>762</v>
      </c>
      <c r="O55" s="220" t="s">
        <v>791</v>
      </c>
      <c r="P55" s="220" t="s">
        <v>792</v>
      </c>
      <c r="Q55" s="220" t="s">
        <v>259</v>
      </c>
      <c r="R55" s="220" t="s">
        <v>257</v>
      </c>
      <c r="S55" s="220" t="s">
        <v>793</v>
      </c>
    </row>
    <row r="56" spans="1:19" hidden="1" x14ac:dyDescent="0.25">
      <c r="A56" s="220">
        <v>9</v>
      </c>
      <c r="B56" s="220" t="s">
        <v>24</v>
      </c>
      <c r="C56" s="220" t="s">
        <v>299</v>
      </c>
      <c r="D56" s="220" t="s">
        <v>309</v>
      </c>
      <c r="E56" s="220">
        <v>1</v>
      </c>
      <c r="F56" s="220">
        <v>202.81899999999999</v>
      </c>
      <c r="G56" s="220">
        <v>10439</v>
      </c>
      <c r="H56" s="220">
        <v>12315</v>
      </c>
      <c r="I56" s="220">
        <v>14375</v>
      </c>
      <c r="J56" s="220">
        <v>199.63900000000001</v>
      </c>
      <c r="K56" s="220">
        <v>-19.927</v>
      </c>
      <c r="L56" s="220">
        <v>24.419</v>
      </c>
      <c r="M56" s="220" t="s">
        <v>759</v>
      </c>
      <c r="N56" s="220" t="s">
        <v>762</v>
      </c>
      <c r="O56" s="220" t="s">
        <v>794</v>
      </c>
      <c r="P56" s="220" t="s">
        <v>795</v>
      </c>
      <c r="Q56" s="220" t="s">
        <v>68</v>
      </c>
      <c r="R56" s="220" t="s">
        <v>108</v>
      </c>
      <c r="S56" s="220" t="s">
        <v>228</v>
      </c>
    </row>
    <row r="57" spans="1:19" hidden="1" x14ac:dyDescent="0.25">
      <c r="A57" s="220">
        <v>9</v>
      </c>
      <c r="B57" s="220" t="s">
        <v>24</v>
      </c>
      <c r="C57" s="220" t="s">
        <v>299</v>
      </c>
      <c r="D57" s="220" t="s">
        <v>309</v>
      </c>
      <c r="E57" s="220">
        <v>2</v>
      </c>
      <c r="F57" s="220">
        <v>203.08799999999999</v>
      </c>
      <c r="G57" s="220">
        <v>10457</v>
      </c>
      <c r="H57" s="220">
        <v>12335</v>
      </c>
      <c r="I57" s="220">
        <v>14394</v>
      </c>
      <c r="J57" s="220">
        <v>199.905</v>
      </c>
      <c r="K57" s="220">
        <v>-19.916</v>
      </c>
      <c r="L57" s="220">
        <v>24.405999999999999</v>
      </c>
      <c r="M57" s="220" t="s">
        <v>759</v>
      </c>
      <c r="N57" s="220" t="s">
        <v>762</v>
      </c>
      <c r="O57" s="220" t="s">
        <v>794</v>
      </c>
      <c r="P57" s="220" t="s">
        <v>795</v>
      </c>
      <c r="Q57" s="220" t="s">
        <v>133</v>
      </c>
      <c r="R57" s="220" t="s">
        <v>209</v>
      </c>
      <c r="S57" s="220" t="s">
        <v>198</v>
      </c>
    </row>
    <row r="58" spans="1:19" hidden="1" x14ac:dyDescent="0.25">
      <c r="A58" s="220">
        <v>9</v>
      </c>
      <c r="B58" s="220" t="s">
        <v>24</v>
      </c>
      <c r="C58" s="220" t="s">
        <v>299</v>
      </c>
      <c r="D58" s="220" t="s">
        <v>309</v>
      </c>
      <c r="E58" s="220">
        <v>3</v>
      </c>
      <c r="F58" s="220">
        <v>203.47800000000001</v>
      </c>
      <c r="G58" s="220">
        <v>10509</v>
      </c>
      <c r="H58" s="220">
        <v>12396</v>
      </c>
      <c r="I58" s="220">
        <v>14468</v>
      </c>
      <c r="J58" s="220">
        <v>200.28800000000001</v>
      </c>
      <c r="K58" s="220">
        <v>-19.922999999999998</v>
      </c>
      <c r="L58" s="220">
        <v>24.396999999999998</v>
      </c>
      <c r="M58" s="220" t="s">
        <v>759</v>
      </c>
      <c r="N58" s="220" t="s">
        <v>762</v>
      </c>
      <c r="O58" s="220" t="s">
        <v>794</v>
      </c>
      <c r="P58" s="220" t="s">
        <v>795</v>
      </c>
      <c r="Q58" s="220" t="s">
        <v>131</v>
      </c>
      <c r="R58" s="220" t="s">
        <v>270</v>
      </c>
      <c r="S58" s="220" t="s">
        <v>253</v>
      </c>
    </row>
    <row r="59" spans="1:19" hidden="1" x14ac:dyDescent="0.25">
      <c r="A59" s="220">
        <v>9</v>
      </c>
      <c r="B59" s="220" t="s">
        <v>24</v>
      </c>
      <c r="C59" s="220" t="s">
        <v>299</v>
      </c>
      <c r="D59" s="220" t="s">
        <v>309</v>
      </c>
      <c r="E59" s="220">
        <v>4</v>
      </c>
      <c r="F59" s="220">
        <v>203.346</v>
      </c>
      <c r="G59" s="220">
        <v>10462</v>
      </c>
      <c r="H59" s="220">
        <v>12341</v>
      </c>
      <c r="I59" s="220">
        <v>14404</v>
      </c>
      <c r="J59" s="220">
        <v>200.15799999999999</v>
      </c>
      <c r="K59" s="220">
        <v>-19.937000000000001</v>
      </c>
      <c r="L59" s="220">
        <v>24.417999999999999</v>
      </c>
      <c r="M59" s="220" t="s">
        <v>759</v>
      </c>
      <c r="N59" s="220" t="s">
        <v>762</v>
      </c>
      <c r="O59" s="220" t="s">
        <v>794</v>
      </c>
      <c r="P59" s="220" t="s">
        <v>795</v>
      </c>
      <c r="Q59" s="220" t="s">
        <v>131</v>
      </c>
      <c r="R59" s="220" t="s">
        <v>270</v>
      </c>
      <c r="S59" s="220" t="s">
        <v>208</v>
      </c>
    </row>
    <row r="60" spans="1:19" hidden="1" x14ac:dyDescent="0.25">
      <c r="A60" s="220">
        <v>9</v>
      </c>
      <c r="B60" s="220" t="s">
        <v>24</v>
      </c>
      <c r="C60" s="220" t="s">
        <v>299</v>
      </c>
      <c r="D60" s="220" t="s">
        <v>309</v>
      </c>
      <c r="E60" s="220">
        <v>5</v>
      </c>
      <c r="F60" s="220">
        <v>173.548</v>
      </c>
      <c r="G60" s="220">
        <v>13344</v>
      </c>
      <c r="H60" s="220">
        <v>16124</v>
      </c>
      <c r="I60" s="220">
        <v>18642</v>
      </c>
      <c r="J60" s="220">
        <v>170.774</v>
      </c>
      <c r="K60" s="220">
        <v>2.17</v>
      </c>
      <c r="L60" s="220">
        <v>39.045000000000002</v>
      </c>
      <c r="M60" s="220" t="s">
        <v>759</v>
      </c>
      <c r="N60" s="220" t="s">
        <v>762</v>
      </c>
      <c r="O60" s="220" t="s">
        <v>794</v>
      </c>
      <c r="P60" s="220" t="s">
        <v>795</v>
      </c>
      <c r="Q60" s="220" t="s">
        <v>156</v>
      </c>
      <c r="R60" s="220" t="s">
        <v>160</v>
      </c>
      <c r="S60" s="220" t="s">
        <v>582</v>
      </c>
    </row>
    <row r="61" spans="1:19" x14ac:dyDescent="0.25">
      <c r="A61" s="220">
        <v>9</v>
      </c>
      <c r="B61" s="220" t="s">
        <v>24</v>
      </c>
      <c r="C61" s="220" t="s">
        <v>299</v>
      </c>
      <c r="D61" s="220" t="s">
        <v>309</v>
      </c>
      <c r="E61" s="220">
        <v>6</v>
      </c>
      <c r="F61" s="220">
        <v>152.46100000000001</v>
      </c>
      <c r="G61" s="220">
        <v>11846</v>
      </c>
      <c r="H61" s="220">
        <v>14310</v>
      </c>
      <c r="I61" s="220">
        <v>16552</v>
      </c>
      <c r="J61" s="220">
        <v>150.02500000000001</v>
      </c>
      <c r="K61" s="220">
        <v>2.21</v>
      </c>
      <c r="L61" s="220">
        <v>39.246000000000002</v>
      </c>
      <c r="M61" s="220" t="s">
        <v>759</v>
      </c>
      <c r="N61" s="220" t="s">
        <v>762</v>
      </c>
      <c r="O61" s="220" t="s">
        <v>794</v>
      </c>
      <c r="P61" s="220" t="s">
        <v>795</v>
      </c>
      <c r="Q61" s="220" t="s">
        <v>246</v>
      </c>
      <c r="R61" s="220" t="s">
        <v>166</v>
      </c>
      <c r="S61" s="220" t="s">
        <v>561</v>
      </c>
    </row>
    <row r="62" spans="1:19" x14ac:dyDescent="0.25">
      <c r="A62" s="220">
        <v>9</v>
      </c>
      <c r="B62" s="220" t="s">
        <v>24</v>
      </c>
      <c r="C62" s="220" t="s">
        <v>299</v>
      </c>
      <c r="D62" s="220" t="s">
        <v>309</v>
      </c>
      <c r="E62" s="220">
        <v>7</v>
      </c>
      <c r="F62" s="220">
        <v>141.56299999999999</v>
      </c>
      <c r="G62" s="220">
        <v>10987</v>
      </c>
      <c r="H62" s="220">
        <v>13267</v>
      </c>
      <c r="I62" s="220">
        <v>15346</v>
      </c>
      <c r="J62" s="220">
        <v>139.30000000000001</v>
      </c>
      <c r="K62" s="220">
        <v>2.2629999999999999</v>
      </c>
      <c r="L62" s="220">
        <v>39.241</v>
      </c>
      <c r="M62" s="220" t="s">
        <v>759</v>
      </c>
      <c r="N62" s="220" t="s">
        <v>762</v>
      </c>
      <c r="O62" s="220" t="s">
        <v>794</v>
      </c>
      <c r="P62" s="220" t="s">
        <v>795</v>
      </c>
      <c r="Q62" s="220" t="s">
        <v>796</v>
      </c>
      <c r="R62" s="220" t="s">
        <v>797</v>
      </c>
      <c r="S62" s="220" t="s">
        <v>798</v>
      </c>
    </row>
    <row r="63" spans="1:19" hidden="1" x14ac:dyDescent="0.25">
      <c r="A63" s="220">
        <v>10</v>
      </c>
      <c r="B63" s="220" t="s">
        <v>0</v>
      </c>
      <c r="C63" s="220" t="s">
        <v>254</v>
      </c>
      <c r="D63" s="220" t="s">
        <v>311</v>
      </c>
      <c r="E63" s="220">
        <v>1</v>
      </c>
      <c r="F63" s="220">
        <v>202.315</v>
      </c>
      <c r="G63" s="220">
        <v>10398</v>
      </c>
      <c r="H63" s="220">
        <v>12264</v>
      </c>
      <c r="I63" s="220">
        <v>14324</v>
      </c>
      <c r="J63" s="220">
        <v>199.143</v>
      </c>
      <c r="K63" s="220">
        <v>-19.925999999999998</v>
      </c>
      <c r="L63" s="220">
        <v>24.431999999999999</v>
      </c>
      <c r="M63" s="220" t="s">
        <v>799</v>
      </c>
      <c r="N63" s="220" t="s">
        <v>762</v>
      </c>
      <c r="O63" s="220" t="s">
        <v>800</v>
      </c>
      <c r="P63" s="220" t="s">
        <v>801</v>
      </c>
      <c r="Q63" s="220" t="s">
        <v>75</v>
      </c>
      <c r="R63" s="220" t="s">
        <v>90</v>
      </c>
      <c r="S63" s="220" t="s">
        <v>126</v>
      </c>
    </row>
    <row r="64" spans="1:19" hidden="1" x14ac:dyDescent="0.25">
      <c r="A64" s="220">
        <v>10</v>
      </c>
      <c r="B64" s="220" t="s">
        <v>0</v>
      </c>
      <c r="C64" s="220" t="s">
        <v>254</v>
      </c>
      <c r="D64" s="220" t="s">
        <v>311</v>
      </c>
      <c r="E64" s="220">
        <v>2</v>
      </c>
      <c r="F64" s="220">
        <v>202.262</v>
      </c>
      <c r="G64" s="220">
        <v>10415</v>
      </c>
      <c r="H64" s="220">
        <v>12284</v>
      </c>
      <c r="I64" s="220">
        <v>14350</v>
      </c>
      <c r="J64" s="220">
        <v>199.09</v>
      </c>
      <c r="K64" s="220">
        <v>-19.936</v>
      </c>
      <c r="L64" s="220">
        <v>24.413</v>
      </c>
      <c r="M64" s="220" t="s">
        <v>799</v>
      </c>
      <c r="N64" s="220" t="s">
        <v>762</v>
      </c>
      <c r="O64" s="220" t="s">
        <v>800</v>
      </c>
      <c r="P64" s="220" t="s">
        <v>801</v>
      </c>
      <c r="Q64" s="220" t="s">
        <v>238</v>
      </c>
      <c r="R64" s="220" t="s">
        <v>163</v>
      </c>
      <c r="S64" s="220" t="s">
        <v>170</v>
      </c>
    </row>
    <row r="65" spans="1:19" hidden="1" x14ac:dyDescent="0.25">
      <c r="A65" s="220">
        <v>10</v>
      </c>
      <c r="B65" s="220" t="s">
        <v>0</v>
      </c>
      <c r="C65" s="220" t="s">
        <v>254</v>
      </c>
      <c r="D65" s="220" t="s">
        <v>311</v>
      </c>
      <c r="E65" s="220">
        <v>3</v>
      </c>
      <c r="F65" s="220">
        <v>202</v>
      </c>
      <c r="G65" s="220">
        <v>10460</v>
      </c>
      <c r="H65" s="220">
        <v>12336</v>
      </c>
      <c r="I65" s="220">
        <v>14410</v>
      </c>
      <c r="J65" s="220">
        <v>198.833</v>
      </c>
      <c r="K65" s="220">
        <v>-19.943000000000001</v>
      </c>
      <c r="L65" s="220">
        <v>24.408000000000001</v>
      </c>
      <c r="M65" s="220" t="s">
        <v>799</v>
      </c>
      <c r="N65" s="220" t="s">
        <v>762</v>
      </c>
      <c r="O65" s="220" t="s">
        <v>800</v>
      </c>
      <c r="P65" s="220" t="s">
        <v>801</v>
      </c>
      <c r="Q65" s="220" t="s">
        <v>136</v>
      </c>
      <c r="R65" s="220" t="s">
        <v>135</v>
      </c>
      <c r="S65" s="220" t="s">
        <v>186</v>
      </c>
    </row>
    <row r="66" spans="1:19" hidden="1" x14ac:dyDescent="0.25">
      <c r="A66" s="220">
        <v>10</v>
      </c>
      <c r="B66" s="220" t="s">
        <v>0</v>
      </c>
      <c r="C66" s="220" t="s">
        <v>254</v>
      </c>
      <c r="D66" s="220" t="s">
        <v>311</v>
      </c>
      <c r="E66" s="220">
        <v>4</v>
      </c>
      <c r="F66" s="220">
        <v>202.786</v>
      </c>
      <c r="G66" s="220">
        <v>10432</v>
      </c>
      <c r="H66" s="220">
        <v>12304</v>
      </c>
      <c r="I66" s="220">
        <v>14372</v>
      </c>
      <c r="J66" s="220">
        <v>199.60599999999999</v>
      </c>
      <c r="K66" s="220">
        <v>-19.937000000000001</v>
      </c>
      <c r="L66" s="220">
        <v>24.417999999999999</v>
      </c>
      <c r="M66" s="220" t="s">
        <v>799</v>
      </c>
      <c r="N66" s="220" t="s">
        <v>762</v>
      </c>
      <c r="O66" s="220" t="s">
        <v>800</v>
      </c>
      <c r="P66" s="220" t="s">
        <v>801</v>
      </c>
      <c r="Q66" s="220" t="s">
        <v>109</v>
      </c>
      <c r="R66" s="220" t="s">
        <v>245</v>
      </c>
      <c r="S66" s="220" t="s">
        <v>179</v>
      </c>
    </row>
    <row r="67" spans="1:19" hidden="1" x14ac:dyDescent="0.25">
      <c r="A67" s="220">
        <v>10</v>
      </c>
      <c r="B67" s="220" t="s">
        <v>0</v>
      </c>
      <c r="C67" s="220" t="s">
        <v>254</v>
      </c>
      <c r="D67" s="220" t="s">
        <v>311</v>
      </c>
      <c r="E67" s="220">
        <v>5</v>
      </c>
      <c r="F67" s="220">
        <v>209.667</v>
      </c>
      <c r="G67" s="220">
        <v>16371</v>
      </c>
      <c r="H67" s="220">
        <v>19852</v>
      </c>
      <c r="I67" s="220">
        <v>22836</v>
      </c>
      <c r="J67" s="220">
        <v>206.31200000000001</v>
      </c>
      <c r="K67" s="220">
        <v>4.6210000000000004</v>
      </c>
      <c r="L67" s="220">
        <v>36.880000000000003</v>
      </c>
      <c r="M67" s="220" t="s">
        <v>799</v>
      </c>
      <c r="N67" s="220" t="s">
        <v>762</v>
      </c>
      <c r="O67" s="220" t="s">
        <v>800</v>
      </c>
      <c r="P67" s="220" t="s">
        <v>801</v>
      </c>
      <c r="Q67" s="220" t="s">
        <v>155</v>
      </c>
      <c r="R67" s="220" t="s">
        <v>151</v>
      </c>
      <c r="S67" s="220" t="s">
        <v>101</v>
      </c>
    </row>
    <row r="68" spans="1:19" x14ac:dyDescent="0.25">
      <c r="A68" s="220">
        <v>10</v>
      </c>
      <c r="B68" s="220" t="s">
        <v>0</v>
      </c>
      <c r="C68" s="220" t="s">
        <v>254</v>
      </c>
      <c r="D68" s="220" t="s">
        <v>311</v>
      </c>
      <c r="E68" s="220">
        <v>6</v>
      </c>
      <c r="F68" s="220">
        <v>186.49600000000001</v>
      </c>
      <c r="G68" s="220">
        <v>14953</v>
      </c>
      <c r="H68" s="220">
        <v>18125</v>
      </c>
      <c r="I68" s="220">
        <v>20858</v>
      </c>
      <c r="J68" s="220">
        <v>183.512</v>
      </c>
      <c r="K68" s="220">
        <v>4.6289999999999996</v>
      </c>
      <c r="L68" s="220">
        <v>36.991</v>
      </c>
      <c r="M68" s="220" t="s">
        <v>799</v>
      </c>
      <c r="N68" s="220" t="s">
        <v>762</v>
      </c>
      <c r="O68" s="220" t="s">
        <v>800</v>
      </c>
      <c r="P68" s="220" t="s">
        <v>801</v>
      </c>
      <c r="Q68" s="220" t="s">
        <v>124</v>
      </c>
      <c r="R68" s="220" t="s">
        <v>208</v>
      </c>
      <c r="S68" s="220" t="s">
        <v>802</v>
      </c>
    </row>
    <row r="69" spans="1:19" x14ac:dyDescent="0.25">
      <c r="A69" s="220">
        <v>10</v>
      </c>
      <c r="B69" s="220" t="s">
        <v>0</v>
      </c>
      <c r="C69" s="220" t="s">
        <v>254</v>
      </c>
      <c r="D69" s="220" t="s">
        <v>311</v>
      </c>
      <c r="E69" s="220">
        <v>7</v>
      </c>
      <c r="F69" s="220">
        <v>174.61099999999999</v>
      </c>
      <c r="G69" s="220">
        <v>14114</v>
      </c>
      <c r="H69" s="220">
        <v>17107</v>
      </c>
      <c r="I69" s="220">
        <v>19687</v>
      </c>
      <c r="J69" s="220">
        <v>171.81700000000001</v>
      </c>
      <c r="K69" s="220">
        <v>4.7279999999999998</v>
      </c>
      <c r="L69" s="220">
        <v>37.024999999999999</v>
      </c>
      <c r="M69" s="220" t="s">
        <v>799</v>
      </c>
      <c r="N69" s="220" t="s">
        <v>762</v>
      </c>
      <c r="O69" s="220" t="s">
        <v>800</v>
      </c>
      <c r="P69" s="220" t="s">
        <v>801</v>
      </c>
      <c r="Q69" s="220" t="s">
        <v>803</v>
      </c>
      <c r="R69" s="220" t="s">
        <v>559</v>
      </c>
      <c r="S69" s="220" t="s">
        <v>776</v>
      </c>
    </row>
    <row r="70" spans="1:19" hidden="1" x14ac:dyDescent="0.25">
      <c r="A70" s="220">
        <v>11</v>
      </c>
      <c r="B70" s="220" t="s">
        <v>0</v>
      </c>
      <c r="C70" s="220" t="s">
        <v>335</v>
      </c>
      <c r="D70" s="220" t="s">
        <v>312</v>
      </c>
      <c r="E70" s="220">
        <v>1</v>
      </c>
      <c r="F70" s="220">
        <v>201.95099999999999</v>
      </c>
      <c r="G70" s="220">
        <v>10413</v>
      </c>
      <c r="H70" s="220">
        <v>12281</v>
      </c>
      <c r="I70" s="220">
        <v>14335</v>
      </c>
      <c r="J70" s="220">
        <v>198.78399999999999</v>
      </c>
      <c r="K70" s="220">
        <v>-19.928000000000001</v>
      </c>
      <c r="L70" s="220">
        <v>24.423999999999999</v>
      </c>
      <c r="M70" s="220" t="s">
        <v>711</v>
      </c>
      <c r="N70" s="220" t="s">
        <v>762</v>
      </c>
      <c r="O70" s="220" t="s">
        <v>804</v>
      </c>
      <c r="P70" s="220" t="s">
        <v>805</v>
      </c>
      <c r="Q70" s="220" t="s">
        <v>61</v>
      </c>
      <c r="R70" s="220" t="s">
        <v>121</v>
      </c>
      <c r="S70" s="220" t="s">
        <v>79</v>
      </c>
    </row>
    <row r="71" spans="1:19" hidden="1" x14ac:dyDescent="0.25">
      <c r="A71" s="220">
        <v>11</v>
      </c>
      <c r="B71" s="220" t="s">
        <v>0</v>
      </c>
      <c r="C71" s="220" t="s">
        <v>335</v>
      </c>
      <c r="D71" s="220" t="s">
        <v>312</v>
      </c>
      <c r="E71" s="220">
        <v>2</v>
      </c>
      <c r="F71" s="220">
        <v>202.42</v>
      </c>
      <c r="G71" s="220">
        <v>10424</v>
      </c>
      <c r="H71" s="220">
        <v>12295</v>
      </c>
      <c r="I71" s="220">
        <v>14351</v>
      </c>
      <c r="J71" s="220">
        <v>199.24700000000001</v>
      </c>
      <c r="K71" s="220">
        <v>-19.931999999999999</v>
      </c>
      <c r="L71" s="220">
        <v>24.417000000000002</v>
      </c>
      <c r="M71" s="220" t="s">
        <v>711</v>
      </c>
      <c r="N71" s="220" t="s">
        <v>762</v>
      </c>
      <c r="O71" s="220" t="s">
        <v>804</v>
      </c>
      <c r="P71" s="220" t="s">
        <v>805</v>
      </c>
      <c r="Q71" s="220" t="s">
        <v>130</v>
      </c>
      <c r="R71" s="220" t="s">
        <v>146</v>
      </c>
      <c r="S71" s="220" t="s">
        <v>266</v>
      </c>
    </row>
    <row r="72" spans="1:19" hidden="1" x14ac:dyDescent="0.25">
      <c r="A72" s="220">
        <v>11</v>
      </c>
      <c r="B72" s="220" t="s">
        <v>0</v>
      </c>
      <c r="C72" s="220" t="s">
        <v>335</v>
      </c>
      <c r="D72" s="220" t="s">
        <v>312</v>
      </c>
      <c r="E72" s="220">
        <v>3</v>
      </c>
      <c r="F72" s="220">
        <v>202.78299999999999</v>
      </c>
      <c r="G72" s="220">
        <v>10472</v>
      </c>
      <c r="H72" s="220">
        <v>12352</v>
      </c>
      <c r="I72" s="220">
        <v>14419</v>
      </c>
      <c r="J72" s="220">
        <v>199.60400000000001</v>
      </c>
      <c r="K72" s="220">
        <v>-19.934999999999999</v>
      </c>
      <c r="L72" s="220">
        <v>24.399000000000001</v>
      </c>
      <c r="M72" s="220" t="s">
        <v>711</v>
      </c>
      <c r="N72" s="220" t="s">
        <v>762</v>
      </c>
      <c r="O72" s="220" t="s">
        <v>804</v>
      </c>
      <c r="P72" s="220" t="s">
        <v>805</v>
      </c>
      <c r="Q72" s="220" t="s">
        <v>249</v>
      </c>
      <c r="R72" s="220" t="s">
        <v>124</v>
      </c>
      <c r="S72" s="220" t="s">
        <v>197</v>
      </c>
    </row>
    <row r="73" spans="1:19" hidden="1" x14ac:dyDescent="0.25">
      <c r="A73" s="220">
        <v>11</v>
      </c>
      <c r="B73" s="220" t="s">
        <v>0</v>
      </c>
      <c r="C73" s="220" t="s">
        <v>335</v>
      </c>
      <c r="D73" s="220" t="s">
        <v>312</v>
      </c>
      <c r="E73" s="220">
        <v>4</v>
      </c>
      <c r="F73" s="220">
        <v>202.83799999999999</v>
      </c>
      <c r="G73" s="220">
        <v>10422</v>
      </c>
      <c r="H73" s="220">
        <v>12293</v>
      </c>
      <c r="I73" s="220">
        <v>14348</v>
      </c>
      <c r="J73" s="220">
        <v>199.65700000000001</v>
      </c>
      <c r="K73" s="220">
        <v>-19.937000000000001</v>
      </c>
      <c r="L73" s="220">
        <v>24.417999999999999</v>
      </c>
      <c r="M73" s="220" t="s">
        <v>711</v>
      </c>
      <c r="N73" s="220" t="s">
        <v>762</v>
      </c>
      <c r="O73" s="220" t="s">
        <v>804</v>
      </c>
      <c r="P73" s="220" t="s">
        <v>805</v>
      </c>
      <c r="Q73" s="220" t="s">
        <v>133</v>
      </c>
      <c r="R73" s="220" t="s">
        <v>209</v>
      </c>
      <c r="S73" s="220" t="s">
        <v>198</v>
      </c>
    </row>
    <row r="74" spans="1:19" hidden="1" x14ac:dyDescent="0.25">
      <c r="A74" s="220">
        <v>11</v>
      </c>
      <c r="B74" s="220" t="s">
        <v>0</v>
      </c>
      <c r="C74" s="220" t="s">
        <v>335</v>
      </c>
      <c r="D74" s="220" t="s">
        <v>312</v>
      </c>
      <c r="E74" s="220">
        <v>5</v>
      </c>
      <c r="F74" s="220">
        <v>175.95599999999999</v>
      </c>
      <c r="G74" s="220">
        <v>13331</v>
      </c>
      <c r="H74" s="220">
        <v>16143</v>
      </c>
      <c r="I74" s="220">
        <v>18586</v>
      </c>
      <c r="J74" s="220">
        <v>173.14099999999999</v>
      </c>
      <c r="K74" s="220">
        <v>4.71</v>
      </c>
      <c r="L74" s="220">
        <v>36.884</v>
      </c>
      <c r="M74" s="220" t="s">
        <v>711</v>
      </c>
      <c r="N74" s="220" t="s">
        <v>762</v>
      </c>
      <c r="O74" s="220" t="s">
        <v>804</v>
      </c>
      <c r="P74" s="220" t="s">
        <v>805</v>
      </c>
      <c r="Q74" s="220" t="s">
        <v>156</v>
      </c>
      <c r="R74" s="220" t="s">
        <v>160</v>
      </c>
      <c r="S74" s="220" t="s">
        <v>565</v>
      </c>
    </row>
    <row r="75" spans="1:19" x14ac:dyDescent="0.25">
      <c r="A75" s="220">
        <v>11</v>
      </c>
      <c r="B75" s="220" t="s">
        <v>0</v>
      </c>
      <c r="C75" s="220" t="s">
        <v>335</v>
      </c>
      <c r="D75" s="220" t="s">
        <v>312</v>
      </c>
      <c r="E75" s="220">
        <v>6</v>
      </c>
      <c r="F75" s="220">
        <v>154.55000000000001</v>
      </c>
      <c r="G75" s="220">
        <v>11903</v>
      </c>
      <c r="H75" s="220">
        <v>14411</v>
      </c>
      <c r="I75" s="220">
        <v>16597</v>
      </c>
      <c r="J75" s="220">
        <v>152.077</v>
      </c>
      <c r="K75" s="220">
        <v>4.7249999999999996</v>
      </c>
      <c r="L75" s="220">
        <v>37.112000000000002</v>
      </c>
      <c r="M75" s="220" t="s">
        <v>711</v>
      </c>
      <c r="N75" s="220" t="s">
        <v>762</v>
      </c>
      <c r="O75" s="220" t="s">
        <v>804</v>
      </c>
      <c r="P75" s="220" t="s">
        <v>805</v>
      </c>
      <c r="Q75" s="220" t="s">
        <v>79</v>
      </c>
      <c r="R75" s="220" t="s">
        <v>281</v>
      </c>
      <c r="S75" s="220" t="s">
        <v>201</v>
      </c>
    </row>
    <row r="76" spans="1:19" x14ac:dyDescent="0.25">
      <c r="A76" s="220">
        <v>11</v>
      </c>
      <c r="B76" s="220" t="s">
        <v>0</v>
      </c>
      <c r="C76" s="220" t="s">
        <v>335</v>
      </c>
      <c r="D76" s="220" t="s">
        <v>312</v>
      </c>
      <c r="E76" s="220">
        <v>7</v>
      </c>
      <c r="F76" s="220">
        <v>143.73500000000001</v>
      </c>
      <c r="G76" s="220">
        <v>11107</v>
      </c>
      <c r="H76" s="220">
        <v>13445</v>
      </c>
      <c r="I76" s="220">
        <v>15486</v>
      </c>
      <c r="J76" s="220">
        <v>141.435</v>
      </c>
      <c r="K76" s="220">
        <v>4.7859999999999996</v>
      </c>
      <c r="L76" s="220">
        <v>37.146000000000001</v>
      </c>
      <c r="M76" s="220" t="s">
        <v>711</v>
      </c>
      <c r="N76" s="220" t="s">
        <v>762</v>
      </c>
      <c r="O76" s="220" t="s">
        <v>804</v>
      </c>
      <c r="P76" s="220" t="s">
        <v>805</v>
      </c>
      <c r="Q76" s="220" t="s">
        <v>629</v>
      </c>
      <c r="R76" s="220" t="s">
        <v>687</v>
      </c>
      <c r="S76" s="220" t="s">
        <v>580</v>
      </c>
    </row>
    <row r="77" spans="1:19" hidden="1" x14ac:dyDescent="0.25">
      <c r="A77" s="220">
        <v>12</v>
      </c>
      <c r="B77" s="220" t="s">
        <v>0</v>
      </c>
      <c r="C77" s="220" t="s">
        <v>496</v>
      </c>
      <c r="D77" s="220" t="s">
        <v>314</v>
      </c>
      <c r="E77" s="220">
        <v>1</v>
      </c>
      <c r="F77" s="220">
        <v>203.185</v>
      </c>
      <c r="G77" s="220">
        <v>10396</v>
      </c>
      <c r="H77" s="220">
        <v>12263</v>
      </c>
      <c r="I77" s="220">
        <v>14317</v>
      </c>
      <c r="J77" s="220">
        <v>199.999</v>
      </c>
      <c r="K77" s="220">
        <v>-19.936</v>
      </c>
      <c r="L77" s="220">
        <v>24.390999999999998</v>
      </c>
      <c r="M77" s="220" t="s">
        <v>806</v>
      </c>
      <c r="N77" s="220" t="s">
        <v>762</v>
      </c>
      <c r="O77" s="220" t="s">
        <v>807</v>
      </c>
      <c r="P77" s="220" t="s">
        <v>808</v>
      </c>
      <c r="Q77" s="220" t="s">
        <v>75</v>
      </c>
      <c r="R77" s="220" t="s">
        <v>90</v>
      </c>
      <c r="S77" s="220" t="s">
        <v>126</v>
      </c>
    </row>
    <row r="78" spans="1:19" hidden="1" x14ac:dyDescent="0.25">
      <c r="A78" s="220">
        <v>12</v>
      </c>
      <c r="B78" s="220" t="s">
        <v>0</v>
      </c>
      <c r="C78" s="220" t="s">
        <v>496</v>
      </c>
      <c r="D78" s="220" t="s">
        <v>314</v>
      </c>
      <c r="E78" s="220">
        <v>2</v>
      </c>
      <c r="F78" s="220">
        <v>201.101</v>
      </c>
      <c r="G78" s="220">
        <v>10398</v>
      </c>
      <c r="H78" s="220">
        <v>12265</v>
      </c>
      <c r="I78" s="220">
        <v>14320</v>
      </c>
      <c r="J78" s="220">
        <v>197.94800000000001</v>
      </c>
      <c r="K78" s="220">
        <v>-19.931000000000001</v>
      </c>
      <c r="L78" s="220">
        <v>24.39</v>
      </c>
      <c r="M78" s="220" t="s">
        <v>806</v>
      </c>
      <c r="N78" s="220" t="s">
        <v>762</v>
      </c>
      <c r="O78" s="220" t="s">
        <v>807</v>
      </c>
      <c r="P78" s="220" t="s">
        <v>808</v>
      </c>
      <c r="Q78" s="220" t="s">
        <v>128</v>
      </c>
      <c r="R78" s="220" t="s">
        <v>244</v>
      </c>
      <c r="S78" s="220" t="s">
        <v>170</v>
      </c>
    </row>
    <row r="79" spans="1:19" hidden="1" x14ac:dyDescent="0.25">
      <c r="A79" s="220">
        <v>12</v>
      </c>
      <c r="B79" s="220" t="s">
        <v>0</v>
      </c>
      <c r="C79" s="220" t="s">
        <v>496</v>
      </c>
      <c r="D79" s="220" t="s">
        <v>314</v>
      </c>
      <c r="E79" s="220">
        <v>3</v>
      </c>
      <c r="F79" s="220">
        <v>202.49600000000001</v>
      </c>
      <c r="G79" s="220">
        <v>10451</v>
      </c>
      <c r="H79" s="220">
        <v>12327</v>
      </c>
      <c r="I79" s="220">
        <v>14387</v>
      </c>
      <c r="J79" s="220">
        <v>199.322</v>
      </c>
      <c r="K79" s="220">
        <v>-19.939</v>
      </c>
      <c r="L79" s="220">
        <v>24.385999999999999</v>
      </c>
      <c r="M79" s="220" t="s">
        <v>806</v>
      </c>
      <c r="N79" s="220" t="s">
        <v>762</v>
      </c>
      <c r="O79" s="220" t="s">
        <v>807</v>
      </c>
      <c r="P79" s="220" t="s">
        <v>808</v>
      </c>
      <c r="Q79" s="220" t="s">
        <v>115</v>
      </c>
      <c r="R79" s="220" t="s">
        <v>195</v>
      </c>
      <c r="S79" s="220" t="s">
        <v>186</v>
      </c>
    </row>
    <row r="80" spans="1:19" hidden="1" x14ac:dyDescent="0.25">
      <c r="A80" s="220">
        <v>12</v>
      </c>
      <c r="B80" s="220" t="s">
        <v>0</v>
      </c>
      <c r="C80" s="220" t="s">
        <v>496</v>
      </c>
      <c r="D80" s="220" t="s">
        <v>314</v>
      </c>
      <c r="E80" s="220">
        <v>4</v>
      </c>
      <c r="F80" s="220">
        <v>201.995</v>
      </c>
      <c r="G80" s="220">
        <v>10401</v>
      </c>
      <c r="H80" s="220">
        <v>12268</v>
      </c>
      <c r="I80" s="220">
        <v>14323</v>
      </c>
      <c r="J80" s="220">
        <v>198.828</v>
      </c>
      <c r="K80" s="220">
        <v>-19.937000000000001</v>
      </c>
      <c r="L80" s="220">
        <v>24.417999999999999</v>
      </c>
      <c r="M80" s="220" t="s">
        <v>806</v>
      </c>
      <c r="N80" s="220" t="s">
        <v>762</v>
      </c>
      <c r="O80" s="220" t="s">
        <v>807</v>
      </c>
      <c r="P80" s="220" t="s">
        <v>808</v>
      </c>
      <c r="Q80" s="220" t="s">
        <v>130</v>
      </c>
      <c r="R80" s="220" t="s">
        <v>245</v>
      </c>
      <c r="S80" s="220" t="s">
        <v>179</v>
      </c>
    </row>
    <row r="81" spans="1:19" hidden="1" x14ac:dyDescent="0.25">
      <c r="A81" s="220">
        <v>12</v>
      </c>
      <c r="B81" s="220" t="s">
        <v>0</v>
      </c>
      <c r="C81" s="220" t="s">
        <v>496</v>
      </c>
      <c r="D81" s="220" t="s">
        <v>314</v>
      </c>
      <c r="E81" s="220">
        <v>5</v>
      </c>
      <c r="F81" s="220">
        <v>178.262</v>
      </c>
      <c r="G81" s="220">
        <v>14154</v>
      </c>
      <c r="H81" s="220">
        <v>17156</v>
      </c>
      <c r="I81" s="220">
        <v>19732</v>
      </c>
      <c r="J81" s="220">
        <v>175.411</v>
      </c>
      <c r="K81" s="220">
        <v>4.593</v>
      </c>
      <c r="L81" s="220">
        <v>36.872999999999998</v>
      </c>
      <c r="M81" s="220" t="s">
        <v>806</v>
      </c>
      <c r="N81" s="220" t="s">
        <v>762</v>
      </c>
      <c r="O81" s="220" t="s">
        <v>807</v>
      </c>
      <c r="P81" s="220" t="s">
        <v>808</v>
      </c>
      <c r="Q81" s="220" t="s">
        <v>155</v>
      </c>
      <c r="R81" s="220" t="s">
        <v>181</v>
      </c>
      <c r="S81" s="220" t="s">
        <v>571</v>
      </c>
    </row>
    <row r="82" spans="1:19" x14ac:dyDescent="0.25">
      <c r="A82" s="220">
        <v>12</v>
      </c>
      <c r="B82" s="220" t="s">
        <v>0</v>
      </c>
      <c r="C82" s="220" t="s">
        <v>496</v>
      </c>
      <c r="D82" s="220" t="s">
        <v>314</v>
      </c>
      <c r="E82" s="220">
        <v>6</v>
      </c>
      <c r="F82" s="220">
        <v>158.93199999999999</v>
      </c>
      <c r="G82" s="220">
        <v>12846</v>
      </c>
      <c r="H82" s="220">
        <v>15562</v>
      </c>
      <c r="I82" s="220">
        <v>17908</v>
      </c>
      <c r="J82" s="220">
        <v>156.38900000000001</v>
      </c>
      <c r="K82" s="220">
        <v>4.641</v>
      </c>
      <c r="L82" s="220">
        <v>37.003</v>
      </c>
      <c r="M82" s="220" t="s">
        <v>806</v>
      </c>
      <c r="N82" s="220" t="s">
        <v>762</v>
      </c>
      <c r="O82" s="220" t="s">
        <v>807</v>
      </c>
      <c r="P82" s="220" t="s">
        <v>808</v>
      </c>
      <c r="Q82" s="220" t="s">
        <v>212</v>
      </c>
      <c r="R82" s="220" t="s">
        <v>170</v>
      </c>
      <c r="S82" s="220" t="s">
        <v>355</v>
      </c>
    </row>
    <row r="83" spans="1:19" x14ac:dyDescent="0.25">
      <c r="A83" s="220">
        <v>12</v>
      </c>
      <c r="B83" s="220" t="s">
        <v>0</v>
      </c>
      <c r="C83" s="220" t="s">
        <v>496</v>
      </c>
      <c r="D83" s="220" t="s">
        <v>314</v>
      </c>
      <c r="E83" s="220">
        <v>7</v>
      </c>
      <c r="F83" s="220">
        <v>148.31800000000001</v>
      </c>
      <c r="G83" s="220">
        <v>12045</v>
      </c>
      <c r="H83" s="220">
        <v>14589</v>
      </c>
      <c r="I83" s="220">
        <v>16797</v>
      </c>
      <c r="J83" s="220">
        <v>145.94499999999999</v>
      </c>
      <c r="K83" s="220">
        <v>4.7370000000000001</v>
      </c>
      <c r="L83" s="220">
        <v>37.000999999999998</v>
      </c>
      <c r="M83" s="220" t="s">
        <v>806</v>
      </c>
      <c r="N83" s="220" t="s">
        <v>762</v>
      </c>
      <c r="O83" s="220" t="s">
        <v>807</v>
      </c>
      <c r="P83" s="220" t="s">
        <v>808</v>
      </c>
      <c r="Q83" s="220" t="s">
        <v>718</v>
      </c>
      <c r="R83" s="220" t="s">
        <v>313</v>
      </c>
      <c r="S83" s="220" t="s">
        <v>768</v>
      </c>
    </row>
    <row r="84" spans="1:19" hidden="1" x14ac:dyDescent="0.25">
      <c r="A84" s="220">
        <v>13</v>
      </c>
      <c r="B84" s="220" t="s">
        <v>809</v>
      </c>
      <c r="C84" s="220" t="s">
        <v>273</v>
      </c>
      <c r="D84" s="220" t="s">
        <v>315</v>
      </c>
      <c r="E84" s="220">
        <v>1</v>
      </c>
      <c r="F84" s="220">
        <v>204.083</v>
      </c>
      <c r="G84" s="220">
        <v>10439</v>
      </c>
      <c r="H84" s="220">
        <v>12312</v>
      </c>
      <c r="I84" s="220">
        <v>14381</v>
      </c>
      <c r="J84" s="220">
        <v>200.88300000000001</v>
      </c>
      <c r="K84" s="220">
        <v>-19.945</v>
      </c>
      <c r="L84" s="220">
        <v>24.437999999999999</v>
      </c>
      <c r="M84" s="220" t="s">
        <v>810</v>
      </c>
      <c r="N84" s="220" t="s">
        <v>762</v>
      </c>
      <c r="O84" s="220" t="s">
        <v>811</v>
      </c>
      <c r="P84" s="220" t="s">
        <v>812</v>
      </c>
      <c r="Q84" s="220" t="s">
        <v>65</v>
      </c>
      <c r="R84" s="220" t="s">
        <v>238</v>
      </c>
      <c r="S84" s="220" t="s">
        <v>142</v>
      </c>
    </row>
    <row r="85" spans="1:19" hidden="1" x14ac:dyDescent="0.25">
      <c r="A85" s="220">
        <v>13</v>
      </c>
      <c r="B85" s="220" t="s">
        <v>809</v>
      </c>
      <c r="C85" s="220" t="s">
        <v>273</v>
      </c>
      <c r="D85" s="220" t="s">
        <v>315</v>
      </c>
      <c r="E85" s="220">
        <v>2</v>
      </c>
      <c r="F85" s="220">
        <v>201.565</v>
      </c>
      <c r="G85" s="220">
        <v>10449</v>
      </c>
      <c r="H85" s="220">
        <v>12323</v>
      </c>
      <c r="I85" s="220">
        <v>14393</v>
      </c>
      <c r="J85" s="220">
        <v>198.405</v>
      </c>
      <c r="K85" s="220">
        <v>-19.949000000000002</v>
      </c>
      <c r="L85" s="220">
        <v>24.417999999999999</v>
      </c>
      <c r="M85" s="220" t="s">
        <v>810</v>
      </c>
      <c r="N85" s="220" t="s">
        <v>762</v>
      </c>
      <c r="O85" s="220" t="s">
        <v>811</v>
      </c>
      <c r="P85" s="220" t="s">
        <v>812</v>
      </c>
      <c r="Q85" s="220" t="s">
        <v>134</v>
      </c>
      <c r="R85" s="220" t="s">
        <v>219</v>
      </c>
      <c r="S85" s="220" t="s">
        <v>263</v>
      </c>
    </row>
    <row r="86" spans="1:19" hidden="1" x14ac:dyDescent="0.25">
      <c r="A86" s="220">
        <v>13</v>
      </c>
      <c r="B86" s="220" t="s">
        <v>809</v>
      </c>
      <c r="C86" s="220" t="s">
        <v>273</v>
      </c>
      <c r="D86" s="220" t="s">
        <v>315</v>
      </c>
      <c r="E86" s="220">
        <v>3</v>
      </c>
      <c r="F86" s="220">
        <v>203.09399999999999</v>
      </c>
      <c r="G86" s="220">
        <v>10501</v>
      </c>
      <c r="H86" s="220">
        <v>12385</v>
      </c>
      <c r="I86" s="220">
        <v>14469</v>
      </c>
      <c r="J86" s="220">
        <v>199.90899999999999</v>
      </c>
      <c r="K86" s="220">
        <v>-19.946999999999999</v>
      </c>
      <c r="L86" s="220">
        <v>24.413</v>
      </c>
      <c r="M86" s="220" t="s">
        <v>810</v>
      </c>
      <c r="N86" s="220" t="s">
        <v>762</v>
      </c>
      <c r="O86" s="220" t="s">
        <v>811</v>
      </c>
      <c r="P86" s="220" t="s">
        <v>812</v>
      </c>
      <c r="Q86" s="220" t="s">
        <v>249</v>
      </c>
      <c r="R86" s="220" t="s">
        <v>106</v>
      </c>
      <c r="S86" s="220" t="s">
        <v>197</v>
      </c>
    </row>
    <row r="87" spans="1:19" hidden="1" x14ac:dyDescent="0.25">
      <c r="A87" s="220">
        <v>13</v>
      </c>
      <c r="B87" s="220" t="s">
        <v>809</v>
      </c>
      <c r="C87" s="220" t="s">
        <v>273</v>
      </c>
      <c r="D87" s="220" t="s">
        <v>315</v>
      </c>
      <c r="E87" s="220">
        <v>4</v>
      </c>
      <c r="F87" s="220">
        <v>203.12299999999999</v>
      </c>
      <c r="G87" s="220">
        <v>10451</v>
      </c>
      <c r="H87" s="220">
        <v>12325</v>
      </c>
      <c r="I87" s="220">
        <v>14396</v>
      </c>
      <c r="J87" s="220">
        <v>199.93799999999999</v>
      </c>
      <c r="K87" s="220">
        <v>-19.937000000000001</v>
      </c>
      <c r="L87" s="220">
        <v>24.417999999999999</v>
      </c>
      <c r="M87" s="220" t="s">
        <v>810</v>
      </c>
      <c r="N87" s="220" t="s">
        <v>762</v>
      </c>
      <c r="O87" s="220" t="s">
        <v>811</v>
      </c>
      <c r="P87" s="220" t="s">
        <v>812</v>
      </c>
      <c r="Q87" s="220" t="s">
        <v>249</v>
      </c>
      <c r="R87" s="220" t="s">
        <v>124</v>
      </c>
      <c r="S87" s="220" t="s">
        <v>198</v>
      </c>
    </row>
    <row r="88" spans="1:19" hidden="1" x14ac:dyDescent="0.25">
      <c r="A88" s="220">
        <v>13</v>
      </c>
      <c r="B88" s="220" t="s">
        <v>809</v>
      </c>
      <c r="C88" s="220" t="s">
        <v>273</v>
      </c>
      <c r="D88" s="220" t="s">
        <v>315</v>
      </c>
      <c r="E88" s="220">
        <v>5</v>
      </c>
      <c r="F88" s="220">
        <v>225.83799999999999</v>
      </c>
      <c r="G88" s="220">
        <v>17189</v>
      </c>
      <c r="H88" s="220">
        <v>20725</v>
      </c>
      <c r="I88" s="220">
        <v>23954</v>
      </c>
      <c r="J88" s="220">
        <v>222.239</v>
      </c>
      <c r="K88" s="220">
        <v>-0.54600000000000004</v>
      </c>
      <c r="L88" s="220">
        <v>35.83</v>
      </c>
      <c r="M88" s="220" t="s">
        <v>810</v>
      </c>
      <c r="N88" s="220" t="s">
        <v>762</v>
      </c>
      <c r="O88" s="220" t="s">
        <v>811</v>
      </c>
      <c r="P88" s="220" t="s">
        <v>812</v>
      </c>
      <c r="Q88" s="220" t="s">
        <v>180</v>
      </c>
      <c r="R88" s="220" t="s">
        <v>107</v>
      </c>
      <c r="S88" s="220" t="s">
        <v>620</v>
      </c>
    </row>
    <row r="89" spans="1:19" x14ac:dyDescent="0.25">
      <c r="A89" s="220">
        <v>13</v>
      </c>
      <c r="B89" s="220" t="s">
        <v>809</v>
      </c>
      <c r="C89" s="220" t="s">
        <v>273</v>
      </c>
      <c r="D89" s="220" t="s">
        <v>315</v>
      </c>
      <c r="E89" s="220">
        <v>6</v>
      </c>
      <c r="F89" s="220">
        <v>197.80500000000001</v>
      </c>
      <c r="G89" s="220">
        <v>15333</v>
      </c>
      <c r="H89" s="220">
        <v>18486</v>
      </c>
      <c r="I89" s="220">
        <v>21366</v>
      </c>
      <c r="J89" s="220">
        <v>194.65199999999999</v>
      </c>
      <c r="K89" s="220">
        <v>-0.52</v>
      </c>
      <c r="L89" s="220">
        <v>36.024000000000001</v>
      </c>
      <c r="M89" s="220" t="s">
        <v>810</v>
      </c>
      <c r="N89" s="220" t="s">
        <v>762</v>
      </c>
      <c r="O89" s="220" t="s">
        <v>811</v>
      </c>
      <c r="P89" s="220" t="s">
        <v>812</v>
      </c>
      <c r="Q89" s="220" t="s">
        <v>216</v>
      </c>
      <c r="R89" s="220" t="s">
        <v>303</v>
      </c>
      <c r="S89" s="220" t="s">
        <v>625</v>
      </c>
    </row>
    <row r="90" spans="1:19" x14ac:dyDescent="0.25">
      <c r="A90" s="220">
        <v>13</v>
      </c>
      <c r="B90" s="220" t="s">
        <v>809</v>
      </c>
      <c r="C90" s="220" t="s">
        <v>273</v>
      </c>
      <c r="D90" s="220" t="s">
        <v>315</v>
      </c>
      <c r="E90" s="220">
        <v>7</v>
      </c>
      <c r="F90" s="220">
        <v>183.739</v>
      </c>
      <c r="G90" s="220">
        <v>14281</v>
      </c>
      <c r="H90" s="220">
        <v>17219</v>
      </c>
      <c r="I90" s="220">
        <v>19910</v>
      </c>
      <c r="J90" s="220">
        <v>180.81</v>
      </c>
      <c r="K90" s="220">
        <v>-0.47099999999999997</v>
      </c>
      <c r="L90" s="220">
        <v>36.076000000000001</v>
      </c>
      <c r="M90" s="220" t="s">
        <v>810</v>
      </c>
      <c r="N90" s="220" t="s">
        <v>762</v>
      </c>
      <c r="O90" s="220" t="s">
        <v>811</v>
      </c>
      <c r="P90" s="220" t="s">
        <v>812</v>
      </c>
      <c r="Q90" s="220" t="s">
        <v>646</v>
      </c>
      <c r="R90" s="220" t="s">
        <v>621</v>
      </c>
      <c r="S90" s="220" t="s">
        <v>813</v>
      </c>
    </row>
    <row r="91" spans="1:19" hidden="1" x14ac:dyDescent="0.25">
      <c r="A91" s="220">
        <v>14</v>
      </c>
      <c r="B91" s="220" t="s">
        <v>814</v>
      </c>
      <c r="C91" s="220" t="s">
        <v>608</v>
      </c>
      <c r="D91" s="220" t="s">
        <v>316</v>
      </c>
      <c r="E91" s="220">
        <v>1</v>
      </c>
      <c r="F91" s="220">
        <v>203.447</v>
      </c>
      <c r="G91" s="220">
        <v>10410</v>
      </c>
      <c r="H91" s="220">
        <v>12278</v>
      </c>
      <c r="I91" s="220">
        <v>14343</v>
      </c>
      <c r="J91" s="220">
        <v>200.25700000000001</v>
      </c>
      <c r="K91" s="220">
        <v>-19.937000000000001</v>
      </c>
      <c r="L91" s="220">
        <v>24.417999999999999</v>
      </c>
      <c r="M91" s="220" t="s">
        <v>815</v>
      </c>
      <c r="N91" s="220" t="s">
        <v>762</v>
      </c>
      <c r="O91" s="220" t="s">
        <v>816</v>
      </c>
      <c r="P91" s="220" t="s">
        <v>817</v>
      </c>
      <c r="Q91" s="220" t="s">
        <v>73</v>
      </c>
      <c r="R91" s="220" t="s">
        <v>129</v>
      </c>
      <c r="S91" s="220" t="s">
        <v>159</v>
      </c>
    </row>
    <row r="92" spans="1:19" hidden="1" x14ac:dyDescent="0.25">
      <c r="A92" s="220">
        <v>14</v>
      </c>
      <c r="B92" s="220" t="s">
        <v>814</v>
      </c>
      <c r="C92" s="220" t="s">
        <v>608</v>
      </c>
      <c r="D92" s="220" t="s">
        <v>316</v>
      </c>
      <c r="E92" s="220">
        <v>2</v>
      </c>
      <c r="F92" s="220">
        <v>201.23599999999999</v>
      </c>
      <c r="G92" s="220">
        <v>10419</v>
      </c>
      <c r="H92" s="220">
        <v>12289</v>
      </c>
      <c r="I92" s="220">
        <v>14356</v>
      </c>
      <c r="J92" s="220">
        <v>198.08099999999999</v>
      </c>
      <c r="K92" s="220">
        <v>-19.939</v>
      </c>
      <c r="L92" s="220">
        <v>24.401</v>
      </c>
      <c r="M92" s="220" t="s">
        <v>815</v>
      </c>
      <c r="N92" s="220" t="s">
        <v>762</v>
      </c>
      <c r="O92" s="220" t="s">
        <v>816</v>
      </c>
      <c r="P92" s="220" t="s">
        <v>817</v>
      </c>
      <c r="Q92" s="220" t="s">
        <v>207</v>
      </c>
      <c r="R92" s="220" t="s">
        <v>274</v>
      </c>
      <c r="S92" s="220" t="s">
        <v>243</v>
      </c>
    </row>
    <row r="93" spans="1:19" hidden="1" x14ac:dyDescent="0.25">
      <c r="A93" s="220">
        <v>14</v>
      </c>
      <c r="B93" s="220" t="s">
        <v>814</v>
      </c>
      <c r="C93" s="220" t="s">
        <v>608</v>
      </c>
      <c r="D93" s="220" t="s">
        <v>316</v>
      </c>
      <c r="E93" s="220">
        <v>3</v>
      </c>
      <c r="F93" s="220">
        <v>205.571</v>
      </c>
      <c r="G93" s="220">
        <v>10470</v>
      </c>
      <c r="H93" s="220">
        <v>12349</v>
      </c>
      <c r="I93" s="220">
        <v>14425</v>
      </c>
      <c r="J93" s="220">
        <v>202.34700000000001</v>
      </c>
      <c r="K93" s="220">
        <v>-19.93</v>
      </c>
      <c r="L93" s="220">
        <v>24.419</v>
      </c>
      <c r="M93" s="220" t="s">
        <v>815</v>
      </c>
      <c r="N93" s="220" t="s">
        <v>762</v>
      </c>
      <c r="O93" s="220" t="s">
        <v>816</v>
      </c>
      <c r="P93" s="220" t="s">
        <v>817</v>
      </c>
      <c r="Q93" s="220" t="s">
        <v>131</v>
      </c>
      <c r="R93" s="220" t="s">
        <v>216</v>
      </c>
      <c r="S93" s="220" t="s">
        <v>208</v>
      </c>
    </row>
    <row r="94" spans="1:19" hidden="1" x14ac:dyDescent="0.25">
      <c r="A94" s="220">
        <v>14</v>
      </c>
      <c r="B94" s="220" t="s">
        <v>814</v>
      </c>
      <c r="C94" s="220" t="s">
        <v>608</v>
      </c>
      <c r="D94" s="220" t="s">
        <v>316</v>
      </c>
      <c r="E94" s="220">
        <v>4</v>
      </c>
      <c r="F94" s="220">
        <v>202.28899999999999</v>
      </c>
      <c r="G94" s="220">
        <v>10420</v>
      </c>
      <c r="H94" s="220">
        <v>12290</v>
      </c>
      <c r="I94" s="220">
        <v>14354</v>
      </c>
      <c r="J94" s="220">
        <v>199.11699999999999</v>
      </c>
      <c r="K94" s="220">
        <v>-19.937000000000001</v>
      </c>
      <c r="L94" s="220">
        <v>24.417999999999999</v>
      </c>
      <c r="M94" s="220" t="s">
        <v>815</v>
      </c>
      <c r="N94" s="220" t="s">
        <v>762</v>
      </c>
      <c r="O94" s="220" t="s">
        <v>816</v>
      </c>
      <c r="P94" s="220" t="s">
        <v>817</v>
      </c>
      <c r="Q94" s="220" t="s">
        <v>236</v>
      </c>
      <c r="R94" s="220" t="s">
        <v>255</v>
      </c>
      <c r="S94" s="220" t="s">
        <v>585</v>
      </c>
    </row>
    <row r="95" spans="1:19" hidden="1" x14ac:dyDescent="0.25">
      <c r="A95" s="220">
        <v>14</v>
      </c>
      <c r="B95" s="220" t="s">
        <v>814</v>
      </c>
      <c r="C95" s="220" t="s">
        <v>608</v>
      </c>
      <c r="D95" s="220" t="s">
        <v>316</v>
      </c>
      <c r="E95" s="220">
        <v>5</v>
      </c>
      <c r="F95" s="220">
        <v>179.833</v>
      </c>
      <c r="G95" s="220">
        <v>14356</v>
      </c>
      <c r="H95" s="220">
        <v>17304</v>
      </c>
      <c r="I95" s="220">
        <v>20014</v>
      </c>
      <c r="J95" s="220">
        <v>176.96700000000001</v>
      </c>
      <c r="K95" s="220">
        <v>-1.0029999999999999</v>
      </c>
      <c r="L95" s="220">
        <v>35.908999999999999</v>
      </c>
      <c r="M95" s="220" t="s">
        <v>815</v>
      </c>
      <c r="N95" s="220" t="s">
        <v>762</v>
      </c>
      <c r="O95" s="220" t="s">
        <v>816</v>
      </c>
      <c r="P95" s="220" t="s">
        <v>817</v>
      </c>
      <c r="Q95" s="220" t="s">
        <v>171</v>
      </c>
      <c r="R95" s="220" t="s">
        <v>185</v>
      </c>
      <c r="S95" s="220" t="s">
        <v>548</v>
      </c>
    </row>
    <row r="96" spans="1:19" x14ac:dyDescent="0.25">
      <c r="A96" s="220">
        <v>14</v>
      </c>
      <c r="B96" s="220" t="s">
        <v>814</v>
      </c>
      <c r="C96" s="220" t="s">
        <v>608</v>
      </c>
      <c r="D96" s="220" t="s">
        <v>316</v>
      </c>
      <c r="E96" s="220">
        <v>6</v>
      </c>
      <c r="F96" s="220">
        <v>159.76900000000001</v>
      </c>
      <c r="G96" s="220">
        <v>12939</v>
      </c>
      <c r="H96" s="220">
        <v>15586</v>
      </c>
      <c r="I96" s="220">
        <v>18038</v>
      </c>
      <c r="J96" s="220">
        <v>157.22300000000001</v>
      </c>
      <c r="K96" s="220">
        <v>-0.95899999999999996</v>
      </c>
      <c r="L96" s="220">
        <v>36.11</v>
      </c>
      <c r="M96" s="220" t="s">
        <v>815</v>
      </c>
      <c r="N96" s="220" t="s">
        <v>762</v>
      </c>
      <c r="O96" s="220" t="s">
        <v>816</v>
      </c>
      <c r="P96" s="220" t="s">
        <v>817</v>
      </c>
      <c r="Q96" s="220" t="s">
        <v>244</v>
      </c>
      <c r="R96" s="220" t="s">
        <v>204</v>
      </c>
      <c r="S96" s="220" t="s">
        <v>623</v>
      </c>
    </row>
    <row r="97" spans="1:19" x14ac:dyDescent="0.25">
      <c r="A97" s="220">
        <v>14</v>
      </c>
      <c r="B97" s="220" t="s">
        <v>814</v>
      </c>
      <c r="C97" s="220" t="s">
        <v>608</v>
      </c>
      <c r="D97" s="220" t="s">
        <v>316</v>
      </c>
      <c r="E97" s="220">
        <v>7</v>
      </c>
      <c r="F97" s="220">
        <v>148.71100000000001</v>
      </c>
      <c r="G97" s="220">
        <v>12052</v>
      </c>
      <c r="H97" s="220">
        <v>14515</v>
      </c>
      <c r="I97" s="220">
        <v>16799</v>
      </c>
      <c r="J97" s="220">
        <v>146.34100000000001</v>
      </c>
      <c r="K97" s="220">
        <v>-0.85299999999999998</v>
      </c>
      <c r="L97" s="220">
        <v>36.174999999999997</v>
      </c>
      <c r="M97" s="220" t="s">
        <v>815</v>
      </c>
      <c r="N97" s="220" t="s">
        <v>762</v>
      </c>
      <c r="O97" s="220" t="s">
        <v>816</v>
      </c>
      <c r="P97" s="220" t="s">
        <v>817</v>
      </c>
      <c r="Q97" s="220" t="s">
        <v>606</v>
      </c>
      <c r="R97" s="220" t="s">
        <v>818</v>
      </c>
      <c r="S97" s="220" t="s">
        <v>819</v>
      </c>
    </row>
    <row r="98" spans="1:19" hidden="1" x14ac:dyDescent="0.25">
      <c r="A98" s="220">
        <v>15</v>
      </c>
      <c r="B98" s="220" t="s">
        <v>820</v>
      </c>
      <c r="C98" s="220" t="s">
        <v>563</v>
      </c>
      <c r="D98" s="220" t="s">
        <v>319</v>
      </c>
      <c r="E98" s="220">
        <v>1</v>
      </c>
      <c r="F98" s="220">
        <v>204.107</v>
      </c>
      <c r="G98" s="220">
        <v>10437</v>
      </c>
      <c r="H98" s="220">
        <v>12311</v>
      </c>
      <c r="I98" s="220">
        <v>14370</v>
      </c>
      <c r="J98" s="220">
        <v>200.90700000000001</v>
      </c>
      <c r="K98" s="220">
        <v>-19.940000000000001</v>
      </c>
      <c r="L98" s="220">
        <v>24.404</v>
      </c>
      <c r="M98" s="220" t="s">
        <v>821</v>
      </c>
      <c r="N98" s="220" t="s">
        <v>762</v>
      </c>
      <c r="O98" s="220" t="s">
        <v>822</v>
      </c>
      <c r="P98" s="220" t="s">
        <v>823</v>
      </c>
      <c r="Q98" s="220" t="s">
        <v>65</v>
      </c>
      <c r="R98" s="220" t="s">
        <v>238</v>
      </c>
      <c r="S98" s="220" t="s">
        <v>212</v>
      </c>
    </row>
    <row r="99" spans="1:19" hidden="1" x14ac:dyDescent="0.25">
      <c r="A99" s="220">
        <v>15</v>
      </c>
      <c r="B99" s="220" t="s">
        <v>820</v>
      </c>
      <c r="C99" s="220" t="s">
        <v>563</v>
      </c>
      <c r="D99" s="220" t="s">
        <v>319</v>
      </c>
      <c r="E99" s="220">
        <v>2</v>
      </c>
      <c r="F99" s="220">
        <v>201.72200000000001</v>
      </c>
      <c r="G99" s="220">
        <v>10449</v>
      </c>
      <c r="H99" s="220">
        <v>12324</v>
      </c>
      <c r="I99" s="220">
        <v>14383</v>
      </c>
      <c r="J99" s="220">
        <v>198.559</v>
      </c>
      <c r="K99" s="220">
        <v>-19.945</v>
      </c>
      <c r="L99" s="220">
        <v>24.370999999999999</v>
      </c>
      <c r="M99" s="220" t="s">
        <v>821</v>
      </c>
      <c r="N99" s="220" t="s">
        <v>762</v>
      </c>
      <c r="O99" s="220" t="s">
        <v>822</v>
      </c>
      <c r="P99" s="220" t="s">
        <v>823</v>
      </c>
      <c r="Q99" s="220" t="s">
        <v>122</v>
      </c>
      <c r="R99" s="220" t="s">
        <v>113</v>
      </c>
      <c r="S99" s="220" t="s">
        <v>193</v>
      </c>
    </row>
    <row r="100" spans="1:19" hidden="1" x14ac:dyDescent="0.25">
      <c r="A100" s="220">
        <v>15</v>
      </c>
      <c r="B100" s="220" t="s">
        <v>820</v>
      </c>
      <c r="C100" s="220" t="s">
        <v>563</v>
      </c>
      <c r="D100" s="220" t="s">
        <v>319</v>
      </c>
      <c r="E100" s="220">
        <v>3</v>
      </c>
      <c r="F100" s="220">
        <v>203.20699999999999</v>
      </c>
      <c r="G100" s="220">
        <v>10510</v>
      </c>
      <c r="H100" s="220">
        <v>12396</v>
      </c>
      <c r="I100" s="220">
        <v>14468</v>
      </c>
      <c r="J100" s="220">
        <v>200.02099999999999</v>
      </c>
      <c r="K100" s="220">
        <v>-19.957000000000001</v>
      </c>
      <c r="L100" s="220">
        <v>24.381</v>
      </c>
      <c r="M100" s="220" t="s">
        <v>821</v>
      </c>
      <c r="N100" s="220" t="s">
        <v>762</v>
      </c>
      <c r="O100" s="220" t="s">
        <v>822</v>
      </c>
      <c r="P100" s="220" t="s">
        <v>823</v>
      </c>
      <c r="Q100" s="220" t="s">
        <v>145</v>
      </c>
      <c r="R100" s="220" t="s">
        <v>147</v>
      </c>
      <c r="S100" s="220" t="s">
        <v>379</v>
      </c>
    </row>
    <row r="101" spans="1:19" hidden="1" x14ac:dyDescent="0.25">
      <c r="A101" s="220">
        <v>15</v>
      </c>
      <c r="B101" s="220" t="s">
        <v>820</v>
      </c>
      <c r="C101" s="220" t="s">
        <v>563</v>
      </c>
      <c r="D101" s="220" t="s">
        <v>319</v>
      </c>
      <c r="E101" s="220">
        <v>4</v>
      </c>
      <c r="F101" s="220">
        <v>203.315</v>
      </c>
      <c r="G101" s="220">
        <v>10467</v>
      </c>
      <c r="H101" s="220">
        <v>12346</v>
      </c>
      <c r="I101" s="220">
        <v>14412</v>
      </c>
      <c r="J101" s="220">
        <v>200.12700000000001</v>
      </c>
      <c r="K101" s="220">
        <v>-19.937000000000001</v>
      </c>
      <c r="L101" s="220">
        <v>24.417999999999999</v>
      </c>
      <c r="M101" s="220" t="s">
        <v>821</v>
      </c>
      <c r="N101" s="220" t="s">
        <v>762</v>
      </c>
      <c r="O101" s="220" t="s">
        <v>822</v>
      </c>
      <c r="P101" s="220" t="s">
        <v>823</v>
      </c>
      <c r="Q101" s="220" t="s">
        <v>145</v>
      </c>
      <c r="R101" s="220" t="s">
        <v>209</v>
      </c>
      <c r="S101" s="220" t="s">
        <v>172</v>
      </c>
    </row>
    <row r="102" spans="1:19" hidden="1" x14ac:dyDescent="0.25">
      <c r="A102" s="220">
        <v>15</v>
      </c>
      <c r="B102" s="220" t="s">
        <v>820</v>
      </c>
      <c r="C102" s="220" t="s">
        <v>563</v>
      </c>
      <c r="D102" s="220" t="s">
        <v>319</v>
      </c>
      <c r="E102" s="220">
        <v>5</v>
      </c>
      <c r="F102" s="220">
        <v>261.024</v>
      </c>
      <c r="G102" s="220">
        <v>19987</v>
      </c>
      <c r="H102" s="220">
        <v>24114</v>
      </c>
      <c r="I102" s="220">
        <v>27839</v>
      </c>
      <c r="J102" s="220">
        <v>256.86500000000001</v>
      </c>
      <c r="K102" s="220">
        <v>-0.92600000000000005</v>
      </c>
      <c r="L102" s="220">
        <v>35.874000000000002</v>
      </c>
      <c r="M102" s="220" t="s">
        <v>821</v>
      </c>
      <c r="N102" s="220" t="s">
        <v>762</v>
      </c>
      <c r="O102" s="220" t="s">
        <v>822</v>
      </c>
      <c r="P102" s="220" t="s">
        <v>823</v>
      </c>
      <c r="Q102" s="220" t="s">
        <v>171</v>
      </c>
      <c r="R102" s="220" t="s">
        <v>160</v>
      </c>
      <c r="S102" s="220" t="s">
        <v>45</v>
      </c>
    </row>
    <row r="103" spans="1:19" x14ac:dyDescent="0.25">
      <c r="A103" s="220">
        <v>15</v>
      </c>
      <c r="B103" s="220" t="s">
        <v>820</v>
      </c>
      <c r="C103" s="220" t="s">
        <v>563</v>
      </c>
      <c r="D103" s="220" t="s">
        <v>319</v>
      </c>
      <c r="E103" s="220">
        <v>6</v>
      </c>
      <c r="F103" s="220">
        <v>228.98</v>
      </c>
      <c r="G103" s="220">
        <v>17843</v>
      </c>
      <c r="H103" s="220">
        <v>21524</v>
      </c>
      <c r="I103" s="220">
        <v>24849</v>
      </c>
      <c r="J103" s="220">
        <v>225.33099999999999</v>
      </c>
      <c r="K103" s="220">
        <v>-0.88600000000000001</v>
      </c>
      <c r="L103" s="220">
        <v>36.155000000000001</v>
      </c>
      <c r="M103" s="220" t="s">
        <v>821</v>
      </c>
      <c r="N103" s="220" t="s">
        <v>762</v>
      </c>
      <c r="O103" s="220" t="s">
        <v>822</v>
      </c>
      <c r="P103" s="220" t="s">
        <v>823</v>
      </c>
      <c r="Q103" s="220" t="s">
        <v>248</v>
      </c>
      <c r="R103" s="220" t="s">
        <v>824</v>
      </c>
      <c r="S103" s="220" t="s">
        <v>572</v>
      </c>
    </row>
    <row r="104" spans="1:19" x14ac:dyDescent="0.25">
      <c r="A104" s="220">
        <v>15</v>
      </c>
      <c r="B104" s="220" t="s">
        <v>820</v>
      </c>
      <c r="C104" s="220" t="s">
        <v>563</v>
      </c>
      <c r="D104" s="220" t="s">
        <v>319</v>
      </c>
      <c r="E104" s="220">
        <v>7</v>
      </c>
      <c r="F104" s="220">
        <v>215.483</v>
      </c>
      <c r="G104" s="220">
        <v>16673</v>
      </c>
      <c r="H104" s="220">
        <v>20107</v>
      </c>
      <c r="I104" s="220">
        <v>23223</v>
      </c>
      <c r="J104" s="220">
        <v>212.04900000000001</v>
      </c>
      <c r="K104" s="220">
        <v>-0.92</v>
      </c>
      <c r="L104" s="220">
        <v>36.253</v>
      </c>
      <c r="M104" s="220" t="s">
        <v>821</v>
      </c>
      <c r="N104" s="220" t="s">
        <v>762</v>
      </c>
      <c r="O104" s="220" t="s">
        <v>822</v>
      </c>
      <c r="P104" s="220" t="s">
        <v>823</v>
      </c>
      <c r="Q104" s="220" t="s">
        <v>248</v>
      </c>
      <c r="R104" s="220" t="s">
        <v>824</v>
      </c>
      <c r="S104" s="220" t="s">
        <v>572</v>
      </c>
    </row>
    <row r="105" spans="1:19" hidden="1" x14ac:dyDescent="0.25">
      <c r="A105" s="220">
        <v>16</v>
      </c>
      <c r="B105" s="220" t="s">
        <v>825</v>
      </c>
      <c r="C105" s="220" t="s">
        <v>826</v>
      </c>
      <c r="D105" s="220" t="s">
        <v>320</v>
      </c>
      <c r="E105" s="220">
        <v>1</v>
      </c>
      <c r="F105" s="220">
        <v>203.822</v>
      </c>
      <c r="G105" s="220">
        <v>10419</v>
      </c>
      <c r="H105" s="220">
        <v>12290</v>
      </c>
      <c r="I105" s="220">
        <v>14344</v>
      </c>
      <c r="J105" s="220">
        <v>200.62700000000001</v>
      </c>
      <c r="K105" s="220">
        <v>-19.931000000000001</v>
      </c>
      <c r="L105" s="220">
        <v>24.422000000000001</v>
      </c>
      <c r="M105" s="220" t="s">
        <v>754</v>
      </c>
      <c r="N105" s="220" t="s">
        <v>762</v>
      </c>
      <c r="O105" s="220" t="s">
        <v>827</v>
      </c>
      <c r="P105" s="220" t="s">
        <v>828</v>
      </c>
      <c r="Q105" s="220" t="s">
        <v>90</v>
      </c>
      <c r="R105" s="220" t="s">
        <v>111</v>
      </c>
      <c r="S105" s="220" t="s">
        <v>274</v>
      </c>
    </row>
    <row r="106" spans="1:19" hidden="1" x14ac:dyDescent="0.25">
      <c r="A106" s="220">
        <v>16</v>
      </c>
      <c r="B106" s="220" t="s">
        <v>825</v>
      </c>
      <c r="C106" s="220" t="s">
        <v>826</v>
      </c>
      <c r="D106" s="220" t="s">
        <v>320</v>
      </c>
      <c r="E106" s="220">
        <v>2</v>
      </c>
      <c r="F106" s="220">
        <v>201.06299999999999</v>
      </c>
      <c r="G106" s="220">
        <v>10422</v>
      </c>
      <c r="H106" s="220">
        <v>12292</v>
      </c>
      <c r="I106" s="220">
        <v>14350</v>
      </c>
      <c r="J106" s="220">
        <v>197.911</v>
      </c>
      <c r="K106" s="220">
        <v>-19.925999999999998</v>
      </c>
      <c r="L106" s="220">
        <v>24.411000000000001</v>
      </c>
      <c r="M106" s="220" t="s">
        <v>754</v>
      </c>
      <c r="N106" s="220" t="s">
        <v>762</v>
      </c>
      <c r="O106" s="220" t="s">
        <v>827</v>
      </c>
      <c r="P106" s="220" t="s">
        <v>828</v>
      </c>
      <c r="Q106" s="220" t="s">
        <v>117</v>
      </c>
      <c r="R106" s="220" t="s">
        <v>96</v>
      </c>
      <c r="S106" s="220" t="s">
        <v>144</v>
      </c>
    </row>
    <row r="107" spans="1:19" hidden="1" x14ac:dyDescent="0.25">
      <c r="A107" s="220">
        <v>16</v>
      </c>
      <c r="B107" s="220" t="s">
        <v>825</v>
      </c>
      <c r="C107" s="220" t="s">
        <v>826</v>
      </c>
      <c r="D107" s="220" t="s">
        <v>320</v>
      </c>
      <c r="E107" s="220">
        <v>3</v>
      </c>
      <c r="F107" s="220">
        <v>202.76</v>
      </c>
      <c r="G107" s="220">
        <v>10480</v>
      </c>
      <c r="H107" s="220">
        <v>12361</v>
      </c>
      <c r="I107" s="220">
        <v>14427</v>
      </c>
      <c r="J107" s="220">
        <v>199.58099999999999</v>
      </c>
      <c r="K107" s="220">
        <v>-19.928999999999998</v>
      </c>
      <c r="L107" s="220">
        <v>24.395</v>
      </c>
      <c r="M107" s="220" t="s">
        <v>754</v>
      </c>
      <c r="N107" s="220" t="s">
        <v>762</v>
      </c>
      <c r="O107" s="220" t="s">
        <v>827</v>
      </c>
      <c r="P107" s="220" t="s">
        <v>828</v>
      </c>
      <c r="Q107" s="220" t="s">
        <v>81</v>
      </c>
      <c r="R107" s="220" t="s">
        <v>96</v>
      </c>
      <c r="S107" s="220" t="s">
        <v>201</v>
      </c>
    </row>
    <row r="108" spans="1:19" hidden="1" x14ac:dyDescent="0.25">
      <c r="A108" s="220">
        <v>16</v>
      </c>
      <c r="B108" s="220" t="s">
        <v>825</v>
      </c>
      <c r="C108" s="220" t="s">
        <v>826</v>
      </c>
      <c r="D108" s="220" t="s">
        <v>320</v>
      </c>
      <c r="E108" s="220">
        <v>4</v>
      </c>
      <c r="F108" s="220">
        <v>202.51900000000001</v>
      </c>
      <c r="G108" s="220">
        <v>10418</v>
      </c>
      <c r="H108" s="220">
        <v>12289</v>
      </c>
      <c r="I108" s="220">
        <v>14347</v>
      </c>
      <c r="J108" s="220">
        <v>199.34399999999999</v>
      </c>
      <c r="K108" s="220">
        <v>-19.937000000000001</v>
      </c>
      <c r="L108" s="220">
        <v>24.417999999999999</v>
      </c>
      <c r="M108" s="220" t="s">
        <v>754</v>
      </c>
      <c r="N108" s="220" t="s">
        <v>762</v>
      </c>
      <c r="O108" s="220" t="s">
        <v>827</v>
      </c>
      <c r="P108" s="220" t="s">
        <v>828</v>
      </c>
      <c r="Q108" s="220" t="s">
        <v>158</v>
      </c>
      <c r="R108" s="220" t="s">
        <v>233</v>
      </c>
      <c r="S108" s="220" t="s">
        <v>241</v>
      </c>
    </row>
    <row r="109" spans="1:19" hidden="1" x14ac:dyDescent="0.25">
      <c r="A109" s="220">
        <v>16</v>
      </c>
      <c r="B109" s="220" t="s">
        <v>825</v>
      </c>
      <c r="C109" s="220" t="s">
        <v>826</v>
      </c>
      <c r="D109" s="220" t="s">
        <v>320</v>
      </c>
      <c r="E109" s="220">
        <v>5</v>
      </c>
      <c r="F109" s="220">
        <v>336.38799999999998</v>
      </c>
      <c r="G109" s="220">
        <v>27058</v>
      </c>
      <c r="H109" s="220">
        <v>32678</v>
      </c>
      <c r="I109" s="220">
        <v>37666</v>
      </c>
      <c r="J109" s="220">
        <v>331.02699999999999</v>
      </c>
      <c r="K109" s="220">
        <v>-0.61099999999999999</v>
      </c>
      <c r="L109" s="220">
        <v>35.64</v>
      </c>
      <c r="M109" s="220" t="s">
        <v>754</v>
      </c>
      <c r="N109" s="220" t="s">
        <v>762</v>
      </c>
      <c r="O109" s="220" t="s">
        <v>827</v>
      </c>
      <c r="P109" s="220" t="s">
        <v>828</v>
      </c>
      <c r="Q109" s="220" t="s">
        <v>114</v>
      </c>
      <c r="R109" s="220" t="s">
        <v>47</v>
      </c>
      <c r="S109" s="220" t="s">
        <v>48</v>
      </c>
    </row>
    <row r="110" spans="1:19" x14ac:dyDescent="0.25">
      <c r="A110" s="220">
        <v>16</v>
      </c>
      <c r="B110" s="220" t="s">
        <v>825</v>
      </c>
      <c r="C110" s="220" t="s">
        <v>826</v>
      </c>
      <c r="D110" s="220" t="s">
        <v>320</v>
      </c>
      <c r="E110" s="220">
        <v>6</v>
      </c>
      <c r="F110" s="220">
        <v>293.61599999999999</v>
      </c>
      <c r="G110" s="220">
        <v>23763</v>
      </c>
      <c r="H110" s="220">
        <v>28687</v>
      </c>
      <c r="I110" s="220">
        <v>33094</v>
      </c>
      <c r="J110" s="220">
        <v>288.93700000000001</v>
      </c>
      <c r="K110" s="220">
        <v>-0.59099999999999997</v>
      </c>
      <c r="L110" s="220">
        <v>36.06</v>
      </c>
      <c r="M110" s="220" t="s">
        <v>754</v>
      </c>
      <c r="N110" s="220" t="s">
        <v>762</v>
      </c>
      <c r="O110" s="220" t="s">
        <v>827</v>
      </c>
      <c r="P110" s="220" t="s">
        <v>828</v>
      </c>
      <c r="Q110" s="220" t="s">
        <v>595</v>
      </c>
      <c r="R110" s="220" t="s">
        <v>829</v>
      </c>
      <c r="S110" s="220" t="s">
        <v>830</v>
      </c>
    </row>
    <row r="111" spans="1:19" x14ac:dyDescent="0.25">
      <c r="A111" s="220">
        <v>16</v>
      </c>
      <c r="B111" s="220" t="s">
        <v>825</v>
      </c>
      <c r="C111" s="220" t="s">
        <v>826</v>
      </c>
      <c r="D111" s="220" t="s">
        <v>320</v>
      </c>
      <c r="E111" s="220">
        <v>7</v>
      </c>
      <c r="F111" s="220">
        <v>275.15899999999999</v>
      </c>
      <c r="G111" s="220">
        <v>21957</v>
      </c>
      <c r="H111" s="220">
        <v>26487</v>
      </c>
      <c r="I111" s="220">
        <v>30576</v>
      </c>
      <c r="J111" s="220">
        <v>270.774</v>
      </c>
      <c r="K111" s="220">
        <v>-0.63500000000000001</v>
      </c>
      <c r="L111" s="220">
        <v>36.158000000000001</v>
      </c>
      <c r="M111" s="220" t="s">
        <v>754</v>
      </c>
      <c r="N111" s="220" t="s">
        <v>762</v>
      </c>
      <c r="O111" s="220" t="s">
        <v>827</v>
      </c>
      <c r="P111" s="220" t="s">
        <v>828</v>
      </c>
      <c r="Q111" s="220" t="s">
        <v>595</v>
      </c>
      <c r="R111" s="220" t="s">
        <v>829</v>
      </c>
      <c r="S111" s="220" t="s">
        <v>830</v>
      </c>
    </row>
    <row r="112" spans="1:19" hidden="1" x14ac:dyDescent="0.25">
      <c r="A112" s="220">
        <v>17</v>
      </c>
      <c r="B112" s="220" t="s">
        <v>831</v>
      </c>
      <c r="C112" s="220" t="s">
        <v>832</v>
      </c>
      <c r="D112" s="220" t="s">
        <v>323</v>
      </c>
      <c r="E112" s="220">
        <v>1</v>
      </c>
      <c r="F112" s="220">
        <v>204.08500000000001</v>
      </c>
      <c r="G112" s="220">
        <v>10430</v>
      </c>
      <c r="H112" s="220">
        <v>12303</v>
      </c>
      <c r="I112" s="220">
        <v>14359</v>
      </c>
      <c r="J112" s="220">
        <v>200.88499999999999</v>
      </c>
      <c r="K112" s="220">
        <v>-19.927</v>
      </c>
      <c r="L112" s="220">
        <v>24.425000000000001</v>
      </c>
      <c r="M112" s="220" t="s">
        <v>707</v>
      </c>
      <c r="N112" s="220" t="s">
        <v>762</v>
      </c>
      <c r="O112" s="220" t="s">
        <v>833</v>
      </c>
      <c r="P112" s="220" t="s">
        <v>834</v>
      </c>
      <c r="Q112" s="220" t="s">
        <v>210</v>
      </c>
      <c r="R112" s="220" t="s">
        <v>228</v>
      </c>
      <c r="S112" s="220" t="s">
        <v>166</v>
      </c>
    </row>
    <row r="113" spans="1:19" hidden="1" x14ac:dyDescent="0.25">
      <c r="A113" s="220">
        <v>17</v>
      </c>
      <c r="B113" s="220" t="s">
        <v>831</v>
      </c>
      <c r="C113" s="220" t="s">
        <v>832</v>
      </c>
      <c r="D113" s="220" t="s">
        <v>323</v>
      </c>
      <c r="E113" s="220">
        <v>2</v>
      </c>
      <c r="F113" s="220">
        <v>201.92400000000001</v>
      </c>
      <c r="G113" s="220">
        <v>10455</v>
      </c>
      <c r="H113" s="220">
        <v>12332</v>
      </c>
      <c r="I113" s="220">
        <v>14395</v>
      </c>
      <c r="J113" s="220">
        <v>198.75899999999999</v>
      </c>
      <c r="K113" s="220">
        <v>-19.934999999999999</v>
      </c>
      <c r="L113" s="220">
        <v>24.399000000000001</v>
      </c>
      <c r="M113" s="220" t="s">
        <v>707</v>
      </c>
      <c r="N113" s="220" t="s">
        <v>762</v>
      </c>
      <c r="O113" s="220" t="s">
        <v>833</v>
      </c>
      <c r="P113" s="220" t="s">
        <v>834</v>
      </c>
      <c r="Q113" s="220" t="s">
        <v>118</v>
      </c>
      <c r="R113" s="220" t="s">
        <v>170</v>
      </c>
      <c r="S113" s="220" t="s">
        <v>568</v>
      </c>
    </row>
    <row r="114" spans="1:19" hidden="1" x14ac:dyDescent="0.25">
      <c r="A114" s="220">
        <v>17</v>
      </c>
      <c r="B114" s="220" t="s">
        <v>831</v>
      </c>
      <c r="C114" s="220" t="s">
        <v>832</v>
      </c>
      <c r="D114" s="220" t="s">
        <v>323</v>
      </c>
      <c r="E114" s="220">
        <v>3</v>
      </c>
      <c r="F114" s="220">
        <v>203.227</v>
      </c>
      <c r="G114" s="220">
        <v>10507</v>
      </c>
      <c r="H114" s="220">
        <v>12393</v>
      </c>
      <c r="I114" s="220">
        <v>14470</v>
      </c>
      <c r="J114" s="220">
        <v>200.041</v>
      </c>
      <c r="K114" s="220">
        <v>-19.93</v>
      </c>
      <c r="L114" s="220">
        <v>24.422000000000001</v>
      </c>
      <c r="M114" s="220" t="s">
        <v>707</v>
      </c>
      <c r="N114" s="220" t="s">
        <v>762</v>
      </c>
      <c r="O114" s="220" t="s">
        <v>833</v>
      </c>
      <c r="P114" s="220" t="s">
        <v>834</v>
      </c>
      <c r="Q114" s="220" t="s">
        <v>140</v>
      </c>
      <c r="R114" s="220" t="s">
        <v>143</v>
      </c>
      <c r="S114" s="220" t="s">
        <v>188</v>
      </c>
    </row>
    <row r="115" spans="1:19" hidden="1" x14ac:dyDescent="0.25">
      <c r="A115" s="220">
        <v>17</v>
      </c>
      <c r="B115" s="220" t="s">
        <v>831</v>
      </c>
      <c r="C115" s="220" t="s">
        <v>832</v>
      </c>
      <c r="D115" s="220" t="s">
        <v>323</v>
      </c>
      <c r="E115" s="220">
        <v>4</v>
      </c>
      <c r="F115" s="220">
        <v>203.30799999999999</v>
      </c>
      <c r="G115" s="220">
        <v>10457</v>
      </c>
      <c r="H115" s="220">
        <v>12334</v>
      </c>
      <c r="I115" s="220">
        <v>14396</v>
      </c>
      <c r="J115" s="220">
        <v>200.12100000000001</v>
      </c>
      <c r="K115" s="220">
        <v>-19.937000000000001</v>
      </c>
      <c r="L115" s="220">
        <v>24.417999999999999</v>
      </c>
      <c r="M115" s="220" t="s">
        <v>707</v>
      </c>
      <c r="N115" s="220" t="s">
        <v>762</v>
      </c>
      <c r="O115" s="220" t="s">
        <v>833</v>
      </c>
      <c r="P115" s="220" t="s">
        <v>834</v>
      </c>
      <c r="Q115" s="220" t="s">
        <v>246</v>
      </c>
      <c r="R115" s="220" t="s">
        <v>259</v>
      </c>
      <c r="S115" s="220" t="s">
        <v>184</v>
      </c>
    </row>
    <row r="116" spans="1:19" hidden="1" x14ac:dyDescent="0.25">
      <c r="A116" s="220">
        <v>17</v>
      </c>
      <c r="B116" s="220" t="s">
        <v>831</v>
      </c>
      <c r="C116" s="220" t="s">
        <v>832</v>
      </c>
      <c r="D116" s="220" t="s">
        <v>323</v>
      </c>
      <c r="E116" s="220">
        <v>5</v>
      </c>
      <c r="F116" s="220">
        <v>284.25599999999997</v>
      </c>
      <c r="G116" s="220">
        <v>21941</v>
      </c>
      <c r="H116" s="220">
        <v>26500</v>
      </c>
      <c r="I116" s="220">
        <v>30554</v>
      </c>
      <c r="J116" s="220">
        <v>279.726</v>
      </c>
      <c r="K116" s="220">
        <v>-0.65900000000000003</v>
      </c>
      <c r="L116" s="220">
        <v>35.837000000000003</v>
      </c>
      <c r="M116" s="220" t="s">
        <v>707</v>
      </c>
      <c r="N116" s="220" t="s">
        <v>762</v>
      </c>
      <c r="O116" s="220" t="s">
        <v>833</v>
      </c>
      <c r="P116" s="220" t="s">
        <v>834</v>
      </c>
      <c r="Q116" s="220" t="s">
        <v>169</v>
      </c>
      <c r="R116" s="220" t="s">
        <v>44</v>
      </c>
      <c r="S116" s="220" t="s">
        <v>835</v>
      </c>
    </row>
    <row r="117" spans="1:19" x14ac:dyDescent="0.25">
      <c r="A117" s="220">
        <v>17</v>
      </c>
      <c r="B117" s="220" t="s">
        <v>831</v>
      </c>
      <c r="C117" s="220" t="s">
        <v>832</v>
      </c>
      <c r="D117" s="220" t="s">
        <v>323</v>
      </c>
      <c r="E117" s="220">
        <v>6</v>
      </c>
      <c r="F117" s="220">
        <v>248.90799999999999</v>
      </c>
      <c r="G117" s="220">
        <v>19610</v>
      </c>
      <c r="H117" s="220">
        <v>23672</v>
      </c>
      <c r="I117" s="220">
        <v>27309</v>
      </c>
      <c r="J117" s="220">
        <v>244.941</v>
      </c>
      <c r="K117" s="220">
        <v>-0.63700000000000001</v>
      </c>
      <c r="L117" s="220">
        <v>36.154000000000003</v>
      </c>
      <c r="M117" s="220" t="s">
        <v>707</v>
      </c>
      <c r="N117" s="220" t="s">
        <v>762</v>
      </c>
      <c r="O117" s="220" t="s">
        <v>833</v>
      </c>
      <c r="P117" s="220" t="s">
        <v>834</v>
      </c>
      <c r="Q117" s="220" t="s">
        <v>250</v>
      </c>
      <c r="R117" s="220" t="s">
        <v>836</v>
      </c>
      <c r="S117" s="220" t="s">
        <v>837</v>
      </c>
    </row>
    <row r="118" spans="1:19" x14ac:dyDescent="0.25">
      <c r="A118" s="220">
        <v>17</v>
      </c>
      <c r="B118" s="220" t="s">
        <v>831</v>
      </c>
      <c r="C118" s="220" t="s">
        <v>832</v>
      </c>
      <c r="D118" s="220" t="s">
        <v>323</v>
      </c>
      <c r="E118" s="220">
        <v>7</v>
      </c>
      <c r="F118" s="220">
        <v>231.44800000000001</v>
      </c>
      <c r="G118" s="220">
        <v>18377</v>
      </c>
      <c r="H118" s="220">
        <v>22184</v>
      </c>
      <c r="I118" s="220">
        <v>25596</v>
      </c>
      <c r="J118" s="220">
        <v>227.75899999999999</v>
      </c>
      <c r="K118" s="220">
        <v>-0.61399999999999999</v>
      </c>
      <c r="L118" s="220">
        <v>36.167999999999999</v>
      </c>
      <c r="M118" s="220" t="s">
        <v>707</v>
      </c>
      <c r="N118" s="220" t="s">
        <v>762</v>
      </c>
      <c r="O118" s="220" t="s">
        <v>833</v>
      </c>
      <c r="P118" s="220" t="s">
        <v>834</v>
      </c>
      <c r="Q118" s="220" t="s">
        <v>350</v>
      </c>
      <c r="R118" s="220" t="s">
        <v>838</v>
      </c>
      <c r="S118" s="220" t="s">
        <v>839</v>
      </c>
    </row>
    <row r="119" spans="1:19" hidden="1" x14ac:dyDescent="0.25">
      <c r="A119" s="220">
        <v>18</v>
      </c>
      <c r="B119" s="220" t="s">
        <v>840</v>
      </c>
      <c r="C119" s="220" t="s">
        <v>297</v>
      </c>
      <c r="D119" s="220" t="s">
        <v>324</v>
      </c>
      <c r="E119" s="220">
        <v>1</v>
      </c>
      <c r="F119" s="220">
        <v>203.85300000000001</v>
      </c>
      <c r="G119" s="220">
        <v>10414</v>
      </c>
      <c r="H119" s="220">
        <v>12283</v>
      </c>
      <c r="I119" s="220">
        <v>14347</v>
      </c>
      <c r="J119" s="220">
        <v>200.65700000000001</v>
      </c>
      <c r="K119" s="220">
        <v>-19.936</v>
      </c>
      <c r="L119" s="220">
        <v>24.423999999999999</v>
      </c>
      <c r="M119" s="220" t="s">
        <v>841</v>
      </c>
      <c r="N119" s="220" t="s">
        <v>762</v>
      </c>
      <c r="O119" s="220" t="s">
        <v>842</v>
      </c>
      <c r="P119" s="220" t="s">
        <v>843</v>
      </c>
      <c r="Q119" s="220" t="s">
        <v>121</v>
      </c>
      <c r="R119" s="220" t="s">
        <v>118</v>
      </c>
      <c r="S119" s="220" t="s">
        <v>137</v>
      </c>
    </row>
    <row r="120" spans="1:19" hidden="1" x14ac:dyDescent="0.25">
      <c r="A120" s="220">
        <v>18</v>
      </c>
      <c r="B120" s="220" t="s">
        <v>840</v>
      </c>
      <c r="C120" s="220" t="s">
        <v>297</v>
      </c>
      <c r="D120" s="220" t="s">
        <v>324</v>
      </c>
      <c r="E120" s="220">
        <v>2</v>
      </c>
      <c r="F120" s="220">
        <v>201.25</v>
      </c>
      <c r="G120" s="220">
        <v>10416</v>
      </c>
      <c r="H120" s="220">
        <v>12285</v>
      </c>
      <c r="I120" s="220">
        <v>14348</v>
      </c>
      <c r="J120" s="220">
        <v>198.095</v>
      </c>
      <c r="K120" s="220">
        <v>-19.940000000000001</v>
      </c>
      <c r="L120" s="220">
        <v>24.395</v>
      </c>
      <c r="M120" s="220" t="s">
        <v>841</v>
      </c>
      <c r="N120" s="220" t="s">
        <v>762</v>
      </c>
      <c r="O120" s="220" t="s">
        <v>842</v>
      </c>
      <c r="P120" s="220" t="s">
        <v>843</v>
      </c>
      <c r="Q120" s="220" t="s">
        <v>140</v>
      </c>
      <c r="R120" s="220" t="s">
        <v>247</v>
      </c>
      <c r="S120" s="220" t="s">
        <v>188</v>
      </c>
    </row>
    <row r="121" spans="1:19" hidden="1" x14ac:dyDescent="0.25">
      <c r="A121" s="220">
        <v>18</v>
      </c>
      <c r="B121" s="220" t="s">
        <v>840</v>
      </c>
      <c r="C121" s="220" t="s">
        <v>297</v>
      </c>
      <c r="D121" s="220" t="s">
        <v>324</v>
      </c>
      <c r="E121" s="220">
        <v>3</v>
      </c>
      <c r="F121" s="220">
        <v>202.70500000000001</v>
      </c>
      <c r="G121" s="220">
        <v>10479</v>
      </c>
      <c r="H121" s="220">
        <v>12360</v>
      </c>
      <c r="I121" s="220">
        <v>14437</v>
      </c>
      <c r="J121" s="220">
        <v>199.52699999999999</v>
      </c>
      <c r="K121" s="220">
        <v>-19.943999999999999</v>
      </c>
      <c r="L121" s="220">
        <v>24.395</v>
      </c>
      <c r="M121" s="220" t="s">
        <v>841</v>
      </c>
      <c r="N121" s="220" t="s">
        <v>762</v>
      </c>
      <c r="O121" s="220" t="s">
        <v>842</v>
      </c>
      <c r="P121" s="220" t="s">
        <v>843</v>
      </c>
      <c r="Q121" s="220" t="s">
        <v>212</v>
      </c>
      <c r="R121" s="220" t="s">
        <v>166</v>
      </c>
      <c r="S121" s="220" t="s">
        <v>218</v>
      </c>
    </row>
    <row r="122" spans="1:19" hidden="1" x14ac:dyDescent="0.25">
      <c r="A122" s="220">
        <v>18</v>
      </c>
      <c r="B122" s="220" t="s">
        <v>840</v>
      </c>
      <c r="C122" s="220" t="s">
        <v>297</v>
      </c>
      <c r="D122" s="220" t="s">
        <v>324</v>
      </c>
      <c r="E122" s="220">
        <v>4</v>
      </c>
      <c r="F122" s="220">
        <v>202.71899999999999</v>
      </c>
      <c r="G122" s="220">
        <v>10426</v>
      </c>
      <c r="H122" s="220">
        <v>12298</v>
      </c>
      <c r="I122" s="220">
        <v>14369</v>
      </c>
      <c r="J122" s="220">
        <v>199.54</v>
      </c>
      <c r="K122" s="220">
        <v>-19.937000000000001</v>
      </c>
      <c r="L122" s="220">
        <v>24.417999999999999</v>
      </c>
      <c r="M122" s="220" t="s">
        <v>841</v>
      </c>
      <c r="N122" s="220" t="s">
        <v>762</v>
      </c>
      <c r="O122" s="220" t="s">
        <v>842</v>
      </c>
      <c r="P122" s="220" t="s">
        <v>843</v>
      </c>
      <c r="Q122" s="220" t="s">
        <v>123</v>
      </c>
      <c r="R122" s="220" t="s">
        <v>137</v>
      </c>
      <c r="S122" s="220" t="s">
        <v>535</v>
      </c>
    </row>
    <row r="123" spans="1:19" hidden="1" x14ac:dyDescent="0.25">
      <c r="A123" s="220">
        <v>18</v>
      </c>
      <c r="B123" s="220" t="s">
        <v>840</v>
      </c>
      <c r="C123" s="220" t="s">
        <v>297</v>
      </c>
      <c r="D123" s="220" t="s">
        <v>324</v>
      </c>
      <c r="E123" s="220">
        <v>5</v>
      </c>
      <c r="F123" s="220">
        <v>270.47399999999999</v>
      </c>
      <c r="G123" s="220">
        <v>21043</v>
      </c>
      <c r="H123" s="220">
        <v>25375</v>
      </c>
      <c r="I123" s="220">
        <v>29336</v>
      </c>
      <c r="J123" s="220">
        <v>266.16399999999999</v>
      </c>
      <c r="K123" s="220">
        <v>-0.80600000000000005</v>
      </c>
      <c r="L123" s="220">
        <v>36.06</v>
      </c>
      <c r="M123" s="220" t="s">
        <v>841</v>
      </c>
      <c r="N123" s="220" t="s">
        <v>762</v>
      </c>
      <c r="O123" s="220" t="s">
        <v>842</v>
      </c>
      <c r="P123" s="220" t="s">
        <v>843</v>
      </c>
      <c r="Q123" s="220" t="s">
        <v>151</v>
      </c>
      <c r="R123" s="220" t="s">
        <v>89</v>
      </c>
      <c r="S123" s="220" t="s">
        <v>602</v>
      </c>
    </row>
    <row r="124" spans="1:19" x14ac:dyDescent="0.25">
      <c r="A124" s="220">
        <v>18</v>
      </c>
      <c r="B124" s="220" t="s">
        <v>840</v>
      </c>
      <c r="C124" s="220" t="s">
        <v>297</v>
      </c>
      <c r="D124" s="220" t="s">
        <v>324</v>
      </c>
      <c r="E124" s="220">
        <v>6</v>
      </c>
      <c r="F124" s="220">
        <v>235.77799999999999</v>
      </c>
      <c r="G124" s="220">
        <v>18516</v>
      </c>
      <c r="H124" s="220">
        <v>22322</v>
      </c>
      <c r="I124" s="220">
        <v>25812</v>
      </c>
      <c r="J124" s="220">
        <v>232.02</v>
      </c>
      <c r="K124" s="220">
        <v>-0.72699999999999998</v>
      </c>
      <c r="L124" s="220">
        <v>36.283000000000001</v>
      </c>
      <c r="M124" s="220" t="s">
        <v>841</v>
      </c>
      <c r="N124" s="220" t="s">
        <v>762</v>
      </c>
      <c r="O124" s="220" t="s">
        <v>842</v>
      </c>
      <c r="P124" s="220" t="s">
        <v>843</v>
      </c>
      <c r="Q124" s="220" t="s">
        <v>144</v>
      </c>
      <c r="R124" s="220" t="s">
        <v>613</v>
      </c>
      <c r="S124" s="220" t="s">
        <v>844</v>
      </c>
    </row>
    <row r="125" spans="1:19" x14ac:dyDescent="0.25">
      <c r="A125" s="220">
        <v>18</v>
      </c>
      <c r="B125" s="220" t="s">
        <v>840</v>
      </c>
      <c r="C125" s="220" t="s">
        <v>297</v>
      </c>
      <c r="D125" s="220" t="s">
        <v>324</v>
      </c>
      <c r="E125" s="220">
        <v>7</v>
      </c>
      <c r="F125" s="220">
        <v>218.58600000000001</v>
      </c>
      <c r="G125" s="220">
        <v>17131</v>
      </c>
      <c r="H125" s="220">
        <v>20645</v>
      </c>
      <c r="I125" s="220">
        <v>23882</v>
      </c>
      <c r="J125" s="220">
        <v>215.102</v>
      </c>
      <c r="K125" s="220">
        <v>-0.78900000000000003</v>
      </c>
      <c r="L125" s="220">
        <v>36.183</v>
      </c>
      <c r="M125" s="220" t="s">
        <v>841</v>
      </c>
      <c r="N125" s="220" t="s">
        <v>762</v>
      </c>
      <c r="O125" s="220" t="s">
        <v>842</v>
      </c>
      <c r="P125" s="220" t="s">
        <v>843</v>
      </c>
      <c r="Q125" s="220" t="s">
        <v>845</v>
      </c>
      <c r="R125" s="220" t="s">
        <v>632</v>
      </c>
      <c r="S125" s="220" t="s">
        <v>846</v>
      </c>
    </row>
    <row r="126" spans="1:19" hidden="1" x14ac:dyDescent="0.25">
      <c r="A126" s="220">
        <v>19</v>
      </c>
      <c r="B126" s="220" t="s">
        <v>847</v>
      </c>
      <c r="C126" s="220" t="s">
        <v>614</v>
      </c>
      <c r="D126" s="220" t="s">
        <v>326</v>
      </c>
      <c r="E126" s="220">
        <v>1</v>
      </c>
      <c r="F126" s="220">
        <v>204.28200000000001</v>
      </c>
      <c r="G126" s="220">
        <v>10446</v>
      </c>
      <c r="H126" s="220">
        <v>12320</v>
      </c>
      <c r="I126" s="220">
        <v>14391</v>
      </c>
      <c r="J126" s="220">
        <v>201.07900000000001</v>
      </c>
      <c r="K126" s="220">
        <v>-19.928999999999998</v>
      </c>
      <c r="L126" s="220">
        <v>24.428999999999998</v>
      </c>
      <c r="M126" s="220" t="s">
        <v>848</v>
      </c>
      <c r="N126" s="220" t="s">
        <v>762</v>
      </c>
      <c r="O126" s="220" t="s">
        <v>849</v>
      </c>
      <c r="P126" s="220" t="s">
        <v>850</v>
      </c>
      <c r="Q126" s="220" t="s">
        <v>220</v>
      </c>
      <c r="R126" s="220" t="s">
        <v>81</v>
      </c>
      <c r="S126" s="220" t="s">
        <v>105</v>
      </c>
    </row>
    <row r="127" spans="1:19" hidden="1" x14ac:dyDescent="0.25">
      <c r="A127" s="220">
        <v>19</v>
      </c>
      <c r="B127" s="220" t="s">
        <v>847</v>
      </c>
      <c r="C127" s="220" t="s">
        <v>614</v>
      </c>
      <c r="D127" s="220" t="s">
        <v>326</v>
      </c>
      <c r="E127" s="220">
        <v>2</v>
      </c>
      <c r="F127" s="220">
        <v>201.85900000000001</v>
      </c>
      <c r="G127" s="220">
        <v>10451</v>
      </c>
      <c r="H127" s="220">
        <v>12326</v>
      </c>
      <c r="I127" s="220">
        <v>14397</v>
      </c>
      <c r="J127" s="220">
        <v>198.69399999999999</v>
      </c>
      <c r="K127" s="220">
        <v>-19.931000000000001</v>
      </c>
      <c r="L127" s="220">
        <v>24.417999999999999</v>
      </c>
      <c r="M127" s="220" t="s">
        <v>848</v>
      </c>
      <c r="N127" s="220" t="s">
        <v>762</v>
      </c>
      <c r="O127" s="220" t="s">
        <v>849</v>
      </c>
      <c r="P127" s="220" t="s">
        <v>850</v>
      </c>
      <c r="Q127" s="220" t="s">
        <v>203</v>
      </c>
      <c r="R127" s="220" t="s">
        <v>112</v>
      </c>
      <c r="S127" s="220" t="s">
        <v>138</v>
      </c>
    </row>
    <row r="128" spans="1:19" hidden="1" x14ac:dyDescent="0.25">
      <c r="A128" s="220">
        <v>19</v>
      </c>
      <c r="B128" s="220" t="s">
        <v>847</v>
      </c>
      <c r="C128" s="220" t="s">
        <v>614</v>
      </c>
      <c r="D128" s="220" t="s">
        <v>326</v>
      </c>
      <c r="E128" s="220">
        <v>3</v>
      </c>
      <c r="F128" s="220">
        <v>203.298</v>
      </c>
      <c r="G128" s="220">
        <v>10511</v>
      </c>
      <c r="H128" s="220">
        <v>12398</v>
      </c>
      <c r="I128" s="220">
        <v>14485</v>
      </c>
      <c r="J128" s="220">
        <v>200.11</v>
      </c>
      <c r="K128" s="220">
        <v>-19.934999999999999</v>
      </c>
      <c r="L128" s="220">
        <v>24.44</v>
      </c>
      <c r="M128" s="220" t="s">
        <v>848</v>
      </c>
      <c r="N128" s="220" t="s">
        <v>762</v>
      </c>
      <c r="O128" s="220" t="s">
        <v>849</v>
      </c>
      <c r="P128" s="220" t="s">
        <v>850</v>
      </c>
      <c r="Q128" s="220" t="s">
        <v>110</v>
      </c>
      <c r="R128" s="220" t="s">
        <v>112</v>
      </c>
      <c r="S128" s="220" t="s">
        <v>282</v>
      </c>
    </row>
    <row r="129" spans="1:19" hidden="1" x14ac:dyDescent="0.25">
      <c r="A129" s="220">
        <v>19</v>
      </c>
      <c r="B129" s="220" t="s">
        <v>847</v>
      </c>
      <c r="C129" s="220" t="s">
        <v>614</v>
      </c>
      <c r="D129" s="220" t="s">
        <v>326</v>
      </c>
      <c r="E129" s="220">
        <v>4</v>
      </c>
      <c r="F129" s="220">
        <v>203.04900000000001</v>
      </c>
      <c r="G129" s="220">
        <v>10452</v>
      </c>
      <c r="H129" s="220">
        <v>12327</v>
      </c>
      <c r="I129" s="220">
        <v>14399</v>
      </c>
      <c r="J129" s="220">
        <v>199.86500000000001</v>
      </c>
      <c r="K129" s="220">
        <v>-19.937000000000001</v>
      </c>
      <c r="L129" s="220">
        <v>24.417999999999999</v>
      </c>
      <c r="M129" s="220" t="s">
        <v>848</v>
      </c>
      <c r="N129" s="220" t="s">
        <v>762</v>
      </c>
      <c r="O129" s="220" t="s">
        <v>849</v>
      </c>
      <c r="P129" s="220" t="s">
        <v>850</v>
      </c>
      <c r="Q129" s="220" t="s">
        <v>79</v>
      </c>
      <c r="R129" s="220" t="s">
        <v>149</v>
      </c>
      <c r="S129" s="220" t="s">
        <v>584</v>
      </c>
    </row>
    <row r="130" spans="1:19" hidden="1" x14ac:dyDescent="0.25">
      <c r="A130" s="220">
        <v>19</v>
      </c>
      <c r="B130" s="220" t="s">
        <v>847</v>
      </c>
      <c r="C130" s="220" t="s">
        <v>614</v>
      </c>
      <c r="D130" s="220" t="s">
        <v>326</v>
      </c>
      <c r="E130" s="220">
        <v>5</v>
      </c>
      <c r="F130" s="220">
        <v>209.72499999999999</v>
      </c>
      <c r="G130" s="220">
        <v>16335</v>
      </c>
      <c r="H130" s="220">
        <v>19707</v>
      </c>
      <c r="I130" s="220">
        <v>22772</v>
      </c>
      <c r="J130" s="220">
        <v>206.38300000000001</v>
      </c>
      <c r="K130" s="220">
        <v>-0.89200000000000002</v>
      </c>
      <c r="L130" s="220">
        <v>35.972000000000001</v>
      </c>
      <c r="M130" s="220" t="s">
        <v>848</v>
      </c>
      <c r="N130" s="220" t="s">
        <v>762</v>
      </c>
      <c r="O130" s="220" t="s">
        <v>849</v>
      </c>
      <c r="P130" s="220" t="s">
        <v>850</v>
      </c>
      <c r="Q130" s="220" t="s">
        <v>171</v>
      </c>
      <c r="R130" s="220" t="s">
        <v>185</v>
      </c>
      <c r="S130" s="220" t="s">
        <v>605</v>
      </c>
    </row>
    <row r="131" spans="1:19" x14ac:dyDescent="0.25">
      <c r="A131" s="220">
        <v>19</v>
      </c>
      <c r="B131" s="220" t="s">
        <v>847</v>
      </c>
      <c r="C131" s="220" t="s">
        <v>614</v>
      </c>
      <c r="D131" s="220" t="s">
        <v>326</v>
      </c>
      <c r="E131" s="220">
        <v>6</v>
      </c>
      <c r="F131" s="220">
        <v>185.79</v>
      </c>
      <c r="G131" s="220">
        <v>14870</v>
      </c>
      <c r="H131" s="220">
        <v>17933</v>
      </c>
      <c r="I131" s="220">
        <v>20725</v>
      </c>
      <c r="J131" s="220">
        <v>182.82900000000001</v>
      </c>
      <c r="K131" s="220">
        <v>-0.84299999999999997</v>
      </c>
      <c r="L131" s="220">
        <v>36.125</v>
      </c>
      <c r="M131" s="220" t="s">
        <v>848</v>
      </c>
      <c r="N131" s="220" t="s">
        <v>762</v>
      </c>
      <c r="O131" s="220" t="s">
        <v>849</v>
      </c>
      <c r="P131" s="220" t="s">
        <v>850</v>
      </c>
      <c r="Q131" s="220" t="s">
        <v>270</v>
      </c>
      <c r="R131" s="220" t="s">
        <v>190</v>
      </c>
      <c r="S131" s="220" t="s">
        <v>685</v>
      </c>
    </row>
    <row r="132" spans="1:19" x14ac:dyDescent="0.25">
      <c r="A132" s="220">
        <v>19</v>
      </c>
      <c r="B132" s="220" t="s">
        <v>847</v>
      </c>
      <c r="C132" s="220" t="s">
        <v>614</v>
      </c>
      <c r="D132" s="220" t="s">
        <v>326</v>
      </c>
      <c r="E132" s="220">
        <v>7</v>
      </c>
      <c r="F132" s="220">
        <v>173.76900000000001</v>
      </c>
      <c r="G132" s="220">
        <v>14001</v>
      </c>
      <c r="H132" s="220">
        <v>16880</v>
      </c>
      <c r="I132" s="220">
        <v>19515</v>
      </c>
      <c r="J132" s="220">
        <v>171</v>
      </c>
      <c r="K132" s="220">
        <v>-0.77800000000000002</v>
      </c>
      <c r="L132" s="220">
        <v>36.161000000000001</v>
      </c>
      <c r="M132" s="220" t="s">
        <v>848</v>
      </c>
      <c r="N132" s="220" t="s">
        <v>762</v>
      </c>
      <c r="O132" s="220" t="s">
        <v>849</v>
      </c>
      <c r="P132" s="220" t="s">
        <v>850</v>
      </c>
      <c r="Q132" s="220" t="s">
        <v>530</v>
      </c>
      <c r="R132" s="220" t="s">
        <v>546</v>
      </c>
      <c r="S132" s="220" t="s">
        <v>851</v>
      </c>
    </row>
    <row r="133" spans="1:19" hidden="1" x14ac:dyDescent="0.25">
      <c r="A133" s="220">
        <v>20</v>
      </c>
      <c r="B133" s="220" t="s">
        <v>852</v>
      </c>
      <c r="C133" s="220" t="s">
        <v>229</v>
      </c>
      <c r="D133" s="220" t="s">
        <v>327</v>
      </c>
      <c r="E133" s="220">
        <v>1</v>
      </c>
      <c r="F133" s="220">
        <v>204.16200000000001</v>
      </c>
      <c r="G133" s="220">
        <v>10443</v>
      </c>
      <c r="H133" s="220">
        <v>12317</v>
      </c>
      <c r="I133" s="220">
        <v>14387</v>
      </c>
      <c r="J133" s="220">
        <v>200.96100000000001</v>
      </c>
      <c r="K133" s="220">
        <v>-19.939</v>
      </c>
      <c r="L133" s="220">
        <v>24.451000000000001</v>
      </c>
      <c r="M133" s="220" t="s">
        <v>853</v>
      </c>
      <c r="N133" s="220" t="s">
        <v>762</v>
      </c>
      <c r="O133" s="220" t="s">
        <v>854</v>
      </c>
      <c r="P133" s="220" t="s">
        <v>855</v>
      </c>
      <c r="Q133" s="220" t="s">
        <v>54</v>
      </c>
      <c r="R133" s="220" t="s">
        <v>131</v>
      </c>
      <c r="S133" s="220" t="s">
        <v>124</v>
      </c>
    </row>
    <row r="134" spans="1:19" hidden="1" x14ac:dyDescent="0.25">
      <c r="A134" s="220">
        <v>20</v>
      </c>
      <c r="B134" s="220" t="s">
        <v>852</v>
      </c>
      <c r="C134" s="220" t="s">
        <v>229</v>
      </c>
      <c r="D134" s="220" t="s">
        <v>327</v>
      </c>
      <c r="E134" s="220">
        <v>2</v>
      </c>
      <c r="F134" s="220">
        <v>202.02</v>
      </c>
      <c r="G134" s="220">
        <v>10452</v>
      </c>
      <c r="H134" s="220">
        <v>12328</v>
      </c>
      <c r="I134" s="220">
        <v>14398</v>
      </c>
      <c r="J134" s="220">
        <v>198.85300000000001</v>
      </c>
      <c r="K134" s="220">
        <v>-19.937000000000001</v>
      </c>
      <c r="L134" s="220">
        <v>24.43</v>
      </c>
      <c r="M134" s="220" t="s">
        <v>853</v>
      </c>
      <c r="N134" s="220" t="s">
        <v>762</v>
      </c>
      <c r="O134" s="220" t="s">
        <v>854</v>
      </c>
      <c r="P134" s="220" t="s">
        <v>855</v>
      </c>
      <c r="Q134" s="220" t="s">
        <v>111</v>
      </c>
      <c r="R134" s="220" t="s">
        <v>233</v>
      </c>
      <c r="S134" s="220" t="s">
        <v>303</v>
      </c>
    </row>
    <row r="135" spans="1:19" hidden="1" x14ac:dyDescent="0.25">
      <c r="A135" s="220">
        <v>20</v>
      </c>
      <c r="B135" s="220" t="s">
        <v>852</v>
      </c>
      <c r="C135" s="220" t="s">
        <v>229</v>
      </c>
      <c r="D135" s="220" t="s">
        <v>327</v>
      </c>
      <c r="E135" s="220">
        <v>3</v>
      </c>
      <c r="F135" s="220">
        <v>203.214</v>
      </c>
      <c r="G135" s="220">
        <v>10504</v>
      </c>
      <c r="H135" s="220">
        <v>12389</v>
      </c>
      <c r="I135" s="220">
        <v>14472</v>
      </c>
      <c r="J135" s="220">
        <v>200.02799999999999</v>
      </c>
      <c r="K135" s="220">
        <v>-19.940000000000001</v>
      </c>
      <c r="L135" s="220">
        <v>24.439</v>
      </c>
      <c r="M135" s="220" t="s">
        <v>853</v>
      </c>
      <c r="N135" s="220" t="s">
        <v>762</v>
      </c>
      <c r="O135" s="220" t="s">
        <v>854</v>
      </c>
      <c r="P135" s="220" t="s">
        <v>855</v>
      </c>
      <c r="Q135" s="220" t="s">
        <v>117</v>
      </c>
      <c r="R135" s="220" t="s">
        <v>119</v>
      </c>
      <c r="S135" s="220" t="s">
        <v>200</v>
      </c>
    </row>
    <row r="136" spans="1:19" hidden="1" x14ac:dyDescent="0.25">
      <c r="A136" s="220">
        <v>20</v>
      </c>
      <c r="B136" s="220" t="s">
        <v>852</v>
      </c>
      <c r="C136" s="220" t="s">
        <v>229</v>
      </c>
      <c r="D136" s="220" t="s">
        <v>327</v>
      </c>
      <c r="E136" s="220">
        <v>4</v>
      </c>
      <c r="F136" s="220">
        <v>202.65899999999999</v>
      </c>
      <c r="G136" s="220">
        <v>10434</v>
      </c>
      <c r="H136" s="220">
        <v>12306</v>
      </c>
      <c r="I136" s="220">
        <v>14374</v>
      </c>
      <c r="J136" s="220">
        <v>199.482</v>
      </c>
      <c r="K136" s="220">
        <v>-19.937000000000001</v>
      </c>
      <c r="L136" s="220">
        <v>24.417999999999999</v>
      </c>
      <c r="M136" s="220" t="s">
        <v>853</v>
      </c>
      <c r="N136" s="220" t="s">
        <v>762</v>
      </c>
      <c r="O136" s="220" t="s">
        <v>854</v>
      </c>
      <c r="P136" s="220" t="s">
        <v>855</v>
      </c>
      <c r="Q136" s="220" t="s">
        <v>158</v>
      </c>
      <c r="R136" s="220" t="s">
        <v>233</v>
      </c>
      <c r="S136" s="220" t="s">
        <v>200</v>
      </c>
    </row>
    <row r="137" spans="1:19" hidden="1" x14ac:dyDescent="0.25">
      <c r="A137" s="220">
        <v>20</v>
      </c>
      <c r="B137" s="220" t="s">
        <v>852</v>
      </c>
      <c r="C137" s="220" t="s">
        <v>229</v>
      </c>
      <c r="D137" s="220" t="s">
        <v>327</v>
      </c>
      <c r="E137" s="220">
        <v>5</v>
      </c>
      <c r="F137" s="220">
        <v>237.13300000000001</v>
      </c>
      <c r="G137" s="220">
        <v>18090</v>
      </c>
      <c r="H137" s="220">
        <v>21813</v>
      </c>
      <c r="I137" s="220">
        <v>25216</v>
      </c>
      <c r="J137" s="220">
        <v>233.35300000000001</v>
      </c>
      <c r="K137" s="220">
        <v>-0.56299999999999994</v>
      </c>
      <c r="L137" s="220">
        <v>35.847000000000001</v>
      </c>
      <c r="M137" s="220" t="s">
        <v>853</v>
      </c>
      <c r="N137" s="220" t="s">
        <v>762</v>
      </c>
      <c r="O137" s="220" t="s">
        <v>854</v>
      </c>
      <c r="P137" s="220" t="s">
        <v>855</v>
      </c>
      <c r="Q137" s="220" t="s">
        <v>174</v>
      </c>
      <c r="R137" s="220" t="s">
        <v>611</v>
      </c>
      <c r="S137" s="220" t="s">
        <v>856</v>
      </c>
    </row>
    <row r="138" spans="1:19" x14ac:dyDescent="0.25">
      <c r="A138" s="220">
        <v>20</v>
      </c>
      <c r="B138" s="220" t="s">
        <v>852</v>
      </c>
      <c r="C138" s="220" t="s">
        <v>229</v>
      </c>
      <c r="D138" s="220" t="s">
        <v>327</v>
      </c>
      <c r="E138" s="220">
        <v>6</v>
      </c>
      <c r="F138" s="220">
        <v>206.99</v>
      </c>
      <c r="G138" s="220">
        <v>16047</v>
      </c>
      <c r="H138" s="220">
        <v>19344</v>
      </c>
      <c r="I138" s="220">
        <v>22369</v>
      </c>
      <c r="J138" s="220">
        <v>203.691</v>
      </c>
      <c r="K138" s="220">
        <v>-0.54400000000000004</v>
      </c>
      <c r="L138" s="220">
        <v>36.128999999999998</v>
      </c>
      <c r="M138" s="220" t="s">
        <v>853</v>
      </c>
      <c r="N138" s="220" t="s">
        <v>762</v>
      </c>
      <c r="O138" s="220" t="s">
        <v>854</v>
      </c>
      <c r="P138" s="220" t="s">
        <v>855</v>
      </c>
      <c r="Q138" s="220" t="s">
        <v>224</v>
      </c>
      <c r="R138" s="220" t="s">
        <v>187</v>
      </c>
      <c r="S138" s="220" t="s">
        <v>793</v>
      </c>
    </row>
    <row r="139" spans="1:19" x14ac:dyDescent="0.25">
      <c r="A139" s="220">
        <v>20</v>
      </c>
      <c r="B139" s="220" t="s">
        <v>852</v>
      </c>
      <c r="C139" s="220" t="s">
        <v>229</v>
      </c>
      <c r="D139" s="220" t="s">
        <v>327</v>
      </c>
      <c r="E139" s="220">
        <v>7</v>
      </c>
      <c r="F139" s="220">
        <v>194.83799999999999</v>
      </c>
      <c r="G139" s="220">
        <v>14981</v>
      </c>
      <c r="H139" s="220">
        <v>18053</v>
      </c>
      <c r="I139" s="220">
        <v>20880</v>
      </c>
      <c r="J139" s="220">
        <v>191.732</v>
      </c>
      <c r="K139" s="220">
        <v>-0.55600000000000005</v>
      </c>
      <c r="L139" s="220">
        <v>36.137</v>
      </c>
      <c r="M139" s="220" t="s">
        <v>853</v>
      </c>
      <c r="N139" s="220" t="s">
        <v>762</v>
      </c>
      <c r="O139" s="220" t="s">
        <v>854</v>
      </c>
      <c r="P139" s="220" t="s">
        <v>855</v>
      </c>
      <c r="Q139" s="220" t="s">
        <v>224</v>
      </c>
      <c r="R139" s="220" t="s">
        <v>187</v>
      </c>
      <c r="S139" s="220" t="s">
        <v>793</v>
      </c>
    </row>
    <row r="140" spans="1:19" hidden="1" x14ac:dyDescent="0.25">
      <c r="A140" s="220">
        <v>21</v>
      </c>
      <c r="B140" s="220" t="s">
        <v>857</v>
      </c>
      <c r="C140" s="220" t="s">
        <v>551</v>
      </c>
      <c r="D140" s="220" t="s">
        <v>329</v>
      </c>
      <c r="E140" s="220">
        <v>1</v>
      </c>
      <c r="F140" s="220">
        <v>203.40799999999999</v>
      </c>
      <c r="G140" s="220">
        <v>10406</v>
      </c>
      <c r="H140" s="220">
        <v>12273</v>
      </c>
      <c r="I140" s="220">
        <v>14336</v>
      </c>
      <c r="J140" s="220">
        <v>200.21799999999999</v>
      </c>
      <c r="K140" s="220">
        <v>-19.928999999999998</v>
      </c>
      <c r="L140" s="220">
        <v>24.420999999999999</v>
      </c>
      <c r="M140" s="220" t="s">
        <v>751</v>
      </c>
      <c r="N140" s="220" t="s">
        <v>762</v>
      </c>
      <c r="O140" s="220" t="s">
        <v>858</v>
      </c>
      <c r="P140" s="220" t="s">
        <v>859</v>
      </c>
      <c r="Q140" s="220" t="s">
        <v>54</v>
      </c>
      <c r="R140" s="220" t="s">
        <v>131</v>
      </c>
      <c r="S140" s="220" t="s">
        <v>124</v>
      </c>
    </row>
    <row r="141" spans="1:19" hidden="1" x14ac:dyDescent="0.25">
      <c r="A141" s="220">
        <v>21</v>
      </c>
      <c r="B141" s="220" t="s">
        <v>857</v>
      </c>
      <c r="C141" s="220" t="s">
        <v>551</v>
      </c>
      <c r="D141" s="220" t="s">
        <v>329</v>
      </c>
      <c r="E141" s="220">
        <v>2</v>
      </c>
      <c r="F141" s="220">
        <v>201.108</v>
      </c>
      <c r="G141" s="220">
        <v>10430</v>
      </c>
      <c r="H141" s="220">
        <v>12301</v>
      </c>
      <c r="I141" s="220">
        <v>14367</v>
      </c>
      <c r="J141" s="220">
        <v>197.95500000000001</v>
      </c>
      <c r="K141" s="220">
        <v>-19.943000000000001</v>
      </c>
      <c r="L141" s="220">
        <v>24.41</v>
      </c>
      <c r="M141" s="220" t="s">
        <v>751</v>
      </c>
      <c r="N141" s="220" t="s">
        <v>762</v>
      </c>
      <c r="O141" s="220" t="s">
        <v>858</v>
      </c>
      <c r="P141" s="220" t="s">
        <v>859</v>
      </c>
      <c r="Q141" s="220" t="s">
        <v>120</v>
      </c>
      <c r="R141" s="220" t="s">
        <v>132</v>
      </c>
      <c r="S141" s="220" t="s">
        <v>190</v>
      </c>
    </row>
    <row r="142" spans="1:19" hidden="1" x14ac:dyDescent="0.25">
      <c r="A142" s="220">
        <v>21</v>
      </c>
      <c r="B142" s="220" t="s">
        <v>857</v>
      </c>
      <c r="C142" s="220" t="s">
        <v>551</v>
      </c>
      <c r="D142" s="220" t="s">
        <v>329</v>
      </c>
      <c r="E142" s="220">
        <v>3</v>
      </c>
      <c r="F142" s="220">
        <v>202.464</v>
      </c>
      <c r="G142" s="220">
        <v>10475</v>
      </c>
      <c r="H142" s="220">
        <v>12354</v>
      </c>
      <c r="I142" s="220">
        <v>14431</v>
      </c>
      <c r="J142" s="220">
        <v>199.29</v>
      </c>
      <c r="K142" s="220">
        <v>-19.940999999999999</v>
      </c>
      <c r="L142" s="220">
        <v>24.402999999999999</v>
      </c>
      <c r="M142" s="220" t="s">
        <v>751</v>
      </c>
      <c r="N142" s="220" t="s">
        <v>762</v>
      </c>
      <c r="O142" s="220" t="s">
        <v>858</v>
      </c>
      <c r="P142" s="220" t="s">
        <v>859</v>
      </c>
      <c r="Q142" s="220" t="s">
        <v>158</v>
      </c>
      <c r="R142" s="220" t="s">
        <v>233</v>
      </c>
      <c r="S142" s="220" t="s">
        <v>144</v>
      </c>
    </row>
    <row r="143" spans="1:19" hidden="1" x14ac:dyDescent="0.25">
      <c r="A143" s="220">
        <v>21</v>
      </c>
      <c r="B143" s="220" t="s">
        <v>857</v>
      </c>
      <c r="C143" s="220" t="s">
        <v>551</v>
      </c>
      <c r="D143" s="220" t="s">
        <v>329</v>
      </c>
      <c r="E143" s="220">
        <v>4</v>
      </c>
      <c r="F143" s="220">
        <v>202.87799999999999</v>
      </c>
      <c r="G143" s="220">
        <v>10427</v>
      </c>
      <c r="H143" s="220">
        <v>12298</v>
      </c>
      <c r="I143" s="220">
        <v>14362</v>
      </c>
      <c r="J143" s="220">
        <v>199.697</v>
      </c>
      <c r="K143" s="220">
        <v>-19.937000000000001</v>
      </c>
      <c r="L143" s="220">
        <v>24.417999999999999</v>
      </c>
      <c r="M143" s="220" t="s">
        <v>751</v>
      </c>
      <c r="N143" s="220" t="s">
        <v>762</v>
      </c>
      <c r="O143" s="220" t="s">
        <v>858</v>
      </c>
      <c r="P143" s="220" t="s">
        <v>859</v>
      </c>
      <c r="Q143" s="220" t="s">
        <v>158</v>
      </c>
      <c r="R143" s="220" t="s">
        <v>132</v>
      </c>
      <c r="S143" s="220" t="s">
        <v>241</v>
      </c>
    </row>
    <row r="144" spans="1:19" hidden="1" x14ac:dyDescent="0.25">
      <c r="A144" s="220">
        <v>21</v>
      </c>
      <c r="B144" s="220" t="s">
        <v>857</v>
      </c>
      <c r="C144" s="220" t="s">
        <v>551</v>
      </c>
      <c r="D144" s="220" t="s">
        <v>329</v>
      </c>
      <c r="E144" s="220">
        <v>5</v>
      </c>
      <c r="F144" s="220">
        <v>249.68700000000001</v>
      </c>
      <c r="G144" s="220">
        <v>19845</v>
      </c>
      <c r="H144" s="220">
        <v>23959</v>
      </c>
      <c r="I144" s="220">
        <v>27659</v>
      </c>
      <c r="J144" s="220">
        <v>245.708</v>
      </c>
      <c r="K144" s="220">
        <v>-0.82199999999999995</v>
      </c>
      <c r="L144" s="220">
        <v>35.799999999999997</v>
      </c>
      <c r="M144" s="220" t="s">
        <v>751</v>
      </c>
      <c r="N144" s="220" t="s">
        <v>762</v>
      </c>
      <c r="O144" s="220" t="s">
        <v>858</v>
      </c>
      <c r="P144" s="220" t="s">
        <v>859</v>
      </c>
      <c r="Q144" s="220" t="s">
        <v>156</v>
      </c>
      <c r="R144" s="220" t="s">
        <v>160</v>
      </c>
      <c r="S144" s="220" t="s">
        <v>605</v>
      </c>
    </row>
    <row r="145" spans="1:19" x14ac:dyDescent="0.25">
      <c r="A145" s="220">
        <v>21</v>
      </c>
      <c r="B145" s="220" t="s">
        <v>857</v>
      </c>
      <c r="C145" s="220" t="s">
        <v>551</v>
      </c>
      <c r="D145" s="220" t="s">
        <v>329</v>
      </c>
      <c r="E145" s="220">
        <v>6</v>
      </c>
      <c r="F145" s="220">
        <v>221.64</v>
      </c>
      <c r="G145" s="220">
        <v>17997</v>
      </c>
      <c r="H145" s="220">
        <v>21716</v>
      </c>
      <c r="I145" s="220">
        <v>25087</v>
      </c>
      <c r="J145" s="220">
        <v>218.108</v>
      </c>
      <c r="K145" s="220">
        <v>-0.82699999999999996</v>
      </c>
      <c r="L145" s="220">
        <v>35.994999999999997</v>
      </c>
      <c r="M145" s="220" t="s">
        <v>751</v>
      </c>
      <c r="N145" s="220" t="s">
        <v>762</v>
      </c>
      <c r="O145" s="220" t="s">
        <v>858</v>
      </c>
      <c r="P145" s="220" t="s">
        <v>859</v>
      </c>
      <c r="Q145" s="220" t="s">
        <v>266</v>
      </c>
      <c r="R145" s="220" t="s">
        <v>645</v>
      </c>
      <c r="S145" s="220" t="s">
        <v>860</v>
      </c>
    </row>
    <row r="146" spans="1:19" x14ac:dyDescent="0.25">
      <c r="A146" s="220">
        <v>21</v>
      </c>
      <c r="B146" s="220" t="s">
        <v>857</v>
      </c>
      <c r="C146" s="220" t="s">
        <v>551</v>
      </c>
      <c r="D146" s="220" t="s">
        <v>329</v>
      </c>
      <c r="E146" s="220">
        <v>7</v>
      </c>
      <c r="F146" s="220">
        <v>207.393</v>
      </c>
      <c r="G146" s="220">
        <v>16921</v>
      </c>
      <c r="H146" s="220">
        <v>20412</v>
      </c>
      <c r="I146" s="220">
        <v>23581</v>
      </c>
      <c r="J146" s="220">
        <v>204.08699999999999</v>
      </c>
      <c r="K146" s="220">
        <v>-0.77700000000000002</v>
      </c>
      <c r="L146" s="220">
        <v>35.985999999999997</v>
      </c>
      <c r="M146" s="220" t="s">
        <v>751</v>
      </c>
      <c r="N146" s="220" t="s">
        <v>762</v>
      </c>
      <c r="O146" s="220" t="s">
        <v>858</v>
      </c>
      <c r="P146" s="220" t="s">
        <v>859</v>
      </c>
      <c r="Q146" s="220" t="s">
        <v>588</v>
      </c>
      <c r="R146" s="220" t="s">
        <v>861</v>
      </c>
      <c r="S146" s="220" t="s">
        <v>862</v>
      </c>
    </row>
    <row r="147" spans="1:19" hidden="1" x14ac:dyDescent="0.25">
      <c r="A147" s="220">
        <v>22</v>
      </c>
      <c r="B147" s="220" t="s">
        <v>863</v>
      </c>
      <c r="C147" s="220" t="s">
        <v>864</v>
      </c>
      <c r="D147" s="220" t="s">
        <v>332</v>
      </c>
      <c r="E147" s="220">
        <v>1</v>
      </c>
      <c r="F147" s="220">
        <v>204.304</v>
      </c>
      <c r="G147" s="220">
        <v>10452</v>
      </c>
      <c r="H147" s="220">
        <v>12327</v>
      </c>
      <c r="I147" s="220">
        <v>14388</v>
      </c>
      <c r="J147" s="220">
        <v>201.101</v>
      </c>
      <c r="K147" s="220">
        <v>-19.937999999999999</v>
      </c>
      <c r="L147" s="220">
        <v>24.396999999999998</v>
      </c>
      <c r="M147" s="220" t="s">
        <v>704</v>
      </c>
      <c r="N147" s="220" t="s">
        <v>762</v>
      </c>
      <c r="O147" s="220" t="s">
        <v>865</v>
      </c>
      <c r="P147" s="220" t="s">
        <v>866</v>
      </c>
      <c r="Q147" s="220" t="s">
        <v>141</v>
      </c>
      <c r="R147" s="220" t="s">
        <v>277</v>
      </c>
      <c r="S147" s="220" t="s">
        <v>105</v>
      </c>
    </row>
    <row r="148" spans="1:19" hidden="1" x14ac:dyDescent="0.25">
      <c r="A148" s="220">
        <v>22</v>
      </c>
      <c r="B148" s="220" t="s">
        <v>863</v>
      </c>
      <c r="C148" s="220" t="s">
        <v>864</v>
      </c>
      <c r="D148" s="220" t="s">
        <v>332</v>
      </c>
      <c r="E148" s="220">
        <v>2</v>
      </c>
      <c r="F148" s="220">
        <v>201.792</v>
      </c>
      <c r="G148" s="220">
        <v>10448</v>
      </c>
      <c r="H148" s="220">
        <v>12325</v>
      </c>
      <c r="I148" s="220">
        <v>14384</v>
      </c>
      <c r="J148" s="220">
        <v>198.62799999999999</v>
      </c>
      <c r="K148" s="220">
        <v>-19.940999999999999</v>
      </c>
      <c r="L148" s="220">
        <v>24.396999999999998</v>
      </c>
      <c r="M148" s="220" t="s">
        <v>704</v>
      </c>
      <c r="N148" s="220" t="s">
        <v>762</v>
      </c>
      <c r="O148" s="220" t="s">
        <v>865</v>
      </c>
      <c r="P148" s="220" t="s">
        <v>866</v>
      </c>
      <c r="Q148" s="220" t="s">
        <v>203</v>
      </c>
      <c r="R148" s="220" t="s">
        <v>112</v>
      </c>
      <c r="S148" s="220" t="s">
        <v>584</v>
      </c>
    </row>
    <row r="149" spans="1:19" hidden="1" x14ac:dyDescent="0.25">
      <c r="A149" s="220">
        <v>22</v>
      </c>
      <c r="B149" s="220" t="s">
        <v>863</v>
      </c>
      <c r="C149" s="220" t="s">
        <v>864</v>
      </c>
      <c r="D149" s="220" t="s">
        <v>332</v>
      </c>
      <c r="E149" s="220">
        <v>3</v>
      </c>
      <c r="F149" s="220">
        <v>203.215</v>
      </c>
      <c r="G149" s="220">
        <v>10495</v>
      </c>
      <c r="H149" s="220">
        <v>12379</v>
      </c>
      <c r="I149" s="220">
        <v>14450</v>
      </c>
      <c r="J149" s="220">
        <v>200.029</v>
      </c>
      <c r="K149" s="220">
        <v>-19.93</v>
      </c>
      <c r="L149" s="220">
        <v>24.417000000000002</v>
      </c>
      <c r="M149" s="220" t="s">
        <v>704</v>
      </c>
      <c r="N149" s="220" t="s">
        <v>762</v>
      </c>
      <c r="O149" s="220" t="s">
        <v>865</v>
      </c>
      <c r="P149" s="220" t="s">
        <v>866</v>
      </c>
      <c r="Q149" s="220" t="s">
        <v>203</v>
      </c>
      <c r="R149" s="220" t="s">
        <v>242</v>
      </c>
      <c r="S149" s="220" t="s">
        <v>561</v>
      </c>
    </row>
    <row r="150" spans="1:19" hidden="1" x14ac:dyDescent="0.25">
      <c r="A150" s="220">
        <v>22</v>
      </c>
      <c r="B150" s="220" t="s">
        <v>863</v>
      </c>
      <c r="C150" s="220" t="s">
        <v>864</v>
      </c>
      <c r="D150" s="220" t="s">
        <v>332</v>
      </c>
      <c r="E150" s="220">
        <v>4</v>
      </c>
      <c r="F150" s="220">
        <v>203.03</v>
      </c>
      <c r="G150" s="220">
        <v>10449</v>
      </c>
      <c r="H150" s="220">
        <v>12325</v>
      </c>
      <c r="I150" s="220">
        <v>14388</v>
      </c>
      <c r="J150" s="220">
        <v>199.84700000000001</v>
      </c>
      <c r="K150" s="220">
        <v>-19.937000000000001</v>
      </c>
      <c r="L150" s="220">
        <v>24.417999999999999</v>
      </c>
      <c r="M150" s="220" t="s">
        <v>704</v>
      </c>
      <c r="N150" s="220" t="s">
        <v>762</v>
      </c>
      <c r="O150" s="220" t="s">
        <v>865</v>
      </c>
      <c r="P150" s="220" t="s">
        <v>866</v>
      </c>
      <c r="Q150" s="220" t="s">
        <v>277</v>
      </c>
      <c r="R150" s="220" t="s">
        <v>280</v>
      </c>
      <c r="S150" s="220" t="s">
        <v>531</v>
      </c>
    </row>
    <row r="151" spans="1:19" hidden="1" x14ac:dyDescent="0.25">
      <c r="A151" s="220">
        <v>22</v>
      </c>
      <c r="B151" s="220" t="s">
        <v>863</v>
      </c>
      <c r="C151" s="220" t="s">
        <v>864</v>
      </c>
      <c r="D151" s="220" t="s">
        <v>332</v>
      </c>
      <c r="E151" s="220">
        <v>5</v>
      </c>
      <c r="F151" s="220">
        <v>243.38499999999999</v>
      </c>
      <c r="G151" s="220">
        <v>18508</v>
      </c>
      <c r="H151" s="220">
        <v>22315</v>
      </c>
      <c r="I151" s="220">
        <v>25772</v>
      </c>
      <c r="J151" s="220">
        <v>239.50700000000001</v>
      </c>
      <c r="K151" s="220">
        <v>-0.65800000000000003</v>
      </c>
      <c r="L151" s="220">
        <v>35.671999999999997</v>
      </c>
      <c r="M151" s="220" t="s">
        <v>704</v>
      </c>
      <c r="N151" s="220" t="s">
        <v>762</v>
      </c>
      <c r="O151" s="220" t="s">
        <v>865</v>
      </c>
      <c r="P151" s="220" t="s">
        <v>866</v>
      </c>
      <c r="Q151" s="220" t="s">
        <v>399</v>
      </c>
      <c r="R151" s="220" t="s">
        <v>56</v>
      </c>
      <c r="S151" s="220" t="s">
        <v>662</v>
      </c>
    </row>
    <row r="152" spans="1:19" x14ac:dyDescent="0.25">
      <c r="A152" s="220">
        <v>22</v>
      </c>
      <c r="B152" s="220" t="s">
        <v>863</v>
      </c>
      <c r="C152" s="220" t="s">
        <v>864</v>
      </c>
      <c r="D152" s="220" t="s">
        <v>332</v>
      </c>
      <c r="E152" s="220">
        <v>6</v>
      </c>
      <c r="F152" s="220">
        <v>212.96600000000001</v>
      </c>
      <c r="G152" s="220">
        <v>16487</v>
      </c>
      <c r="H152" s="220">
        <v>19876</v>
      </c>
      <c r="I152" s="220">
        <v>22965</v>
      </c>
      <c r="J152" s="220">
        <v>209.572</v>
      </c>
      <c r="K152" s="220">
        <v>-0.65700000000000003</v>
      </c>
      <c r="L152" s="220">
        <v>35.978999999999999</v>
      </c>
      <c r="M152" s="220" t="s">
        <v>704</v>
      </c>
      <c r="N152" s="220" t="s">
        <v>762</v>
      </c>
      <c r="O152" s="220" t="s">
        <v>865</v>
      </c>
      <c r="P152" s="220" t="s">
        <v>866</v>
      </c>
      <c r="Q152" s="220" t="s">
        <v>224</v>
      </c>
      <c r="R152" s="220" t="s">
        <v>257</v>
      </c>
      <c r="S152" s="220" t="s">
        <v>650</v>
      </c>
    </row>
    <row r="153" spans="1:19" x14ac:dyDescent="0.25">
      <c r="A153" s="220">
        <v>22</v>
      </c>
      <c r="B153" s="220" t="s">
        <v>863</v>
      </c>
      <c r="C153" s="220" t="s">
        <v>864</v>
      </c>
      <c r="D153" s="220" t="s">
        <v>332</v>
      </c>
      <c r="E153" s="220">
        <v>7</v>
      </c>
      <c r="F153" s="220">
        <v>197.88900000000001</v>
      </c>
      <c r="G153" s="220">
        <v>15359</v>
      </c>
      <c r="H153" s="220">
        <v>18516</v>
      </c>
      <c r="I153" s="220">
        <v>21393</v>
      </c>
      <c r="J153" s="220">
        <v>194.73500000000001</v>
      </c>
      <c r="K153" s="220">
        <v>-0.60599999999999998</v>
      </c>
      <c r="L153" s="220">
        <v>36.040999999999997</v>
      </c>
      <c r="M153" s="220" t="s">
        <v>704</v>
      </c>
      <c r="N153" s="220" t="s">
        <v>762</v>
      </c>
      <c r="O153" s="220" t="s">
        <v>865</v>
      </c>
      <c r="P153" s="220" t="s">
        <v>866</v>
      </c>
      <c r="Q153" s="220" t="s">
        <v>538</v>
      </c>
      <c r="R153" s="220" t="s">
        <v>867</v>
      </c>
      <c r="S153" s="220" t="s">
        <v>868</v>
      </c>
    </row>
    <row r="154" spans="1:19" hidden="1" x14ac:dyDescent="0.25">
      <c r="A154" s="220">
        <v>23</v>
      </c>
      <c r="B154" s="220" t="s">
        <v>0</v>
      </c>
      <c r="C154" s="220" t="s">
        <v>513</v>
      </c>
      <c r="D154" s="220" t="s">
        <v>333</v>
      </c>
      <c r="E154" s="220">
        <v>1</v>
      </c>
      <c r="F154" s="220">
        <v>203.59200000000001</v>
      </c>
      <c r="G154" s="220">
        <v>10408</v>
      </c>
      <c r="H154" s="220">
        <v>12276</v>
      </c>
      <c r="I154" s="220">
        <v>14340</v>
      </c>
      <c r="J154" s="220">
        <v>200.399</v>
      </c>
      <c r="K154" s="220">
        <v>-19.920999999999999</v>
      </c>
      <c r="L154" s="220">
        <v>24.399000000000001</v>
      </c>
      <c r="M154" s="220" t="s">
        <v>869</v>
      </c>
      <c r="N154" s="220" t="s">
        <v>762</v>
      </c>
      <c r="O154" s="220" t="s">
        <v>870</v>
      </c>
      <c r="P154" s="220" t="s">
        <v>871</v>
      </c>
      <c r="Q154" s="220" t="s">
        <v>76</v>
      </c>
      <c r="R154" s="220" t="s">
        <v>236</v>
      </c>
      <c r="S154" s="220" t="s">
        <v>147</v>
      </c>
    </row>
    <row r="155" spans="1:19" hidden="1" x14ac:dyDescent="0.25">
      <c r="A155" s="220">
        <v>23</v>
      </c>
      <c r="B155" s="220" t="s">
        <v>0</v>
      </c>
      <c r="C155" s="220" t="s">
        <v>513</v>
      </c>
      <c r="D155" s="220" t="s">
        <v>333</v>
      </c>
      <c r="E155" s="220">
        <v>2</v>
      </c>
      <c r="F155" s="220">
        <v>201.27099999999999</v>
      </c>
      <c r="G155" s="220">
        <v>10423</v>
      </c>
      <c r="H155" s="220">
        <v>12293</v>
      </c>
      <c r="I155" s="220">
        <v>14359</v>
      </c>
      <c r="J155" s="220">
        <v>198.11500000000001</v>
      </c>
      <c r="K155" s="220">
        <v>-19.925999999999998</v>
      </c>
      <c r="L155" s="220">
        <v>24.382000000000001</v>
      </c>
      <c r="M155" s="220" t="s">
        <v>869</v>
      </c>
      <c r="N155" s="220" t="s">
        <v>762</v>
      </c>
      <c r="O155" s="220" t="s">
        <v>870</v>
      </c>
      <c r="P155" s="220" t="s">
        <v>871</v>
      </c>
      <c r="Q155" s="220" t="s">
        <v>117</v>
      </c>
      <c r="R155" s="220" t="s">
        <v>119</v>
      </c>
      <c r="S155" s="220" t="s">
        <v>144</v>
      </c>
    </row>
    <row r="156" spans="1:19" hidden="1" x14ac:dyDescent="0.25">
      <c r="A156" s="220">
        <v>23</v>
      </c>
      <c r="B156" s="220" t="s">
        <v>0</v>
      </c>
      <c r="C156" s="220" t="s">
        <v>513</v>
      </c>
      <c r="D156" s="220" t="s">
        <v>333</v>
      </c>
      <c r="E156" s="220">
        <v>3</v>
      </c>
      <c r="F156" s="220">
        <v>202.625</v>
      </c>
      <c r="G156" s="220">
        <v>10471</v>
      </c>
      <c r="H156" s="220">
        <v>12350</v>
      </c>
      <c r="I156" s="220">
        <v>14426</v>
      </c>
      <c r="J156" s="220">
        <v>199.44800000000001</v>
      </c>
      <c r="K156" s="220">
        <v>-19.920000000000002</v>
      </c>
      <c r="L156" s="220">
        <v>24.366</v>
      </c>
      <c r="M156" s="220" t="s">
        <v>869</v>
      </c>
      <c r="N156" s="220" t="s">
        <v>762</v>
      </c>
      <c r="O156" s="220" t="s">
        <v>870</v>
      </c>
      <c r="P156" s="220" t="s">
        <v>871</v>
      </c>
      <c r="Q156" s="220" t="s">
        <v>81</v>
      </c>
      <c r="R156" s="220" t="s">
        <v>96</v>
      </c>
      <c r="S156" s="220" t="s">
        <v>528</v>
      </c>
    </row>
    <row r="157" spans="1:19" hidden="1" x14ac:dyDescent="0.25">
      <c r="A157" s="220">
        <v>23</v>
      </c>
      <c r="B157" s="220" t="s">
        <v>0</v>
      </c>
      <c r="C157" s="220" t="s">
        <v>513</v>
      </c>
      <c r="D157" s="220" t="s">
        <v>333</v>
      </c>
      <c r="E157" s="220">
        <v>4</v>
      </c>
      <c r="F157" s="220">
        <v>202.50200000000001</v>
      </c>
      <c r="G157" s="220">
        <v>10417</v>
      </c>
      <c r="H157" s="220">
        <v>12287</v>
      </c>
      <c r="I157" s="220">
        <v>14355</v>
      </c>
      <c r="J157" s="220">
        <v>199.327</v>
      </c>
      <c r="K157" s="220">
        <v>-19.937000000000001</v>
      </c>
      <c r="L157" s="220">
        <v>24.417999999999999</v>
      </c>
      <c r="M157" s="220" t="s">
        <v>869</v>
      </c>
      <c r="N157" s="220" t="s">
        <v>762</v>
      </c>
      <c r="O157" s="220" t="s">
        <v>870</v>
      </c>
      <c r="P157" s="220" t="s">
        <v>871</v>
      </c>
      <c r="Q157" s="220" t="s">
        <v>158</v>
      </c>
      <c r="R157" s="220" t="s">
        <v>119</v>
      </c>
      <c r="S157" s="220" t="s">
        <v>200</v>
      </c>
    </row>
    <row r="158" spans="1:19" hidden="1" x14ac:dyDescent="0.25">
      <c r="A158" s="220">
        <v>23</v>
      </c>
      <c r="B158" s="220" t="s">
        <v>0</v>
      </c>
      <c r="C158" s="220" t="s">
        <v>513</v>
      </c>
      <c r="D158" s="220" t="s">
        <v>333</v>
      </c>
      <c r="E158" s="220">
        <v>5</v>
      </c>
      <c r="F158" s="220">
        <v>196.91399999999999</v>
      </c>
      <c r="G158" s="220">
        <v>15672</v>
      </c>
      <c r="H158" s="220">
        <v>18998</v>
      </c>
      <c r="I158" s="220">
        <v>21866</v>
      </c>
      <c r="J158" s="220">
        <v>193.76300000000001</v>
      </c>
      <c r="K158" s="220">
        <v>4.6260000000000003</v>
      </c>
      <c r="L158" s="220">
        <v>36.902000000000001</v>
      </c>
      <c r="M158" s="220" t="s">
        <v>869</v>
      </c>
      <c r="N158" s="220" t="s">
        <v>762</v>
      </c>
      <c r="O158" s="220" t="s">
        <v>870</v>
      </c>
      <c r="P158" s="220" t="s">
        <v>871</v>
      </c>
      <c r="Q158" s="220" t="s">
        <v>171</v>
      </c>
      <c r="R158" s="220" t="s">
        <v>185</v>
      </c>
      <c r="S158" s="220" t="s">
        <v>582</v>
      </c>
    </row>
    <row r="159" spans="1:19" x14ac:dyDescent="0.25">
      <c r="A159" s="220">
        <v>23</v>
      </c>
      <c r="B159" s="220" t="s">
        <v>0</v>
      </c>
      <c r="C159" s="220" t="s">
        <v>513</v>
      </c>
      <c r="D159" s="220" t="s">
        <v>333</v>
      </c>
      <c r="E159" s="220">
        <v>6</v>
      </c>
      <c r="F159" s="220">
        <v>175.57499999999999</v>
      </c>
      <c r="G159" s="220">
        <v>14249</v>
      </c>
      <c r="H159" s="220">
        <v>17265</v>
      </c>
      <c r="I159" s="220">
        <v>19878</v>
      </c>
      <c r="J159" s="220">
        <v>172.76499999999999</v>
      </c>
      <c r="K159" s="220">
        <v>4.7229999999999999</v>
      </c>
      <c r="L159" s="220">
        <v>37.027999999999999</v>
      </c>
      <c r="M159" s="220" t="s">
        <v>869</v>
      </c>
      <c r="N159" s="220" t="s">
        <v>762</v>
      </c>
      <c r="O159" s="220" t="s">
        <v>870</v>
      </c>
      <c r="P159" s="220" t="s">
        <v>871</v>
      </c>
      <c r="Q159" s="220" t="s">
        <v>124</v>
      </c>
      <c r="R159" s="220" t="s">
        <v>208</v>
      </c>
      <c r="S159" s="220" t="s">
        <v>370</v>
      </c>
    </row>
    <row r="160" spans="1:19" x14ac:dyDescent="0.25">
      <c r="A160" s="220">
        <v>23</v>
      </c>
      <c r="B160" s="220" t="s">
        <v>0</v>
      </c>
      <c r="C160" s="220" t="s">
        <v>513</v>
      </c>
      <c r="D160" s="220" t="s">
        <v>333</v>
      </c>
      <c r="E160" s="220">
        <v>7</v>
      </c>
      <c r="F160" s="220">
        <v>164.34700000000001</v>
      </c>
      <c r="G160" s="220">
        <v>13358</v>
      </c>
      <c r="H160" s="220">
        <v>16180</v>
      </c>
      <c r="I160" s="220">
        <v>18638</v>
      </c>
      <c r="J160" s="220">
        <v>161.71700000000001</v>
      </c>
      <c r="K160" s="220">
        <v>4.7489999999999997</v>
      </c>
      <c r="L160" s="220">
        <v>37.039000000000001</v>
      </c>
      <c r="M160" s="220" t="s">
        <v>869</v>
      </c>
      <c r="N160" s="220" t="s">
        <v>762</v>
      </c>
      <c r="O160" s="220" t="s">
        <v>870</v>
      </c>
      <c r="P160" s="220" t="s">
        <v>871</v>
      </c>
      <c r="Q160" s="220" t="s">
        <v>749</v>
      </c>
      <c r="R160" s="220" t="s">
        <v>872</v>
      </c>
      <c r="S160" s="220" t="s">
        <v>753</v>
      </c>
    </row>
    <row r="161" spans="1:19" hidden="1" x14ac:dyDescent="0.25">
      <c r="A161" s="220">
        <v>24</v>
      </c>
      <c r="B161" s="220" t="s">
        <v>0</v>
      </c>
      <c r="C161" s="220" t="s">
        <v>286</v>
      </c>
      <c r="D161" s="220" t="s">
        <v>336</v>
      </c>
      <c r="E161" s="220">
        <v>1</v>
      </c>
      <c r="F161" s="220">
        <v>204.238</v>
      </c>
      <c r="G161" s="220">
        <v>10457</v>
      </c>
      <c r="H161" s="220">
        <v>12333</v>
      </c>
      <c r="I161" s="220">
        <v>14406</v>
      </c>
      <c r="J161" s="220">
        <v>201.035</v>
      </c>
      <c r="K161" s="220">
        <v>-19.940999999999999</v>
      </c>
      <c r="L161" s="220">
        <v>24.42</v>
      </c>
      <c r="M161" s="220" t="s">
        <v>873</v>
      </c>
      <c r="N161" s="220" t="s">
        <v>762</v>
      </c>
      <c r="O161" s="220" t="s">
        <v>874</v>
      </c>
      <c r="P161" s="220" t="s">
        <v>875</v>
      </c>
      <c r="Q161" s="220" t="s">
        <v>74</v>
      </c>
      <c r="R161" s="220" t="s">
        <v>249</v>
      </c>
      <c r="S161" s="220" t="s">
        <v>135</v>
      </c>
    </row>
    <row r="162" spans="1:19" hidden="1" x14ac:dyDescent="0.25">
      <c r="A162" s="220">
        <v>24</v>
      </c>
      <c r="B162" s="220" t="s">
        <v>0</v>
      </c>
      <c r="C162" s="220" t="s">
        <v>286</v>
      </c>
      <c r="D162" s="220" t="s">
        <v>336</v>
      </c>
      <c r="E162" s="220">
        <v>2</v>
      </c>
      <c r="F162" s="220">
        <v>201.91200000000001</v>
      </c>
      <c r="G162" s="220">
        <v>10462</v>
      </c>
      <c r="H162" s="220">
        <v>12339</v>
      </c>
      <c r="I162" s="220">
        <v>14413</v>
      </c>
      <c r="J162" s="220">
        <v>198.74600000000001</v>
      </c>
      <c r="K162" s="220">
        <v>-19.942</v>
      </c>
      <c r="L162" s="220">
        <v>24.408000000000001</v>
      </c>
      <c r="M162" s="220" t="s">
        <v>873</v>
      </c>
      <c r="N162" s="220" t="s">
        <v>762</v>
      </c>
      <c r="O162" s="220" t="s">
        <v>874</v>
      </c>
      <c r="P162" s="220" t="s">
        <v>875</v>
      </c>
      <c r="Q162" s="220" t="s">
        <v>202</v>
      </c>
      <c r="R162" s="220" t="s">
        <v>255</v>
      </c>
      <c r="S162" s="220" t="s">
        <v>253</v>
      </c>
    </row>
    <row r="163" spans="1:19" hidden="1" x14ac:dyDescent="0.25">
      <c r="A163" s="220">
        <v>24</v>
      </c>
      <c r="B163" s="220" t="s">
        <v>0</v>
      </c>
      <c r="C163" s="220" t="s">
        <v>286</v>
      </c>
      <c r="D163" s="220" t="s">
        <v>336</v>
      </c>
      <c r="E163" s="220">
        <v>3</v>
      </c>
      <c r="F163" s="220">
        <v>203.66900000000001</v>
      </c>
      <c r="G163" s="220">
        <v>10513</v>
      </c>
      <c r="H163" s="220">
        <v>12400</v>
      </c>
      <c r="I163" s="220">
        <v>14487</v>
      </c>
      <c r="J163" s="220">
        <v>200.47499999999999</v>
      </c>
      <c r="K163" s="220">
        <v>-19.937999999999999</v>
      </c>
      <c r="L163" s="220">
        <v>24.413</v>
      </c>
      <c r="M163" s="220" t="s">
        <v>873</v>
      </c>
      <c r="N163" s="220" t="s">
        <v>762</v>
      </c>
      <c r="O163" s="220" t="s">
        <v>874</v>
      </c>
      <c r="P163" s="220" t="s">
        <v>875</v>
      </c>
      <c r="Q163" s="220" t="s">
        <v>237</v>
      </c>
      <c r="R163" s="220" t="s">
        <v>105</v>
      </c>
      <c r="S163" s="220" t="s">
        <v>190</v>
      </c>
    </row>
    <row r="164" spans="1:19" hidden="1" x14ac:dyDescent="0.25">
      <c r="A164" s="220">
        <v>24</v>
      </c>
      <c r="B164" s="220" t="s">
        <v>0</v>
      </c>
      <c r="C164" s="220" t="s">
        <v>286</v>
      </c>
      <c r="D164" s="220" t="s">
        <v>336</v>
      </c>
      <c r="E164" s="220">
        <v>4</v>
      </c>
      <c r="F164" s="220">
        <v>203.38800000000001</v>
      </c>
      <c r="G164" s="220">
        <v>10470</v>
      </c>
      <c r="H164" s="220">
        <v>12348</v>
      </c>
      <c r="I164" s="220">
        <v>14422</v>
      </c>
      <c r="J164" s="220">
        <v>200.19900000000001</v>
      </c>
      <c r="K164" s="220">
        <v>-19.937000000000001</v>
      </c>
      <c r="L164" s="220">
        <v>24.417999999999999</v>
      </c>
      <c r="M164" s="220" t="s">
        <v>873</v>
      </c>
      <c r="N164" s="220" t="s">
        <v>762</v>
      </c>
      <c r="O164" s="220" t="s">
        <v>874</v>
      </c>
      <c r="P164" s="220" t="s">
        <v>875</v>
      </c>
      <c r="Q164" s="220" t="s">
        <v>237</v>
      </c>
      <c r="R164" s="220" t="s">
        <v>105</v>
      </c>
      <c r="S164" s="220" t="s">
        <v>190</v>
      </c>
    </row>
    <row r="165" spans="1:19" hidden="1" x14ac:dyDescent="0.25">
      <c r="A165" s="220">
        <v>24</v>
      </c>
      <c r="B165" s="220" t="s">
        <v>0</v>
      </c>
      <c r="C165" s="220" t="s">
        <v>286</v>
      </c>
      <c r="D165" s="220" t="s">
        <v>336</v>
      </c>
      <c r="E165" s="220">
        <v>5</v>
      </c>
      <c r="F165" s="220">
        <v>202.41399999999999</v>
      </c>
      <c r="G165" s="220">
        <v>15367</v>
      </c>
      <c r="H165" s="220">
        <v>18615</v>
      </c>
      <c r="I165" s="220">
        <v>21432</v>
      </c>
      <c r="J165" s="220">
        <v>199.17500000000001</v>
      </c>
      <c r="K165" s="220">
        <v>4.6950000000000003</v>
      </c>
      <c r="L165" s="220">
        <v>36.767000000000003</v>
      </c>
      <c r="M165" s="220" t="s">
        <v>873</v>
      </c>
      <c r="N165" s="220" t="s">
        <v>762</v>
      </c>
      <c r="O165" s="220" t="s">
        <v>874</v>
      </c>
      <c r="P165" s="220" t="s">
        <v>875</v>
      </c>
      <c r="Q165" s="220" t="s">
        <v>175</v>
      </c>
      <c r="R165" s="220" t="s">
        <v>101</v>
      </c>
      <c r="S165" s="220" t="s">
        <v>83</v>
      </c>
    </row>
    <row r="166" spans="1:19" x14ac:dyDescent="0.25">
      <c r="A166" s="220">
        <v>24</v>
      </c>
      <c r="B166" s="220" t="s">
        <v>0</v>
      </c>
      <c r="C166" s="220" t="s">
        <v>286</v>
      </c>
      <c r="D166" s="220" t="s">
        <v>336</v>
      </c>
      <c r="E166" s="220">
        <v>6</v>
      </c>
      <c r="F166" s="220">
        <v>177.916</v>
      </c>
      <c r="G166" s="220">
        <v>13745</v>
      </c>
      <c r="H166" s="220">
        <v>16649</v>
      </c>
      <c r="I166" s="220">
        <v>19177</v>
      </c>
      <c r="J166" s="220">
        <v>175.06899999999999</v>
      </c>
      <c r="K166" s="220">
        <v>4.7380000000000004</v>
      </c>
      <c r="L166" s="220">
        <v>36.982999999999997</v>
      </c>
      <c r="M166" s="220" t="s">
        <v>873</v>
      </c>
      <c r="N166" s="220" t="s">
        <v>762</v>
      </c>
      <c r="O166" s="220" t="s">
        <v>874</v>
      </c>
      <c r="P166" s="220" t="s">
        <v>875</v>
      </c>
      <c r="Q166" s="220" t="s">
        <v>195</v>
      </c>
      <c r="R166" s="220" t="s">
        <v>215</v>
      </c>
      <c r="S166" s="220" t="s">
        <v>539</v>
      </c>
    </row>
    <row r="167" spans="1:19" x14ac:dyDescent="0.25">
      <c r="A167" s="220">
        <v>24</v>
      </c>
      <c r="B167" s="220" t="s">
        <v>0</v>
      </c>
      <c r="C167" s="220" t="s">
        <v>286</v>
      </c>
      <c r="D167" s="220" t="s">
        <v>336</v>
      </c>
      <c r="E167" s="220">
        <v>7</v>
      </c>
      <c r="F167" s="220">
        <v>165.583</v>
      </c>
      <c r="G167" s="220">
        <v>12838</v>
      </c>
      <c r="H167" s="220">
        <v>15551</v>
      </c>
      <c r="I167" s="220">
        <v>17913</v>
      </c>
      <c r="J167" s="220">
        <v>162.93299999999999</v>
      </c>
      <c r="K167" s="220">
        <v>4.7960000000000003</v>
      </c>
      <c r="L167" s="220">
        <v>37.030999999999999</v>
      </c>
      <c r="M167" s="220" t="s">
        <v>873</v>
      </c>
      <c r="N167" s="220" t="s">
        <v>762</v>
      </c>
      <c r="O167" s="220" t="s">
        <v>874</v>
      </c>
      <c r="P167" s="220" t="s">
        <v>875</v>
      </c>
      <c r="Q167" s="220" t="s">
        <v>557</v>
      </c>
      <c r="R167" s="220" t="s">
        <v>636</v>
      </c>
      <c r="S167" s="220" t="s">
        <v>876</v>
      </c>
    </row>
    <row r="168" spans="1:19" hidden="1" x14ac:dyDescent="0.25">
      <c r="A168" s="220">
        <v>25</v>
      </c>
      <c r="B168" s="220" t="s">
        <v>877</v>
      </c>
      <c r="C168" s="220" t="s">
        <v>505</v>
      </c>
      <c r="D168" s="220" t="s">
        <v>337</v>
      </c>
      <c r="E168" s="220">
        <v>1</v>
      </c>
      <c r="F168" s="220">
        <v>203.95599999999999</v>
      </c>
      <c r="G168" s="220">
        <v>10430</v>
      </c>
      <c r="H168" s="220">
        <v>12301</v>
      </c>
      <c r="I168" s="220">
        <v>14369</v>
      </c>
      <c r="J168" s="220">
        <v>200.75800000000001</v>
      </c>
      <c r="K168" s="220">
        <v>-19.943000000000001</v>
      </c>
      <c r="L168" s="220">
        <v>24.445</v>
      </c>
      <c r="M168" s="220" t="s">
        <v>878</v>
      </c>
      <c r="N168" s="220" t="s">
        <v>762</v>
      </c>
      <c r="O168" s="220" t="s">
        <v>879</v>
      </c>
      <c r="P168" s="220" t="s">
        <v>880</v>
      </c>
      <c r="Q168" s="220" t="s">
        <v>49</v>
      </c>
      <c r="R168" s="220" t="s">
        <v>134</v>
      </c>
      <c r="S168" s="220" t="s">
        <v>148</v>
      </c>
    </row>
    <row r="169" spans="1:19" hidden="1" x14ac:dyDescent="0.25">
      <c r="A169" s="220">
        <v>25</v>
      </c>
      <c r="B169" s="220" t="s">
        <v>877</v>
      </c>
      <c r="C169" s="220" t="s">
        <v>505</v>
      </c>
      <c r="D169" s="220" t="s">
        <v>337</v>
      </c>
      <c r="E169" s="220">
        <v>2</v>
      </c>
      <c r="F169" s="220">
        <v>201.279</v>
      </c>
      <c r="G169" s="220">
        <v>10419</v>
      </c>
      <c r="H169" s="220">
        <v>12289</v>
      </c>
      <c r="I169" s="220">
        <v>14353</v>
      </c>
      <c r="J169" s="220">
        <v>198.12299999999999</v>
      </c>
      <c r="K169" s="220">
        <v>-19.952000000000002</v>
      </c>
      <c r="L169" s="220">
        <v>24.434000000000001</v>
      </c>
      <c r="M169" s="220" t="s">
        <v>878</v>
      </c>
      <c r="N169" s="220" t="s">
        <v>762</v>
      </c>
      <c r="O169" s="220" t="s">
        <v>879</v>
      </c>
      <c r="P169" s="220" t="s">
        <v>880</v>
      </c>
      <c r="Q169" s="220" t="s">
        <v>131</v>
      </c>
      <c r="R169" s="220" t="s">
        <v>270</v>
      </c>
      <c r="S169" s="220" t="s">
        <v>250</v>
      </c>
    </row>
    <row r="170" spans="1:19" hidden="1" x14ac:dyDescent="0.25">
      <c r="A170" s="220">
        <v>25</v>
      </c>
      <c r="B170" s="220" t="s">
        <v>877</v>
      </c>
      <c r="C170" s="220" t="s">
        <v>505</v>
      </c>
      <c r="D170" s="220" t="s">
        <v>337</v>
      </c>
      <c r="E170" s="220">
        <v>3</v>
      </c>
      <c r="F170" s="220">
        <v>202.81700000000001</v>
      </c>
      <c r="G170" s="220">
        <v>10483</v>
      </c>
      <c r="H170" s="220">
        <v>12365</v>
      </c>
      <c r="I170" s="220">
        <v>14448</v>
      </c>
      <c r="J170" s="220">
        <v>199.637</v>
      </c>
      <c r="K170" s="220">
        <v>-19.942</v>
      </c>
      <c r="L170" s="220">
        <v>24.411999999999999</v>
      </c>
      <c r="M170" s="220" t="s">
        <v>878</v>
      </c>
      <c r="N170" s="220" t="s">
        <v>762</v>
      </c>
      <c r="O170" s="220" t="s">
        <v>879</v>
      </c>
      <c r="P170" s="220" t="s">
        <v>880</v>
      </c>
      <c r="Q170" s="220" t="s">
        <v>236</v>
      </c>
      <c r="R170" s="220" t="s">
        <v>255</v>
      </c>
      <c r="S170" s="220" t="s">
        <v>585</v>
      </c>
    </row>
    <row r="171" spans="1:19" hidden="1" x14ac:dyDescent="0.25">
      <c r="A171" s="220">
        <v>25</v>
      </c>
      <c r="B171" s="220" t="s">
        <v>877</v>
      </c>
      <c r="C171" s="220" t="s">
        <v>505</v>
      </c>
      <c r="D171" s="220" t="s">
        <v>337</v>
      </c>
      <c r="E171" s="220">
        <v>4</v>
      </c>
      <c r="F171" s="220">
        <v>202.91900000000001</v>
      </c>
      <c r="G171" s="220">
        <v>10436</v>
      </c>
      <c r="H171" s="220">
        <v>12308</v>
      </c>
      <c r="I171" s="220">
        <v>14375</v>
      </c>
      <c r="J171" s="220">
        <v>199.73699999999999</v>
      </c>
      <c r="K171" s="220">
        <v>-19.937000000000001</v>
      </c>
      <c r="L171" s="220">
        <v>24.417999999999999</v>
      </c>
      <c r="M171" s="220" t="s">
        <v>878</v>
      </c>
      <c r="N171" s="220" t="s">
        <v>762</v>
      </c>
      <c r="O171" s="220" t="s">
        <v>879</v>
      </c>
      <c r="P171" s="220" t="s">
        <v>880</v>
      </c>
      <c r="Q171" s="220" t="s">
        <v>236</v>
      </c>
      <c r="R171" s="220" t="s">
        <v>255</v>
      </c>
      <c r="S171" s="220" t="s">
        <v>585</v>
      </c>
    </row>
    <row r="172" spans="1:19" hidden="1" x14ac:dyDescent="0.25">
      <c r="A172" s="220">
        <v>25</v>
      </c>
      <c r="B172" s="220" t="s">
        <v>877</v>
      </c>
      <c r="C172" s="220" t="s">
        <v>505</v>
      </c>
      <c r="D172" s="220" t="s">
        <v>337</v>
      </c>
      <c r="E172" s="220">
        <v>5</v>
      </c>
      <c r="F172" s="220">
        <v>213.24</v>
      </c>
      <c r="G172" s="220">
        <v>17094</v>
      </c>
      <c r="H172" s="220">
        <v>20622</v>
      </c>
      <c r="I172" s="220">
        <v>23826</v>
      </c>
      <c r="J172" s="220">
        <v>209.84100000000001</v>
      </c>
      <c r="K172" s="220">
        <v>-0.58199999999999996</v>
      </c>
      <c r="L172" s="220">
        <v>35.756999999999998</v>
      </c>
      <c r="M172" s="220" t="s">
        <v>878</v>
      </c>
      <c r="N172" s="220" t="s">
        <v>762</v>
      </c>
      <c r="O172" s="220" t="s">
        <v>879</v>
      </c>
      <c r="P172" s="220" t="s">
        <v>880</v>
      </c>
      <c r="Q172" s="220" t="s">
        <v>168</v>
      </c>
      <c r="R172" s="220" t="s">
        <v>571</v>
      </c>
      <c r="S172" s="220" t="s">
        <v>104</v>
      </c>
    </row>
    <row r="173" spans="1:19" x14ac:dyDescent="0.25">
      <c r="A173" s="220">
        <v>25</v>
      </c>
      <c r="B173" s="220" t="s">
        <v>877</v>
      </c>
      <c r="C173" s="220" t="s">
        <v>505</v>
      </c>
      <c r="D173" s="220" t="s">
        <v>337</v>
      </c>
      <c r="E173" s="220">
        <v>6</v>
      </c>
      <c r="F173" s="220">
        <v>188.04499999999999</v>
      </c>
      <c r="G173" s="220">
        <v>15228</v>
      </c>
      <c r="H173" s="220">
        <v>18358</v>
      </c>
      <c r="I173" s="220">
        <v>21227</v>
      </c>
      <c r="J173" s="220">
        <v>185.047</v>
      </c>
      <c r="K173" s="220">
        <v>-0.55200000000000005</v>
      </c>
      <c r="L173" s="220">
        <v>36.087000000000003</v>
      </c>
      <c r="M173" s="220" t="s">
        <v>878</v>
      </c>
      <c r="N173" s="220" t="s">
        <v>762</v>
      </c>
      <c r="O173" s="220" t="s">
        <v>879</v>
      </c>
      <c r="P173" s="220" t="s">
        <v>880</v>
      </c>
      <c r="Q173" s="220" t="s">
        <v>233</v>
      </c>
      <c r="R173" s="220" t="s">
        <v>531</v>
      </c>
      <c r="S173" s="220" t="s">
        <v>631</v>
      </c>
    </row>
    <row r="174" spans="1:19" x14ac:dyDescent="0.25">
      <c r="A174" s="220">
        <v>25</v>
      </c>
      <c r="B174" s="220" t="s">
        <v>877</v>
      </c>
      <c r="C174" s="220" t="s">
        <v>505</v>
      </c>
      <c r="D174" s="220" t="s">
        <v>337</v>
      </c>
      <c r="E174" s="220">
        <v>7</v>
      </c>
      <c r="F174" s="220">
        <v>174.70699999999999</v>
      </c>
      <c r="G174" s="220">
        <v>14146</v>
      </c>
      <c r="H174" s="220">
        <v>17050</v>
      </c>
      <c r="I174" s="220">
        <v>19717</v>
      </c>
      <c r="J174" s="220">
        <v>171.922</v>
      </c>
      <c r="K174" s="220">
        <v>-0.49399999999999999</v>
      </c>
      <c r="L174" s="220">
        <v>36.127000000000002</v>
      </c>
      <c r="M174" s="220" t="s">
        <v>878</v>
      </c>
      <c r="N174" s="220" t="s">
        <v>762</v>
      </c>
      <c r="O174" s="220" t="s">
        <v>879</v>
      </c>
      <c r="P174" s="220" t="s">
        <v>880</v>
      </c>
      <c r="Q174" s="220" t="s">
        <v>592</v>
      </c>
      <c r="R174" s="220" t="s">
        <v>881</v>
      </c>
      <c r="S174" s="220" t="s">
        <v>882</v>
      </c>
    </row>
    <row r="175" spans="1:19" hidden="1" x14ac:dyDescent="0.25">
      <c r="A175" s="220">
        <v>26</v>
      </c>
      <c r="B175" s="220" t="s">
        <v>883</v>
      </c>
      <c r="C175" s="220" t="s">
        <v>537</v>
      </c>
      <c r="D175" s="220" t="s">
        <v>338</v>
      </c>
      <c r="E175" s="220">
        <v>1</v>
      </c>
      <c r="F175" s="220">
        <v>204.52099999999999</v>
      </c>
      <c r="G175" s="220">
        <v>10451</v>
      </c>
      <c r="H175" s="220">
        <v>12326</v>
      </c>
      <c r="I175" s="220">
        <v>14395</v>
      </c>
      <c r="J175" s="220">
        <v>201.31399999999999</v>
      </c>
      <c r="K175" s="220">
        <v>-19.940999999999999</v>
      </c>
      <c r="L175" s="220">
        <v>24.399000000000001</v>
      </c>
      <c r="M175" s="220" t="s">
        <v>884</v>
      </c>
      <c r="N175" s="220" t="s">
        <v>762</v>
      </c>
      <c r="O175" s="220" t="s">
        <v>885</v>
      </c>
      <c r="P175" s="220" t="s">
        <v>886</v>
      </c>
      <c r="Q175" s="220" t="s">
        <v>74</v>
      </c>
      <c r="R175" s="220" t="s">
        <v>122</v>
      </c>
      <c r="S175" s="220" t="s">
        <v>135</v>
      </c>
    </row>
    <row r="176" spans="1:19" hidden="1" x14ac:dyDescent="0.25">
      <c r="A176" s="220">
        <v>26</v>
      </c>
      <c r="B176" s="220" t="s">
        <v>883</v>
      </c>
      <c r="C176" s="220" t="s">
        <v>537</v>
      </c>
      <c r="D176" s="220" t="s">
        <v>338</v>
      </c>
      <c r="E176" s="220">
        <v>2</v>
      </c>
      <c r="F176" s="220">
        <v>202.03299999999999</v>
      </c>
      <c r="G176" s="220">
        <v>10466</v>
      </c>
      <c r="H176" s="220">
        <v>12343</v>
      </c>
      <c r="I176" s="220">
        <v>14415</v>
      </c>
      <c r="J176" s="220">
        <v>198.86600000000001</v>
      </c>
      <c r="K176" s="220">
        <v>-19.946000000000002</v>
      </c>
      <c r="L176" s="220">
        <v>24.378</v>
      </c>
      <c r="M176" s="220" t="s">
        <v>884</v>
      </c>
      <c r="N176" s="220" t="s">
        <v>762</v>
      </c>
      <c r="O176" s="220" t="s">
        <v>885</v>
      </c>
      <c r="P176" s="220" t="s">
        <v>886</v>
      </c>
      <c r="Q176" s="220" t="s">
        <v>202</v>
      </c>
      <c r="R176" s="220" t="s">
        <v>255</v>
      </c>
      <c r="S176" s="220" t="s">
        <v>253</v>
      </c>
    </row>
    <row r="177" spans="1:19" hidden="1" x14ac:dyDescent="0.25">
      <c r="A177" s="220">
        <v>26</v>
      </c>
      <c r="B177" s="220" t="s">
        <v>883</v>
      </c>
      <c r="C177" s="220" t="s">
        <v>537</v>
      </c>
      <c r="D177" s="220" t="s">
        <v>338</v>
      </c>
      <c r="E177" s="220">
        <v>3</v>
      </c>
      <c r="F177" s="220">
        <v>203.453</v>
      </c>
      <c r="G177" s="220">
        <v>10504</v>
      </c>
      <c r="H177" s="220">
        <v>12390</v>
      </c>
      <c r="I177" s="220">
        <v>14476</v>
      </c>
      <c r="J177" s="220">
        <v>200.262</v>
      </c>
      <c r="K177" s="220">
        <v>-19.937000000000001</v>
      </c>
      <c r="L177" s="220">
        <v>24.39</v>
      </c>
      <c r="M177" s="220" t="s">
        <v>884</v>
      </c>
      <c r="N177" s="220" t="s">
        <v>762</v>
      </c>
      <c r="O177" s="220" t="s">
        <v>885</v>
      </c>
      <c r="P177" s="220" t="s">
        <v>886</v>
      </c>
      <c r="Q177" s="220" t="s">
        <v>237</v>
      </c>
      <c r="R177" s="220" t="s">
        <v>105</v>
      </c>
      <c r="S177" s="220" t="s">
        <v>235</v>
      </c>
    </row>
    <row r="178" spans="1:19" hidden="1" x14ac:dyDescent="0.25">
      <c r="A178" s="220">
        <v>26</v>
      </c>
      <c r="B178" s="220" t="s">
        <v>883</v>
      </c>
      <c r="C178" s="220" t="s">
        <v>537</v>
      </c>
      <c r="D178" s="220" t="s">
        <v>338</v>
      </c>
      <c r="E178" s="220">
        <v>4</v>
      </c>
      <c r="F178" s="220">
        <v>203.43</v>
      </c>
      <c r="G178" s="220">
        <v>10459</v>
      </c>
      <c r="H178" s="220">
        <v>12335</v>
      </c>
      <c r="I178" s="220">
        <v>14407</v>
      </c>
      <c r="J178" s="220">
        <v>200.24</v>
      </c>
      <c r="K178" s="220">
        <v>-19.937000000000001</v>
      </c>
      <c r="L178" s="220">
        <v>24.417999999999999</v>
      </c>
      <c r="M178" s="220" t="s">
        <v>884</v>
      </c>
      <c r="N178" s="220" t="s">
        <v>762</v>
      </c>
      <c r="O178" s="220" t="s">
        <v>885</v>
      </c>
      <c r="P178" s="220" t="s">
        <v>886</v>
      </c>
      <c r="Q178" s="220" t="s">
        <v>237</v>
      </c>
      <c r="R178" s="220" t="s">
        <v>105</v>
      </c>
      <c r="S178" s="220" t="s">
        <v>235</v>
      </c>
    </row>
    <row r="179" spans="1:19" hidden="1" x14ac:dyDescent="0.25">
      <c r="A179" s="220">
        <v>26</v>
      </c>
      <c r="B179" s="220" t="s">
        <v>883</v>
      </c>
      <c r="C179" s="220" t="s">
        <v>537</v>
      </c>
      <c r="D179" s="220" t="s">
        <v>338</v>
      </c>
      <c r="E179" s="220">
        <v>5</v>
      </c>
      <c r="F179" s="220">
        <v>305.89100000000002</v>
      </c>
      <c r="G179" s="220">
        <v>23543</v>
      </c>
      <c r="H179" s="220">
        <v>28433</v>
      </c>
      <c r="I179" s="220">
        <v>32817</v>
      </c>
      <c r="J179" s="220">
        <v>301.01499999999999</v>
      </c>
      <c r="K179" s="220">
        <v>-0.48199999999999998</v>
      </c>
      <c r="L179" s="220">
        <v>35.826000000000001</v>
      </c>
      <c r="M179" s="220" t="s">
        <v>884</v>
      </c>
      <c r="N179" s="220" t="s">
        <v>762</v>
      </c>
      <c r="O179" s="220" t="s">
        <v>885</v>
      </c>
      <c r="P179" s="220" t="s">
        <v>886</v>
      </c>
      <c r="Q179" s="220" t="s">
        <v>180</v>
      </c>
      <c r="R179" s="220" t="s">
        <v>44</v>
      </c>
      <c r="S179" s="220" t="s">
        <v>887</v>
      </c>
    </row>
    <row r="180" spans="1:19" x14ac:dyDescent="0.25">
      <c r="A180" s="220">
        <v>26</v>
      </c>
      <c r="B180" s="220" t="s">
        <v>883</v>
      </c>
      <c r="C180" s="220" t="s">
        <v>537</v>
      </c>
      <c r="D180" s="220" t="s">
        <v>338</v>
      </c>
      <c r="E180" s="220">
        <v>6</v>
      </c>
      <c r="F180" s="220">
        <v>267.42</v>
      </c>
      <c r="G180" s="220">
        <v>20912</v>
      </c>
      <c r="H180" s="220">
        <v>25250</v>
      </c>
      <c r="I180" s="220">
        <v>29146</v>
      </c>
      <c r="J180" s="220">
        <v>263.15699999999998</v>
      </c>
      <c r="K180" s="220">
        <v>-0.44800000000000001</v>
      </c>
      <c r="L180" s="220">
        <v>36.034999999999997</v>
      </c>
      <c r="M180" s="220" t="s">
        <v>884</v>
      </c>
      <c r="N180" s="220" t="s">
        <v>762</v>
      </c>
      <c r="O180" s="220" t="s">
        <v>885</v>
      </c>
      <c r="P180" s="220" t="s">
        <v>886</v>
      </c>
      <c r="Q180" s="220" t="s">
        <v>241</v>
      </c>
      <c r="R180" s="220" t="s">
        <v>569</v>
      </c>
      <c r="S180" s="220" t="s">
        <v>888</v>
      </c>
    </row>
    <row r="181" spans="1:19" x14ac:dyDescent="0.25">
      <c r="A181" s="220">
        <v>26</v>
      </c>
      <c r="B181" s="220" t="s">
        <v>883</v>
      </c>
      <c r="C181" s="220" t="s">
        <v>537</v>
      </c>
      <c r="D181" s="220" t="s">
        <v>338</v>
      </c>
      <c r="E181" s="220">
        <v>7</v>
      </c>
      <c r="F181" s="220">
        <v>251.173</v>
      </c>
      <c r="G181" s="220">
        <v>19518</v>
      </c>
      <c r="H181" s="220">
        <v>23559</v>
      </c>
      <c r="I181" s="220">
        <v>27205</v>
      </c>
      <c r="J181" s="220">
        <v>247.16900000000001</v>
      </c>
      <c r="K181" s="220">
        <v>-0.48299999999999998</v>
      </c>
      <c r="L181" s="220">
        <v>36.066000000000003</v>
      </c>
      <c r="M181" s="220" t="s">
        <v>884</v>
      </c>
      <c r="N181" s="220" t="s">
        <v>762</v>
      </c>
      <c r="O181" s="220" t="s">
        <v>885</v>
      </c>
      <c r="P181" s="220" t="s">
        <v>886</v>
      </c>
      <c r="Q181" s="220" t="s">
        <v>241</v>
      </c>
      <c r="R181" s="220" t="s">
        <v>569</v>
      </c>
      <c r="S181" s="220" t="s">
        <v>888</v>
      </c>
    </row>
    <row r="182" spans="1:19" hidden="1" x14ac:dyDescent="0.25">
      <c r="A182" s="220">
        <v>27</v>
      </c>
      <c r="B182" s="220" t="s">
        <v>889</v>
      </c>
      <c r="C182" s="220" t="s">
        <v>890</v>
      </c>
      <c r="D182" s="220" t="s">
        <v>340</v>
      </c>
      <c r="E182" s="220">
        <v>1</v>
      </c>
      <c r="F182" s="220">
        <v>204.30600000000001</v>
      </c>
      <c r="G182" s="220">
        <v>10451</v>
      </c>
      <c r="H182" s="220">
        <v>12327</v>
      </c>
      <c r="I182" s="220">
        <v>14398</v>
      </c>
      <c r="J182" s="220">
        <v>201.102</v>
      </c>
      <c r="K182" s="220">
        <v>-19.93</v>
      </c>
      <c r="L182" s="220">
        <v>24.442</v>
      </c>
      <c r="M182" s="220" t="s">
        <v>891</v>
      </c>
      <c r="N182" s="220" t="s">
        <v>762</v>
      </c>
      <c r="O182" s="220" t="s">
        <v>892</v>
      </c>
      <c r="P182" s="220" t="s">
        <v>893</v>
      </c>
      <c r="Q182" s="220" t="s">
        <v>116</v>
      </c>
      <c r="R182" s="220" t="s">
        <v>125</v>
      </c>
      <c r="S182" s="220" t="s">
        <v>259</v>
      </c>
    </row>
    <row r="183" spans="1:19" hidden="1" x14ac:dyDescent="0.25">
      <c r="A183" s="220">
        <v>27</v>
      </c>
      <c r="B183" s="220" t="s">
        <v>889</v>
      </c>
      <c r="C183" s="220" t="s">
        <v>890</v>
      </c>
      <c r="D183" s="220" t="s">
        <v>340</v>
      </c>
      <c r="E183" s="220">
        <v>2</v>
      </c>
      <c r="F183" s="220">
        <v>201.92500000000001</v>
      </c>
      <c r="G183" s="220">
        <v>10450</v>
      </c>
      <c r="H183" s="220">
        <v>12324</v>
      </c>
      <c r="I183" s="220">
        <v>14396</v>
      </c>
      <c r="J183" s="220">
        <v>198.75899999999999</v>
      </c>
      <c r="K183" s="220">
        <v>-19.937999999999999</v>
      </c>
      <c r="L183" s="220">
        <v>24.425000000000001</v>
      </c>
      <c r="M183" s="220" t="s">
        <v>891</v>
      </c>
      <c r="N183" s="220" t="s">
        <v>762</v>
      </c>
      <c r="O183" s="220" t="s">
        <v>892</v>
      </c>
      <c r="P183" s="220" t="s">
        <v>893</v>
      </c>
      <c r="Q183" s="220" t="s">
        <v>118</v>
      </c>
      <c r="R183" s="220" t="s">
        <v>170</v>
      </c>
      <c r="S183" s="220" t="s">
        <v>187</v>
      </c>
    </row>
    <row r="184" spans="1:19" hidden="1" x14ac:dyDescent="0.25">
      <c r="A184" s="220">
        <v>27</v>
      </c>
      <c r="B184" s="220" t="s">
        <v>889</v>
      </c>
      <c r="C184" s="220" t="s">
        <v>890</v>
      </c>
      <c r="D184" s="220" t="s">
        <v>340</v>
      </c>
      <c r="E184" s="220">
        <v>3</v>
      </c>
      <c r="F184" s="220">
        <v>203.04900000000001</v>
      </c>
      <c r="G184" s="220">
        <v>10498</v>
      </c>
      <c r="H184" s="220">
        <v>12382</v>
      </c>
      <c r="I184" s="220">
        <v>14466</v>
      </c>
      <c r="J184" s="220">
        <v>199.86500000000001</v>
      </c>
      <c r="K184" s="220">
        <v>-19.936</v>
      </c>
      <c r="L184" s="220">
        <v>24.405999999999999</v>
      </c>
      <c r="M184" s="220" t="s">
        <v>891</v>
      </c>
      <c r="N184" s="220" t="s">
        <v>762</v>
      </c>
      <c r="O184" s="220" t="s">
        <v>892</v>
      </c>
      <c r="P184" s="220" t="s">
        <v>893</v>
      </c>
      <c r="Q184" s="220" t="s">
        <v>140</v>
      </c>
      <c r="R184" s="220" t="s">
        <v>247</v>
      </c>
      <c r="S184" s="220" t="s">
        <v>261</v>
      </c>
    </row>
    <row r="185" spans="1:19" hidden="1" x14ac:dyDescent="0.25">
      <c r="A185" s="220">
        <v>27</v>
      </c>
      <c r="B185" s="220" t="s">
        <v>889</v>
      </c>
      <c r="C185" s="220" t="s">
        <v>890</v>
      </c>
      <c r="D185" s="220" t="s">
        <v>340</v>
      </c>
      <c r="E185" s="220">
        <v>4</v>
      </c>
      <c r="F185" s="220">
        <v>203.06899999999999</v>
      </c>
      <c r="G185" s="220">
        <v>10454</v>
      </c>
      <c r="H185" s="220">
        <v>12329</v>
      </c>
      <c r="I185" s="220">
        <v>14400</v>
      </c>
      <c r="J185" s="220">
        <v>199.88499999999999</v>
      </c>
      <c r="K185" s="220">
        <v>-19.937000000000001</v>
      </c>
      <c r="L185" s="220">
        <v>24.417999999999999</v>
      </c>
      <c r="M185" s="220" t="s">
        <v>891</v>
      </c>
      <c r="N185" s="220" t="s">
        <v>762</v>
      </c>
      <c r="O185" s="220" t="s">
        <v>892</v>
      </c>
      <c r="P185" s="220" t="s">
        <v>893</v>
      </c>
      <c r="Q185" s="220" t="s">
        <v>246</v>
      </c>
      <c r="R185" s="220" t="s">
        <v>259</v>
      </c>
      <c r="S185" s="220" t="s">
        <v>184</v>
      </c>
    </row>
    <row r="186" spans="1:19" hidden="1" x14ac:dyDescent="0.25">
      <c r="A186" s="220">
        <v>27</v>
      </c>
      <c r="B186" s="220" t="s">
        <v>889</v>
      </c>
      <c r="C186" s="220" t="s">
        <v>890</v>
      </c>
      <c r="D186" s="220" t="s">
        <v>340</v>
      </c>
      <c r="E186" s="220">
        <v>5</v>
      </c>
      <c r="F186" s="220">
        <v>207.298</v>
      </c>
      <c r="G186" s="220">
        <v>16382</v>
      </c>
      <c r="H186" s="220">
        <v>19744</v>
      </c>
      <c r="I186" s="220">
        <v>22834</v>
      </c>
      <c r="J186" s="220">
        <v>203.995</v>
      </c>
      <c r="K186" s="220">
        <v>-0.78700000000000003</v>
      </c>
      <c r="L186" s="220">
        <v>35.945999999999998</v>
      </c>
      <c r="M186" s="220" t="s">
        <v>891</v>
      </c>
      <c r="N186" s="220" t="s">
        <v>762</v>
      </c>
      <c r="O186" s="220" t="s">
        <v>892</v>
      </c>
      <c r="P186" s="220" t="s">
        <v>893</v>
      </c>
      <c r="Q186" s="220" t="s">
        <v>399</v>
      </c>
      <c r="R186" s="220" t="s">
        <v>47</v>
      </c>
      <c r="S186" s="220" t="s">
        <v>662</v>
      </c>
    </row>
    <row r="187" spans="1:19" x14ac:dyDescent="0.25">
      <c r="A187" s="220">
        <v>27</v>
      </c>
      <c r="B187" s="220" t="s">
        <v>889</v>
      </c>
      <c r="C187" s="220" t="s">
        <v>890</v>
      </c>
      <c r="D187" s="220" t="s">
        <v>340</v>
      </c>
      <c r="E187" s="220">
        <v>6</v>
      </c>
      <c r="F187" s="220">
        <v>181.386</v>
      </c>
      <c r="G187" s="220">
        <v>14414</v>
      </c>
      <c r="H187" s="220">
        <v>17367</v>
      </c>
      <c r="I187" s="220">
        <v>20093</v>
      </c>
      <c r="J187" s="220">
        <v>178.495</v>
      </c>
      <c r="K187" s="220">
        <v>-0.74399999999999999</v>
      </c>
      <c r="L187" s="220">
        <v>36.271999999999998</v>
      </c>
      <c r="M187" s="220" t="s">
        <v>891</v>
      </c>
      <c r="N187" s="220" t="s">
        <v>762</v>
      </c>
      <c r="O187" s="220" t="s">
        <v>892</v>
      </c>
      <c r="P187" s="220" t="s">
        <v>893</v>
      </c>
      <c r="Q187" s="220" t="s">
        <v>226</v>
      </c>
      <c r="R187" s="220" t="s">
        <v>519</v>
      </c>
      <c r="S187" s="220" t="s">
        <v>894</v>
      </c>
    </row>
    <row r="188" spans="1:19" x14ac:dyDescent="0.25">
      <c r="A188" s="220">
        <v>27</v>
      </c>
      <c r="B188" s="220" t="s">
        <v>889</v>
      </c>
      <c r="C188" s="220" t="s">
        <v>890</v>
      </c>
      <c r="D188" s="220" t="s">
        <v>340</v>
      </c>
      <c r="E188" s="220">
        <v>7</v>
      </c>
      <c r="F188" s="220">
        <v>170.37899999999999</v>
      </c>
      <c r="G188" s="220">
        <v>13351</v>
      </c>
      <c r="H188" s="220">
        <v>16079</v>
      </c>
      <c r="I188" s="220">
        <v>18613</v>
      </c>
      <c r="J188" s="220">
        <v>167.66300000000001</v>
      </c>
      <c r="K188" s="220">
        <v>-0.77400000000000002</v>
      </c>
      <c r="L188" s="220">
        <v>36.317</v>
      </c>
      <c r="M188" s="220" t="s">
        <v>891</v>
      </c>
      <c r="N188" s="220" t="s">
        <v>762</v>
      </c>
      <c r="O188" s="220" t="s">
        <v>892</v>
      </c>
      <c r="P188" s="220" t="s">
        <v>893</v>
      </c>
      <c r="Q188" s="220" t="s">
        <v>226</v>
      </c>
      <c r="R188" s="220" t="s">
        <v>519</v>
      </c>
      <c r="S188" s="220" t="s">
        <v>894</v>
      </c>
    </row>
    <row r="189" spans="1:19" hidden="1" x14ac:dyDescent="0.25">
      <c r="A189" s="220">
        <v>28</v>
      </c>
      <c r="B189" s="220" t="s">
        <v>895</v>
      </c>
      <c r="C189" s="220" t="s">
        <v>896</v>
      </c>
      <c r="D189" s="220" t="s">
        <v>341</v>
      </c>
      <c r="E189" s="220">
        <v>1</v>
      </c>
      <c r="F189" s="220">
        <v>203.96899999999999</v>
      </c>
      <c r="G189" s="220">
        <v>10429</v>
      </c>
      <c r="H189" s="220">
        <v>12301</v>
      </c>
      <c r="I189" s="220">
        <v>14369</v>
      </c>
      <c r="J189" s="220">
        <v>200.77099999999999</v>
      </c>
      <c r="K189" s="220">
        <v>-19.940000000000001</v>
      </c>
      <c r="L189" s="220">
        <v>24.416</v>
      </c>
      <c r="M189" s="220" t="s">
        <v>897</v>
      </c>
      <c r="N189" s="220" t="s">
        <v>762</v>
      </c>
      <c r="O189" s="220" t="s">
        <v>898</v>
      </c>
      <c r="P189" s="220" t="s">
        <v>899</v>
      </c>
      <c r="Q189" s="220" t="s">
        <v>73</v>
      </c>
      <c r="R189" s="220" t="s">
        <v>129</v>
      </c>
      <c r="S189" s="220" t="s">
        <v>159</v>
      </c>
    </row>
    <row r="190" spans="1:19" hidden="1" x14ac:dyDescent="0.25">
      <c r="A190" s="220">
        <v>28</v>
      </c>
      <c r="B190" s="220" t="s">
        <v>895</v>
      </c>
      <c r="C190" s="220" t="s">
        <v>896</v>
      </c>
      <c r="D190" s="220" t="s">
        <v>341</v>
      </c>
      <c r="E190" s="220">
        <v>2</v>
      </c>
      <c r="F190" s="220">
        <v>201.768</v>
      </c>
      <c r="G190" s="220">
        <v>10446</v>
      </c>
      <c r="H190" s="220">
        <v>12320</v>
      </c>
      <c r="I190" s="220">
        <v>14391</v>
      </c>
      <c r="J190" s="220">
        <v>198.60400000000001</v>
      </c>
      <c r="K190" s="220">
        <v>-19.946000000000002</v>
      </c>
      <c r="L190" s="220">
        <v>24.420999999999999</v>
      </c>
      <c r="M190" s="220" t="s">
        <v>897</v>
      </c>
      <c r="N190" s="220" t="s">
        <v>762</v>
      </c>
      <c r="O190" s="220" t="s">
        <v>898</v>
      </c>
      <c r="P190" s="220" t="s">
        <v>899</v>
      </c>
      <c r="Q190" s="220" t="s">
        <v>202</v>
      </c>
      <c r="R190" s="220" t="s">
        <v>255</v>
      </c>
      <c r="S190" s="220" t="s">
        <v>177</v>
      </c>
    </row>
    <row r="191" spans="1:19" hidden="1" x14ac:dyDescent="0.25">
      <c r="A191" s="220">
        <v>28</v>
      </c>
      <c r="B191" s="220" t="s">
        <v>895</v>
      </c>
      <c r="C191" s="220" t="s">
        <v>896</v>
      </c>
      <c r="D191" s="220" t="s">
        <v>341</v>
      </c>
      <c r="E191" s="220">
        <v>3</v>
      </c>
      <c r="F191" s="220">
        <v>203.15199999999999</v>
      </c>
      <c r="G191" s="220">
        <v>10489</v>
      </c>
      <c r="H191" s="220">
        <v>12371</v>
      </c>
      <c r="I191" s="220">
        <v>14454</v>
      </c>
      <c r="J191" s="220">
        <v>199.96700000000001</v>
      </c>
      <c r="K191" s="220">
        <v>-19.940999999999999</v>
      </c>
      <c r="L191" s="220">
        <v>24.437000000000001</v>
      </c>
      <c r="M191" s="220" t="s">
        <v>897</v>
      </c>
      <c r="N191" s="220" t="s">
        <v>762</v>
      </c>
      <c r="O191" s="220" t="s">
        <v>898</v>
      </c>
      <c r="P191" s="220" t="s">
        <v>899</v>
      </c>
      <c r="Q191" s="220" t="s">
        <v>120</v>
      </c>
      <c r="R191" s="220" t="s">
        <v>105</v>
      </c>
      <c r="S191" s="220" t="s">
        <v>190</v>
      </c>
    </row>
    <row r="192" spans="1:19" hidden="1" x14ac:dyDescent="0.25">
      <c r="A192" s="220">
        <v>28</v>
      </c>
      <c r="B192" s="220" t="s">
        <v>895</v>
      </c>
      <c r="C192" s="220" t="s">
        <v>896</v>
      </c>
      <c r="D192" s="220" t="s">
        <v>341</v>
      </c>
      <c r="E192" s="220">
        <v>4</v>
      </c>
      <c r="F192" s="220">
        <v>203.04900000000001</v>
      </c>
      <c r="G192" s="220">
        <v>10447</v>
      </c>
      <c r="H192" s="220">
        <v>12322</v>
      </c>
      <c r="I192" s="220">
        <v>14392</v>
      </c>
      <c r="J192" s="220">
        <v>199.86600000000001</v>
      </c>
      <c r="K192" s="220">
        <v>-19.937000000000001</v>
      </c>
      <c r="L192" s="220">
        <v>24.417999999999999</v>
      </c>
      <c r="M192" s="220" t="s">
        <v>897</v>
      </c>
      <c r="N192" s="220" t="s">
        <v>762</v>
      </c>
      <c r="O192" s="220" t="s">
        <v>898</v>
      </c>
      <c r="P192" s="220" t="s">
        <v>899</v>
      </c>
      <c r="Q192" s="220" t="s">
        <v>120</v>
      </c>
      <c r="R192" s="220" t="s">
        <v>105</v>
      </c>
      <c r="S192" s="220" t="s">
        <v>190</v>
      </c>
    </row>
    <row r="193" spans="1:19" hidden="1" x14ac:dyDescent="0.25">
      <c r="A193" s="220">
        <v>28</v>
      </c>
      <c r="B193" s="220" t="s">
        <v>895</v>
      </c>
      <c r="C193" s="220" t="s">
        <v>896</v>
      </c>
      <c r="D193" s="220" t="s">
        <v>341</v>
      </c>
      <c r="E193" s="220">
        <v>5</v>
      </c>
      <c r="F193" s="220">
        <v>349.01299999999998</v>
      </c>
      <c r="G193" s="220">
        <v>27056</v>
      </c>
      <c r="H193" s="220">
        <v>32709</v>
      </c>
      <c r="I193" s="220">
        <v>37717</v>
      </c>
      <c r="J193" s="220">
        <v>343.44900000000001</v>
      </c>
      <c r="K193" s="220">
        <v>-0.54</v>
      </c>
      <c r="L193" s="220">
        <v>36.023000000000003</v>
      </c>
      <c r="M193" s="220" t="s">
        <v>897</v>
      </c>
      <c r="N193" s="220" t="s">
        <v>762</v>
      </c>
      <c r="O193" s="220" t="s">
        <v>898</v>
      </c>
      <c r="P193" s="220" t="s">
        <v>899</v>
      </c>
      <c r="Q193" s="220" t="s">
        <v>171</v>
      </c>
      <c r="R193" s="220" t="s">
        <v>185</v>
      </c>
      <c r="S193" s="220" t="s">
        <v>51</v>
      </c>
    </row>
    <row r="194" spans="1:19" x14ac:dyDescent="0.25">
      <c r="A194" s="220">
        <v>28</v>
      </c>
      <c r="B194" s="220" t="s">
        <v>895</v>
      </c>
      <c r="C194" s="220" t="s">
        <v>896</v>
      </c>
      <c r="D194" s="220" t="s">
        <v>341</v>
      </c>
      <c r="E194" s="220">
        <v>6</v>
      </c>
      <c r="F194" s="220">
        <v>305.75299999999999</v>
      </c>
      <c r="G194" s="220">
        <v>24173</v>
      </c>
      <c r="H194" s="220">
        <v>29213</v>
      </c>
      <c r="I194" s="220">
        <v>33701</v>
      </c>
      <c r="J194" s="220">
        <v>300.87799999999999</v>
      </c>
      <c r="K194" s="220">
        <v>-0.51200000000000001</v>
      </c>
      <c r="L194" s="220">
        <v>36.216000000000001</v>
      </c>
      <c r="M194" s="220" t="s">
        <v>897</v>
      </c>
      <c r="N194" s="220" t="s">
        <v>762</v>
      </c>
      <c r="O194" s="220" t="s">
        <v>898</v>
      </c>
      <c r="P194" s="220" t="s">
        <v>899</v>
      </c>
      <c r="Q194" s="220" t="s">
        <v>205</v>
      </c>
      <c r="R194" s="220" t="s">
        <v>900</v>
      </c>
      <c r="S194" s="220" t="s">
        <v>901</v>
      </c>
    </row>
    <row r="195" spans="1:19" x14ac:dyDescent="0.25">
      <c r="A195" s="220">
        <v>28</v>
      </c>
      <c r="B195" s="220" t="s">
        <v>895</v>
      </c>
      <c r="C195" s="220" t="s">
        <v>896</v>
      </c>
      <c r="D195" s="220" t="s">
        <v>341</v>
      </c>
      <c r="E195" s="220">
        <v>7</v>
      </c>
      <c r="F195" s="220">
        <v>284.32</v>
      </c>
      <c r="G195" s="220">
        <v>22622</v>
      </c>
      <c r="H195" s="220">
        <v>27334</v>
      </c>
      <c r="I195" s="220">
        <v>31537</v>
      </c>
      <c r="J195" s="220">
        <v>279.78699999999998</v>
      </c>
      <c r="K195" s="220">
        <v>-0.49199999999999999</v>
      </c>
      <c r="L195" s="220">
        <v>36.237000000000002</v>
      </c>
      <c r="M195" s="220" t="s">
        <v>897</v>
      </c>
      <c r="N195" s="220" t="s">
        <v>762</v>
      </c>
      <c r="O195" s="220" t="s">
        <v>898</v>
      </c>
      <c r="P195" s="220" t="s">
        <v>899</v>
      </c>
      <c r="Q195" s="220" t="s">
        <v>902</v>
      </c>
      <c r="R195" s="220" t="s">
        <v>903</v>
      </c>
      <c r="S195" s="220" t="s">
        <v>904</v>
      </c>
    </row>
    <row r="196" spans="1:19" hidden="1" x14ac:dyDescent="0.25">
      <c r="A196" s="220">
        <v>29</v>
      </c>
      <c r="B196" s="220" t="s">
        <v>905</v>
      </c>
      <c r="C196" s="220" t="s">
        <v>670</v>
      </c>
      <c r="D196" s="220" t="s">
        <v>342</v>
      </c>
      <c r="E196" s="220">
        <v>1</v>
      </c>
      <c r="F196" s="220">
        <v>204.13800000000001</v>
      </c>
      <c r="G196" s="220">
        <v>10434</v>
      </c>
      <c r="H196" s="220">
        <v>12306</v>
      </c>
      <c r="I196" s="220">
        <v>14377</v>
      </c>
      <c r="J196" s="220">
        <v>200.93700000000001</v>
      </c>
      <c r="K196" s="220">
        <v>-19.946000000000002</v>
      </c>
      <c r="L196" s="220">
        <v>24.437000000000001</v>
      </c>
      <c r="M196" s="220" t="s">
        <v>906</v>
      </c>
      <c r="N196" s="220" t="s">
        <v>762</v>
      </c>
      <c r="O196" s="220" t="s">
        <v>907</v>
      </c>
      <c r="P196" s="220" t="s">
        <v>908</v>
      </c>
      <c r="Q196" s="220" t="s">
        <v>134</v>
      </c>
      <c r="R196" s="220" t="s">
        <v>219</v>
      </c>
      <c r="S196" s="220" t="s">
        <v>179</v>
      </c>
    </row>
    <row r="197" spans="1:19" hidden="1" x14ac:dyDescent="0.25">
      <c r="A197" s="220">
        <v>29</v>
      </c>
      <c r="B197" s="220" t="s">
        <v>905</v>
      </c>
      <c r="C197" s="220" t="s">
        <v>670</v>
      </c>
      <c r="D197" s="220" t="s">
        <v>342</v>
      </c>
      <c r="E197" s="220">
        <v>2</v>
      </c>
      <c r="F197" s="220">
        <v>201.82300000000001</v>
      </c>
      <c r="G197" s="220">
        <v>10444</v>
      </c>
      <c r="H197" s="220">
        <v>12317</v>
      </c>
      <c r="I197" s="220">
        <v>14391</v>
      </c>
      <c r="J197" s="220">
        <v>198.65899999999999</v>
      </c>
      <c r="K197" s="220">
        <v>-19.939</v>
      </c>
      <c r="L197" s="220">
        <v>24.443999999999999</v>
      </c>
      <c r="M197" s="220" t="s">
        <v>906</v>
      </c>
      <c r="N197" s="220" t="s">
        <v>762</v>
      </c>
      <c r="O197" s="220" t="s">
        <v>907</v>
      </c>
      <c r="P197" s="220" t="s">
        <v>908</v>
      </c>
      <c r="Q197" s="220" t="s">
        <v>159</v>
      </c>
      <c r="R197" s="220" t="s">
        <v>191</v>
      </c>
      <c r="S197" s="220" t="s">
        <v>586</v>
      </c>
    </row>
    <row r="198" spans="1:19" hidden="1" x14ac:dyDescent="0.25">
      <c r="A198" s="220">
        <v>29</v>
      </c>
      <c r="B198" s="220" t="s">
        <v>905</v>
      </c>
      <c r="C198" s="220" t="s">
        <v>670</v>
      </c>
      <c r="D198" s="220" t="s">
        <v>342</v>
      </c>
      <c r="E198" s="220">
        <v>3</v>
      </c>
      <c r="F198" s="220">
        <v>203.416</v>
      </c>
      <c r="G198" s="220">
        <v>10491</v>
      </c>
      <c r="H198" s="220">
        <v>12373</v>
      </c>
      <c r="I198" s="220">
        <v>14453</v>
      </c>
      <c r="J198" s="220">
        <v>200.227</v>
      </c>
      <c r="K198" s="220">
        <v>-19.942</v>
      </c>
      <c r="L198" s="220">
        <v>24.439</v>
      </c>
      <c r="M198" s="220" t="s">
        <v>906</v>
      </c>
      <c r="N198" s="220" t="s">
        <v>762</v>
      </c>
      <c r="O198" s="220" t="s">
        <v>907</v>
      </c>
      <c r="P198" s="220" t="s">
        <v>908</v>
      </c>
      <c r="Q198" s="220" t="s">
        <v>262</v>
      </c>
      <c r="R198" s="220" t="s">
        <v>204</v>
      </c>
      <c r="S198" s="220" t="s">
        <v>205</v>
      </c>
    </row>
    <row r="199" spans="1:19" hidden="1" x14ac:dyDescent="0.25">
      <c r="A199" s="220">
        <v>29</v>
      </c>
      <c r="B199" s="220" t="s">
        <v>905</v>
      </c>
      <c r="C199" s="220" t="s">
        <v>670</v>
      </c>
      <c r="D199" s="220" t="s">
        <v>342</v>
      </c>
      <c r="E199" s="220">
        <v>4</v>
      </c>
      <c r="F199" s="220">
        <v>203.07</v>
      </c>
      <c r="G199" s="220">
        <v>10442</v>
      </c>
      <c r="H199" s="220">
        <v>12317</v>
      </c>
      <c r="I199" s="220">
        <v>14390</v>
      </c>
      <c r="J199" s="220">
        <v>199.886</v>
      </c>
      <c r="K199" s="220">
        <v>-19.937000000000001</v>
      </c>
      <c r="L199" s="220">
        <v>24.417999999999999</v>
      </c>
      <c r="M199" s="220" t="s">
        <v>906</v>
      </c>
      <c r="N199" s="220" t="s">
        <v>762</v>
      </c>
      <c r="O199" s="220" t="s">
        <v>907</v>
      </c>
      <c r="P199" s="220" t="s">
        <v>908</v>
      </c>
      <c r="Q199" s="220" t="s">
        <v>125</v>
      </c>
      <c r="R199" s="220" t="s">
        <v>239</v>
      </c>
      <c r="S199" s="220" t="s">
        <v>293</v>
      </c>
    </row>
    <row r="200" spans="1:19" hidden="1" x14ac:dyDescent="0.25">
      <c r="A200" s="220">
        <v>29</v>
      </c>
      <c r="B200" s="220" t="s">
        <v>905</v>
      </c>
      <c r="C200" s="220" t="s">
        <v>670</v>
      </c>
      <c r="D200" s="220" t="s">
        <v>342</v>
      </c>
      <c r="E200" s="220">
        <v>5</v>
      </c>
      <c r="F200" s="220">
        <v>324.39600000000002</v>
      </c>
      <c r="G200" s="220">
        <v>25461</v>
      </c>
      <c r="H200" s="220">
        <v>30731</v>
      </c>
      <c r="I200" s="220">
        <v>35496</v>
      </c>
      <c r="J200" s="220">
        <v>319.22500000000002</v>
      </c>
      <c r="K200" s="220">
        <v>-0.60299999999999998</v>
      </c>
      <c r="L200" s="220">
        <v>36.21</v>
      </c>
      <c r="M200" s="220" t="s">
        <v>906</v>
      </c>
      <c r="N200" s="220" t="s">
        <v>762</v>
      </c>
      <c r="O200" s="220" t="s">
        <v>907</v>
      </c>
      <c r="P200" s="220" t="s">
        <v>908</v>
      </c>
      <c r="Q200" s="220" t="s">
        <v>151</v>
      </c>
      <c r="R200" s="220" t="s">
        <v>46</v>
      </c>
      <c r="S200" s="220" t="s">
        <v>856</v>
      </c>
    </row>
    <row r="201" spans="1:19" x14ac:dyDescent="0.25">
      <c r="A201" s="220">
        <v>29</v>
      </c>
      <c r="B201" s="220" t="s">
        <v>905</v>
      </c>
      <c r="C201" s="220" t="s">
        <v>670</v>
      </c>
      <c r="D201" s="220" t="s">
        <v>342</v>
      </c>
      <c r="E201" s="220">
        <v>6</v>
      </c>
      <c r="F201" s="220">
        <v>281.79700000000003</v>
      </c>
      <c r="G201" s="220">
        <v>22302</v>
      </c>
      <c r="H201" s="220">
        <v>26902</v>
      </c>
      <c r="I201" s="220">
        <v>31096</v>
      </c>
      <c r="J201" s="220">
        <v>277.30500000000001</v>
      </c>
      <c r="K201" s="220">
        <v>-0.59</v>
      </c>
      <c r="L201" s="220">
        <v>36.375</v>
      </c>
      <c r="M201" s="220" t="s">
        <v>906</v>
      </c>
      <c r="N201" s="220" t="s">
        <v>762</v>
      </c>
      <c r="O201" s="220" t="s">
        <v>907</v>
      </c>
      <c r="P201" s="220" t="s">
        <v>908</v>
      </c>
      <c r="Q201" s="220" t="s">
        <v>824</v>
      </c>
      <c r="R201" s="220" t="s">
        <v>909</v>
      </c>
      <c r="S201" s="220" t="s">
        <v>748</v>
      </c>
    </row>
    <row r="202" spans="1:19" x14ac:dyDescent="0.25">
      <c r="A202" s="220">
        <v>29</v>
      </c>
      <c r="B202" s="220" t="s">
        <v>905</v>
      </c>
      <c r="C202" s="220" t="s">
        <v>670</v>
      </c>
      <c r="D202" s="220" t="s">
        <v>342</v>
      </c>
      <c r="E202" s="220">
        <v>7</v>
      </c>
      <c r="F202" s="220">
        <v>260.76</v>
      </c>
      <c r="G202" s="220">
        <v>20546</v>
      </c>
      <c r="H202" s="220">
        <v>24779</v>
      </c>
      <c r="I202" s="220">
        <v>28650</v>
      </c>
      <c r="J202" s="220">
        <v>256.60300000000001</v>
      </c>
      <c r="K202" s="220">
        <v>-0.57399999999999995</v>
      </c>
      <c r="L202" s="220">
        <v>36.363</v>
      </c>
      <c r="M202" s="220" t="s">
        <v>906</v>
      </c>
      <c r="N202" s="220" t="s">
        <v>762</v>
      </c>
      <c r="O202" s="220" t="s">
        <v>907</v>
      </c>
      <c r="P202" s="220" t="s">
        <v>908</v>
      </c>
      <c r="Q202" s="220" t="s">
        <v>581</v>
      </c>
      <c r="R202" s="220" t="s">
        <v>910</v>
      </c>
      <c r="S202" s="220" t="s">
        <v>911</v>
      </c>
    </row>
    <row r="203" spans="1:19" hidden="1" x14ac:dyDescent="0.25">
      <c r="A203" s="220">
        <v>30</v>
      </c>
      <c r="B203" s="220" t="s">
        <v>912</v>
      </c>
      <c r="C203" s="220" t="s">
        <v>335</v>
      </c>
      <c r="D203" s="220" t="s">
        <v>343</v>
      </c>
      <c r="E203" s="220">
        <v>1</v>
      </c>
      <c r="F203" s="220">
        <v>204.24</v>
      </c>
      <c r="G203" s="220">
        <v>10425</v>
      </c>
      <c r="H203" s="220">
        <v>12297</v>
      </c>
      <c r="I203" s="220">
        <v>14351</v>
      </c>
      <c r="J203" s="220">
        <v>201.03800000000001</v>
      </c>
      <c r="K203" s="220">
        <v>-19.922999999999998</v>
      </c>
      <c r="L203" s="220">
        <v>24.405999999999999</v>
      </c>
      <c r="M203" s="220" t="s">
        <v>699</v>
      </c>
      <c r="N203" s="220" t="s">
        <v>762</v>
      </c>
      <c r="O203" s="220" t="s">
        <v>913</v>
      </c>
      <c r="P203" s="220" t="s">
        <v>914</v>
      </c>
      <c r="Q203" s="220" t="s">
        <v>238</v>
      </c>
      <c r="R203" s="220" t="s">
        <v>163</v>
      </c>
      <c r="S203" s="220" t="s">
        <v>247</v>
      </c>
    </row>
    <row r="204" spans="1:19" hidden="1" x14ac:dyDescent="0.25">
      <c r="A204" s="220">
        <v>30</v>
      </c>
      <c r="B204" s="220" t="s">
        <v>912</v>
      </c>
      <c r="C204" s="220" t="s">
        <v>335</v>
      </c>
      <c r="D204" s="220" t="s">
        <v>343</v>
      </c>
      <c r="E204" s="220">
        <v>2</v>
      </c>
      <c r="F204" s="220">
        <v>201.23699999999999</v>
      </c>
      <c r="G204" s="220">
        <v>10428</v>
      </c>
      <c r="H204" s="220">
        <v>12299</v>
      </c>
      <c r="I204" s="220">
        <v>14355</v>
      </c>
      <c r="J204" s="220">
        <v>198.08199999999999</v>
      </c>
      <c r="K204" s="220">
        <v>-19.933</v>
      </c>
      <c r="L204" s="220">
        <v>24.405999999999999</v>
      </c>
      <c r="M204" s="220" t="s">
        <v>699</v>
      </c>
      <c r="N204" s="220" t="s">
        <v>762</v>
      </c>
      <c r="O204" s="220" t="s">
        <v>913</v>
      </c>
      <c r="P204" s="220" t="s">
        <v>914</v>
      </c>
      <c r="Q204" s="220" t="s">
        <v>228</v>
      </c>
      <c r="R204" s="220" t="s">
        <v>248</v>
      </c>
      <c r="S204" s="220" t="s">
        <v>623</v>
      </c>
    </row>
    <row r="205" spans="1:19" hidden="1" x14ac:dyDescent="0.25">
      <c r="A205" s="220">
        <v>30</v>
      </c>
      <c r="B205" s="220" t="s">
        <v>912</v>
      </c>
      <c r="C205" s="220" t="s">
        <v>335</v>
      </c>
      <c r="D205" s="220" t="s">
        <v>343</v>
      </c>
      <c r="E205" s="220">
        <v>3</v>
      </c>
      <c r="F205" s="220">
        <v>202.72</v>
      </c>
      <c r="G205" s="220">
        <v>10478</v>
      </c>
      <c r="H205" s="220">
        <v>12360</v>
      </c>
      <c r="I205" s="220">
        <v>14431</v>
      </c>
      <c r="J205" s="220">
        <v>199.541</v>
      </c>
      <c r="K205" s="220">
        <v>-19.928000000000001</v>
      </c>
      <c r="L205" s="220">
        <v>24.396000000000001</v>
      </c>
      <c r="M205" s="220" t="s">
        <v>699</v>
      </c>
      <c r="N205" s="220" t="s">
        <v>762</v>
      </c>
      <c r="O205" s="220" t="s">
        <v>913</v>
      </c>
      <c r="P205" s="220" t="s">
        <v>914</v>
      </c>
      <c r="Q205" s="220" t="s">
        <v>125</v>
      </c>
      <c r="R205" s="220" t="s">
        <v>239</v>
      </c>
      <c r="S205" s="220" t="s">
        <v>623</v>
      </c>
    </row>
    <row r="206" spans="1:19" hidden="1" x14ac:dyDescent="0.25">
      <c r="A206" s="220">
        <v>30</v>
      </c>
      <c r="B206" s="220" t="s">
        <v>912</v>
      </c>
      <c r="C206" s="220" t="s">
        <v>335</v>
      </c>
      <c r="D206" s="220" t="s">
        <v>343</v>
      </c>
      <c r="E206" s="220">
        <v>4</v>
      </c>
      <c r="F206" s="220">
        <v>202.892</v>
      </c>
      <c r="G206" s="220">
        <v>10435</v>
      </c>
      <c r="H206" s="220">
        <v>12309</v>
      </c>
      <c r="I206" s="220">
        <v>14365</v>
      </c>
      <c r="J206" s="220">
        <v>199.71100000000001</v>
      </c>
      <c r="K206" s="220">
        <v>-19.937000000000001</v>
      </c>
      <c r="L206" s="220">
        <v>24.417999999999999</v>
      </c>
      <c r="M206" s="220" t="s">
        <v>699</v>
      </c>
      <c r="N206" s="220" t="s">
        <v>762</v>
      </c>
      <c r="O206" s="220" t="s">
        <v>913</v>
      </c>
      <c r="P206" s="220" t="s">
        <v>914</v>
      </c>
      <c r="Q206" s="220" t="s">
        <v>140</v>
      </c>
      <c r="R206" s="220" t="s">
        <v>143</v>
      </c>
      <c r="S206" s="220" t="s">
        <v>261</v>
      </c>
    </row>
    <row r="207" spans="1:19" hidden="1" x14ac:dyDescent="0.25">
      <c r="A207" s="220">
        <v>30</v>
      </c>
      <c r="B207" s="220" t="s">
        <v>912</v>
      </c>
      <c r="C207" s="220" t="s">
        <v>335</v>
      </c>
      <c r="D207" s="220" t="s">
        <v>343</v>
      </c>
      <c r="E207" s="220">
        <v>5</v>
      </c>
      <c r="F207" s="220">
        <v>306.93799999999999</v>
      </c>
      <c r="G207" s="220">
        <v>23879</v>
      </c>
      <c r="H207" s="220">
        <v>28868</v>
      </c>
      <c r="I207" s="220">
        <v>33257</v>
      </c>
      <c r="J207" s="220">
        <v>302.04500000000002</v>
      </c>
      <c r="K207" s="220">
        <v>-0.33600000000000002</v>
      </c>
      <c r="L207" s="220">
        <v>35.869</v>
      </c>
      <c r="M207" s="220" t="s">
        <v>699</v>
      </c>
      <c r="N207" s="220" t="s">
        <v>762</v>
      </c>
      <c r="O207" s="220" t="s">
        <v>913</v>
      </c>
      <c r="P207" s="220" t="s">
        <v>914</v>
      </c>
      <c r="Q207" s="220" t="s">
        <v>168</v>
      </c>
      <c r="R207" s="220" t="s">
        <v>571</v>
      </c>
      <c r="S207" s="220" t="s">
        <v>51</v>
      </c>
    </row>
    <row r="208" spans="1:19" x14ac:dyDescent="0.25">
      <c r="A208" s="220">
        <v>30</v>
      </c>
      <c r="B208" s="220" t="s">
        <v>912</v>
      </c>
      <c r="C208" s="220" t="s">
        <v>335</v>
      </c>
      <c r="D208" s="220" t="s">
        <v>343</v>
      </c>
      <c r="E208" s="220">
        <v>6</v>
      </c>
      <c r="F208" s="220">
        <v>269.92399999999998</v>
      </c>
      <c r="G208" s="220">
        <v>21565</v>
      </c>
      <c r="H208" s="220">
        <v>26058</v>
      </c>
      <c r="I208" s="220">
        <v>30026</v>
      </c>
      <c r="J208" s="220">
        <v>265.62099999999998</v>
      </c>
      <c r="K208" s="220">
        <v>-0.29199999999999998</v>
      </c>
      <c r="L208" s="220">
        <v>36.023000000000003</v>
      </c>
      <c r="M208" s="220" t="s">
        <v>699</v>
      </c>
      <c r="N208" s="220" t="s">
        <v>762</v>
      </c>
      <c r="O208" s="220" t="s">
        <v>913</v>
      </c>
      <c r="P208" s="220" t="s">
        <v>914</v>
      </c>
      <c r="Q208" s="220" t="s">
        <v>561</v>
      </c>
      <c r="R208" s="220" t="s">
        <v>650</v>
      </c>
      <c r="S208" s="220" t="s">
        <v>915</v>
      </c>
    </row>
    <row r="209" spans="1:19" x14ac:dyDescent="0.25">
      <c r="A209" s="220">
        <v>30</v>
      </c>
      <c r="B209" s="220" t="s">
        <v>912</v>
      </c>
      <c r="C209" s="220" t="s">
        <v>335</v>
      </c>
      <c r="D209" s="220" t="s">
        <v>343</v>
      </c>
      <c r="E209" s="220">
        <v>7</v>
      </c>
      <c r="F209" s="220">
        <v>254.8</v>
      </c>
      <c r="G209" s="220">
        <v>20318</v>
      </c>
      <c r="H209" s="220">
        <v>24544</v>
      </c>
      <c r="I209" s="220">
        <v>28304</v>
      </c>
      <c r="J209" s="220">
        <v>250.738</v>
      </c>
      <c r="K209" s="220">
        <v>-0.34399999999999997</v>
      </c>
      <c r="L209" s="220">
        <v>36.124000000000002</v>
      </c>
      <c r="M209" s="220" t="s">
        <v>699</v>
      </c>
      <c r="N209" s="220" t="s">
        <v>762</v>
      </c>
      <c r="O209" s="220" t="s">
        <v>913</v>
      </c>
      <c r="P209" s="220" t="s">
        <v>914</v>
      </c>
      <c r="Q209" s="220" t="s">
        <v>561</v>
      </c>
      <c r="R209" s="220" t="s">
        <v>650</v>
      </c>
      <c r="S209" s="220" t="s">
        <v>915</v>
      </c>
    </row>
    <row r="210" spans="1:19" hidden="1" x14ac:dyDescent="0.25">
      <c r="A210" s="220">
        <v>31</v>
      </c>
      <c r="B210" s="220" t="s">
        <v>916</v>
      </c>
      <c r="C210" s="220" t="s">
        <v>518</v>
      </c>
      <c r="D210" s="220" t="s">
        <v>344</v>
      </c>
      <c r="E210" s="220">
        <v>1</v>
      </c>
      <c r="F210" s="220">
        <v>204.64599999999999</v>
      </c>
      <c r="G210" s="220">
        <v>10464</v>
      </c>
      <c r="H210" s="220">
        <v>12342</v>
      </c>
      <c r="I210" s="220">
        <v>14416</v>
      </c>
      <c r="J210" s="220">
        <v>201.43700000000001</v>
      </c>
      <c r="K210" s="220">
        <v>-19.916</v>
      </c>
      <c r="L210" s="220">
        <v>24.408000000000001</v>
      </c>
      <c r="M210" s="220" t="s">
        <v>917</v>
      </c>
      <c r="N210" s="220" t="s">
        <v>762</v>
      </c>
      <c r="O210" s="220" t="s">
        <v>918</v>
      </c>
      <c r="P210" s="220" t="s">
        <v>919</v>
      </c>
      <c r="Q210" s="220" t="s">
        <v>136</v>
      </c>
      <c r="R210" s="220" t="s">
        <v>135</v>
      </c>
      <c r="S210" s="220" t="s">
        <v>196</v>
      </c>
    </row>
    <row r="211" spans="1:19" hidden="1" x14ac:dyDescent="0.25">
      <c r="A211" s="220">
        <v>31</v>
      </c>
      <c r="B211" s="220" t="s">
        <v>916</v>
      </c>
      <c r="C211" s="220" t="s">
        <v>518</v>
      </c>
      <c r="D211" s="220" t="s">
        <v>344</v>
      </c>
      <c r="E211" s="220">
        <v>2</v>
      </c>
      <c r="F211" s="220">
        <v>202.02199999999999</v>
      </c>
      <c r="G211" s="220">
        <v>10463</v>
      </c>
      <c r="H211" s="220">
        <v>12341</v>
      </c>
      <c r="I211" s="220">
        <v>14417</v>
      </c>
      <c r="J211" s="220">
        <v>198.85499999999999</v>
      </c>
      <c r="K211" s="220">
        <v>-19.931999999999999</v>
      </c>
      <c r="L211" s="220">
        <v>24.423999999999999</v>
      </c>
      <c r="M211" s="220" t="s">
        <v>917</v>
      </c>
      <c r="N211" s="220" t="s">
        <v>762</v>
      </c>
      <c r="O211" s="220" t="s">
        <v>918</v>
      </c>
      <c r="P211" s="220" t="s">
        <v>919</v>
      </c>
      <c r="Q211" s="220" t="s">
        <v>262</v>
      </c>
      <c r="R211" s="220" t="s">
        <v>204</v>
      </c>
      <c r="S211" s="220" t="s">
        <v>264</v>
      </c>
    </row>
    <row r="212" spans="1:19" hidden="1" x14ac:dyDescent="0.25">
      <c r="A212" s="220">
        <v>31</v>
      </c>
      <c r="B212" s="220" t="s">
        <v>916</v>
      </c>
      <c r="C212" s="220" t="s">
        <v>518</v>
      </c>
      <c r="D212" s="220" t="s">
        <v>344</v>
      </c>
      <c r="E212" s="220">
        <v>3</v>
      </c>
      <c r="F212" s="220">
        <v>203.499</v>
      </c>
      <c r="G212" s="220">
        <v>10516</v>
      </c>
      <c r="H212" s="220">
        <v>12402</v>
      </c>
      <c r="I212" s="220">
        <v>14492</v>
      </c>
      <c r="J212" s="220">
        <v>200.30799999999999</v>
      </c>
      <c r="K212" s="220">
        <v>-19.925000000000001</v>
      </c>
      <c r="L212" s="220">
        <v>24.434000000000001</v>
      </c>
      <c r="M212" s="220" t="s">
        <v>917</v>
      </c>
      <c r="N212" s="220" t="s">
        <v>762</v>
      </c>
      <c r="O212" s="220" t="s">
        <v>918</v>
      </c>
      <c r="P212" s="220" t="s">
        <v>919</v>
      </c>
      <c r="Q212" s="220" t="s">
        <v>244</v>
      </c>
      <c r="R212" s="220" t="s">
        <v>196</v>
      </c>
      <c r="S212" s="220" t="s">
        <v>300</v>
      </c>
    </row>
    <row r="213" spans="1:19" hidden="1" x14ac:dyDescent="0.25">
      <c r="A213" s="220">
        <v>31</v>
      </c>
      <c r="B213" s="220" t="s">
        <v>916</v>
      </c>
      <c r="C213" s="220" t="s">
        <v>518</v>
      </c>
      <c r="D213" s="220" t="s">
        <v>344</v>
      </c>
      <c r="E213" s="220">
        <v>4</v>
      </c>
      <c r="F213" s="220">
        <v>203.41499999999999</v>
      </c>
      <c r="G213" s="220">
        <v>10473</v>
      </c>
      <c r="H213" s="220">
        <v>12353</v>
      </c>
      <c r="I213" s="220">
        <v>14429</v>
      </c>
      <c r="J213" s="220">
        <v>200.226</v>
      </c>
      <c r="K213" s="220">
        <v>-19.937000000000001</v>
      </c>
      <c r="L213" s="220">
        <v>24.417999999999999</v>
      </c>
      <c r="M213" s="220" t="s">
        <v>917</v>
      </c>
      <c r="N213" s="220" t="s">
        <v>762</v>
      </c>
      <c r="O213" s="220" t="s">
        <v>918</v>
      </c>
      <c r="P213" s="220" t="s">
        <v>919</v>
      </c>
      <c r="Q213" s="220" t="s">
        <v>125</v>
      </c>
      <c r="R213" s="220" t="s">
        <v>239</v>
      </c>
      <c r="S213" s="220" t="s">
        <v>623</v>
      </c>
    </row>
    <row r="214" spans="1:19" hidden="1" x14ac:dyDescent="0.25">
      <c r="A214" s="220">
        <v>31</v>
      </c>
      <c r="B214" s="220" t="s">
        <v>916</v>
      </c>
      <c r="C214" s="220" t="s">
        <v>518</v>
      </c>
      <c r="D214" s="220" t="s">
        <v>344</v>
      </c>
      <c r="E214" s="220">
        <v>5</v>
      </c>
      <c r="F214" s="220">
        <v>203.96600000000001</v>
      </c>
      <c r="G214" s="220">
        <v>15606</v>
      </c>
      <c r="H214" s="220">
        <v>18815</v>
      </c>
      <c r="I214" s="220">
        <v>21759</v>
      </c>
      <c r="J214" s="220">
        <v>200.714</v>
      </c>
      <c r="K214" s="220">
        <v>-0.315</v>
      </c>
      <c r="L214" s="220">
        <v>36.048000000000002</v>
      </c>
      <c r="M214" s="220" t="s">
        <v>917</v>
      </c>
      <c r="N214" s="220" t="s">
        <v>762</v>
      </c>
      <c r="O214" s="220" t="s">
        <v>918</v>
      </c>
      <c r="P214" s="220" t="s">
        <v>919</v>
      </c>
      <c r="Q214" s="220" t="s">
        <v>399</v>
      </c>
      <c r="R214" s="220" t="s">
        <v>56</v>
      </c>
      <c r="S214" s="220" t="s">
        <v>100</v>
      </c>
    </row>
    <row r="215" spans="1:19" x14ac:dyDescent="0.25">
      <c r="A215" s="220">
        <v>31</v>
      </c>
      <c r="B215" s="220" t="s">
        <v>916</v>
      </c>
      <c r="C215" s="220" t="s">
        <v>518</v>
      </c>
      <c r="D215" s="220" t="s">
        <v>344</v>
      </c>
      <c r="E215" s="220">
        <v>6</v>
      </c>
      <c r="F215" s="220">
        <v>177.892</v>
      </c>
      <c r="G215" s="220">
        <v>13784</v>
      </c>
      <c r="H215" s="220">
        <v>16613</v>
      </c>
      <c r="I215" s="220">
        <v>19218</v>
      </c>
      <c r="J215" s="220">
        <v>175.05500000000001</v>
      </c>
      <c r="K215" s="220">
        <v>-0.255</v>
      </c>
      <c r="L215" s="220">
        <v>36.304000000000002</v>
      </c>
      <c r="M215" s="220" t="s">
        <v>917</v>
      </c>
      <c r="N215" s="220" t="s">
        <v>762</v>
      </c>
      <c r="O215" s="220" t="s">
        <v>918</v>
      </c>
      <c r="P215" s="220" t="s">
        <v>919</v>
      </c>
      <c r="Q215" s="220" t="s">
        <v>226</v>
      </c>
      <c r="R215" s="220" t="s">
        <v>200</v>
      </c>
      <c r="S215" s="220" t="s">
        <v>705</v>
      </c>
    </row>
    <row r="216" spans="1:19" x14ac:dyDescent="0.25">
      <c r="A216" s="220">
        <v>31</v>
      </c>
      <c r="B216" s="220" t="s">
        <v>916</v>
      </c>
      <c r="C216" s="220" t="s">
        <v>518</v>
      </c>
      <c r="D216" s="220" t="s">
        <v>344</v>
      </c>
      <c r="E216" s="220">
        <v>7</v>
      </c>
      <c r="F216" s="220">
        <v>165.435</v>
      </c>
      <c r="G216" s="220">
        <v>12821</v>
      </c>
      <c r="H216" s="220">
        <v>15447</v>
      </c>
      <c r="I216" s="220">
        <v>17872</v>
      </c>
      <c r="J216" s="220">
        <v>162.798</v>
      </c>
      <c r="K216" s="220">
        <v>-0.253</v>
      </c>
      <c r="L216" s="220">
        <v>36.253</v>
      </c>
      <c r="M216" s="220" t="s">
        <v>917</v>
      </c>
      <c r="N216" s="220" t="s">
        <v>762</v>
      </c>
      <c r="O216" s="220" t="s">
        <v>918</v>
      </c>
      <c r="P216" s="220" t="s">
        <v>919</v>
      </c>
      <c r="Q216" s="220" t="s">
        <v>920</v>
      </c>
      <c r="R216" s="220" t="s">
        <v>441</v>
      </c>
      <c r="S216" s="220" t="s">
        <v>921</v>
      </c>
    </row>
    <row r="217" spans="1:19" hidden="1" x14ac:dyDescent="0.25">
      <c r="A217" s="220">
        <v>32</v>
      </c>
      <c r="B217" s="220" t="s">
        <v>922</v>
      </c>
      <c r="C217" s="220" t="s">
        <v>339</v>
      </c>
      <c r="D217" s="220" t="s">
        <v>345</v>
      </c>
      <c r="E217" s="220">
        <v>1</v>
      </c>
      <c r="F217" s="220">
        <v>204.721</v>
      </c>
      <c r="G217" s="220">
        <v>10465</v>
      </c>
      <c r="H217" s="220">
        <v>12343</v>
      </c>
      <c r="I217" s="220">
        <v>14406</v>
      </c>
      <c r="J217" s="220">
        <v>201.511</v>
      </c>
      <c r="K217" s="220">
        <v>-19.920000000000002</v>
      </c>
      <c r="L217" s="220">
        <v>24.391999999999999</v>
      </c>
      <c r="M217" s="220" t="s">
        <v>698</v>
      </c>
      <c r="N217" s="220" t="s">
        <v>762</v>
      </c>
      <c r="O217" s="220" t="s">
        <v>923</v>
      </c>
      <c r="P217" s="220" t="s">
        <v>924</v>
      </c>
      <c r="Q217" s="220" t="s">
        <v>85</v>
      </c>
      <c r="R217" s="220" t="s">
        <v>133</v>
      </c>
      <c r="S217" s="220" t="s">
        <v>195</v>
      </c>
    </row>
    <row r="218" spans="1:19" hidden="1" x14ac:dyDescent="0.25">
      <c r="A218" s="220">
        <v>32</v>
      </c>
      <c r="B218" s="220" t="s">
        <v>922</v>
      </c>
      <c r="C218" s="220" t="s">
        <v>339</v>
      </c>
      <c r="D218" s="220" t="s">
        <v>345</v>
      </c>
      <c r="E218" s="220">
        <v>2</v>
      </c>
      <c r="F218" s="220">
        <v>202.255</v>
      </c>
      <c r="G218" s="220">
        <v>10470</v>
      </c>
      <c r="H218" s="220">
        <v>12349</v>
      </c>
      <c r="I218" s="220">
        <v>14412</v>
      </c>
      <c r="J218" s="220">
        <v>199.084</v>
      </c>
      <c r="K218" s="220">
        <v>-19.928000000000001</v>
      </c>
      <c r="L218" s="220">
        <v>24.41</v>
      </c>
      <c r="M218" s="220" t="s">
        <v>698</v>
      </c>
      <c r="N218" s="220" t="s">
        <v>762</v>
      </c>
      <c r="O218" s="220" t="s">
        <v>923</v>
      </c>
      <c r="P218" s="220" t="s">
        <v>924</v>
      </c>
      <c r="Q218" s="220" t="s">
        <v>120</v>
      </c>
      <c r="R218" s="220" t="s">
        <v>226</v>
      </c>
      <c r="S218" s="220" t="s">
        <v>235</v>
      </c>
    </row>
    <row r="219" spans="1:19" hidden="1" x14ac:dyDescent="0.25">
      <c r="A219" s="220">
        <v>32</v>
      </c>
      <c r="B219" s="220" t="s">
        <v>922</v>
      </c>
      <c r="C219" s="220" t="s">
        <v>339</v>
      </c>
      <c r="D219" s="220" t="s">
        <v>345</v>
      </c>
      <c r="E219" s="220">
        <v>3</v>
      </c>
      <c r="F219" s="220">
        <v>203.928</v>
      </c>
      <c r="G219" s="220">
        <v>10521</v>
      </c>
      <c r="H219" s="220">
        <v>12410</v>
      </c>
      <c r="I219" s="220">
        <v>14485</v>
      </c>
      <c r="J219" s="220">
        <v>200.73</v>
      </c>
      <c r="K219" s="220">
        <v>-19.928000000000001</v>
      </c>
      <c r="L219" s="220">
        <v>24.402999999999999</v>
      </c>
      <c r="M219" s="220" t="s">
        <v>698</v>
      </c>
      <c r="N219" s="220" t="s">
        <v>762</v>
      </c>
      <c r="O219" s="220" t="s">
        <v>923</v>
      </c>
      <c r="P219" s="220" t="s">
        <v>924</v>
      </c>
      <c r="Q219" s="220" t="s">
        <v>158</v>
      </c>
      <c r="R219" s="220" t="s">
        <v>119</v>
      </c>
      <c r="S219" s="220" t="s">
        <v>144</v>
      </c>
    </row>
    <row r="220" spans="1:19" hidden="1" x14ac:dyDescent="0.25">
      <c r="A220" s="220">
        <v>32</v>
      </c>
      <c r="B220" s="220" t="s">
        <v>922</v>
      </c>
      <c r="C220" s="220" t="s">
        <v>339</v>
      </c>
      <c r="D220" s="220" t="s">
        <v>345</v>
      </c>
      <c r="E220" s="220">
        <v>4</v>
      </c>
      <c r="F220" s="220">
        <v>203.08099999999999</v>
      </c>
      <c r="G220" s="220">
        <v>10468</v>
      </c>
      <c r="H220" s="220">
        <v>12348</v>
      </c>
      <c r="I220" s="220">
        <v>14411</v>
      </c>
      <c r="J220" s="220">
        <v>199.89699999999999</v>
      </c>
      <c r="K220" s="220">
        <v>-19.937000000000001</v>
      </c>
      <c r="L220" s="220">
        <v>24.417999999999999</v>
      </c>
      <c r="M220" s="220" t="s">
        <v>698</v>
      </c>
      <c r="N220" s="220" t="s">
        <v>762</v>
      </c>
      <c r="O220" s="220" t="s">
        <v>923</v>
      </c>
      <c r="P220" s="220" t="s">
        <v>924</v>
      </c>
      <c r="Q220" s="220" t="s">
        <v>158</v>
      </c>
      <c r="R220" s="220" t="s">
        <v>119</v>
      </c>
      <c r="S220" s="220" t="s">
        <v>144</v>
      </c>
    </row>
    <row r="221" spans="1:19" hidden="1" x14ac:dyDescent="0.25">
      <c r="A221" s="220">
        <v>32</v>
      </c>
      <c r="B221" s="220" t="s">
        <v>922</v>
      </c>
      <c r="C221" s="220" t="s">
        <v>339</v>
      </c>
      <c r="D221" s="220" t="s">
        <v>345</v>
      </c>
      <c r="E221" s="220">
        <v>5</v>
      </c>
      <c r="F221" s="220">
        <v>176.58799999999999</v>
      </c>
      <c r="G221" s="220">
        <v>13810</v>
      </c>
      <c r="H221" s="220">
        <v>16651</v>
      </c>
      <c r="I221" s="220">
        <v>19234</v>
      </c>
      <c r="J221" s="220">
        <v>173.774</v>
      </c>
      <c r="K221" s="220">
        <v>-0.745</v>
      </c>
      <c r="L221" s="220">
        <v>35.741</v>
      </c>
      <c r="M221" s="220" t="s">
        <v>698</v>
      </c>
      <c r="N221" s="220" t="s">
        <v>762</v>
      </c>
      <c r="O221" s="220" t="s">
        <v>923</v>
      </c>
      <c r="P221" s="220" t="s">
        <v>924</v>
      </c>
      <c r="Q221" s="220" t="s">
        <v>171</v>
      </c>
      <c r="R221" s="220" t="s">
        <v>185</v>
      </c>
      <c r="S221" s="220" t="s">
        <v>619</v>
      </c>
    </row>
    <row r="222" spans="1:19" x14ac:dyDescent="0.25">
      <c r="A222" s="220">
        <v>32</v>
      </c>
      <c r="B222" s="220" t="s">
        <v>922</v>
      </c>
      <c r="C222" s="220" t="s">
        <v>339</v>
      </c>
      <c r="D222" s="220" t="s">
        <v>345</v>
      </c>
      <c r="E222" s="220">
        <v>6</v>
      </c>
      <c r="F222" s="220">
        <v>157.596</v>
      </c>
      <c r="G222" s="220">
        <v>12615</v>
      </c>
      <c r="H222" s="220">
        <v>15209</v>
      </c>
      <c r="I222" s="220">
        <v>17567</v>
      </c>
      <c r="J222" s="220">
        <v>155.08500000000001</v>
      </c>
      <c r="K222" s="220">
        <v>-0.68400000000000005</v>
      </c>
      <c r="L222" s="220">
        <v>36.011000000000003</v>
      </c>
      <c r="M222" s="220" t="s">
        <v>698</v>
      </c>
      <c r="N222" s="220" t="s">
        <v>762</v>
      </c>
      <c r="O222" s="220" t="s">
        <v>923</v>
      </c>
      <c r="P222" s="220" t="s">
        <v>924</v>
      </c>
      <c r="Q222" s="220" t="s">
        <v>163</v>
      </c>
      <c r="R222" s="220" t="s">
        <v>196</v>
      </c>
      <c r="S222" s="220" t="s">
        <v>187</v>
      </c>
    </row>
    <row r="223" spans="1:19" x14ac:dyDescent="0.25">
      <c r="A223" s="220">
        <v>32</v>
      </c>
      <c r="B223" s="220" t="s">
        <v>922</v>
      </c>
      <c r="C223" s="220" t="s">
        <v>339</v>
      </c>
      <c r="D223" s="220" t="s">
        <v>345</v>
      </c>
      <c r="E223" s="220">
        <v>7</v>
      </c>
      <c r="F223" s="220">
        <v>147.57599999999999</v>
      </c>
      <c r="G223" s="220">
        <v>11872</v>
      </c>
      <c r="H223" s="220">
        <v>14309</v>
      </c>
      <c r="I223" s="220">
        <v>16538</v>
      </c>
      <c r="J223" s="220">
        <v>145.22399999999999</v>
      </c>
      <c r="K223" s="220">
        <v>-0.66800000000000004</v>
      </c>
      <c r="L223" s="220">
        <v>36.040999999999997</v>
      </c>
      <c r="M223" s="220" t="s">
        <v>698</v>
      </c>
      <c r="N223" s="220" t="s">
        <v>762</v>
      </c>
      <c r="O223" s="220" t="s">
        <v>923</v>
      </c>
      <c r="P223" s="220" t="s">
        <v>924</v>
      </c>
      <c r="Q223" s="220" t="s">
        <v>288</v>
      </c>
      <c r="R223" s="220" t="s">
        <v>545</v>
      </c>
      <c r="S223" s="220" t="s">
        <v>925</v>
      </c>
    </row>
    <row r="224" spans="1:19" hidden="1" x14ac:dyDescent="0.25">
      <c r="A224" s="220">
        <v>33</v>
      </c>
      <c r="B224" s="220" t="s">
        <v>926</v>
      </c>
      <c r="C224" s="220" t="s">
        <v>505</v>
      </c>
      <c r="D224" s="220" t="s">
        <v>346</v>
      </c>
      <c r="E224" s="220">
        <v>1</v>
      </c>
      <c r="F224" s="220">
        <v>204.38800000000001</v>
      </c>
      <c r="G224" s="220">
        <v>10439</v>
      </c>
      <c r="H224" s="220">
        <v>12313</v>
      </c>
      <c r="I224" s="220">
        <v>14384</v>
      </c>
      <c r="J224" s="220">
        <v>201.18299999999999</v>
      </c>
      <c r="K224" s="220">
        <v>-19.954000000000001</v>
      </c>
      <c r="L224" s="220">
        <v>24.413</v>
      </c>
      <c r="M224" s="220" t="s">
        <v>927</v>
      </c>
      <c r="N224" s="220" t="s">
        <v>762</v>
      </c>
      <c r="O224" s="220" t="s">
        <v>928</v>
      </c>
      <c r="P224" s="220" t="s">
        <v>929</v>
      </c>
      <c r="Q224" s="220" t="s">
        <v>49</v>
      </c>
      <c r="R224" s="220" t="s">
        <v>134</v>
      </c>
      <c r="S224" s="220" t="s">
        <v>148</v>
      </c>
    </row>
    <row r="225" spans="1:19" hidden="1" x14ac:dyDescent="0.25">
      <c r="A225" s="220">
        <v>33</v>
      </c>
      <c r="B225" s="220" t="s">
        <v>926</v>
      </c>
      <c r="C225" s="220" t="s">
        <v>505</v>
      </c>
      <c r="D225" s="220" t="s">
        <v>346</v>
      </c>
      <c r="E225" s="220">
        <v>2</v>
      </c>
      <c r="F225" s="220">
        <v>201.97300000000001</v>
      </c>
      <c r="G225" s="220">
        <v>10448</v>
      </c>
      <c r="H225" s="220">
        <v>12323</v>
      </c>
      <c r="I225" s="220">
        <v>14396</v>
      </c>
      <c r="J225" s="220">
        <v>198.80600000000001</v>
      </c>
      <c r="K225" s="220">
        <v>-19.931000000000001</v>
      </c>
      <c r="L225" s="220">
        <v>24.411999999999999</v>
      </c>
      <c r="M225" s="220" t="s">
        <v>927</v>
      </c>
      <c r="N225" s="220" t="s">
        <v>762</v>
      </c>
      <c r="O225" s="220" t="s">
        <v>928</v>
      </c>
      <c r="P225" s="220" t="s">
        <v>929</v>
      </c>
      <c r="Q225" s="220" t="s">
        <v>131</v>
      </c>
      <c r="R225" s="220" t="s">
        <v>270</v>
      </c>
      <c r="S225" s="220" t="s">
        <v>208</v>
      </c>
    </row>
    <row r="226" spans="1:19" hidden="1" x14ac:dyDescent="0.25">
      <c r="A226" s="220">
        <v>33</v>
      </c>
      <c r="B226" s="220" t="s">
        <v>926</v>
      </c>
      <c r="C226" s="220" t="s">
        <v>505</v>
      </c>
      <c r="D226" s="220" t="s">
        <v>346</v>
      </c>
      <c r="E226" s="220">
        <v>3</v>
      </c>
      <c r="F226" s="220">
        <v>203.15700000000001</v>
      </c>
      <c r="G226" s="220">
        <v>10503</v>
      </c>
      <c r="H226" s="220">
        <v>12388</v>
      </c>
      <c r="I226" s="220">
        <v>14470</v>
      </c>
      <c r="J226" s="220">
        <v>199.971</v>
      </c>
      <c r="K226" s="220">
        <v>-19.937999999999999</v>
      </c>
      <c r="L226" s="220">
        <v>24.405000000000001</v>
      </c>
      <c r="M226" s="220" t="s">
        <v>927</v>
      </c>
      <c r="N226" s="220" t="s">
        <v>762</v>
      </c>
      <c r="O226" s="220" t="s">
        <v>928</v>
      </c>
      <c r="P226" s="220" t="s">
        <v>929</v>
      </c>
      <c r="Q226" s="220" t="s">
        <v>237</v>
      </c>
      <c r="R226" s="220" t="s">
        <v>105</v>
      </c>
      <c r="S226" s="220" t="s">
        <v>189</v>
      </c>
    </row>
    <row r="227" spans="1:19" hidden="1" x14ac:dyDescent="0.25">
      <c r="A227" s="220">
        <v>33</v>
      </c>
      <c r="B227" s="220" t="s">
        <v>926</v>
      </c>
      <c r="C227" s="220" t="s">
        <v>505</v>
      </c>
      <c r="D227" s="220" t="s">
        <v>346</v>
      </c>
      <c r="E227" s="220">
        <v>4</v>
      </c>
      <c r="F227" s="220">
        <v>203.28299999999999</v>
      </c>
      <c r="G227" s="220">
        <v>10457</v>
      </c>
      <c r="H227" s="220">
        <v>12333</v>
      </c>
      <c r="I227" s="220">
        <v>14407</v>
      </c>
      <c r="J227" s="220">
        <v>200.095</v>
      </c>
      <c r="K227" s="220">
        <v>-19.937000000000001</v>
      </c>
      <c r="L227" s="220">
        <v>24.417999999999999</v>
      </c>
      <c r="M227" s="220" t="s">
        <v>927</v>
      </c>
      <c r="N227" s="220" t="s">
        <v>762</v>
      </c>
      <c r="O227" s="220" t="s">
        <v>928</v>
      </c>
      <c r="P227" s="220" t="s">
        <v>929</v>
      </c>
      <c r="Q227" s="220" t="s">
        <v>237</v>
      </c>
      <c r="R227" s="220" t="s">
        <v>252</v>
      </c>
      <c r="S227" s="220" t="s">
        <v>189</v>
      </c>
    </row>
    <row r="228" spans="1:19" hidden="1" x14ac:dyDescent="0.25">
      <c r="A228" s="220">
        <v>33</v>
      </c>
      <c r="B228" s="220" t="s">
        <v>926</v>
      </c>
      <c r="C228" s="220" t="s">
        <v>505</v>
      </c>
      <c r="D228" s="220" t="s">
        <v>346</v>
      </c>
      <c r="E228" s="220">
        <v>5</v>
      </c>
      <c r="F228" s="220">
        <v>195.96199999999999</v>
      </c>
      <c r="G228" s="220">
        <v>14862</v>
      </c>
      <c r="H228" s="220">
        <v>17901</v>
      </c>
      <c r="I228" s="220">
        <v>20714</v>
      </c>
      <c r="J228" s="220">
        <v>192.84100000000001</v>
      </c>
      <c r="K228" s="220">
        <v>-1.2609999999999999</v>
      </c>
      <c r="L228" s="220">
        <v>35.662999999999997</v>
      </c>
      <c r="M228" s="220" t="s">
        <v>927</v>
      </c>
      <c r="N228" s="220" t="s">
        <v>762</v>
      </c>
      <c r="O228" s="220" t="s">
        <v>928</v>
      </c>
      <c r="P228" s="220" t="s">
        <v>929</v>
      </c>
      <c r="Q228" s="220" t="s">
        <v>151</v>
      </c>
      <c r="R228" s="220" t="s">
        <v>89</v>
      </c>
      <c r="S228" s="220" t="s">
        <v>602</v>
      </c>
    </row>
    <row r="229" spans="1:19" x14ac:dyDescent="0.25">
      <c r="A229" s="220">
        <v>33</v>
      </c>
      <c r="B229" s="220" t="s">
        <v>926</v>
      </c>
      <c r="C229" s="220" t="s">
        <v>505</v>
      </c>
      <c r="D229" s="220" t="s">
        <v>346</v>
      </c>
      <c r="E229" s="220">
        <v>6</v>
      </c>
      <c r="F229" s="220">
        <v>171.47</v>
      </c>
      <c r="G229" s="220">
        <v>13220</v>
      </c>
      <c r="H229" s="220">
        <v>15917</v>
      </c>
      <c r="I229" s="220">
        <v>18422</v>
      </c>
      <c r="J229" s="220">
        <v>168.738</v>
      </c>
      <c r="K229" s="220">
        <v>-1.196</v>
      </c>
      <c r="L229" s="220">
        <v>35.984000000000002</v>
      </c>
      <c r="M229" s="220" t="s">
        <v>927</v>
      </c>
      <c r="N229" s="220" t="s">
        <v>762</v>
      </c>
      <c r="O229" s="220" t="s">
        <v>928</v>
      </c>
      <c r="P229" s="220" t="s">
        <v>929</v>
      </c>
      <c r="Q229" s="220" t="s">
        <v>113</v>
      </c>
      <c r="R229" s="220" t="s">
        <v>379</v>
      </c>
      <c r="S229" s="220" t="s">
        <v>589</v>
      </c>
    </row>
    <row r="230" spans="1:19" x14ac:dyDescent="0.25">
      <c r="A230" s="220">
        <v>33</v>
      </c>
      <c r="B230" s="220" t="s">
        <v>926</v>
      </c>
      <c r="C230" s="220" t="s">
        <v>505</v>
      </c>
      <c r="D230" s="220" t="s">
        <v>346</v>
      </c>
      <c r="E230" s="220">
        <v>7</v>
      </c>
      <c r="F230" s="220">
        <v>159.34700000000001</v>
      </c>
      <c r="G230" s="220">
        <v>12325</v>
      </c>
      <c r="H230" s="220">
        <v>14841</v>
      </c>
      <c r="I230" s="220">
        <v>17179</v>
      </c>
      <c r="J230" s="220">
        <v>156.80799999999999</v>
      </c>
      <c r="K230" s="220">
        <v>-1.196</v>
      </c>
      <c r="L230" s="220">
        <v>35.917000000000002</v>
      </c>
      <c r="M230" s="220" t="s">
        <v>927</v>
      </c>
      <c r="N230" s="220" t="s">
        <v>762</v>
      </c>
      <c r="O230" s="220" t="s">
        <v>928</v>
      </c>
      <c r="P230" s="220" t="s">
        <v>929</v>
      </c>
      <c r="Q230" s="220" t="s">
        <v>930</v>
      </c>
      <c r="R230" s="220" t="s">
        <v>554</v>
      </c>
      <c r="S230" s="220" t="s">
        <v>610</v>
      </c>
    </row>
    <row r="231" spans="1:19" hidden="1" x14ac:dyDescent="0.25">
      <c r="A231" s="220">
        <v>34</v>
      </c>
      <c r="B231" s="220" t="s">
        <v>931</v>
      </c>
      <c r="C231" s="220" t="s">
        <v>232</v>
      </c>
      <c r="D231" s="220" t="s">
        <v>347</v>
      </c>
      <c r="E231" s="220">
        <v>1</v>
      </c>
      <c r="F231" s="220">
        <v>204.48599999999999</v>
      </c>
      <c r="G231" s="220">
        <v>10444</v>
      </c>
      <c r="H231" s="220">
        <v>12319</v>
      </c>
      <c r="I231" s="220">
        <v>14393</v>
      </c>
      <c r="J231" s="220">
        <v>201.28</v>
      </c>
      <c r="K231" s="220">
        <v>-19.934999999999999</v>
      </c>
      <c r="L231" s="220">
        <v>24.396000000000001</v>
      </c>
      <c r="M231" s="220" t="s">
        <v>932</v>
      </c>
      <c r="N231" s="220" t="s">
        <v>933</v>
      </c>
      <c r="O231" s="220" t="s">
        <v>934</v>
      </c>
      <c r="P231" s="220" t="s">
        <v>935</v>
      </c>
      <c r="Q231" s="220" t="s">
        <v>649</v>
      </c>
      <c r="R231" s="220" t="s">
        <v>109</v>
      </c>
      <c r="S231" s="220" t="s">
        <v>262</v>
      </c>
    </row>
    <row r="232" spans="1:19" hidden="1" x14ac:dyDescent="0.25">
      <c r="A232" s="220">
        <v>34</v>
      </c>
      <c r="B232" s="220" t="s">
        <v>931</v>
      </c>
      <c r="C232" s="220" t="s">
        <v>232</v>
      </c>
      <c r="D232" s="220" t="s">
        <v>347</v>
      </c>
      <c r="E232" s="220">
        <v>2</v>
      </c>
      <c r="F232" s="220">
        <v>201.50299999999999</v>
      </c>
      <c r="G232" s="220">
        <v>10450</v>
      </c>
      <c r="H232" s="220">
        <v>12325</v>
      </c>
      <c r="I232" s="220">
        <v>14396</v>
      </c>
      <c r="J232" s="220">
        <v>198.34399999999999</v>
      </c>
      <c r="K232" s="220">
        <v>-19.940999999999999</v>
      </c>
      <c r="L232" s="220">
        <v>24.393999999999998</v>
      </c>
      <c r="M232" s="220" t="s">
        <v>932</v>
      </c>
      <c r="N232" s="220" t="s">
        <v>933</v>
      </c>
      <c r="O232" s="220" t="s">
        <v>934</v>
      </c>
      <c r="P232" s="220" t="s">
        <v>935</v>
      </c>
      <c r="Q232" s="220" t="s">
        <v>131</v>
      </c>
      <c r="R232" s="220" t="s">
        <v>270</v>
      </c>
      <c r="S232" s="220" t="s">
        <v>243</v>
      </c>
    </row>
    <row r="233" spans="1:19" hidden="1" x14ac:dyDescent="0.25">
      <c r="A233" s="220">
        <v>34</v>
      </c>
      <c r="B233" s="220" t="s">
        <v>931</v>
      </c>
      <c r="C233" s="220" t="s">
        <v>232</v>
      </c>
      <c r="D233" s="220" t="s">
        <v>347</v>
      </c>
      <c r="E233" s="220">
        <v>3</v>
      </c>
      <c r="F233" s="220">
        <v>203.256</v>
      </c>
      <c r="G233" s="220">
        <v>10503</v>
      </c>
      <c r="H233" s="220">
        <v>12389</v>
      </c>
      <c r="I233" s="220">
        <v>14470</v>
      </c>
      <c r="J233" s="220">
        <v>200.06899999999999</v>
      </c>
      <c r="K233" s="220">
        <v>-19.927</v>
      </c>
      <c r="L233" s="220">
        <v>24.405000000000001</v>
      </c>
      <c r="M233" s="220" t="s">
        <v>932</v>
      </c>
      <c r="N233" s="220" t="s">
        <v>933</v>
      </c>
      <c r="O233" s="220" t="s">
        <v>934</v>
      </c>
      <c r="P233" s="220" t="s">
        <v>935</v>
      </c>
      <c r="Q233" s="220" t="s">
        <v>236</v>
      </c>
      <c r="R233" s="220" t="s">
        <v>252</v>
      </c>
      <c r="S233" s="220" t="s">
        <v>585</v>
      </c>
    </row>
    <row r="234" spans="1:19" hidden="1" x14ac:dyDescent="0.25">
      <c r="A234" s="220">
        <v>34</v>
      </c>
      <c r="B234" s="220" t="s">
        <v>931</v>
      </c>
      <c r="C234" s="220" t="s">
        <v>232</v>
      </c>
      <c r="D234" s="220" t="s">
        <v>347</v>
      </c>
      <c r="E234" s="220">
        <v>4</v>
      </c>
      <c r="F234" s="220">
        <v>202.88399999999999</v>
      </c>
      <c r="G234" s="220">
        <v>10450</v>
      </c>
      <c r="H234" s="220">
        <v>12325</v>
      </c>
      <c r="I234" s="220">
        <v>14398</v>
      </c>
      <c r="J234" s="220">
        <v>199.703</v>
      </c>
      <c r="K234" s="220">
        <v>-19.937000000000001</v>
      </c>
      <c r="L234" s="220">
        <v>24.417999999999999</v>
      </c>
      <c r="M234" s="220" t="s">
        <v>932</v>
      </c>
      <c r="N234" s="220" t="s">
        <v>933</v>
      </c>
      <c r="O234" s="220" t="s">
        <v>934</v>
      </c>
      <c r="P234" s="220" t="s">
        <v>935</v>
      </c>
      <c r="Q234" s="220" t="s">
        <v>236</v>
      </c>
      <c r="R234" s="220" t="s">
        <v>252</v>
      </c>
      <c r="S234" s="220" t="s">
        <v>189</v>
      </c>
    </row>
    <row r="235" spans="1:19" hidden="1" x14ac:dyDescent="0.25">
      <c r="A235" s="220">
        <v>34</v>
      </c>
      <c r="B235" s="220" t="s">
        <v>931</v>
      </c>
      <c r="C235" s="220" t="s">
        <v>232</v>
      </c>
      <c r="D235" s="220" t="s">
        <v>347</v>
      </c>
      <c r="E235" s="220">
        <v>5</v>
      </c>
      <c r="F235" s="220">
        <v>179.62200000000001</v>
      </c>
      <c r="G235" s="220">
        <v>14228</v>
      </c>
      <c r="H235" s="220">
        <v>17143</v>
      </c>
      <c r="I235" s="220">
        <v>19831</v>
      </c>
      <c r="J235" s="220">
        <v>176.76</v>
      </c>
      <c r="K235" s="220">
        <v>-1.4690000000000001</v>
      </c>
      <c r="L235" s="220">
        <v>35.914999999999999</v>
      </c>
      <c r="M235" s="220" t="s">
        <v>932</v>
      </c>
      <c r="N235" s="220" t="s">
        <v>933</v>
      </c>
      <c r="O235" s="220" t="s">
        <v>934</v>
      </c>
      <c r="P235" s="220" t="s">
        <v>935</v>
      </c>
      <c r="Q235" s="220" t="s">
        <v>156</v>
      </c>
      <c r="R235" s="220" t="s">
        <v>160</v>
      </c>
      <c r="S235" s="220" t="s">
        <v>162</v>
      </c>
    </row>
    <row r="236" spans="1:19" x14ac:dyDescent="0.25">
      <c r="A236" s="220">
        <v>34</v>
      </c>
      <c r="B236" s="220" t="s">
        <v>931</v>
      </c>
      <c r="C236" s="220" t="s">
        <v>232</v>
      </c>
      <c r="D236" s="220" t="s">
        <v>347</v>
      </c>
      <c r="E236" s="220">
        <v>6</v>
      </c>
      <c r="F236" s="220">
        <v>159.91399999999999</v>
      </c>
      <c r="G236" s="220">
        <v>12914</v>
      </c>
      <c r="H236" s="220">
        <v>15554</v>
      </c>
      <c r="I236" s="220">
        <v>18000</v>
      </c>
      <c r="J236" s="220">
        <v>157.36600000000001</v>
      </c>
      <c r="K236" s="220">
        <v>-1.39</v>
      </c>
      <c r="L236" s="220">
        <v>36.073999999999998</v>
      </c>
      <c r="M236" s="220" t="s">
        <v>932</v>
      </c>
      <c r="N236" s="220" t="s">
        <v>933</v>
      </c>
      <c r="O236" s="220" t="s">
        <v>934</v>
      </c>
      <c r="P236" s="220" t="s">
        <v>935</v>
      </c>
      <c r="Q236" s="220" t="s">
        <v>244</v>
      </c>
      <c r="R236" s="220" t="s">
        <v>204</v>
      </c>
      <c r="S236" s="220" t="s">
        <v>623</v>
      </c>
    </row>
    <row r="237" spans="1:19" x14ac:dyDescent="0.25">
      <c r="A237" s="220">
        <v>34</v>
      </c>
      <c r="B237" s="220" t="s">
        <v>931</v>
      </c>
      <c r="C237" s="220" t="s">
        <v>232</v>
      </c>
      <c r="D237" s="220" t="s">
        <v>347</v>
      </c>
      <c r="E237" s="220">
        <v>7</v>
      </c>
      <c r="F237" s="220">
        <v>149.429</v>
      </c>
      <c r="G237" s="220">
        <v>12115</v>
      </c>
      <c r="H237" s="220">
        <v>14588</v>
      </c>
      <c r="I237" s="220">
        <v>16889</v>
      </c>
      <c r="J237" s="220">
        <v>147.048</v>
      </c>
      <c r="K237" s="220">
        <v>-1.37</v>
      </c>
      <c r="L237" s="220">
        <v>36.06</v>
      </c>
      <c r="M237" s="220" t="s">
        <v>932</v>
      </c>
      <c r="N237" s="220" t="s">
        <v>933</v>
      </c>
      <c r="O237" s="220" t="s">
        <v>934</v>
      </c>
      <c r="P237" s="220" t="s">
        <v>935</v>
      </c>
      <c r="Q237" s="220" t="s">
        <v>782</v>
      </c>
      <c r="R237" s="220" t="s">
        <v>936</v>
      </c>
      <c r="S237" s="220" t="s">
        <v>536</v>
      </c>
    </row>
    <row r="238" spans="1:19" hidden="1" x14ac:dyDescent="0.25">
      <c r="A238" s="220">
        <v>35</v>
      </c>
      <c r="B238" s="220" t="s">
        <v>0</v>
      </c>
      <c r="C238" s="220" t="s">
        <v>729</v>
      </c>
      <c r="D238" s="220" t="s">
        <v>348</v>
      </c>
      <c r="E238" s="220">
        <v>1</v>
      </c>
      <c r="F238" s="220">
        <v>204.041</v>
      </c>
      <c r="G238" s="220">
        <v>10432</v>
      </c>
      <c r="H238" s="220">
        <v>12304</v>
      </c>
      <c r="I238" s="220">
        <v>14361</v>
      </c>
      <c r="J238" s="220">
        <v>200.84200000000001</v>
      </c>
      <c r="K238" s="220">
        <v>-19.937000000000001</v>
      </c>
      <c r="L238" s="220">
        <v>24.439</v>
      </c>
      <c r="M238" s="220" t="s">
        <v>937</v>
      </c>
      <c r="N238" s="220" t="s">
        <v>933</v>
      </c>
      <c r="O238" s="220" t="s">
        <v>938</v>
      </c>
      <c r="P238" s="220" t="s">
        <v>939</v>
      </c>
      <c r="Q238" s="220" t="s">
        <v>71</v>
      </c>
      <c r="R238" s="220" t="s">
        <v>115</v>
      </c>
      <c r="S238" s="220" t="s">
        <v>163</v>
      </c>
    </row>
    <row r="239" spans="1:19" hidden="1" x14ac:dyDescent="0.25">
      <c r="A239" s="220">
        <v>35</v>
      </c>
      <c r="B239" s="220" t="s">
        <v>0</v>
      </c>
      <c r="C239" s="220" t="s">
        <v>729</v>
      </c>
      <c r="D239" s="220" t="s">
        <v>348</v>
      </c>
      <c r="E239" s="220">
        <v>2</v>
      </c>
      <c r="F239" s="220">
        <v>201.756</v>
      </c>
      <c r="G239" s="220">
        <v>10434</v>
      </c>
      <c r="H239" s="220">
        <v>12308</v>
      </c>
      <c r="I239" s="220">
        <v>14365</v>
      </c>
      <c r="J239" s="220">
        <v>198.59299999999999</v>
      </c>
      <c r="K239" s="220">
        <v>-19.93</v>
      </c>
      <c r="L239" s="220">
        <v>24.431999999999999</v>
      </c>
      <c r="M239" s="220" t="s">
        <v>937</v>
      </c>
      <c r="N239" s="220" t="s">
        <v>933</v>
      </c>
      <c r="O239" s="220" t="s">
        <v>938</v>
      </c>
      <c r="P239" s="220" t="s">
        <v>939</v>
      </c>
      <c r="Q239" s="220" t="s">
        <v>126</v>
      </c>
      <c r="R239" s="220" t="s">
        <v>272</v>
      </c>
      <c r="S239" s="220" t="s">
        <v>172</v>
      </c>
    </row>
    <row r="240" spans="1:19" hidden="1" x14ac:dyDescent="0.25">
      <c r="A240" s="220">
        <v>35</v>
      </c>
      <c r="B240" s="220" t="s">
        <v>0</v>
      </c>
      <c r="C240" s="220" t="s">
        <v>729</v>
      </c>
      <c r="D240" s="220" t="s">
        <v>348</v>
      </c>
      <c r="E240" s="220">
        <v>3</v>
      </c>
      <c r="F240" s="220">
        <v>202.90600000000001</v>
      </c>
      <c r="G240" s="220">
        <v>10490</v>
      </c>
      <c r="H240" s="220">
        <v>12374</v>
      </c>
      <c r="I240" s="220">
        <v>14446</v>
      </c>
      <c r="J240" s="220">
        <v>199.72399999999999</v>
      </c>
      <c r="K240" s="220">
        <v>-19.934999999999999</v>
      </c>
      <c r="L240" s="220">
        <v>24.422000000000001</v>
      </c>
      <c r="M240" s="220" t="s">
        <v>937</v>
      </c>
      <c r="N240" s="220" t="s">
        <v>933</v>
      </c>
      <c r="O240" s="220" t="s">
        <v>938</v>
      </c>
      <c r="P240" s="220" t="s">
        <v>939</v>
      </c>
      <c r="Q240" s="220" t="s">
        <v>202</v>
      </c>
      <c r="R240" s="220" t="s">
        <v>255</v>
      </c>
      <c r="S240" s="220" t="s">
        <v>177</v>
      </c>
    </row>
    <row r="241" spans="1:19" hidden="1" x14ac:dyDescent="0.25">
      <c r="A241" s="220">
        <v>35</v>
      </c>
      <c r="B241" s="220" t="s">
        <v>0</v>
      </c>
      <c r="C241" s="220" t="s">
        <v>729</v>
      </c>
      <c r="D241" s="220" t="s">
        <v>348</v>
      </c>
      <c r="E241" s="220">
        <v>4</v>
      </c>
      <c r="F241" s="220">
        <v>203.107</v>
      </c>
      <c r="G241" s="220">
        <v>10439</v>
      </c>
      <c r="H241" s="220">
        <v>12313</v>
      </c>
      <c r="I241" s="220">
        <v>14371</v>
      </c>
      <c r="J241" s="220">
        <v>199.923</v>
      </c>
      <c r="K241" s="220">
        <v>-19.937000000000001</v>
      </c>
      <c r="L241" s="220">
        <v>24.417999999999999</v>
      </c>
      <c r="M241" s="220" t="s">
        <v>937</v>
      </c>
      <c r="N241" s="220" t="s">
        <v>933</v>
      </c>
      <c r="O241" s="220" t="s">
        <v>938</v>
      </c>
      <c r="P241" s="220" t="s">
        <v>939</v>
      </c>
      <c r="Q241" s="220" t="s">
        <v>236</v>
      </c>
      <c r="R241" s="220" t="s">
        <v>255</v>
      </c>
      <c r="S241" s="220" t="s">
        <v>177</v>
      </c>
    </row>
    <row r="242" spans="1:19" hidden="1" x14ac:dyDescent="0.25">
      <c r="A242" s="220">
        <v>35</v>
      </c>
      <c r="B242" s="220" t="s">
        <v>0</v>
      </c>
      <c r="C242" s="220" t="s">
        <v>729</v>
      </c>
      <c r="D242" s="220" t="s">
        <v>348</v>
      </c>
      <c r="E242" s="220">
        <v>5</v>
      </c>
      <c r="F242" s="220">
        <v>217.38200000000001</v>
      </c>
      <c r="G242" s="220">
        <v>16528</v>
      </c>
      <c r="H242" s="220">
        <v>20025</v>
      </c>
      <c r="I242" s="220">
        <v>23035</v>
      </c>
      <c r="J242" s="220">
        <v>213.904</v>
      </c>
      <c r="K242" s="220">
        <v>4.7320000000000002</v>
      </c>
      <c r="L242" s="220">
        <v>36.716000000000001</v>
      </c>
      <c r="M242" s="220" t="s">
        <v>937</v>
      </c>
      <c r="N242" s="220" t="s">
        <v>933</v>
      </c>
      <c r="O242" s="220" t="s">
        <v>938</v>
      </c>
      <c r="P242" s="220" t="s">
        <v>939</v>
      </c>
      <c r="Q242" s="220" t="s">
        <v>175</v>
      </c>
      <c r="R242" s="220" t="s">
        <v>101</v>
      </c>
      <c r="S242" s="220" t="s">
        <v>83</v>
      </c>
    </row>
    <row r="243" spans="1:19" x14ac:dyDescent="0.25">
      <c r="A243" s="220">
        <v>35</v>
      </c>
      <c r="B243" s="220" t="s">
        <v>0</v>
      </c>
      <c r="C243" s="220" t="s">
        <v>729</v>
      </c>
      <c r="D243" s="220" t="s">
        <v>348</v>
      </c>
      <c r="E243" s="220">
        <v>6</v>
      </c>
      <c r="F243" s="220">
        <v>190.262</v>
      </c>
      <c r="G243" s="220">
        <v>14725</v>
      </c>
      <c r="H243" s="220">
        <v>17841</v>
      </c>
      <c r="I243" s="220">
        <v>20525</v>
      </c>
      <c r="J243" s="220">
        <v>187.21799999999999</v>
      </c>
      <c r="K243" s="220">
        <v>4.7469999999999999</v>
      </c>
      <c r="L243" s="220">
        <v>36.978000000000002</v>
      </c>
      <c r="M243" s="220" t="s">
        <v>937</v>
      </c>
      <c r="N243" s="220" t="s">
        <v>933</v>
      </c>
      <c r="O243" s="220" t="s">
        <v>938</v>
      </c>
      <c r="P243" s="220" t="s">
        <v>939</v>
      </c>
      <c r="Q243" s="220" t="s">
        <v>272</v>
      </c>
      <c r="R243" s="220" t="s">
        <v>235</v>
      </c>
      <c r="S243" s="220" t="s">
        <v>940</v>
      </c>
    </row>
    <row r="244" spans="1:19" x14ac:dyDescent="0.25">
      <c r="A244" s="220">
        <v>35</v>
      </c>
      <c r="B244" s="220" t="s">
        <v>0</v>
      </c>
      <c r="C244" s="220" t="s">
        <v>729</v>
      </c>
      <c r="D244" s="220" t="s">
        <v>348</v>
      </c>
      <c r="E244" s="220">
        <v>7</v>
      </c>
      <c r="F244" s="220">
        <v>176.75399999999999</v>
      </c>
      <c r="G244" s="220">
        <v>13732</v>
      </c>
      <c r="H244" s="220">
        <v>16636</v>
      </c>
      <c r="I244" s="220">
        <v>19143</v>
      </c>
      <c r="J244" s="220">
        <v>173.92599999999999</v>
      </c>
      <c r="K244" s="220">
        <v>4.8170000000000002</v>
      </c>
      <c r="L244" s="220">
        <v>37.018000000000001</v>
      </c>
      <c r="M244" s="220" t="s">
        <v>937</v>
      </c>
      <c r="N244" s="220" t="s">
        <v>933</v>
      </c>
      <c r="O244" s="220" t="s">
        <v>938</v>
      </c>
      <c r="P244" s="220" t="s">
        <v>939</v>
      </c>
      <c r="Q244" s="220" t="s">
        <v>716</v>
      </c>
      <c r="R244" s="220" t="s">
        <v>659</v>
      </c>
      <c r="S244" s="220" t="s">
        <v>941</v>
      </c>
    </row>
    <row r="245" spans="1:19" hidden="1" x14ac:dyDescent="0.25">
      <c r="A245" s="220">
        <v>36</v>
      </c>
      <c r="B245" s="220" t="s">
        <v>0</v>
      </c>
      <c r="C245" s="220" t="s">
        <v>725</v>
      </c>
      <c r="D245" s="220" t="s">
        <v>351</v>
      </c>
      <c r="E245" s="220">
        <v>1</v>
      </c>
      <c r="F245" s="220">
        <v>204.42699999999999</v>
      </c>
      <c r="G245" s="220">
        <v>10445</v>
      </c>
      <c r="H245" s="220">
        <v>12320</v>
      </c>
      <c r="I245" s="220">
        <v>14392</v>
      </c>
      <c r="J245" s="220">
        <v>201.22200000000001</v>
      </c>
      <c r="K245" s="220">
        <v>-19.940999999999999</v>
      </c>
      <c r="L245" s="220">
        <v>24.428000000000001</v>
      </c>
      <c r="M245" s="220" t="s">
        <v>942</v>
      </c>
      <c r="N245" s="220" t="s">
        <v>933</v>
      </c>
      <c r="O245" s="220" t="s">
        <v>943</v>
      </c>
      <c r="P245" s="220" t="s">
        <v>944</v>
      </c>
      <c r="Q245" s="220" t="s">
        <v>85</v>
      </c>
      <c r="R245" s="220" t="s">
        <v>145</v>
      </c>
      <c r="S245" s="220" t="s">
        <v>245</v>
      </c>
    </row>
    <row r="246" spans="1:19" hidden="1" x14ac:dyDescent="0.25">
      <c r="A246" s="220">
        <v>36</v>
      </c>
      <c r="B246" s="220" t="s">
        <v>0</v>
      </c>
      <c r="C246" s="220" t="s">
        <v>725</v>
      </c>
      <c r="D246" s="220" t="s">
        <v>351</v>
      </c>
      <c r="E246" s="220">
        <v>2</v>
      </c>
      <c r="F246" s="220">
        <v>201.71199999999999</v>
      </c>
      <c r="G246" s="220">
        <v>10452</v>
      </c>
      <c r="H246" s="220">
        <v>12328</v>
      </c>
      <c r="I246" s="220">
        <v>14401</v>
      </c>
      <c r="J246" s="220">
        <v>198.54900000000001</v>
      </c>
      <c r="K246" s="220">
        <v>-19.942</v>
      </c>
      <c r="L246" s="220">
        <v>24.395</v>
      </c>
      <c r="M246" s="220" t="s">
        <v>942</v>
      </c>
      <c r="N246" s="220" t="s">
        <v>933</v>
      </c>
      <c r="O246" s="220" t="s">
        <v>943</v>
      </c>
      <c r="P246" s="220" t="s">
        <v>944</v>
      </c>
      <c r="Q246" s="220" t="s">
        <v>237</v>
      </c>
      <c r="R246" s="220" t="s">
        <v>105</v>
      </c>
      <c r="S246" s="220" t="s">
        <v>189</v>
      </c>
    </row>
    <row r="247" spans="1:19" hidden="1" x14ac:dyDescent="0.25">
      <c r="A247" s="220">
        <v>36</v>
      </c>
      <c r="B247" s="220" t="s">
        <v>0</v>
      </c>
      <c r="C247" s="220" t="s">
        <v>725</v>
      </c>
      <c r="D247" s="220" t="s">
        <v>351</v>
      </c>
      <c r="E247" s="220">
        <v>3</v>
      </c>
      <c r="F247" s="220">
        <v>203.23400000000001</v>
      </c>
      <c r="G247" s="220">
        <v>10502</v>
      </c>
      <c r="H247" s="220">
        <v>12388</v>
      </c>
      <c r="I247" s="220">
        <v>14472</v>
      </c>
      <c r="J247" s="220">
        <v>200.047</v>
      </c>
      <c r="K247" s="220">
        <v>-19.931999999999999</v>
      </c>
      <c r="L247" s="220">
        <v>24.408000000000001</v>
      </c>
      <c r="M247" s="220" t="s">
        <v>942</v>
      </c>
      <c r="N247" s="220" t="s">
        <v>933</v>
      </c>
      <c r="O247" s="220" t="s">
        <v>943</v>
      </c>
      <c r="P247" s="220" t="s">
        <v>944</v>
      </c>
      <c r="Q247" s="220" t="s">
        <v>111</v>
      </c>
      <c r="R247" s="220" t="s">
        <v>132</v>
      </c>
      <c r="S247" s="220" t="s">
        <v>303</v>
      </c>
    </row>
    <row r="248" spans="1:19" hidden="1" x14ac:dyDescent="0.25">
      <c r="A248" s="220">
        <v>36</v>
      </c>
      <c r="B248" s="220" t="s">
        <v>0</v>
      </c>
      <c r="C248" s="220" t="s">
        <v>725</v>
      </c>
      <c r="D248" s="220" t="s">
        <v>351</v>
      </c>
      <c r="E248" s="220">
        <v>4</v>
      </c>
      <c r="F248" s="220">
        <v>203.06100000000001</v>
      </c>
      <c r="G248" s="220">
        <v>10455</v>
      </c>
      <c r="H248" s="220">
        <v>12331</v>
      </c>
      <c r="I248" s="220">
        <v>14404</v>
      </c>
      <c r="J248" s="220">
        <v>199.87700000000001</v>
      </c>
      <c r="K248" s="220">
        <v>-19.937000000000001</v>
      </c>
      <c r="L248" s="220">
        <v>24.417999999999999</v>
      </c>
      <c r="M248" s="220" t="s">
        <v>942</v>
      </c>
      <c r="N248" s="220" t="s">
        <v>933</v>
      </c>
      <c r="O248" s="220" t="s">
        <v>943</v>
      </c>
      <c r="P248" s="220" t="s">
        <v>944</v>
      </c>
      <c r="Q248" s="220" t="s">
        <v>111</v>
      </c>
      <c r="R248" s="220" t="s">
        <v>132</v>
      </c>
      <c r="S248" s="220" t="s">
        <v>190</v>
      </c>
    </row>
    <row r="249" spans="1:19" hidden="1" x14ac:dyDescent="0.25">
      <c r="A249" s="220">
        <v>36</v>
      </c>
      <c r="B249" s="220" t="s">
        <v>0</v>
      </c>
      <c r="C249" s="220" t="s">
        <v>725</v>
      </c>
      <c r="D249" s="220" t="s">
        <v>351</v>
      </c>
      <c r="E249" s="220">
        <v>5</v>
      </c>
      <c r="F249" s="220">
        <v>248.08</v>
      </c>
      <c r="G249" s="220">
        <v>19946</v>
      </c>
      <c r="H249" s="220">
        <v>24193</v>
      </c>
      <c r="I249" s="220">
        <v>27827</v>
      </c>
      <c r="J249" s="220">
        <v>244.11</v>
      </c>
      <c r="K249" s="220">
        <v>4.6740000000000004</v>
      </c>
      <c r="L249" s="220">
        <v>36.781999999999996</v>
      </c>
      <c r="M249" s="220" t="s">
        <v>942</v>
      </c>
      <c r="N249" s="220" t="s">
        <v>933</v>
      </c>
      <c r="O249" s="220" t="s">
        <v>943</v>
      </c>
      <c r="P249" s="220" t="s">
        <v>944</v>
      </c>
      <c r="Q249" s="220" t="s">
        <v>174</v>
      </c>
      <c r="R249" s="220" t="s">
        <v>611</v>
      </c>
      <c r="S249" s="220" t="s">
        <v>664</v>
      </c>
    </row>
    <row r="250" spans="1:19" x14ac:dyDescent="0.25">
      <c r="A250" s="220">
        <v>36</v>
      </c>
      <c r="B250" s="220" t="s">
        <v>0</v>
      </c>
      <c r="C250" s="220" t="s">
        <v>725</v>
      </c>
      <c r="D250" s="220" t="s">
        <v>351</v>
      </c>
      <c r="E250" s="220">
        <v>6</v>
      </c>
      <c r="F250" s="220">
        <v>218.27600000000001</v>
      </c>
      <c r="G250" s="220">
        <v>17746</v>
      </c>
      <c r="H250" s="220">
        <v>21507</v>
      </c>
      <c r="I250" s="220">
        <v>24757</v>
      </c>
      <c r="J250" s="220">
        <v>214.78299999999999</v>
      </c>
      <c r="K250" s="220">
        <v>4.71</v>
      </c>
      <c r="L250" s="220">
        <v>36.938000000000002</v>
      </c>
      <c r="M250" s="220" t="s">
        <v>942</v>
      </c>
      <c r="N250" s="220" t="s">
        <v>933</v>
      </c>
      <c r="O250" s="220" t="s">
        <v>943</v>
      </c>
      <c r="P250" s="220" t="s">
        <v>944</v>
      </c>
      <c r="Q250" s="220" t="s">
        <v>266</v>
      </c>
      <c r="R250" s="220" t="s">
        <v>573</v>
      </c>
      <c r="S250" s="220" t="s">
        <v>945</v>
      </c>
    </row>
    <row r="251" spans="1:19" x14ac:dyDescent="0.25">
      <c r="A251" s="220">
        <v>36</v>
      </c>
      <c r="B251" s="220" t="s">
        <v>0</v>
      </c>
      <c r="C251" s="220" t="s">
        <v>725</v>
      </c>
      <c r="D251" s="220" t="s">
        <v>351</v>
      </c>
      <c r="E251" s="220">
        <v>7</v>
      </c>
      <c r="F251" s="220">
        <v>205.28399999999999</v>
      </c>
      <c r="G251" s="220">
        <v>16472</v>
      </c>
      <c r="H251" s="220">
        <v>19964</v>
      </c>
      <c r="I251" s="220">
        <v>22982</v>
      </c>
      <c r="J251" s="220">
        <v>201.999</v>
      </c>
      <c r="K251" s="220">
        <v>4.6909999999999998</v>
      </c>
      <c r="L251" s="220">
        <v>36.963000000000001</v>
      </c>
      <c r="M251" s="220" t="s">
        <v>942</v>
      </c>
      <c r="N251" s="220" t="s">
        <v>933</v>
      </c>
      <c r="O251" s="220" t="s">
        <v>943</v>
      </c>
      <c r="P251" s="220" t="s">
        <v>944</v>
      </c>
      <c r="Q251" s="220" t="s">
        <v>266</v>
      </c>
      <c r="R251" s="220" t="s">
        <v>573</v>
      </c>
      <c r="S251" s="220" t="s">
        <v>945</v>
      </c>
    </row>
    <row r="252" spans="1:19" hidden="1" x14ac:dyDescent="0.25">
      <c r="A252" s="220">
        <v>37</v>
      </c>
      <c r="B252" s="220" t="s">
        <v>946</v>
      </c>
      <c r="C252" s="220" t="s">
        <v>287</v>
      </c>
      <c r="D252" s="220" t="s">
        <v>353</v>
      </c>
      <c r="E252" s="220">
        <v>1</v>
      </c>
      <c r="F252" s="220">
        <v>204.03700000000001</v>
      </c>
      <c r="G252" s="220">
        <v>10448</v>
      </c>
      <c r="H252" s="220">
        <v>12322</v>
      </c>
      <c r="I252" s="220">
        <v>14393</v>
      </c>
      <c r="J252" s="220">
        <v>200.83699999999999</v>
      </c>
      <c r="K252" s="220">
        <v>-19.943000000000001</v>
      </c>
      <c r="L252" s="220">
        <v>24.427</v>
      </c>
      <c r="M252" s="220" t="s">
        <v>947</v>
      </c>
      <c r="N252" s="220" t="s">
        <v>933</v>
      </c>
      <c r="O252" s="220" t="s">
        <v>948</v>
      </c>
      <c r="P252" s="220" t="s">
        <v>949</v>
      </c>
      <c r="Q252" s="220" t="s">
        <v>90</v>
      </c>
      <c r="R252" s="220" t="s">
        <v>120</v>
      </c>
      <c r="S252" s="220" t="s">
        <v>272</v>
      </c>
    </row>
    <row r="253" spans="1:19" hidden="1" x14ac:dyDescent="0.25">
      <c r="A253" s="220">
        <v>37</v>
      </c>
      <c r="B253" s="220" t="s">
        <v>946</v>
      </c>
      <c r="C253" s="220" t="s">
        <v>287</v>
      </c>
      <c r="D253" s="220" t="s">
        <v>353</v>
      </c>
      <c r="E253" s="220">
        <v>2</v>
      </c>
      <c r="F253" s="220">
        <v>202.01300000000001</v>
      </c>
      <c r="G253" s="220">
        <v>10450</v>
      </c>
      <c r="H253" s="220">
        <v>12326</v>
      </c>
      <c r="I253" s="220">
        <v>14396</v>
      </c>
      <c r="J253" s="220">
        <v>198.846</v>
      </c>
      <c r="K253" s="220">
        <v>-19.95</v>
      </c>
      <c r="L253" s="220">
        <v>24.419</v>
      </c>
      <c r="M253" s="220" t="s">
        <v>947</v>
      </c>
      <c r="N253" s="220" t="s">
        <v>933</v>
      </c>
      <c r="O253" s="220" t="s">
        <v>948</v>
      </c>
      <c r="P253" s="220" t="s">
        <v>949</v>
      </c>
      <c r="Q253" s="220" t="s">
        <v>81</v>
      </c>
      <c r="R253" s="220" t="s">
        <v>214</v>
      </c>
      <c r="S253" s="220" t="s">
        <v>201</v>
      </c>
    </row>
    <row r="254" spans="1:19" hidden="1" x14ac:dyDescent="0.25">
      <c r="A254" s="220">
        <v>37</v>
      </c>
      <c r="B254" s="220" t="s">
        <v>946</v>
      </c>
      <c r="C254" s="220" t="s">
        <v>287</v>
      </c>
      <c r="D254" s="220" t="s">
        <v>353</v>
      </c>
      <c r="E254" s="220">
        <v>3</v>
      </c>
      <c r="F254" s="220">
        <v>203.54499999999999</v>
      </c>
      <c r="G254" s="220">
        <v>10503</v>
      </c>
      <c r="H254" s="220">
        <v>12388</v>
      </c>
      <c r="I254" s="220">
        <v>14471</v>
      </c>
      <c r="J254" s="220">
        <v>200.35300000000001</v>
      </c>
      <c r="K254" s="220">
        <v>-19.951000000000001</v>
      </c>
      <c r="L254" s="220">
        <v>24.407</v>
      </c>
      <c r="M254" s="220" t="s">
        <v>947</v>
      </c>
      <c r="N254" s="220" t="s">
        <v>933</v>
      </c>
      <c r="O254" s="220" t="s">
        <v>948</v>
      </c>
      <c r="P254" s="220" t="s">
        <v>949</v>
      </c>
      <c r="Q254" s="220" t="s">
        <v>277</v>
      </c>
      <c r="R254" s="220" t="s">
        <v>149</v>
      </c>
      <c r="S254" s="220" t="s">
        <v>531</v>
      </c>
    </row>
    <row r="255" spans="1:19" hidden="1" x14ac:dyDescent="0.25">
      <c r="A255" s="220">
        <v>37</v>
      </c>
      <c r="B255" s="220" t="s">
        <v>946</v>
      </c>
      <c r="C255" s="220" t="s">
        <v>287</v>
      </c>
      <c r="D255" s="220" t="s">
        <v>353</v>
      </c>
      <c r="E255" s="220">
        <v>4</v>
      </c>
      <c r="F255" s="220">
        <v>203.21799999999999</v>
      </c>
      <c r="G255" s="220">
        <v>10451</v>
      </c>
      <c r="H255" s="220">
        <v>12327</v>
      </c>
      <c r="I255" s="220">
        <v>14397</v>
      </c>
      <c r="J255" s="220">
        <v>200.03200000000001</v>
      </c>
      <c r="K255" s="220">
        <v>-19.937000000000001</v>
      </c>
      <c r="L255" s="220">
        <v>24.417999999999999</v>
      </c>
      <c r="M255" s="220" t="s">
        <v>947</v>
      </c>
      <c r="N255" s="220" t="s">
        <v>933</v>
      </c>
      <c r="O255" s="220" t="s">
        <v>948</v>
      </c>
      <c r="P255" s="220" t="s">
        <v>949</v>
      </c>
      <c r="Q255" s="220" t="s">
        <v>81</v>
      </c>
      <c r="R255" s="220" t="s">
        <v>214</v>
      </c>
      <c r="S255" s="220" t="s">
        <v>519</v>
      </c>
    </row>
    <row r="256" spans="1:19" hidden="1" x14ac:dyDescent="0.25">
      <c r="A256" s="220">
        <v>37</v>
      </c>
      <c r="B256" s="220" t="s">
        <v>946</v>
      </c>
      <c r="C256" s="220" t="s">
        <v>287</v>
      </c>
      <c r="D256" s="220" t="s">
        <v>353</v>
      </c>
      <c r="E256" s="220">
        <v>5</v>
      </c>
      <c r="F256" s="220">
        <v>180.666</v>
      </c>
      <c r="G256" s="220">
        <v>13739</v>
      </c>
      <c r="H256" s="220">
        <v>16548</v>
      </c>
      <c r="I256" s="220">
        <v>19148</v>
      </c>
      <c r="J256" s="220">
        <v>177.78800000000001</v>
      </c>
      <c r="K256" s="220">
        <v>-1.583</v>
      </c>
      <c r="L256" s="220">
        <v>35.756</v>
      </c>
      <c r="M256" s="220" t="s">
        <v>947</v>
      </c>
      <c r="N256" s="220" t="s">
        <v>933</v>
      </c>
      <c r="O256" s="220" t="s">
        <v>948</v>
      </c>
      <c r="P256" s="220" t="s">
        <v>949</v>
      </c>
      <c r="Q256" s="220" t="s">
        <v>174</v>
      </c>
      <c r="R256" s="220" t="s">
        <v>603</v>
      </c>
      <c r="S256" s="220" t="s">
        <v>950</v>
      </c>
    </row>
    <row r="257" spans="1:19" x14ac:dyDescent="0.25">
      <c r="A257" s="220">
        <v>37</v>
      </c>
      <c r="B257" s="220" t="s">
        <v>946</v>
      </c>
      <c r="C257" s="220" t="s">
        <v>287</v>
      </c>
      <c r="D257" s="220" t="s">
        <v>353</v>
      </c>
      <c r="E257" s="220">
        <v>6</v>
      </c>
      <c r="F257" s="220">
        <v>158.64500000000001</v>
      </c>
      <c r="G257" s="220">
        <v>12279</v>
      </c>
      <c r="H257" s="220">
        <v>14785</v>
      </c>
      <c r="I257" s="220">
        <v>17118</v>
      </c>
      <c r="J257" s="220">
        <v>156.11799999999999</v>
      </c>
      <c r="K257" s="220">
        <v>-1.5249999999999999</v>
      </c>
      <c r="L257" s="220">
        <v>36.170999999999999</v>
      </c>
      <c r="M257" s="220" t="s">
        <v>947</v>
      </c>
      <c r="N257" s="220" t="s">
        <v>933</v>
      </c>
      <c r="O257" s="220" t="s">
        <v>948</v>
      </c>
      <c r="P257" s="220" t="s">
        <v>949</v>
      </c>
      <c r="Q257" s="220" t="s">
        <v>217</v>
      </c>
      <c r="R257" s="220" t="s">
        <v>239</v>
      </c>
      <c r="S257" s="220" t="s">
        <v>184</v>
      </c>
    </row>
    <row r="258" spans="1:19" x14ac:dyDescent="0.25">
      <c r="A258" s="220">
        <v>37</v>
      </c>
      <c r="B258" s="220" t="s">
        <v>946</v>
      </c>
      <c r="C258" s="220" t="s">
        <v>287</v>
      </c>
      <c r="D258" s="220" t="s">
        <v>353</v>
      </c>
      <c r="E258" s="220">
        <v>7</v>
      </c>
      <c r="F258" s="220">
        <v>147.51400000000001</v>
      </c>
      <c r="G258" s="220">
        <v>11458</v>
      </c>
      <c r="H258" s="220">
        <v>13794</v>
      </c>
      <c r="I258" s="220">
        <v>15970</v>
      </c>
      <c r="J258" s="220">
        <v>145.16399999999999</v>
      </c>
      <c r="K258" s="220">
        <v>-1.504</v>
      </c>
      <c r="L258" s="220">
        <v>36.15</v>
      </c>
      <c r="M258" s="220" t="s">
        <v>947</v>
      </c>
      <c r="N258" s="220" t="s">
        <v>933</v>
      </c>
      <c r="O258" s="220" t="s">
        <v>948</v>
      </c>
      <c r="P258" s="220" t="s">
        <v>949</v>
      </c>
      <c r="Q258" s="220" t="s">
        <v>951</v>
      </c>
      <c r="R258" s="220" t="s">
        <v>592</v>
      </c>
      <c r="S258" s="220" t="s">
        <v>559</v>
      </c>
    </row>
    <row r="259" spans="1:19" hidden="1" x14ac:dyDescent="0.25">
      <c r="A259" s="220">
        <v>38</v>
      </c>
      <c r="B259" s="220" t="s">
        <v>952</v>
      </c>
      <c r="C259" s="220" t="s">
        <v>289</v>
      </c>
      <c r="D259" s="220" t="s">
        <v>354</v>
      </c>
      <c r="E259" s="220">
        <v>1</v>
      </c>
      <c r="F259" s="220">
        <v>204.32599999999999</v>
      </c>
      <c r="G259" s="220">
        <v>10454</v>
      </c>
      <c r="H259" s="220">
        <v>12331</v>
      </c>
      <c r="I259" s="220">
        <v>14393</v>
      </c>
      <c r="J259" s="220">
        <v>201.12299999999999</v>
      </c>
      <c r="K259" s="220">
        <v>-19.928999999999998</v>
      </c>
      <c r="L259" s="220">
        <v>24.414999999999999</v>
      </c>
      <c r="M259" s="220" t="s">
        <v>693</v>
      </c>
      <c r="N259" s="220" t="s">
        <v>933</v>
      </c>
      <c r="O259" s="220" t="s">
        <v>953</v>
      </c>
      <c r="P259" s="220" t="s">
        <v>954</v>
      </c>
      <c r="Q259" s="220" t="s">
        <v>71</v>
      </c>
      <c r="R259" s="220" t="s">
        <v>115</v>
      </c>
      <c r="S259" s="220" t="s">
        <v>163</v>
      </c>
    </row>
    <row r="260" spans="1:19" hidden="1" x14ac:dyDescent="0.25">
      <c r="A260" s="220">
        <v>38</v>
      </c>
      <c r="B260" s="220" t="s">
        <v>952</v>
      </c>
      <c r="C260" s="220" t="s">
        <v>289</v>
      </c>
      <c r="D260" s="220" t="s">
        <v>354</v>
      </c>
      <c r="E260" s="220">
        <v>2</v>
      </c>
      <c r="F260" s="220">
        <v>200.947</v>
      </c>
      <c r="G260" s="220">
        <v>10394</v>
      </c>
      <c r="H260" s="220">
        <v>12260</v>
      </c>
      <c r="I260" s="220">
        <v>14310</v>
      </c>
      <c r="J260" s="220">
        <v>197.79599999999999</v>
      </c>
      <c r="K260" s="220">
        <v>-19.937000000000001</v>
      </c>
      <c r="L260" s="220">
        <v>24.398</v>
      </c>
      <c r="M260" s="220" t="s">
        <v>693</v>
      </c>
      <c r="N260" s="220" t="s">
        <v>933</v>
      </c>
      <c r="O260" s="220" t="s">
        <v>953</v>
      </c>
      <c r="P260" s="220" t="s">
        <v>954</v>
      </c>
      <c r="Q260" s="220" t="s">
        <v>126</v>
      </c>
      <c r="R260" s="220" t="s">
        <v>274</v>
      </c>
      <c r="S260" s="220" t="s">
        <v>172</v>
      </c>
    </row>
    <row r="261" spans="1:19" hidden="1" x14ac:dyDescent="0.25">
      <c r="A261" s="220">
        <v>38</v>
      </c>
      <c r="B261" s="220" t="s">
        <v>952</v>
      </c>
      <c r="C261" s="220" t="s">
        <v>289</v>
      </c>
      <c r="D261" s="220" t="s">
        <v>354</v>
      </c>
      <c r="E261" s="220">
        <v>3</v>
      </c>
      <c r="F261" s="220">
        <v>203.006</v>
      </c>
      <c r="G261" s="220">
        <v>10483</v>
      </c>
      <c r="H261" s="220">
        <v>12364</v>
      </c>
      <c r="I261" s="220">
        <v>14432</v>
      </c>
      <c r="J261" s="220">
        <v>199.82300000000001</v>
      </c>
      <c r="K261" s="220">
        <v>-19.920999999999999</v>
      </c>
      <c r="L261" s="220">
        <v>24.393999999999998</v>
      </c>
      <c r="M261" s="220" t="s">
        <v>693</v>
      </c>
      <c r="N261" s="220" t="s">
        <v>933</v>
      </c>
      <c r="O261" s="220" t="s">
        <v>953</v>
      </c>
      <c r="P261" s="220" t="s">
        <v>954</v>
      </c>
      <c r="Q261" s="220" t="s">
        <v>236</v>
      </c>
      <c r="R261" s="220" t="s">
        <v>255</v>
      </c>
      <c r="S261" s="220" t="s">
        <v>253</v>
      </c>
    </row>
    <row r="262" spans="1:19" hidden="1" x14ac:dyDescent="0.25">
      <c r="A262" s="220">
        <v>38</v>
      </c>
      <c r="B262" s="220" t="s">
        <v>952</v>
      </c>
      <c r="C262" s="220" t="s">
        <v>289</v>
      </c>
      <c r="D262" s="220" t="s">
        <v>354</v>
      </c>
      <c r="E262" s="220">
        <v>4</v>
      </c>
      <c r="F262" s="220">
        <v>202.83799999999999</v>
      </c>
      <c r="G262" s="220">
        <v>10441</v>
      </c>
      <c r="H262" s="220">
        <v>12316</v>
      </c>
      <c r="I262" s="220">
        <v>14373</v>
      </c>
      <c r="J262" s="220">
        <v>199.65799999999999</v>
      </c>
      <c r="K262" s="220">
        <v>-19.937000000000001</v>
      </c>
      <c r="L262" s="220">
        <v>24.417999999999999</v>
      </c>
      <c r="M262" s="220" t="s">
        <v>693</v>
      </c>
      <c r="N262" s="220" t="s">
        <v>933</v>
      </c>
      <c r="O262" s="220" t="s">
        <v>953</v>
      </c>
      <c r="P262" s="220" t="s">
        <v>954</v>
      </c>
      <c r="Q262" s="220" t="s">
        <v>236</v>
      </c>
      <c r="R262" s="220" t="s">
        <v>252</v>
      </c>
      <c r="S262" s="220" t="s">
        <v>177</v>
      </c>
    </row>
    <row r="263" spans="1:19" hidden="1" x14ac:dyDescent="0.25">
      <c r="A263" s="220">
        <v>38</v>
      </c>
      <c r="B263" s="220" t="s">
        <v>952</v>
      </c>
      <c r="C263" s="220" t="s">
        <v>289</v>
      </c>
      <c r="D263" s="220" t="s">
        <v>354</v>
      </c>
      <c r="E263" s="220">
        <v>5</v>
      </c>
      <c r="F263" s="220">
        <v>217.845</v>
      </c>
      <c r="G263" s="220">
        <v>17337</v>
      </c>
      <c r="H263" s="220">
        <v>20900</v>
      </c>
      <c r="I263" s="220">
        <v>24147</v>
      </c>
      <c r="J263" s="220">
        <v>214.374</v>
      </c>
      <c r="K263" s="220">
        <v>-1.2110000000000001</v>
      </c>
      <c r="L263" s="220">
        <v>35.848999999999997</v>
      </c>
      <c r="M263" s="220" t="s">
        <v>693</v>
      </c>
      <c r="N263" s="220" t="s">
        <v>933</v>
      </c>
      <c r="O263" s="220" t="s">
        <v>953</v>
      </c>
      <c r="P263" s="220" t="s">
        <v>954</v>
      </c>
      <c r="Q263" s="220" t="s">
        <v>181</v>
      </c>
      <c r="R263" s="220" t="s">
        <v>46</v>
      </c>
      <c r="S263" s="220" t="s">
        <v>950</v>
      </c>
    </row>
    <row r="264" spans="1:19" x14ac:dyDescent="0.25">
      <c r="A264" s="220">
        <v>38</v>
      </c>
      <c r="B264" s="220" t="s">
        <v>952</v>
      </c>
      <c r="C264" s="220" t="s">
        <v>289</v>
      </c>
      <c r="D264" s="220" t="s">
        <v>354</v>
      </c>
      <c r="E264" s="220">
        <v>6</v>
      </c>
      <c r="F264" s="220">
        <v>190.43299999999999</v>
      </c>
      <c r="G264" s="220">
        <v>15252</v>
      </c>
      <c r="H264" s="220">
        <v>18371</v>
      </c>
      <c r="I264" s="220">
        <v>21238</v>
      </c>
      <c r="J264" s="220">
        <v>187.4</v>
      </c>
      <c r="K264" s="220">
        <v>-1.2110000000000001</v>
      </c>
      <c r="L264" s="220">
        <v>36.167999999999999</v>
      </c>
      <c r="M264" s="220" t="s">
        <v>693</v>
      </c>
      <c r="N264" s="220" t="s">
        <v>933</v>
      </c>
      <c r="O264" s="220" t="s">
        <v>953</v>
      </c>
      <c r="P264" s="220" t="s">
        <v>954</v>
      </c>
      <c r="Q264" s="220" t="s">
        <v>96</v>
      </c>
      <c r="R264" s="220" t="s">
        <v>138</v>
      </c>
      <c r="S264" s="220" t="s">
        <v>642</v>
      </c>
    </row>
    <row r="265" spans="1:19" x14ac:dyDescent="0.25">
      <c r="A265" s="220">
        <v>38</v>
      </c>
      <c r="B265" s="220" t="s">
        <v>952</v>
      </c>
      <c r="C265" s="220" t="s">
        <v>289</v>
      </c>
      <c r="D265" s="220" t="s">
        <v>354</v>
      </c>
      <c r="E265" s="220">
        <v>7</v>
      </c>
      <c r="F265" s="220">
        <v>178.649</v>
      </c>
      <c r="G265" s="220">
        <v>14114</v>
      </c>
      <c r="H265" s="220">
        <v>16999</v>
      </c>
      <c r="I265" s="220">
        <v>19658</v>
      </c>
      <c r="J265" s="220">
        <v>175.803</v>
      </c>
      <c r="K265" s="220">
        <v>-1.224</v>
      </c>
      <c r="L265" s="220">
        <v>36.188000000000002</v>
      </c>
      <c r="M265" s="220" t="s">
        <v>693</v>
      </c>
      <c r="N265" s="220" t="s">
        <v>933</v>
      </c>
      <c r="O265" s="220" t="s">
        <v>953</v>
      </c>
      <c r="P265" s="220" t="s">
        <v>954</v>
      </c>
      <c r="Q265" s="220" t="s">
        <v>96</v>
      </c>
      <c r="R265" s="220" t="s">
        <v>138</v>
      </c>
      <c r="S265" s="220" t="s">
        <v>642</v>
      </c>
    </row>
    <row r="266" spans="1:19" hidden="1" x14ac:dyDescent="0.25">
      <c r="A266" s="220">
        <v>39</v>
      </c>
      <c r="B266" s="220" t="s">
        <v>955</v>
      </c>
      <c r="C266" s="220" t="s">
        <v>296</v>
      </c>
      <c r="D266" s="220" t="s">
        <v>356</v>
      </c>
      <c r="E266" s="220">
        <v>1</v>
      </c>
      <c r="F266" s="220">
        <v>203.56800000000001</v>
      </c>
      <c r="G266" s="220">
        <v>10425</v>
      </c>
      <c r="H266" s="220">
        <v>12298</v>
      </c>
      <c r="I266" s="220">
        <v>14355</v>
      </c>
      <c r="J266" s="220">
        <v>200.376</v>
      </c>
      <c r="K266" s="220">
        <v>-19.927</v>
      </c>
      <c r="L266" s="220">
        <v>24.42</v>
      </c>
      <c r="M266" s="220" t="s">
        <v>956</v>
      </c>
      <c r="N266" s="220" t="s">
        <v>933</v>
      </c>
      <c r="O266" s="220" t="s">
        <v>957</v>
      </c>
      <c r="P266" s="220" t="s">
        <v>958</v>
      </c>
      <c r="Q266" s="220" t="s">
        <v>102</v>
      </c>
      <c r="R266" s="220" t="s">
        <v>249</v>
      </c>
      <c r="S266" s="220" t="s">
        <v>139</v>
      </c>
    </row>
    <row r="267" spans="1:19" hidden="1" x14ac:dyDescent="0.25">
      <c r="A267" s="220">
        <v>39</v>
      </c>
      <c r="B267" s="220" t="s">
        <v>955</v>
      </c>
      <c r="C267" s="220" t="s">
        <v>296</v>
      </c>
      <c r="D267" s="220" t="s">
        <v>356</v>
      </c>
      <c r="E267" s="220">
        <v>2</v>
      </c>
      <c r="F267" s="220">
        <v>201.54300000000001</v>
      </c>
      <c r="G267" s="220">
        <v>10438</v>
      </c>
      <c r="H267" s="220">
        <v>12313</v>
      </c>
      <c r="I267" s="220">
        <v>14373</v>
      </c>
      <c r="J267" s="220">
        <v>198.38399999999999</v>
      </c>
      <c r="K267" s="220">
        <v>-19.937000000000001</v>
      </c>
      <c r="L267" s="220">
        <v>24.422999999999998</v>
      </c>
      <c r="M267" s="220" t="s">
        <v>956</v>
      </c>
      <c r="N267" s="220" t="s">
        <v>933</v>
      </c>
      <c r="O267" s="220" t="s">
        <v>957</v>
      </c>
      <c r="P267" s="220" t="s">
        <v>958</v>
      </c>
      <c r="Q267" s="220" t="s">
        <v>236</v>
      </c>
      <c r="R267" s="220" t="s">
        <v>252</v>
      </c>
      <c r="S267" s="220" t="s">
        <v>253</v>
      </c>
    </row>
    <row r="268" spans="1:19" hidden="1" x14ac:dyDescent="0.25">
      <c r="A268" s="220">
        <v>39</v>
      </c>
      <c r="B268" s="220" t="s">
        <v>955</v>
      </c>
      <c r="C268" s="220" t="s">
        <v>296</v>
      </c>
      <c r="D268" s="220" t="s">
        <v>356</v>
      </c>
      <c r="E268" s="220">
        <v>3</v>
      </c>
      <c r="F268" s="220">
        <v>202.83600000000001</v>
      </c>
      <c r="G268" s="220">
        <v>10478</v>
      </c>
      <c r="H268" s="220">
        <v>12360</v>
      </c>
      <c r="I268" s="220">
        <v>14424</v>
      </c>
      <c r="J268" s="220">
        <v>199.65600000000001</v>
      </c>
      <c r="K268" s="220">
        <v>-19.931999999999999</v>
      </c>
      <c r="L268" s="220">
        <v>24.437000000000001</v>
      </c>
      <c r="M268" s="220" t="s">
        <v>956</v>
      </c>
      <c r="N268" s="220" t="s">
        <v>933</v>
      </c>
      <c r="O268" s="220" t="s">
        <v>957</v>
      </c>
      <c r="P268" s="220" t="s">
        <v>958</v>
      </c>
      <c r="Q268" s="220" t="s">
        <v>111</v>
      </c>
      <c r="R268" s="220" t="s">
        <v>132</v>
      </c>
      <c r="S268" s="220" t="s">
        <v>190</v>
      </c>
    </row>
    <row r="269" spans="1:19" hidden="1" x14ac:dyDescent="0.25">
      <c r="A269" s="220">
        <v>39</v>
      </c>
      <c r="B269" s="220" t="s">
        <v>955</v>
      </c>
      <c r="C269" s="220" t="s">
        <v>296</v>
      </c>
      <c r="D269" s="220" t="s">
        <v>356</v>
      </c>
      <c r="E269" s="220">
        <v>4</v>
      </c>
      <c r="F269" s="220">
        <v>202.82400000000001</v>
      </c>
      <c r="G269" s="220">
        <v>10439</v>
      </c>
      <c r="H269" s="220">
        <v>12313</v>
      </c>
      <c r="I269" s="220">
        <v>14370</v>
      </c>
      <c r="J269" s="220">
        <v>199.64400000000001</v>
      </c>
      <c r="K269" s="220">
        <v>-19.937000000000001</v>
      </c>
      <c r="L269" s="220">
        <v>24.417999999999999</v>
      </c>
      <c r="M269" s="220" t="s">
        <v>956</v>
      </c>
      <c r="N269" s="220" t="s">
        <v>933</v>
      </c>
      <c r="O269" s="220" t="s">
        <v>957</v>
      </c>
      <c r="P269" s="220" t="s">
        <v>958</v>
      </c>
      <c r="Q269" s="220" t="s">
        <v>120</v>
      </c>
      <c r="R269" s="220" t="s">
        <v>226</v>
      </c>
      <c r="S269" s="220" t="s">
        <v>235</v>
      </c>
    </row>
    <row r="270" spans="1:19" hidden="1" x14ac:dyDescent="0.25">
      <c r="A270" s="220">
        <v>39</v>
      </c>
      <c r="B270" s="220" t="s">
        <v>955</v>
      </c>
      <c r="C270" s="220" t="s">
        <v>296</v>
      </c>
      <c r="D270" s="220" t="s">
        <v>356</v>
      </c>
      <c r="E270" s="220">
        <v>5</v>
      </c>
      <c r="F270" s="220">
        <v>208.65100000000001</v>
      </c>
      <c r="G270" s="220">
        <v>15962</v>
      </c>
      <c r="H270" s="220">
        <v>19244</v>
      </c>
      <c r="I270" s="220">
        <v>22221</v>
      </c>
      <c r="J270" s="220">
        <v>205.328</v>
      </c>
      <c r="K270" s="220">
        <v>-1.25</v>
      </c>
      <c r="L270" s="220">
        <v>35.677999999999997</v>
      </c>
      <c r="M270" s="220" t="s">
        <v>956</v>
      </c>
      <c r="N270" s="220" t="s">
        <v>933</v>
      </c>
      <c r="O270" s="220" t="s">
        <v>957</v>
      </c>
      <c r="P270" s="220" t="s">
        <v>958</v>
      </c>
      <c r="Q270" s="220" t="s">
        <v>167</v>
      </c>
      <c r="R270" s="220" t="s">
        <v>88</v>
      </c>
      <c r="S270" s="220" t="s">
        <v>162</v>
      </c>
    </row>
    <row r="271" spans="1:19" x14ac:dyDescent="0.25">
      <c r="A271" s="220">
        <v>39</v>
      </c>
      <c r="B271" s="220" t="s">
        <v>955</v>
      </c>
      <c r="C271" s="220" t="s">
        <v>296</v>
      </c>
      <c r="D271" s="220" t="s">
        <v>356</v>
      </c>
      <c r="E271" s="220">
        <v>6</v>
      </c>
      <c r="F271" s="220">
        <v>183.20500000000001</v>
      </c>
      <c r="G271" s="220">
        <v>14260</v>
      </c>
      <c r="H271" s="220">
        <v>17187</v>
      </c>
      <c r="I271" s="220">
        <v>19856</v>
      </c>
      <c r="J271" s="220">
        <v>180.286</v>
      </c>
      <c r="K271" s="220">
        <v>-1.2030000000000001</v>
      </c>
      <c r="L271" s="220">
        <v>35.817</v>
      </c>
      <c r="M271" s="220" t="s">
        <v>956</v>
      </c>
      <c r="N271" s="220" t="s">
        <v>933</v>
      </c>
      <c r="O271" s="220" t="s">
        <v>957</v>
      </c>
      <c r="P271" s="220" t="s">
        <v>958</v>
      </c>
      <c r="Q271" s="220" t="s">
        <v>194</v>
      </c>
      <c r="R271" s="220" t="s">
        <v>172</v>
      </c>
      <c r="S271" s="220" t="s">
        <v>183</v>
      </c>
    </row>
    <row r="272" spans="1:19" x14ac:dyDescent="0.25">
      <c r="A272" s="220">
        <v>39</v>
      </c>
      <c r="B272" s="220" t="s">
        <v>955</v>
      </c>
      <c r="C272" s="220" t="s">
        <v>296</v>
      </c>
      <c r="D272" s="220" t="s">
        <v>356</v>
      </c>
      <c r="E272" s="220">
        <v>7</v>
      </c>
      <c r="F272" s="220">
        <v>172.59299999999999</v>
      </c>
      <c r="G272" s="220">
        <v>13381</v>
      </c>
      <c r="H272" s="220">
        <v>16125</v>
      </c>
      <c r="I272" s="220">
        <v>18633</v>
      </c>
      <c r="J272" s="220">
        <v>169.84399999999999</v>
      </c>
      <c r="K272" s="220">
        <v>-1.2470000000000001</v>
      </c>
      <c r="L272" s="220">
        <v>35.863999999999997</v>
      </c>
      <c r="M272" s="220" t="s">
        <v>956</v>
      </c>
      <c r="N272" s="220" t="s">
        <v>933</v>
      </c>
      <c r="O272" s="220" t="s">
        <v>957</v>
      </c>
      <c r="P272" s="220" t="s">
        <v>958</v>
      </c>
      <c r="Q272" s="220" t="s">
        <v>194</v>
      </c>
      <c r="R272" s="220" t="s">
        <v>172</v>
      </c>
      <c r="S272" s="220" t="s">
        <v>183</v>
      </c>
    </row>
    <row r="273" spans="1:19" hidden="1" x14ac:dyDescent="0.25">
      <c r="A273" s="220">
        <v>40</v>
      </c>
      <c r="B273" s="220" t="s">
        <v>959</v>
      </c>
      <c r="C273" s="220" t="s">
        <v>318</v>
      </c>
      <c r="D273" s="220" t="s">
        <v>357</v>
      </c>
      <c r="E273" s="220">
        <v>1</v>
      </c>
      <c r="F273" s="220">
        <v>203.82300000000001</v>
      </c>
      <c r="G273" s="220">
        <v>10431</v>
      </c>
      <c r="H273" s="220">
        <v>12303</v>
      </c>
      <c r="I273" s="220">
        <v>14361</v>
      </c>
      <c r="J273" s="220">
        <v>200.62700000000001</v>
      </c>
      <c r="K273" s="220">
        <v>-19.945</v>
      </c>
      <c r="L273" s="220">
        <v>24.398</v>
      </c>
      <c r="M273" s="220" t="s">
        <v>745</v>
      </c>
      <c r="N273" s="220" t="s">
        <v>933</v>
      </c>
      <c r="O273" s="220" t="s">
        <v>960</v>
      </c>
      <c r="P273" s="220" t="s">
        <v>961</v>
      </c>
      <c r="Q273" s="220" t="s">
        <v>78</v>
      </c>
      <c r="R273" s="220" t="s">
        <v>126</v>
      </c>
      <c r="S273" s="220" t="s">
        <v>146</v>
      </c>
    </row>
    <row r="274" spans="1:19" hidden="1" x14ac:dyDescent="0.25">
      <c r="A274" s="220">
        <v>40</v>
      </c>
      <c r="B274" s="220" t="s">
        <v>959</v>
      </c>
      <c r="C274" s="220" t="s">
        <v>318</v>
      </c>
      <c r="D274" s="220" t="s">
        <v>357</v>
      </c>
      <c r="E274" s="220">
        <v>2</v>
      </c>
      <c r="F274" s="220">
        <v>201.44</v>
      </c>
      <c r="G274" s="220">
        <v>10432</v>
      </c>
      <c r="H274" s="220">
        <v>12305</v>
      </c>
      <c r="I274" s="220">
        <v>14361</v>
      </c>
      <c r="J274" s="220">
        <v>198.28100000000001</v>
      </c>
      <c r="K274" s="220">
        <v>-19.952999999999999</v>
      </c>
      <c r="L274" s="220">
        <v>24.398</v>
      </c>
      <c r="M274" s="220" t="s">
        <v>745</v>
      </c>
      <c r="N274" s="220" t="s">
        <v>933</v>
      </c>
      <c r="O274" s="220" t="s">
        <v>960</v>
      </c>
      <c r="P274" s="220" t="s">
        <v>961</v>
      </c>
      <c r="Q274" s="220" t="s">
        <v>120</v>
      </c>
      <c r="R274" s="220" t="s">
        <v>226</v>
      </c>
      <c r="S274" s="220" t="s">
        <v>585</v>
      </c>
    </row>
    <row r="275" spans="1:19" hidden="1" x14ac:dyDescent="0.25">
      <c r="A275" s="220">
        <v>40</v>
      </c>
      <c r="B275" s="220" t="s">
        <v>959</v>
      </c>
      <c r="C275" s="220" t="s">
        <v>318</v>
      </c>
      <c r="D275" s="220" t="s">
        <v>357</v>
      </c>
      <c r="E275" s="220">
        <v>3</v>
      </c>
      <c r="F275" s="220">
        <v>203.04499999999999</v>
      </c>
      <c r="G275" s="220">
        <v>10481</v>
      </c>
      <c r="H275" s="220">
        <v>12364</v>
      </c>
      <c r="I275" s="220">
        <v>14434</v>
      </c>
      <c r="J275" s="220">
        <v>199.86199999999999</v>
      </c>
      <c r="K275" s="220">
        <v>-19.957999999999998</v>
      </c>
      <c r="L275" s="220">
        <v>24.439</v>
      </c>
      <c r="M275" s="220" t="s">
        <v>745</v>
      </c>
      <c r="N275" s="220" t="s">
        <v>933</v>
      </c>
      <c r="O275" s="220" t="s">
        <v>960</v>
      </c>
      <c r="P275" s="220" t="s">
        <v>961</v>
      </c>
      <c r="Q275" s="220" t="s">
        <v>158</v>
      </c>
      <c r="R275" s="220" t="s">
        <v>233</v>
      </c>
      <c r="S275" s="220" t="s">
        <v>303</v>
      </c>
    </row>
    <row r="276" spans="1:19" hidden="1" x14ac:dyDescent="0.25">
      <c r="A276" s="220">
        <v>40</v>
      </c>
      <c r="B276" s="220" t="s">
        <v>959</v>
      </c>
      <c r="C276" s="220" t="s">
        <v>318</v>
      </c>
      <c r="D276" s="220" t="s">
        <v>357</v>
      </c>
      <c r="E276" s="220">
        <v>4</v>
      </c>
      <c r="F276" s="220">
        <v>202.98599999999999</v>
      </c>
      <c r="G276" s="220">
        <v>10446</v>
      </c>
      <c r="H276" s="220">
        <v>12321</v>
      </c>
      <c r="I276" s="220">
        <v>14378</v>
      </c>
      <c r="J276" s="220">
        <v>199.803</v>
      </c>
      <c r="K276" s="220">
        <v>-19.937000000000001</v>
      </c>
      <c r="L276" s="220">
        <v>24.417999999999999</v>
      </c>
      <c r="M276" s="220" t="s">
        <v>745</v>
      </c>
      <c r="N276" s="220" t="s">
        <v>933</v>
      </c>
      <c r="O276" s="220" t="s">
        <v>960</v>
      </c>
      <c r="P276" s="220" t="s">
        <v>961</v>
      </c>
      <c r="Q276" s="220" t="s">
        <v>111</v>
      </c>
      <c r="R276" s="220" t="s">
        <v>132</v>
      </c>
      <c r="S276" s="220" t="s">
        <v>303</v>
      </c>
    </row>
    <row r="277" spans="1:19" hidden="1" x14ac:dyDescent="0.25">
      <c r="A277" s="220">
        <v>40</v>
      </c>
      <c r="B277" s="220" t="s">
        <v>959</v>
      </c>
      <c r="C277" s="220" t="s">
        <v>318</v>
      </c>
      <c r="D277" s="220" t="s">
        <v>357</v>
      </c>
      <c r="E277" s="220">
        <v>5</v>
      </c>
      <c r="F277" s="220">
        <v>229.80500000000001</v>
      </c>
      <c r="G277" s="220">
        <v>18022</v>
      </c>
      <c r="H277" s="220">
        <v>21717</v>
      </c>
      <c r="I277" s="220">
        <v>25093</v>
      </c>
      <c r="J277" s="220">
        <v>226.14400000000001</v>
      </c>
      <c r="K277" s="220">
        <v>-1.3420000000000001</v>
      </c>
      <c r="L277" s="220">
        <v>35.552999999999997</v>
      </c>
      <c r="M277" s="220" t="s">
        <v>745</v>
      </c>
      <c r="N277" s="220" t="s">
        <v>933</v>
      </c>
      <c r="O277" s="220" t="s">
        <v>960</v>
      </c>
      <c r="P277" s="220" t="s">
        <v>961</v>
      </c>
      <c r="Q277" s="220" t="s">
        <v>174</v>
      </c>
      <c r="R277" s="220" t="s">
        <v>101</v>
      </c>
      <c r="S277" s="220" t="s">
        <v>835</v>
      </c>
    </row>
    <row r="278" spans="1:19" x14ac:dyDescent="0.25">
      <c r="A278" s="220">
        <v>40</v>
      </c>
      <c r="B278" s="220" t="s">
        <v>959</v>
      </c>
      <c r="C278" s="220" t="s">
        <v>318</v>
      </c>
      <c r="D278" s="220" t="s">
        <v>357</v>
      </c>
      <c r="E278" s="220">
        <v>6</v>
      </c>
      <c r="F278" s="220">
        <v>200.49700000000001</v>
      </c>
      <c r="G278" s="220">
        <v>15788</v>
      </c>
      <c r="H278" s="220">
        <v>19012</v>
      </c>
      <c r="I278" s="220">
        <v>21979</v>
      </c>
      <c r="J278" s="220">
        <v>197.303</v>
      </c>
      <c r="K278" s="220">
        <v>-1.329</v>
      </c>
      <c r="L278" s="220">
        <v>35.774999999999999</v>
      </c>
      <c r="M278" s="220" t="s">
        <v>745</v>
      </c>
      <c r="N278" s="220" t="s">
        <v>933</v>
      </c>
      <c r="O278" s="220" t="s">
        <v>960</v>
      </c>
      <c r="P278" s="220" t="s">
        <v>961</v>
      </c>
      <c r="Q278" s="220" t="s">
        <v>259</v>
      </c>
      <c r="R278" s="220" t="s">
        <v>261</v>
      </c>
      <c r="S278" s="220" t="s">
        <v>736</v>
      </c>
    </row>
    <row r="279" spans="1:19" x14ac:dyDescent="0.25">
      <c r="A279" s="220">
        <v>40</v>
      </c>
      <c r="B279" s="220" t="s">
        <v>959</v>
      </c>
      <c r="C279" s="220" t="s">
        <v>318</v>
      </c>
      <c r="D279" s="220" t="s">
        <v>357</v>
      </c>
      <c r="E279" s="220">
        <v>7</v>
      </c>
      <c r="F279" s="220">
        <v>188.499</v>
      </c>
      <c r="G279" s="220">
        <v>14655</v>
      </c>
      <c r="H279" s="220">
        <v>17644</v>
      </c>
      <c r="I279" s="220">
        <v>20407</v>
      </c>
      <c r="J279" s="220">
        <v>185.49600000000001</v>
      </c>
      <c r="K279" s="220">
        <v>-1.347</v>
      </c>
      <c r="L279" s="220">
        <v>35.847999999999999</v>
      </c>
      <c r="M279" s="220" t="s">
        <v>745</v>
      </c>
      <c r="N279" s="220" t="s">
        <v>933</v>
      </c>
      <c r="O279" s="220" t="s">
        <v>960</v>
      </c>
      <c r="P279" s="220" t="s">
        <v>961</v>
      </c>
      <c r="Q279" s="220" t="s">
        <v>259</v>
      </c>
      <c r="R279" s="220" t="s">
        <v>261</v>
      </c>
      <c r="S279" s="220" t="s">
        <v>736</v>
      </c>
    </row>
    <row r="280" spans="1:19" hidden="1" x14ac:dyDescent="0.25">
      <c r="A280" s="220">
        <v>41</v>
      </c>
      <c r="B280" s="220" t="s">
        <v>962</v>
      </c>
      <c r="C280" s="220" t="s">
        <v>221</v>
      </c>
      <c r="D280" s="220" t="s">
        <v>358</v>
      </c>
      <c r="E280" s="220">
        <v>1</v>
      </c>
      <c r="F280" s="220">
        <v>204.155</v>
      </c>
      <c r="G280" s="220">
        <v>10433</v>
      </c>
      <c r="H280" s="220">
        <v>12306</v>
      </c>
      <c r="I280" s="220">
        <v>14364</v>
      </c>
      <c r="J280" s="220">
        <v>200.95400000000001</v>
      </c>
      <c r="K280" s="220">
        <v>-19.93</v>
      </c>
      <c r="L280" s="220">
        <v>24.396999999999998</v>
      </c>
      <c r="M280" s="220" t="s">
        <v>692</v>
      </c>
      <c r="N280" s="220" t="s">
        <v>933</v>
      </c>
      <c r="O280" s="220" t="s">
        <v>963</v>
      </c>
      <c r="P280" s="220" t="s">
        <v>964</v>
      </c>
      <c r="Q280" s="220" t="s">
        <v>62</v>
      </c>
      <c r="R280" s="220" t="s">
        <v>126</v>
      </c>
      <c r="S280" s="220" t="s">
        <v>146</v>
      </c>
    </row>
    <row r="281" spans="1:19" hidden="1" x14ac:dyDescent="0.25">
      <c r="A281" s="220">
        <v>41</v>
      </c>
      <c r="B281" s="220" t="s">
        <v>962</v>
      </c>
      <c r="C281" s="220" t="s">
        <v>221</v>
      </c>
      <c r="D281" s="220" t="s">
        <v>358</v>
      </c>
      <c r="E281" s="220">
        <v>2</v>
      </c>
      <c r="F281" s="220">
        <v>201.703</v>
      </c>
      <c r="G281" s="220">
        <v>10435</v>
      </c>
      <c r="H281" s="220">
        <v>12308</v>
      </c>
      <c r="I281" s="220">
        <v>14366</v>
      </c>
      <c r="J281" s="220">
        <v>198.541</v>
      </c>
      <c r="K281" s="220">
        <v>-19.939</v>
      </c>
      <c r="L281" s="220">
        <v>24.396999999999998</v>
      </c>
      <c r="M281" s="220" t="s">
        <v>692</v>
      </c>
      <c r="N281" s="220" t="s">
        <v>933</v>
      </c>
      <c r="O281" s="220" t="s">
        <v>963</v>
      </c>
      <c r="P281" s="220" t="s">
        <v>964</v>
      </c>
      <c r="Q281" s="220" t="s">
        <v>111</v>
      </c>
      <c r="R281" s="220" t="s">
        <v>132</v>
      </c>
      <c r="S281" s="220" t="s">
        <v>235</v>
      </c>
    </row>
    <row r="282" spans="1:19" hidden="1" x14ac:dyDescent="0.25">
      <c r="A282" s="220">
        <v>41</v>
      </c>
      <c r="B282" s="220" t="s">
        <v>962</v>
      </c>
      <c r="C282" s="220" t="s">
        <v>221</v>
      </c>
      <c r="D282" s="220" t="s">
        <v>358</v>
      </c>
      <c r="E282" s="220">
        <v>3</v>
      </c>
      <c r="F282" s="220">
        <v>202.947</v>
      </c>
      <c r="G282" s="220">
        <v>10485</v>
      </c>
      <c r="H282" s="220">
        <v>12368</v>
      </c>
      <c r="I282" s="220">
        <v>14437</v>
      </c>
      <c r="J282" s="220">
        <v>199.76499999999999</v>
      </c>
      <c r="K282" s="220">
        <v>-19.952000000000002</v>
      </c>
      <c r="L282" s="220">
        <v>24.434000000000001</v>
      </c>
      <c r="M282" s="220" t="s">
        <v>692</v>
      </c>
      <c r="N282" s="220" t="s">
        <v>933</v>
      </c>
      <c r="O282" s="220" t="s">
        <v>963</v>
      </c>
      <c r="P282" s="220" t="s">
        <v>964</v>
      </c>
      <c r="Q282" s="220" t="s">
        <v>117</v>
      </c>
      <c r="R282" s="220" t="s">
        <v>119</v>
      </c>
      <c r="S282" s="220" t="s">
        <v>144</v>
      </c>
    </row>
    <row r="283" spans="1:19" hidden="1" x14ac:dyDescent="0.25">
      <c r="A283" s="220">
        <v>41</v>
      </c>
      <c r="B283" s="220" t="s">
        <v>962</v>
      </c>
      <c r="C283" s="220" t="s">
        <v>221</v>
      </c>
      <c r="D283" s="220" t="s">
        <v>358</v>
      </c>
      <c r="E283" s="220">
        <v>4</v>
      </c>
      <c r="F283" s="220">
        <v>202.67400000000001</v>
      </c>
      <c r="G283" s="220">
        <v>10435</v>
      </c>
      <c r="H283" s="220">
        <v>12308</v>
      </c>
      <c r="I283" s="220">
        <v>14366</v>
      </c>
      <c r="J283" s="220">
        <v>199.49700000000001</v>
      </c>
      <c r="K283" s="220">
        <v>-19.937000000000001</v>
      </c>
      <c r="L283" s="220">
        <v>24.417999999999999</v>
      </c>
      <c r="M283" s="220" t="s">
        <v>692</v>
      </c>
      <c r="N283" s="220" t="s">
        <v>933</v>
      </c>
      <c r="O283" s="220" t="s">
        <v>963</v>
      </c>
      <c r="P283" s="220" t="s">
        <v>964</v>
      </c>
      <c r="Q283" s="220" t="s">
        <v>158</v>
      </c>
      <c r="R283" s="220" t="s">
        <v>233</v>
      </c>
      <c r="S283" s="220" t="s">
        <v>241</v>
      </c>
    </row>
    <row r="284" spans="1:19" hidden="1" x14ac:dyDescent="0.25">
      <c r="A284" s="220">
        <v>41</v>
      </c>
      <c r="B284" s="220" t="s">
        <v>962</v>
      </c>
      <c r="C284" s="220" t="s">
        <v>221</v>
      </c>
      <c r="D284" s="220" t="s">
        <v>358</v>
      </c>
      <c r="E284" s="220">
        <v>5</v>
      </c>
      <c r="F284" s="220">
        <v>205.22800000000001</v>
      </c>
      <c r="G284" s="220">
        <v>15804</v>
      </c>
      <c r="H284" s="220">
        <v>19058</v>
      </c>
      <c r="I284" s="220">
        <v>22007</v>
      </c>
      <c r="J284" s="220">
        <v>201.959</v>
      </c>
      <c r="K284" s="220">
        <v>-1.0189999999999999</v>
      </c>
      <c r="L284" s="220">
        <v>35.484000000000002</v>
      </c>
      <c r="M284" s="220" t="s">
        <v>692</v>
      </c>
      <c r="N284" s="220" t="s">
        <v>933</v>
      </c>
      <c r="O284" s="220" t="s">
        <v>963</v>
      </c>
      <c r="P284" s="220" t="s">
        <v>964</v>
      </c>
      <c r="Q284" s="220" t="s">
        <v>171</v>
      </c>
      <c r="R284" s="220" t="s">
        <v>160</v>
      </c>
      <c r="S284" s="220" t="s">
        <v>605</v>
      </c>
    </row>
    <row r="285" spans="1:19" x14ac:dyDescent="0.25">
      <c r="A285" s="220">
        <v>41</v>
      </c>
      <c r="B285" s="220" t="s">
        <v>962</v>
      </c>
      <c r="C285" s="220" t="s">
        <v>221</v>
      </c>
      <c r="D285" s="220" t="s">
        <v>358</v>
      </c>
      <c r="E285" s="220">
        <v>6</v>
      </c>
      <c r="F285" s="220">
        <v>181.20500000000001</v>
      </c>
      <c r="G285" s="220">
        <v>14312</v>
      </c>
      <c r="H285" s="220">
        <v>17258</v>
      </c>
      <c r="I285" s="220">
        <v>19930</v>
      </c>
      <c r="J285" s="220">
        <v>178.31800000000001</v>
      </c>
      <c r="K285" s="220">
        <v>-1.012</v>
      </c>
      <c r="L285" s="220">
        <v>35.765000000000001</v>
      </c>
      <c r="M285" s="220" t="s">
        <v>692</v>
      </c>
      <c r="N285" s="220" t="s">
        <v>933</v>
      </c>
      <c r="O285" s="220" t="s">
        <v>963</v>
      </c>
      <c r="P285" s="220" t="s">
        <v>964</v>
      </c>
      <c r="Q285" s="220" t="s">
        <v>106</v>
      </c>
      <c r="R285" s="220" t="s">
        <v>250</v>
      </c>
      <c r="S285" s="220" t="s">
        <v>573</v>
      </c>
    </row>
    <row r="286" spans="1:19" x14ac:dyDescent="0.25">
      <c r="A286" s="220">
        <v>41</v>
      </c>
      <c r="B286" s="220" t="s">
        <v>962</v>
      </c>
      <c r="C286" s="220" t="s">
        <v>221</v>
      </c>
      <c r="D286" s="220" t="s">
        <v>358</v>
      </c>
      <c r="E286" s="220">
        <v>7</v>
      </c>
      <c r="F286" s="220">
        <v>169.12200000000001</v>
      </c>
      <c r="G286" s="220">
        <v>13481</v>
      </c>
      <c r="H286" s="220">
        <v>16253</v>
      </c>
      <c r="I286" s="220">
        <v>18775</v>
      </c>
      <c r="J286" s="220">
        <v>166.42699999999999</v>
      </c>
      <c r="K286" s="220">
        <v>-0.96099999999999997</v>
      </c>
      <c r="L286" s="220">
        <v>35.738</v>
      </c>
      <c r="M286" s="220" t="s">
        <v>692</v>
      </c>
      <c r="N286" s="220" t="s">
        <v>933</v>
      </c>
      <c r="O286" s="220" t="s">
        <v>963</v>
      </c>
      <c r="P286" s="220" t="s">
        <v>964</v>
      </c>
      <c r="Q286" s="220" t="s">
        <v>587</v>
      </c>
      <c r="R286" s="220" t="s">
        <v>686</v>
      </c>
      <c r="S286" s="220" t="s">
        <v>760</v>
      </c>
    </row>
    <row r="287" spans="1:19" hidden="1" x14ac:dyDescent="0.25">
      <c r="A287" s="220">
        <v>42</v>
      </c>
      <c r="B287" s="220" t="s">
        <v>965</v>
      </c>
      <c r="C287" s="220" t="s">
        <v>518</v>
      </c>
      <c r="D287" s="220" t="s">
        <v>359</v>
      </c>
      <c r="E287" s="220">
        <v>1</v>
      </c>
      <c r="F287" s="220">
        <v>203.59899999999999</v>
      </c>
      <c r="G287" s="220">
        <v>10418</v>
      </c>
      <c r="H287" s="220">
        <v>12288</v>
      </c>
      <c r="I287" s="220">
        <v>14343</v>
      </c>
      <c r="J287" s="220">
        <v>200.40700000000001</v>
      </c>
      <c r="K287" s="220">
        <v>-19.940000000000001</v>
      </c>
      <c r="L287" s="220">
        <v>24.422000000000001</v>
      </c>
      <c r="M287" s="220" t="s">
        <v>691</v>
      </c>
      <c r="N287" s="220" t="s">
        <v>933</v>
      </c>
      <c r="O287" s="220" t="s">
        <v>966</v>
      </c>
      <c r="P287" s="220" t="s">
        <v>967</v>
      </c>
      <c r="Q287" s="220" t="s">
        <v>78</v>
      </c>
      <c r="R287" s="220" t="s">
        <v>126</v>
      </c>
      <c r="S287" s="220" t="s">
        <v>146</v>
      </c>
    </row>
    <row r="288" spans="1:19" hidden="1" x14ac:dyDescent="0.25">
      <c r="A288" s="220">
        <v>42</v>
      </c>
      <c r="B288" s="220" t="s">
        <v>965</v>
      </c>
      <c r="C288" s="220" t="s">
        <v>518</v>
      </c>
      <c r="D288" s="220" t="s">
        <v>359</v>
      </c>
      <c r="E288" s="220">
        <v>2</v>
      </c>
      <c r="F288" s="220">
        <v>201.369</v>
      </c>
      <c r="G288" s="220">
        <v>10421</v>
      </c>
      <c r="H288" s="220">
        <v>12292</v>
      </c>
      <c r="I288" s="220">
        <v>14347</v>
      </c>
      <c r="J288" s="220">
        <v>198.21199999999999</v>
      </c>
      <c r="K288" s="220">
        <v>-19.943999999999999</v>
      </c>
      <c r="L288" s="220">
        <v>24.407</v>
      </c>
      <c r="M288" s="220" t="s">
        <v>691</v>
      </c>
      <c r="N288" s="220" t="s">
        <v>933</v>
      </c>
      <c r="O288" s="220" t="s">
        <v>966</v>
      </c>
      <c r="P288" s="220" t="s">
        <v>967</v>
      </c>
      <c r="Q288" s="220" t="s">
        <v>120</v>
      </c>
      <c r="R288" s="220" t="s">
        <v>226</v>
      </c>
      <c r="S288" s="220" t="s">
        <v>235</v>
      </c>
    </row>
    <row r="289" spans="1:19" hidden="1" x14ac:dyDescent="0.25">
      <c r="A289" s="220">
        <v>42</v>
      </c>
      <c r="B289" s="220" t="s">
        <v>965</v>
      </c>
      <c r="C289" s="220" t="s">
        <v>518</v>
      </c>
      <c r="D289" s="220" t="s">
        <v>359</v>
      </c>
      <c r="E289" s="220">
        <v>3</v>
      </c>
      <c r="F289" s="220">
        <v>202.76599999999999</v>
      </c>
      <c r="G289" s="220">
        <v>10475</v>
      </c>
      <c r="H289" s="220">
        <v>12356</v>
      </c>
      <c r="I289" s="220">
        <v>14424</v>
      </c>
      <c r="J289" s="220">
        <v>199.58699999999999</v>
      </c>
      <c r="K289" s="220">
        <v>-19.927</v>
      </c>
      <c r="L289" s="220">
        <v>24.427</v>
      </c>
      <c r="M289" s="220" t="s">
        <v>691</v>
      </c>
      <c r="N289" s="220" t="s">
        <v>933</v>
      </c>
      <c r="O289" s="220" t="s">
        <v>966</v>
      </c>
      <c r="P289" s="220" t="s">
        <v>967</v>
      </c>
      <c r="Q289" s="220" t="s">
        <v>158</v>
      </c>
      <c r="R289" s="220" t="s">
        <v>119</v>
      </c>
      <c r="S289" s="220" t="s">
        <v>241</v>
      </c>
    </row>
    <row r="290" spans="1:19" hidden="1" x14ac:dyDescent="0.25">
      <c r="A290" s="220">
        <v>42</v>
      </c>
      <c r="B290" s="220" t="s">
        <v>965</v>
      </c>
      <c r="C290" s="220" t="s">
        <v>518</v>
      </c>
      <c r="D290" s="220" t="s">
        <v>359</v>
      </c>
      <c r="E290" s="220">
        <v>4</v>
      </c>
      <c r="F290" s="220">
        <v>202.91399999999999</v>
      </c>
      <c r="G290" s="220">
        <v>10426</v>
      </c>
      <c r="H290" s="220">
        <v>12297</v>
      </c>
      <c r="I290" s="220">
        <v>14353</v>
      </c>
      <c r="J290" s="220">
        <v>199.733</v>
      </c>
      <c r="K290" s="220">
        <v>-19.937000000000001</v>
      </c>
      <c r="L290" s="220">
        <v>24.417999999999999</v>
      </c>
      <c r="M290" s="220" t="s">
        <v>691</v>
      </c>
      <c r="N290" s="220" t="s">
        <v>933</v>
      </c>
      <c r="O290" s="220" t="s">
        <v>966</v>
      </c>
      <c r="P290" s="220" t="s">
        <v>967</v>
      </c>
      <c r="Q290" s="220" t="s">
        <v>158</v>
      </c>
      <c r="R290" s="220" t="s">
        <v>233</v>
      </c>
      <c r="S290" s="220" t="s">
        <v>303</v>
      </c>
    </row>
    <row r="291" spans="1:19" hidden="1" x14ac:dyDescent="0.25">
      <c r="A291" s="220">
        <v>42</v>
      </c>
      <c r="B291" s="220" t="s">
        <v>965</v>
      </c>
      <c r="C291" s="220" t="s">
        <v>518</v>
      </c>
      <c r="D291" s="220" t="s">
        <v>359</v>
      </c>
      <c r="E291" s="220">
        <v>5</v>
      </c>
      <c r="F291" s="220">
        <v>196.46</v>
      </c>
      <c r="G291" s="220">
        <v>15050</v>
      </c>
      <c r="H291" s="220">
        <v>18125</v>
      </c>
      <c r="I291" s="220">
        <v>20960</v>
      </c>
      <c r="J291" s="220">
        <v>193.33099999999999</v>
      </c>
      <c r="K291" s="220">
        <v>-1.27</v>
      </c>
      <c r="L291" s="220">
        <v>35.643999999999998</v>
      </c>
      <c r="M291" s="220" t="s">
        <v>691</v>
      </c>
      <c r="N291" s="220" t="s">
        <v>933</v>
      </c>
      <c r="O291" s="220" t="s">
        <v>966</v>
      </c>
      <c r="P291" s="220" t="s">
        <v>967</v>
      </c>
      <c r="Q291" s="220" t="s">
        <v>174</v>
      </c>
      <c r="R291" s="220" t="s">
        <v>611</v>
      </c>
      <c r="S291" s="220" t="s">
        <v>835</v>
      </c>
    </row>
    <row r="292" spans="1:19" x14ac:dyDescent="0.25">
      <c r="A292" s="220">
        <v>42</v>
      </c>
      <c r="B292" s="220" t="s">
        <v>965</v>
      </c>
      <c r="C292" s="220" t="s">
        <v>518</v>
      </c>
      <c r="D292" s="220" t="s">
        <v>359</v>
      </c>
      <c r="E292" s="220">
        <v>6</v>
      </c>
      <c r="F292" s="220">
        <v>171.71199999999999</v>
      </c>
      <c r="G292" s="220">
        <v>13310</v>
      </c>
      <c r="H292" s="220">
        <v>16024</v>
      </c>
      <c r="I292" s="220">
        <v>18536</v>
      </c>
      <c r="J292" s="220">
        <v>168.976</v>
      </c>
      <c r="K292" s="220">
        <v>-1.2470000000000001</v>
      </c>
      <c r="L292" s="220">
        <v>35.906999999999996</v>
      </c>
      <c r="M292" s="220" t="s">
        <v>691</v>
      </c>
      <c r="N292" s="220" t="s">
        <v>933</v>
      </c>
      <c r="O292" s="220" t="s">
        <v>966</v>
      </c>
      <c r="P292" s="220" t="s">
        <v>967</v>
      </c>
      <c r="Q292" s="220" t="s">
        <v>113</v>
      </c>
      <c r="R292" s="220" t="s">
        <v>172</v>
      </c>
      <c r="S292" s="220" t="s">
        <v>183</v>
      </c>
    </row>
    <row r="293" spans="1:19" x14ac:dyDescent="0.25">
      <c r="A293" s="220">
        <v>42</v>
      </c>
      <c r="B293" s="220" t="s">
        <v>965</v>
      </c>
      <c r="C293" s="220" t="s">
        <v>518</v>
      </c>
      <c r="D293" s="220" t="s">
        <v>359</v>
      </c>
      <c r="E293" s="220">
        <v>7</v>
      </c>
      <c r="F293" s="220">
        <v>159.56299999999999</v>
      </c>
      <c r="G293" s="220">
        <v>12374</v>
      </c>
      <c r="H293" s="220">
        <v>14897</v>
      </c>
      <c r="I293" s="220">
        <v>17230</v>
      </c>
      <c r="J293" s="220">
        <v>157.02099999999999</v>
      </c>
      <c r="K293" s="220">
        <v>-1.228</v>
      </c>
      <c r="L293" s="220">
        <v>35.906999999999996</v>
      </c>
      <c r="M293" s="220" t="s">
        <v>691</v>
      </c>
      <c r="N293" s="220" t="s">
        <v>933</v>
      </c>
      <c r="O293" s="220" t="s">
        <v>966</v>
      </c>
      <c r="P293" s="220" t="s">
        <v>967</v>
      </c>
      <c r="Q293" s="220" t="s">
        <v>968</v>
      </c>
      <c r="R293" s="220" t="s">
        <v>447</v>
      </c>
      <c r="S293" s="220" t="s">
        <v>969</v>
      </c>
    </row>
    <row r="294" spans="1:19" hidden="1" x14ac:dyDescent="0.25">
      <c r="A294" s="220">
        <v>43</v>
      </c>
      <c r="B294" s="220" t="s">
        <v>970</v>
      </c>
      <c r="C294" s="220" t="s">
        <v>232</v>
      </c>
      <c r="D294" s="220" t="s">
        <v>360</v>
      </c>
      <c r="E294" s="220">
        <v>1</v>
      </c>
      <c r="F294" s="220">
        <v>204.28</v>
      </c>
      <c r="G294" s="220">
        <v>10441</v>
      </c>
      <c r="H294" s="220">
        <v>12315</v>
      </c>
      <c r="I294" s="220">
        <v>14383</v>
      </c>
      <c r="J294" s="220">
        <v>201.077</v>
      </c>
      <c r="K294" s="220">
        <v>-19.917999999999999</v>
      </c>
      <c r="L294" s="220">
        <v>24.41</v>
      </c>
      <c r="M294" s="220" t="s">
        <v>971</v>
      </c>
      <c r="N294" s="220" t="s">
        <v>933</v>
      </c>
      <c r="O294" s="220" t="s">
        <v>972</v>
      </c>
      <c r="P294" s="220" t="s">
        <v>973</v>
      </c>
      <c r="Q294" s="220" t="s">
        <v>649</v>
      </c>
      <c r="R294" s="220" t="s">
        <v>109</v>
      </c>
      <c r="S294" s="220" t="s">
        <v>244</v>
      </c>
    </row>
    <row r="295" spans="1:19" hidden="1" x14ac:dyDescent="0.25">
      <c r="A295" s="220">
        <v>43</v>
      </c>
      <c r="B295" s="220" t="s">
        <v>970</v>
      </c>
      <c r="C295" s="220" t="s">
        <v>232</v>
      </c>
      <c r="D295" s="220" t="s">
        <v>360</v>
      </c>
      <c r="E295" s="220">
        <v>2</v>
      </c>
      <c r="F295" s="220">
        <v>202.05</v>
      </c>
      <c r="G295" s="220">
        <v>10449</v>
      </c>
      <c r="H295" s="220">
        <v>12324</v>
      </c>
      <c r="I295" s="220">
        <v>14394</v>
      </c>
      <c r="J295" s="220">
        <v>198.88200000000001</v>
      </c>
      <c r="K295" s="220">
        <v>-19.940000000000001</v>
      </c>
      <c r="L295" s="220">
        <v>24.396999999999998</v>
      </c>
      <c r="M295" s="220" t="s">
        <v>971</v>
      </c>
      <c r="N295" s="220" t="s">
        <v>933</v>
      </c>
      <c r="O295" s="220" t="s">
        <v>972</v>
      </c>
      <c r="P295" s="220" t="s">
        <v>973</v>
      </c>
      <c r="Q295" s="220" t="s">
        <v>131</v>
      </c>
      <c r="R295" s="220" t="s">
        <v>270</v>
      </c>
      <c r="S295" s="220" t="s">
        <v>243</v>
      </c>
    </row>
    <row r="296" spans="1:19" hidden="1" x14ac:dyDescent="0.25">
      <c r="A296" s="220">
        <v>43</v>
      </c>
      <c r="B296" s="220" t="s">
        <v>970</v>
      </c>
      <c r="C296" s="220" t="s">
        <v>232</v>
      </c>
      <c r="D296" s="220" t="s">
        <v>360</v>
      </c>
      <c r="E296" s="220">
        <v>3</v>
      </c>
      <c r="F296" s="220">
        <v>203.00299999999999</v>
      </c>
      <c r="G296" s="220">
        <v>10496</v>
      </c>
      <c r="H296" s="220">
        <v>12380</v>
      </c>
      <c r="I296" s="220">
        <v>14464</v>
      </c>
      <c r="J296" s="220">
        <v>199.82</v>
      </c>
      <c r="K296" s="220">
        <v>-19.927</v>
      </c>
      <c r="L296" s="220">
        <v>24.388999999999999</v>
      </c>
      <c r="M296" s="220" t="s">
        <v>971</v>
      </c>
      <c r="N296" s="220" t="s">
        <v>933</v>
      </c>
      <c r="O296" s="220" t="s">
        <v>972</v>
      </c>
      <c r="P296" s="220" t="s">
        <v>973</v>
      </c>
      <c r="Q296" s="220" t="s">
        <v>237</v>
      </c>
      <c r="R296" s="220" t="s">
        <v>252</v>
      </c>
      <c r="S296" s="220" t="s">
        <v>189</v>
      </c>
    </row>
    <row r="297" spans="1:19" hidden="1" x14ac:dyDescent="0.25">
      <c r="A297" s="220">
        <v>43</v>
      </c>
      <c r="B297" s="220" t="s">
        <v>970</v>
      </c>
      <c r="C297" s="220" t="s">
        <v>232</v>
      </c>
      <c r="D297" s="220" t="s">
        <v>360</v>
      </c>
      <c r="E297" s="220">
        <v>4</v>
      </c>
      <c r="F297" s="220">
        <v>203.07900000000001</v>
      </c>
      <c r="G297" s="220">
        <v>10453</v>
      </c>
      <c r="H297" s="220">
        <v>12329</v>
      </c>
      <c r="I297" s="220">
        <v>14399</v>
      </c>
      <c r="J297" s="220">
        <v>199.89500000000001</v>
      </c>
      <c r="K297" s="220">
        <v>-19.937000000000001</v>
      </c>
      <c r="L297" s="220">
        <v>24.417999999999999</v>
      </c>
      <c r="M297" s="220" t="s">
        <v>971</v>
      </c>
      <c r="N297" s="220" t="s">
        <v>933</v>
      </c>
      <c r="O297" s="220" t="s">
        <v>972</v>
      </c>
      <c r="P297" s="220" t="s">
        <v>973</v>
      </c>
      <c r="Q297" s="220" t="s">
        <v>237</v>
      </c>
      <c r="R297" s="220" t="s">
        <v>252</v>
      </c>
      <c r="S297" s="220" t="s">
        <v>585</v>
      </c>
    </row>
    <row r="298" spans="1:19" hidden="1" x14ac:dyDescent="0.25">
      <c r="A298" s="220">
        <v>43</v>
      </c>
      <c r="B298" s="220" t="s">
        <v>970</v>
      </c>
      <c r="C298" s="220" t="s">
        <v>232</v>
      </c>
      <c r="D298" s="220" t="s">
        <v>360</v>
      </c>
      <c r="E298" s="220">
        <v>5</v>
      </c>
      <c r="F298" s="220">
        <v>186.012</v>
      </c>
      <c r="G298" s="220">
        <v>14616</v>
      </c>
      <c r="H298" s="220">
        <v>17615</v>
      </c>
      <c r="I298" s="220">
        <v>20372</v>
      </c>
      <c r="J298" s="220">
        <v>183.04900000000001</v>
      </c>
      <c r="K298" s="220">
        <v>-1.585</v>
      </c>
      <c r="L298" s="220">
        <v>35.911000000000001</v>
      </c>
      <c r="M298" s="220" t="s">
        <v>971</v>
      </c>
      <c r="N298" s="220" t="s">
        <v>933</v>
      </c>
      <c r="O298" s="220" t="s">
        <v>972</v>
      </c>
      <c r="P298" s="220" t="s">
        <v>973</v>
      </c>
      <c r="Q298" s="220" t="s">
        <v>157</v>
      </c>
      <c r="R298" s="220" t="s">
        <v>103</v>
      </c>
      <c r="S298" s="220" t="s">
        <v>697</v>
      </c>
    </row>
    <row r="299" spans="1:19" x14ac:dyDescent="0.25">
      <c r="A299" s="220">
        <v>43</v>
      </c>
      <c r="B299" s="220" t="s">
        <v>970</v>
      </c>
      <c r="C299" s="220" t="s">
        <v>232</v>
      </c>
      <c r="D299" s="220" t="s">
        <v>360</v>
      </c>
      <c r="E299" s="220">
        <v>6</v>
      </c>
      <c r="F299" s="220">
        <v>165.59700000000001</v>
      </c>
      <c r="G299" s="220">
        <v>13271</v>
      </c>
      <c r="H299" s="220">
        <v>15987</v>
      </c>
      <c r="I299" s="220">
        <v>18497</v>
      </c>
      <c r="J299" s="220">
        <v>162.959</v>
      </c>
      <c r="K299" s="220">
        <v>-1.5669999999999999</v>
      </c>
      <c r="L299" s="220">
        <v>36.064999999999998</v>
      </c>
      <c r="M299" s="220" t="s">
        <v>971</v>
      </c>
      <c r="N299" s="220" t="s">
        <v>933</v>
      </c>
      <c r="O299" s="220" t="s">
        <v>972</v>
      </c>
      <c r="P299" s="220" t="s">
        <v>973</v>
      </c>
      <c r="Q299" s="220" t="s">
        <v>148</v>
      </c>
      <c r="R299" s="220" t="s">
        <v>191</v>
      </c>
      <c r="S299" s="220" t="s">
        <v>600</v>
      </c>
    </row>
    <row r="300" spans="1:19" x14ac:dyDescent="0.25">
      <c r="A300" s="220">
        <v>43</v>
      </c>
      <c r="B300" s="220" t="s">
        <v>970</v>
      </c>
      <c r="C300" s="220" t="s">
        <v>232</v>
      </c>
      <c r="D300" s="220" t="s">
        <v>360</v>
      </c>
      <c r="E300" s="220">
        <v>7</v>
      </c>
      <c r="F300" s="220">
        <v>154.852</v>
      </c>
      <c r="G300" s="220">
        <v>12500</v>
      </c>
      <c r="H300" s="220">
        <v>15056</v>
      </c>
      <c r="I300" s="220">
        <v>17424</v>
      </c>
      <c r="J300" s="220">
        <v>152.38499999999999</v>
      </c>
      <c r="K300" s="220">
        <v>-1.506</v>
      </c>
      <c r="L300" s="220">
        <v>36.07</v>
      </c>
      <c r="M300" s="220" t="s">
        <v>971</v>
      </c>
      <c r="N300" s="220" t="s">
        <v>933</v>
      </c>
      <c r="O300" s="220" t="s">
        <v>972</v>
      </c>
      <c r="P300" s="220" t="s">
        <v>973</v>
      </c>
      <c r="Q300" s="220" t="s">
        <v>475</v>
      </c>
      <c r="R300" s="220" t="s">
        <v>622</v>
      </c>
      <c r="S300" s="220" t="s">
        <v>703</v>
      </c>
    </row>
    <row r="301" spans="1:19" hidden="1" x14ac:dyDescent="0.25">
      <c r="A301" s="220">
        <v>44</v>
      </c>
      <c r="B301" s="220" t="s">
        <v>974</v>
      </c>
      <c r="C301" s="220" t="s">
        <v>229</v>
      </c>
      <c r="D301" s="220" t="s">
        <v>362</v>
      </c>
      <c r="E301" s="220">
        <v>1</v>
      </c>
      <c r="F301" s="220">
        <v>203.655</v>
      </c>
      <c r="G301" s="220">
        <v>10423</v>
      </c>
      <c r="H301" s="220">
        <v>12294</v>
      </c>
      <c r="I301" s="220">
        <v>14359</v>
      </c>
      <c r="J301" s="220">
        <v>200.46199999999999</v>
      </c>
      <c r="K301" s="220">
        <v>-19.925999999999998</v>
      </c>
      <c r="L301" s="220">
        <v>24.422000000000001</v>
      </c>
      <c r="M301" s="220" t="s">
        <v>975</v>
      </c>
      <c r="N301" s="220" t="s">
        <v>933</v>
      </c>
      <c r="O301" s="220" t="s">
        <v>976</v>
      </c>
      <c r="P301" s="220" t="s">
        <v>977</v>
      </c>
      <c r="Q301" s="220" t="s">
        <v>73</v>
      </c>
      <c r="R301" s="220" t="s">
        <v>134</v>
      </c>
      <c r="S301" s="220" t="s">
        <v>148</v>
      </c>
    </row>
    <row r="302" spans="1:19" hidden="1" x14ac:dyDescent="0.25">
      <c r="A302" s="220">
        <v>44</v>
      </c>
      <c r="B302" s="220" t="s">
        <v>974</v>
      </c>
      <c r="C302" s="220" t="s">
        <v>229</v>
      </c>
      <c r="D302" s="220" t="s">
        <v>362</v>
      </c>
      <c r="E302" s="220">
        <v>2</v>
      </c>
      <c r="F302" s="220">
        <v>201.29</v>
      </c>
      <c r="G302" s="220">
        <v>10422</v>
      </c>
      <c r="H302" s="220">
        <v>12292</v>
      </c>
      <c r="I302" s="220">
        <v>14357</v>
      </c>
      <c r="J302" s="220">
        <v>198.13300000000001</v>
      </c>
      <c r="K302" s="220">
        <v>-19.931999999999999</v>
      </c>
      <c r="L302" s="220">
        <v>24.414999999999999</v>
      </c>
      <c r="M302" s="220" t="s">
        <v>975</v>
      </c>
      <c r="N302" s="220" t="s">
        <v>933</v>
      </c>
      <c r="O302" s="220" t="s">
        <v>976</v>
      </c>
      <c r="P302" s="220" t="s">
        <v>977</v>
      </c>
      <c r="Q302" s="220" t="s">
        <v>131</v>
      </c>
      <c r="R302" s="220" t="s">
        <v>270</v>
      </c>
      <c r="S302" s="220" t="s">
        <v>250</v>
      </c>
    </row>
    <row r="303" spans="1:19" hidden="1" x14ac:dyDescent="0.25">
      <c r="A303" s="220">
        <v>44</v>
      </c>
      <c r="B303" s="220" t="s">
        <v>974</v>
      </c>
      <c r="C303" s="220" t="s">
        <v>229</v>
      </c>
      <c r="D303" s="220" t="s">
        <v>362</v>
      </c>
      <c r="E303" s="220">
        <v>3</v>
      </c>
      <c r="F303" s="220">
        <v>202.94</v>
      </c>
      <c r="G303" s="220">
        <v>10475</v>
      </c>
      <c r="H303" s="220">
        <v>12355</v>
      </c>
      <c r="I303" s="220">
        <v>14433</v>
      </c>
      <c r="J303" s="220">
        <v>199.75800000000001</v>
      </c>
      <c r="K303" s="220">
        <v>-19.928000000000001</v>
      </c>
      <c r="L303" s="220">
        <v>24.422999999999998</v>
      </c>
      <c r="M303" s="220" t="s">
        <v>975</v>
      </c>
      <c r="N303" s="220" t="s">
        <v>933</v>
      </c>
      <c r="O303" s="220" t="s">
        <v>976</v>
      </c>
      <c r="P303" s="220" t="s">
        <v>977</v>
      </c>
      <c r="Q303" s="220" t="s">
        <v>237</v>
      </c>
      <c r="R303" s="220" t="s">
        <v>252</v>
      </c>
      <c r="S303" s="220" t="s">
        <v>585</v>
      </c>
    </row>
    <row r="304" spans="1:19" hidden="1" x14ac:dyDescent="0.25">
      <c r="A304" s="220">
        <v>44</v>
      </c>
      <c r="B304" s="220" t="s">
        <v>974</v>
      </c>
      <c r="C304" s="220" t="s">
        <v>229</v>
      </c>
      <c r="D304" s="220" t="s">
        <v>362</v>
      </c>
      <c r="E304" s="220">
        <v>4</v>
      </c>
      <c r="F304" s="220">
        <v>202.595</v>
      </c>
      <c r="G304" s="220">
        <v>10420</v>
      </c>
      <c r="H304" s="220">
        <v>12291</v>
      </c>
      <c r="I304" s="220">
        <v>14359</v>
      </c>
      <c r="J304" s="220">
        <v>199.41800000000001</v>
      </c>
      <c r="K304" s="220">
        <v>-19.937000000000001</v>
      </c>
      <c r="L304" s="220">
        <v>24.417999999999999</v>
      </c>
      <c r="M304" s="220" t="s">
        <v>975</v>
      </c>
      <c r="N304" s="220" t="s">
        <v>933</v>
      </c>
      <c r="O304" s="220" t="s">
        <v>976</v>
      </c>
      <c r="P304" s="220" t="s">
        <v>977</v>
      </c>
      <c r="Q304" s="220" t="s">
        <v>236</v>
      </c>
      <c r="R304" s="220" t="s">
        <v>252</v>
      </c>
      <c r="S304" s="220" t="s">
        <v>585</v>
      </c>
    </row>
    <row r="305" spans="1:19" hidden="1" x14ac:dyDescent="0.25">
      <c r="A305" s="220">
        <v>44</v>
      </c>
      <c r="B305" s="220" t="s">
        <v>974</v>
      </c>
      <c r="C305" s="220" t="s">
        <v>229</v>
      </c>
      <c r="D305" s="220" t="s">
        <v>362</v>
      </c>
      <c r="E305" s="220">
        <v>5</v>
      </c>
      <c r="F305" s="220">
        <v>208.62700000000001</v>
      </c>
      <c r="G305" s="220">
        <v>15834</v>
      </c>
      <c r="H305" s="220">
        <v>19080</v>
      </c>
      <c r="I305" s="220">
        <v>22073</v>
      </c>
      <c r="J305" s="220">
        <v>205.30199999999999</v>
      </c>
      <c r="K305" s="220">
        <v>-0.90700000000000003</v>
      </c>
      <c r="L305" s="220">
        <v>35.988</v>
      </c>
      <c r="M305" s="220" t="s">
        <v>975</v>
      </c>
      <c r="N305" s="220" t="s">
        <v>933</v>
      </c>
      <c r="O305" s="220" t="s">
        <v>976</v>
      </c>
      <c r="P305" s="220" t="s">
        <v>977</v>
      </c>
      <c r="Q305" s="220" t="s">
        <v>174</v>
      </c>
      <c r="R305" s="220" t="s">
        <v>611</v>
      </c>
      <c r="S305" s="220" t="s">
        <v>950</v>
      </c>
    </row>
    <row r="306" spans="1:19" x14ac:dyDescent="0.25">
      <c r="A306" s="220">
        <v>44</v>
      </c>
      <c r="B306" s="220" t="s">
        <v>974</v>
      </c>
      <c r="C306" s="220" t="s">
        <v>229</v>
      </c>
      <c r="D306" s="220" t="s">
        <v>362</v>
      </c>
      <c r="E306" s="220">
        <v>6</v>
      </c>
      <c r="F306" s="220">
        <v>182.64400000000001</v>
      </c>
      <c r="G306" s="220">
        <v>14098</v>
      </c>
      <c r="H306" s="220">
        <v>16988</v>
      </c>
      <c r="I306" s="220">
        <v>19656</v>
      </c>
      <c r="J306" s="220">
        <v>179.733</v>
      </c>
      <c r="K306" s="220">
        <v>-0.83699999999999997</v>
      </c>
      <c r="L306" s="220">
        <v>36.32</v>
      </c>
      <c r="M306" s="220" t="s">
        <v>975</v>
      </c>
      <c r="N306" s="220" t="s">
        <v>933</v>
      </c>
      <c r="O306" s="220" t="s">
        <v>976</v>
      </c>
      <c r="P306" s="220" t="s">
        <v>977</v>
      </c>
      <c r="Q306" s="220" t="s">
        <v>272</v>
      </c>
      <c r="R306" s="220" t="s">
        <v>177</v>
      </c>
      <c r="S306" s="220" t="s">
        <v>240</v>
      </c>
    </row>
    <row r="307" spans="1:19" x14ac:dyDescent="0.25">
      <c r="A307" s="220">
        <v>44</v>
      </c>
      <c r="B307" s="220" t="s">
        <v>974</v>
      </c>
      <c r="C307" s="220" t="s">
        <v>229</v>
      </c>
      <c r="D307" s="220" t="s">
        <v>362</v>
      </c>
      <c r="E307" s="220">
        <v>7</v>
      </c>
      <c r="F307" s="220">
        <v>169.68</v>
      </c>
      <c r="G307" s="220">
        <v>13153</v>
      </c>
      <c r="H307" s="220">
        <v>15847</v>
      </c>
      <c r="I307" s="220">
        <v>18338</v>
      </c>
      <c r="J307" s="220">
        <v>166.976</v>
      </c>
      <c r="K307" s="220">
        <v>-0.83499999999999996</v>
      </c>
      <c r="L307" s="220">
        <v>36.316000000000003</v>
      </c>
      <c r="M307" s="220" t="s">
        <v>975</v>
      </c>
      <c r="N307" s="220" t="s">
        <v>933</v>
      </c>
      <c r="O307" s="220" t="s">
        <v>976</v>
      </c>
      <c r="P307" s="220" t="s">
        <v>977</v>
      </c>
      <c r="Q307" s="220" t="s">
        <v>663</v>
      </c>
      <c r="R307" s="220" t="s">
        <v>978</v>
      </c>
      <c r="S307" s="220" t="s">
        <v>979</v>
      </c>
    </row>
    <row r="308" spans="1:19" hidden="1" x14ac:dyDescent="0.25">
      <c r="A308" s="220">
        <v>45</v>
      </c>
      <c r="B308" s="220" t="s">
        <v>980</v>
      </c>
      <c r="C308" s="220" t="s">
        <v>296</v>
      </c>
      <c r="D308" s="220" t="s">
        <v>363</v>
      </c>
      <c r="E308" s="220">
        <v>1</v>
      </c>
      <c r="F308" s="220">
        <v>203.94200000000001</v>
      </c>
      <c r="G308" s="220">
        <v>10431</v>
      </c>
      <c r="H308" s="220">
        <v>12304</v>
      </c>
      <c r="I308" s="220">
        <v>14364</v>
      </c>
      <c r="J308" s="220">
        <v>200.745</v>
      </c>
      <c r="K308" s="220">
        <v>-19.949000000000002</v>
      </c>
      <c r="L308" s="220">
        <v>24.417000000000002</v>
      </c>
      <c r="M308" s="220" t="s">
        <v>690</v>
      </c>
      <c r="N308" s="220" t="s">
        <v>933</v>
      </c>
      <c r="O308" s="220" t="s">
        <v>981</v>
      </c>
      <c r="P308" s="220" t="s">
        <v>982</v>
      </c>
      <c r="Q308" s="220" t="s">
        <v>73</v>
      </c>
      <c r="R308" s="220" t="s">
        <v>129</v>
      </c>
      <c r="S308" s="220" t="s">
        <v>148</v>
      </c>
    </row>
    <row r="309" spans="1:19" hidden="1" x14ac:dyDescent="0.25">
      <c r="A309" s="220">
        <v>45</v>
      </c>
      <c r="B309" s="220" t="s">
        <v>980</v>
      </c>
      <c r="C309" s="220" t="s">
        <v>296</v>
      </c>
      <c r="D309" s="220" t="s">
        <v>363</v>
      </c>
      <c r="E309" s="220">
        <v>2</v>
      </c>
      <c r="F309" s="220">
        <v>202.059</v>
      </c>
      <c r="G309" s="220">
        <v>10448</v>
      </c>
      <c r="H309" s="220">
        <v>12325</v>
      </c>
      <c r="I309" s="220">
        <v>14389</v>
      </c>
      <c r="J309" s="220">
        <v>198.89099999999999</v>
      </c>
      <c r="K309" s="220">
        <v>-19.940999999999999</v>
      </c>
      <c r="L309" s="220">
        <v>24.396000000000001</v>
      </c>
      <c r="M309" s="220" t="s">
        <v>690</v>
      </c>
      <c r="N309" s="220" t="s">
        <v>933</v>
      </c>
      <c r="O309" s="220" t="s">
        <v>981</v>
      </c>
      <c r="P309" s="220" t="s">
        <v>982</v>
      </c>
      <c r="Q309" s="220" t="s">
        <v>202</v>
      </c>
      <c r="R309" s="220" t="s">
        <v>255</v>
      </c>
      <c r="S309" s="220" t="s">
        <v>253</v>
      </c>
    </row>
    <row r="310" spans="1:19" hidden="1" x14ac:dyDescent="0.25">
      <c r="A310" s="220">
        <v>45</v>
      </c>
      <c r="B310" s="220" t="s">
        <v>980</v>
      </c>
      <c r="C310" s="220" t="s">
        <v>296</v>
      </c>
      <c r="D310" s="220" t="s">
        <v>363</v>
      </c>
      <c r="E310" s="220">
        <v>3</v>
      </c>
      <c r="F310" s="220">
        <v>203.40199999999999</v>
      </c>
      <c r="G310" s="220">
        <v>10497</v>
      </c>
      <c r="H310" s="220">
        <v>12382</v>
      </c>
      <c r="I310" s="220">
        <v>14452</v>
      </c>
      <c r="J310" s="220">
        <v>200.21299999999999</v>
      </c>
      <c r="K310" s="220">
        <v>-19.945</v>
      </c>
      <c r="L310" s="220">
        <v>24.405000000000001</v>
      </c>
      <c r="M310" s="220" t="s">
        <v>690</v>
      </c>
      <c r="N310" s="220" t="s">
        <v>933</v>
      </c>
      <c r="O310" s="220" t="s">
        <v>981</v>
      </c>
      <c r="P310" s="220" t="s">
        <v>982</v>
      </c>
      <c r="Q310" s="220" t="s">
        <v>120</v>
      </c>
      <c r="R310" s="220" t="s">
        <v>226</v>
      </c>
      <c r="S310" s="220" t="s">
        <v>235</v>
      </c>
    </row>
    <row r="311" spans="1:19" hidden="1" x14ac:dyDescent="0.25">
      <c r="A311" s="220">
        <v>45</v>
      </c>
      <c r="B311" s="220" t="s">
        <v>980</v>
      </c>
      <c r="C311" s="220" t="s">
        <v>296</v>
      </c>
      <c r="D311" s="220" t="s">
        <v>363</v>
      </c>
      <c r="E311" s="220">
        <v>4</v>
      </c>
      <c r="F311" s="220">
        <v>202.852</v>
      </c>
      <c r="G311" s="220">
        <v>10449</v>
      </c>
      <c r="H311" s="220">
        <v>12326</v>
      </c>
      <c r="I311" s="220">
        <v>14390</v>
      </c>
      <c r="J311" s="220">
        <v>199.67099999999999</v>
      </c>
      <c r="K311" s="220">
        <v>-19.937000000000001</v>
      </c>
      <c r="L311" s="220">
        <v>24.417999999999999</v>
      </c>
      <c r="M311" s="220" t="s">
        <v>690</v>
      </c>
      <c r="N311" s="220" t="s">
        <v>933</v>
      </c>
      <c r="O311" s="220" t="s">
        <v>981</v>
      </c>
      <c r="P311" s="220" t="s">
        <v>982</v>
      </c>
      <c r="Q311" s="220" t="s">
        <v>237</v>
      </c>
      <c r="R311" s="220" t="s">
        <v>105</v>
      </c>
      <c r="S311" s="220" t="s">
        <v>235</v>
      </c>
    </row>
    <row r="312" spans="1:19" hidden="1" x14ac:dyDescent="0.25">
      <c r="A312" s="220">
        <v>45</v>
      </c>
      <c r="B312" s="220" t="s">
        <v>980</v>
      </c>
      <c r="C312" s="220" t="s">
        <v>296</v>
      </c>
      <c r="D312" s="220" t="s">
        <v>363</v>
      </c>
      <c r="E312" s="220">
        <v>5</v>
      </c>
      <c r="F312" s="220">
        <v>201.48</v>
      </c>
      <c r="G312" s="220">
        <v>16038</v>
      </c>
      <c r="H312" s="220">
        <v>19350</v>
      </c>
      <c r="I312" s="220">
        <v>22340</v>
      </c>
      <c r="J312" s="220">
        <v>198.268</v>
      </c>
      <c r="K312" s="220">
        <v>-0.498</v>
      </c>
      <c r="L312" s="220">
        <v>35.954999999999998</v>
      </c>
      <c r="M312" s="220" t="s">
        <v>690</v>
      </c>
      <c r="N312" s="220" t="s">
        <v>933</v>
      </c>
      <c r="O312" s="220" t="s">
        <v>981</v>
      </c>
      <c r="P312" s="220" t="s">
        <v>982</v>
      </c>
      <c r="Q312" s="220" t="s">
        <v>156</v>
      </c>
      <c r="R312" s="220" t="s">
        <v>160</v>
      </c>
      <c r="S312" s="220" t="s">
        <v>548</v>
      </c>
    </row>
    <row r="313" spans="1:19" x14ac:dyDescent="0.25">
      <c r="A313" s="220">
        <v>45</v>
      </c>
      <c r="B313" s="220" t="s">
        <v>980</v>
      </c>
      <c r="C313" s="220" t="s">
        <v>296</v>
      </c>
      <c r="D313" s="220" t="s">
        <v>363</v>
      </c>
      <c r="E313" s="220">
        <v>6</v>
      </c>
      <c r="F313" s="220">
        <v>179.51400000000001</v>
      </c>
      <c r="G313" s="220">
        <v>14541</v>
      </c>
      <c r="H313" s="220">
        <v>17535</v>
      </c>
      <c r="I313" s="220">
        <v>20252</v>
      </c>
      <c r="J313" s="220">
        <v>176.65199999999999</v>
      </c>
      <c r="K313" s="220">
        <v>-0.44</v>
      </c>
      <c r="L313" s="220">
        <v>36.253999999999998</v>
      </c>
      <c r="M313" s="220" t="s">
        <v>690</v>
      </c>
      <c r="N313" s="220" t="s">
        <v>933</v>
      </c>
      <c r="O313" s="220" t="s">
        <v>981</v>
      </c>
      <c r="P313" s="220" t="s">
        <v>982</v>
      </c>
      <c r="Q313" s="220" t="s">
        <v>274</v>
      </c>
      <c r="R313" s="220" t="s">
        <v>189</v>
      </c>
      <c r="S313" s="220" t="s">
        <v>983</v>
      </c>
    </row>
    <row r="314" spans="1:19" x14ac:dyDescent="0.25">
      <c r="A314" s="220">
        <v>45</v>
      </c>
      <c r="B314" s="220" t="s">
        <v>980</v>
      </c>
      <c r="C314" s="220" t="s">
        <v>296</v>
      </c>
      <c r="D314" s="220" t="s">
        <v>363</v>
      </c>
      <c r="E314" s="220">
        <v>7</v>
      </c>
      <c r="F314" s="220">
        <v>169.66200000000001</v>
      </c>
      <c r="G314" s="220">
        <v>13658</v>
      </c>
      <c r="H314" s="220">
        <v>16464</v>
      </c>
      <c r="I314" s="220">
        <v>19027</v>
      </c>
      <c r="J314" s="220">
        <v>166.95699999999999</v>
      </c>
      <c r="K314" s="220">
        <v>-0.46200000000000002</v>
      </c>
      <c r="L314" s="220">
        <v>36.301000000000002</v>
      </c>
      <c r="M314" s="220" t="s">
        <v>690</v>
      </c>
      <c r="N314" s="220" t="s">
        <v>933</v>
      </c>
      <c r="O314" s="220" t="s">
        <v>981</v>
      </c>
      <c r="P314" s="220" t="s">
        <v>982</v>
      </c>
      <c r="Q314" s="220" t="s">
        <v>274</v>
      </c>
      <c r="R314" s="220" t="s">
        <v>189</v>
      </c>
      <c r="S314" s="220" t="s">
        <v>983</v>
      </c>
    </row>
    <row r="315" spans="1:19" hidden="1" x14ac:dyDescent="0.25">
      <c r="A315" s="220">
        <v>46</v>
      </c>
      <c r="B315" s="220" t="s">
        <v>984</v>
      </c>
      <c r="C315" s="220" t="s">
        <v>513</v>
      </c>
      <c r="D315" s="220" t="s">
        <v>365</v>
      </c>
      <c r="E315" s="220">
        <v>1</v>
      </c>
      <c r="F315" s="220">
        <v>203.74299999999999</v>
      </c>
      <c r="G315" s="220">
        <v>10417</v>
      </c>
      <c r="H315" s="220">
        <v>12285</v>
      </c>
      <c r="I315" s="220">
        <v>14354</v>
      </c>
      <c r="J315" s="220">
        <v>200.548</v>
      </c>
      <c r="K315" s="220">
        <v>-19.928000000000001</v>
      </c>
      <c r="L315" s="220">
        <v>24.428000000000001</v>
      </c>
      <c r="M315" s="220" t="s">
        <v>985</v>
      </c>
      <c r="N315" s="220" t="s">
        <v>933</v>
      </c>
      <c r="O315" s="220" t="s">
        <v>986</v>
      </c>
      <c r="P315" s="220" t="s">
        <v>987</v>
      </c>
      <c r="Q315" s="220" t="s">
        <v>74</v>
      </c>
      <c r="R315" s="220" t="s">
        <v>122</v>
      </c>
      <c r="S315" s="220" t="s">
        <v>135</v>
      </c>
    </row>
    <row r="316" spans="1:19" hidden="1" x14ac:dyDescent="0.25">
      <c r="A316" s="220">
        <v>46</v>
      </c>
      <c r="B316" s="220" t="s">
        <v>984</v>
      </c>
      <c r="C316" s="220" t="s">
        <v>513</v>
      </c>
      <c r="D316" s="220" t="s">
        <v>365</v>
      </c>
      <c r="E316" s="220">
        <v>2</v>
      </c>
      <c r="F316" s="220">
        <v>201.179</v>
      </c>
      <c r="G316" s="220">
        <v>10420</v>
      </c>
      <c r="H316" s="220">
        <v>12288</v>
      </c>
      <c r="I316" s="220">
        <v>14356</v>
      </c>
      <c r="J316" s="220">
        <v>198.024</v>
      </c>
      <c r="K316" s="220">
        <v>-19.943999999999999</v>
      </c>
      <c r="L316" s="220">
        <v>24.411000000000001</v>
      </c>
      <c r="M316" s="220" t="s">
        <v>985</v>
      </c>
      <c r="N316" s="220" t="s">
        <v>933</v>
      </c>
      <c r="O316" s="220" t="s">
        <v>986</v>
      </c>
      <c r="P316" s="220" t="s">
        <v>987</v>
      </c>
      <c r="Q316" s="220" t="s">
        <v>202</v>
      </c>
      <c r="R316" s="220" t="s">
        <v>255</v>
      </c>
      <c r="S316" s="220" t="s">
        <v>253</v>
      </c>
    </row>
    <row r="317" spans="1:19" hidden="1" x14ac:dyDescent="0.25">
      <c r="A317" s="220">
        <v>46</v>
      </c>
      <c r="B317" s="220" t="s">
        <v>984</v>
      </c>
      <c r="C317" s="220" t="s">
        <v>513</v>
      </c>
      <c r="D317" s="220" t="s">
        <v>365</v>
      </c>
      <c r="E317" s="220">
        <v>3</v>
      </c>
      <c r="F317" s="220">
        <v>202.47900000000001</v>
      </c>
      <c r="G317" s="220">
        <v>10465</v>
      </c>
      <c r="H317" s="220">
        <v>12342</v>
      </c>
      <c r="I317" s="220">
        <v>14422</v>
      </c>
      <c r="J317" s="220">
        <v>199.304</v>
      </c>
      <c r="K317" s="220">
        <v>-19.940000000000001</v>
      </c>
      <c r="L317" s="220">
        <v>24.417999999999999</v>
      </c>
      <c r="M317" s="220" t="s">
        <v>985</v>
      </c>
      <c r="N317" s="220" t="s">
        <v>933</v>
      </c>
      <c r="O317" s="220" t="s">
        <v>986</v>
      </c>
      <c r="P317" s="220" t="s">
        <v>987</v>
      </c>
      <c r="Q317" s="220" t="s">
        <v>237</v>
      </c>
      <c r="R317" s="220" t="s">
        <v>105</v>
      </c>
      <c r="S317" s="220" t="s">
        <v>189</v>
      </c>
    </row>
    <row r="318" spans="1:19" hidden="1" x14ac:dyDescent="0.25">
      <c r="A318" s="220">
        <v>46</v>
      </c>
      <c r="B318" s="220" t="s">
        <v>984</v>
      </c>
      <c r="C318" s="220" t="s">
        <v>513</v>
      </c>
      <c r="D318" s="220" t="s">
        <v>365</v>
      </c>
      <c r="E318" s="220">
        <v>4</v>
      </c>
      <c r="F318" s="220">
        <v>202.44900000000001</v>
      </c>
      <c r="G318" s="220">
        <v>10419</v>
      </c>
      <c r="H318" s="220">
        <v>12287</v>
      </c>
      <c r="I318" s="220">
        <v>14355</v>
      </c>
      <c r="J318" s="220">
        <v>199.27500000000001</v>
      </c>
      <c r="K318" s="220">
        <v>-19.937000000000001</v>
      </c>
      <c r="L318" s="220">
        <v>24.417999999999999</v>
      </c>
      <c r="M318" s="220" t="s">
        <v>985</v>
      </c>
      <c r="N318" s="220" t="s">
        <v>933</v>
      </c>
      <c r="O318" s="220" t="s">
        <v>986</v>
      </c>
      <c r="P318" s="220" t="s">
        <v>987</v>
      </c>
      <c r="Q318" s="220" t="s">
        <v>237</v>
      </c>
      <c r="R318" s="220" t="s">
        <v>252</v>
      </c>
      <c r="S318" s="220" t="s">
        <v>189</v>
      </c>
    </row>
    <row r="319" spans="1:19" hidden="1" x14ac:dyDescent="0.25">
      <c r="A319" s="220">
        <v>46</v>
      </c>
      <c r="B319" s="220" t="s">
        <v>984</v>
      </c>
      <c r="C319" s="220" t="s">
        <v>513</v>
      </c>
      <c r="D319" s="220" t="s">
        <v>365</v>
      </c>
      <c r="E319" s="220">
        <v>5</v>
      </c>
      <c r="F319" s="220">
        <v>117.51600000000001</v>
      </c>
      <c r="G319" s="220">
        <v>8852</v>
      </c>
      <c r="H319" s="220">
        <v>10655</v>
      </c>
      <c r="I319" s="220">
        <v>12341</v>
      </c>
      <c r="J319" s="220">
        <v>115.64400000000001</v>
      </c>
      <c r="K319" s="220">
        <v>-0.84099999999999997</v>
      </c>
      <c r="L319" s="220">
        <v>35.546999999999997</v>
      </c>
      <c r="M319" s="220" t="s">
        <v>985</v>
      </c>
      <c r="N319" s="220" t="s">
        <v>933</v>
      </c>
      <c r="O319" s="220" t="s">
        <v>986</v>
      </c>
      <c r="P319" s="220" t="s">
        <v>987</v>
      </c>
      <c r="Q319" s="220" t="s">
        <v>178</v>
      </c>
      <c r="R319" s="220" t="s">
        <v>603</v>
      </c>
      <c r="S319" s="220" t="s">
        <v>55</v>
      </c>
    </row>
    <row r="320" spans="1:19" x14ac:dyDescent="0.25">
      <c r="A320" s="220">
        <v>46</v>
      </c>
      <c r="B320" s="220" t="s">
        <v>984</v>
      </c>
      <c r="C320" s="220" t="s">
        <v>513</v>
      </c>
      <c r="D320" s="220" t="s">
        <v>365</v>
      </c>
      <c r="E320" s="220">
        <v>6</v>
      </c>
      <c r="F320" s="220">
        <v>103.902</v>
      </c>
      <c r="G320" s="220">
        <v>7973</v>
      </c>
      <c r="H320" s="220">
        <v>9595</v>
      </c>
      <c r="I320" s="220">
        <v>11116</v>
      </c>
      <c r="J320" s="220">
        <v>102.246</v>
      </c>
      <c r="K320" s="220">
        <v>-0.84399999999999997</v>
      </c>
      <c r="L320" s="220">
        <v>36.134</v>
      </c>
      <c r="M320" s="220" t="s">
        <v>985</v>
      </c>
      <c r="N320" s="220" t="s">
        <v>933</v>
      </c>
      <c r="O320" s="220" t="s">
        <v>986</v>
      </c>
      <c r="P320" s="220" t="s">
        <v>987</v>
      </c>
      <c r="Q320" s="220" t="s">
        <v>220</v>
      </c>
      <c r="R320" s="220" t="s">
        <v>277</v>
      </c>
      <c r="S320" s="220" t="s">
        <v>255</v>
      </c>
    </row>
    <row r="321" spans="1:19" x14ac:dyDescent="0.25">
      <c r="A321" s="220">
        <v>46</v>
      </c>
      <c r="B321" s="220" t="s">
        <v>984</v>
      </c>
      <c r="C321" s="220" t="s">
        <v>513</v>
      </c>
      <c r="D321" s="220" t="s">
        <v>365</v>
      </c>
      <c r="E321" s="220">
        <v>7</v>
      </c>
      <c r="F321" s="220">
        <v>96.72</v>
      </c>
      <c r="G321" s="220">
        <v>7455</v>
      </c>
      <c r="H321" s="220">
        <v>8973</v>
      </c>
      <c r="I321" s="220">
        <v>10397</v>
      </c>
      <c r="J321" s="220">
        <v>95.177999999999997</v>
      </c>
      <c r="K321" s="220">
        <v>-0.77400000000000002</v>
      </c>
      <c r="L321" s="220">
        <v>36.168999999999997</v>
      </c>
      <c r="M321" s="220" t="s">
        <v>985</v>
      </c>
      <c r="N321" s="220" t="s">
        <v>933</v>
      </c>
      <c r="O321" s="220" t="s">
        <v>986</v>
      </c>
      <c r="P321" s="220" t="s">
        <v>987</v>
      </c>
      <c r="Q321" s="220" t="s">
        <v>988</v>
      </c>
      <c r="R321" s="220" t="s">
        <v>989</v>
      </c>
      <c r="S321" s="220" t="s">
        <v>990</v>
      </c>
    </row>
    <row r="322" spans="1:19" hidden="1" x14ac:dyDescent="0.25">
      <c r="A322" s="220">
        <v>47</v>
      </c>
      <c r="B322" s="220" t="s">
        <v>0</v>
      </c>
      <c r="C322" s="220" t="s">
        <v>513</v>
      </c>
      <c r="D322" s="220" t="s">
        <v>366</v>
      </c>
      <c r="E322" s="220">
        <v>1</v>
      </c>
      <c r="F322" s="220">
        <v>203.55699999999999</v>
      </c>
      <c r="G322" s="220">
        <v>10414</v>
      </c>
      <c r="H322" s="220">
        <v>12282</v>
      </c>
      <c r="I322" s="220">
        <v>14347</v>
      </c>
      <c r="J322" s="220">
        <v>200.36500000000001</v>
      </c>
      <c r="K322" s="220">
        <v>-19.939</v>
      </c>
      <c r="L322" s="220">
        <v>24.446999999999999</v>
      </c>
      <c r="M322" s="220" t="s">
        <v>991</v>
      </c>
      <c r="N322" s="220" t="s">
        <v>933</v>
      </c>
      <c r="O322" s="220" t="s">
        <v>992</v>
      </c>
      <c r="P322" s="220" t="s">
        <v>993</v>
      </c>
      <c r="Q322" s="220" t="s">
        <v>53</v>
      </c>
      <c r="R322" s="220" t="s">
        <v>231</v>
      </c>
      <c r="S322" s="220" t="s">
        <v>207</v>
      </c>
    </row>
    <row r="323" spans="1:19" hidden="1" x14ac:dyDescent="0.25">
      <c r="A323" s="220">
        <v>47</v>
      </c>
      <c r="B323" s="220" t="s">
        <v>0</v>
      </c>
      <c r="C323" s="220" t="s">
        <v>513</v>
      </c>
      <c r="D323" s="220" t="s">
        <v>366</v>
      </c>
      <c r="E323" s="220">
        <v>2</v>
      </c>
      <c r="F323" s="220">
        <v>200.98099999999999</v>
      </c>
      <c r="G323" s="220">
        <v>10414</v>
      </c>
      <c r="H323" s="220">
        <v>12283</v>
      </c>
      <c r="I323" s="220">
        <v>14346</v>
      </c>
      <c r="J323" s="220">
        <v>197.82900000000001</v>
      </c>
      <c r="K323" s="220">
        <v>-19.942</v>
      </c>
      <c r="L323" s="220">
        <v>24.422999999999998</v>
      </c>
      <c r="M323" s="220" t="s">
        <v>991</v>
      </c>
      <c r="N323" s="220" t="s">
        <v>933</v>
      </c>
      <c r="O323" s="220" t="s">
        <v>992</v>
      </c>
      <c r="P323" s="220" t="s">
        <v>993</v>
      </c>
      <c r="Q323" s="220" t="s">
        <v>127</v>
      </c>
      <c r="R323" s="220" t="s">
        <v>192</v>
      </c>
      <c r="S323" s="220" t="s">
        <v>248</v>
      </c>
    </row>
    <row r="324" spans="1:19" hidden="1" x14ac:dyDescent="0.25">
      <c r="A324" s="220">
        <v>47</v>
      </c>
      <c r="B324" s="220" t="s">
        <v>0</v>
      </c>
      <c r="C324" s="220" t="s">
        <v>513</v>
      </c>
      <c r="D324" s="220" t="s">
        <v>366</v>
      </c>
      <c r="E324" s="220">
        <v>3</v>
      </c>
      <c r="F324" s="220">
        <v>202.81299999999999</v>
      </c>
      <c r="G324" s="220">
        <v>10469</v>
      </c>
      <c r="H324" s="220">
        <v>12349</v>
      </c>
      <c r="I324" s="220">
        <v>14426</v>
      </c>
      <c r="J324" s="220">
        <v>199.63200000000001</v>
      </c>
      <c r="K324" s="220">
        <v>-19.933</v>
      </c>
      <c r="L324" s="220">
        <v>24.436</v>
      </c>
      <c r="M324" s="220" t="s">
        <v>991</v>
      </c>
      <c r="N324" s="220" t="s">
        <v>933</v>
      </c>
      <c r="O324" s="220" t="s">
        <v>992</v>
      </c>
      <c r="P324" s="220" t="s">
        <v>993</v>
      </c>
      <c r="Q324" s="220" t="s">
        <v>130</v>
      </c>
      <c r="R324" s="220" t="s">
        <v>146</v>
      </c>
      <c r="S324" s="220" t="s">
        <v>179</v>
      </c>
    </row>
    <row r="325" spans="1:19" hidden="1" x14ac:dyDescent="0.25">
      <c r="A325" s="220">
        <v>47</v>
      </c>
      <c r="B325" s="220" t="s">
        <v>0</v>
      </c>
      <c r="C325" s="220" t="s">
        <v>513</v>
      </c>
      <c r="D325" s="220" t="s">
        <v>366</v>
      </c>
      <c r="E325" s="220">
        <v>4</v>
      </c>
      <c r="F325" s="220">
        <v>202.97200000000001</v>
      </c>
      <c r="G325" s="220">
        <v>10413</v>
      </c>
      <c r="H325" s="220">
        <v>12282</v>
      </c>
      <c r="I325" s="220">
        <v>14348</v>
      </c>
      <c r="J325" s="220">
        <v>199.79</v>
      </c>
      <c r="K325" s="220">
        <v>-19.937000000000001</v>
      </c>
      <c r="L325" s="220">
        <v>24.417999999999999</v>
      </c>
      <c r="M325" s="220" t="s">
        <v>991</v>
      </c>
      <c r="N325" s="220" t="s">
        <v>933</v>
      </c>
      <c r="O325" s="220" t="s">
        <v>992</v>
      </c>
      <c r="P325" s="220" t="s">
        <v>993</v>
      </c>
      <c r="Q325" s="220" t="s">
        <v>129</v>
      </c>
      <c r="R325" s="220" t="s">
        <v>194</v>
      </c>
      <c r="S325" s="220" t="s">
        <v>193</v>
      </c>
    </row>
    <row r="326" spans="1:19" hidden="1" x14ac:dyDescent="0.25">
      <c r="A326" s="220">
        <v>47</v>
      </c>
      <c r="B326" s="220" t="s">
        <v>0</v>
      </c>
      <c r="C326" s="220" t="s">
        <v>513</v>
      </c>
      <c r="D326" s="220" t="s">
        <v>366</v>
      </c>
      <c r="E326" s="220">
        <v>5</v>
      </c>
      <c r="F326" s="220">
        <v>198.262</v>
      </c>
      <c r="G326" s="220">
        <v>15867</v>
      </c>
      <c r="H326" s="220">
        <v>19229</v>
      </c>
      <c r="I326" s="220">
        <v>22138</v>
      </c>
      <c r="J326" s="220">
        <v>195.09</v>
      </c>
      <c r="K326" s="220">
        <v>4.6219999999999999</v>
      </c>
      <c r="L326" s="220">
        <v>36.905999999999999</v>
      </c>
      <c r="M326" s="220" t="s">
        <v>991</v>
      </c>
      <c r="N326" s="220" t="s">
        <v>933</v>
      </c>
      <c r="O326" s="220" t="s">
        <v>992</v>
      </c>
      <c r="P326" s="220" t="s">
        <v>993</v>
      </c>
      <c r="Q326" s="220" t="s">
        <v>156</v>
      </c>
      <c r="R326" s="220" t="s">
        <v>160</v>
      </c>
      <c r="S326" s="220" t="s">
        <v>162</v>
      </c>
    </row>
    <row r="327" spans="1:19" x14ac:dyDescent="0.25">
      <c r="A327" s="220">
        <v>47</v>
      </c>
      <c r="B327" s="220" t="s">
        <v>0</v>
      </c>
      <c r="C327" s="220" t="s">
        <v>513</v>
      </c>
      <c r="D327" s="220" t="s">
        <v>366</v>
      </c>
      <c r="E327" s="220">
        <v>6</v>
      </c>
      <c r="F327" s="220">
        <v>175.10300000000001</v>
      </c>
      <c r="G327" s="220">
        <v>14203</v>
      </c>
      <c r="H327" s="220">
        <v>17204</v>
      </c>
      <c r="I327" s="220">
        <v>19815</v>
      </c>
      <c r="J327" s="220">
        <v>172.30099999999999</v>
      </c>
      <c r="K327" s="220">
        <v>4.6859999999999999</v>
      </c>
      <c r="L327" s="220">
        <v>37.036000000000001</v>
      </c>
      <c r="M327" s="220" t="s">
        <v>991</v>
      </c>
      <c r="N327" s="220" t="s">
        <v>933</v>
      </c>
      <c r="O327" s="220" t="s">
        <v>992</v>
      </c>
      <c r="P327" s="220" t="s">
        <v>993</v>
      </c>
      <c r="Q327" s="220" t="s">
        <v>113</v>
      </c>
      <c r="R327" s="220" t="s">
        <v>250</v>
      </c>
      <c r="S327" s="220" t="s">
        <v>802</v>
      </c>
    </row>
    <row r="328" spans="1:19" x14ac:dyDescent="0.25">
      <c r="A328" s="220">
        <v>47</v>
      </c>
      <c r="B328" s="220" t="s">
        <v>0</v>
      </c>
      <c r="C328" s="220" t="s">
        <v>513</v>
      </c>
      <c r="D328" s="220" t="s">
        <v>366</v>
      </c>
      <c r="E328" s="220">
        <v>7</v>
      </c>
      <c r="F328" s="220">
        <v>162.68</v>
      </c>
      <c r="G328" s="220">
        <v>13205</v>
      </c>
      <c r="H328" s="220">
        <v>15991</v>
      </c>
      <c r="I328" s="220">
        <v>18422</v>
      </c>
      <c r="J328" s="220">
        <v>160.077</v>
      </c>
      <c r="K328" s="220">
        <v>4.7640000000000002</v>
      </c>
      <c r="L328" s="220">
        <v>37.055</v>
      </c>
      <c r="M328" s="220" t="s">
        <v>991</v>
      </c>
      <c r="N328" s="220" t="s">
        <v>933</v>
      </c>
      <c r="O328" s="220" t="s">
        <v>992</v>
      </c>
      <c r="P328" s="220" t="s">
        <v>993</v>
      </c>
      <c r="Q328" s="220" t="s">
        <v>716</v>
      </c>
      <c r="R328" s="220" t="s">
        <v>994</v>
      </c>
      <c r="S328" s="220" t="s">
        <v>995</v>
      </c>
    </row>
    <row r="329" spans="1:19" hidden="1" x14ac:dyDescent="0.25">
      <c r="A329" s="220">
        <v>48</v>
      </c>
      <c r="B329" s="220" t="s">
        <v>0</v>
      </c>
      <c r="C329" s="220" t="s">
        <v>380</v>
      </c>
      <c r="D329" s="220" t="s">
        <v>367</v>
      </c>
      <c r="E329" s="220">
        <v>1</v>
      </c>
      <c r="F329" s="220">
        <v>203.83799999999999</v>
      </c>
      <c r="G329" s="220">
        <v>10419</v>
      </c>
      <c r="H329" s="220">
        <v>12288</v>
      </c>
      <c r="I329" s="220">
        <v>14354</v>
      </c>
      <c r="J329" s="220">
        <v>200.642</v>
      </c>
      <c r="K329" s="220">
        <v>-19.917000000000002</v>
      </c>
      <c r="L329" s="220">
        <v>24.414999999999999</v>
      </c>
      <c r="M329" s="220" t="s">
        <v>996</v>
      </c>
      <c r="N329" s="220" t="s">
        <v>933</v>
      </c>
      <c r="O329" s="220" t="s">
        <v>997</v>
      </c>
      <c r="P329" s="220" t="s">
        <v>998</v>
      </c>
      <c r="Q329" s="220" t="s">
        <v>71</v>
      </c>
      <c r="R329" s="220" t="s">
        <v>115</v>
      </c>
      <c r="S329" s="220" t="s">
        <v>163</v>
      </c>
    </row>
    <row r="330" spans="1:19" hidden="1" x14ac:dyDescent="0.25">
      <c r="A330" s="220">
        <v>48</v>
      </c>
      <c r="B330" s="220" t="s">
        <v>0</v>
      </c>
      <c r="C330" s="220" t="s">
        <v>380</v>
      </c>
      <c r="D330" s="220" t="s">
        <v>367</v>
      </c>
      <c r="E330" s="220">
        <v>2</v>
      </c>
      <c r="F330" s="220">
        <v>201.44200000000001</v>
      </c>
      <c r="G330" s="220">
        <v>10425</v>
      </c>
      <c r="H330" s="220">
        <v>12295</v>
      </c>
      <c r="I330" s="220">
        <v>14362</v>
      </c>
      <c r="J330" s="220">
        <v>198.28399999999999</v>
      </c>
      <c r="K330" s="220">
        <v>-19.925999999999998</v>
      </c>
      <c r="L330" s="220">
        <v>24.414000000000001</v>
      </c>
      <c r="M330" s="220" t="s">
        <v>996</v>
      </c>
      <c r="N330" s="220" t="s">
        <v>933</v>
      </c>
      <c r="O330" s="220" t="s">
        <v>997</v>
      </c>
      <c r="P330" s="220" t="s">
        <v>998</v>
      </c>
      <c r="Q330" s="220" t="s">
        <v>126</v>
      </c>
      <c r="R330" s="220" t="s">
        <v>274</v>
      </c>
      <c r="S330" s="220" t="s">
        <v>172</v>
      </c>
    </row>
    <row r="331" spans="1:19" hidden="1" x14ac:dyDescent="0.25">
      <c r="A331" s="220">
        <v>48</v>
      </c>
      <c r="B331" s="220" t="s">
        <v>0</v>
      </c>
      <c r="C331" s="220" t="s">
        <v>380</v>
      </c>
      <c r="D331" s="220" t="s">
        <v>367</v>
      </c>
      <c r="E331" s="220">
        <v>3</v>
      </c>
      <c r="F331" s="220">
        <v>202.905</v>
      </c>
      <c r="G331" s="220">
        <v>10475</v>
      </c>
      <c r="H331" s="220">
        <v>12354</v>
      </c>
      <c r="I331" s="220">
        <v>14432</v>
      </c>
      <c r="J331" s="220">
        <v>199.72300000000001</v>
      </c>
      <c r="K331" s="220">
        <v>-19.917999999999999</v>
      </c>
      <c r="L331" s="220">
        <v>24.41</v>
      </c>
      <c r="M331" s="220" t="s">
        <v>996</v>
      </c>
      <c r="N331" s="220" t="s">
        <v>933</v>
      </c>
      <c r="O331" s="220" t="s">
        <v>997</v>
      </c>
      <c r="P331" s="220" t="s">
        <v>998</v>
      </c>
      <c r="Q331" s="220" t="s">
        <v>202</v>
      </c>
      <c r="R331" s="220" t="s">
        <v>255</v>
      </c>
      <c r="S331" s="220" t="s">
        <v>253</v>
      </c>
    </row>
    <row r="332" spans="1:19" hidden="1" x14ac:dyDescent="0.25">
      <c r="A332" s="220">
        <v>48</v>
      </c>
      <c r="B332" s="220" t="s">
        <v>0</v>
      </c>
      <c r="C332" s="220" t="s">
        <v>380</v>
      </c>
      <c r="D332" s="220" t="s">
        <v>367</v>
      </c>
      <c r="E332" s="220">
        <v>4</v>
      </c>
      <c r="F332" s="220">
        <v>202.542</v>
      </c>
      <c r="G332" s="220">
        <v>10421</v>
      </c>
      <c r="H332" s="220">
        <v>12292</v>
      </c>
      <c r="I332" s="220">
        <v>14357</v>
      </c>
      <c r="J332" s="220">
        <v>199.36600000000001</v>
      </c>
      <c r="K332" s="220">
        <v>-19.937000000000001</v>
      </c>
      <c r="L332" s="220">
        <v>24.417999999999999</v>
      </c>
      <c r="M332" s="220" t="s">
        <v>996</v>
      </c>
      <c r="N332" s="220" t="s">
        <v>933</v>
      </c>
      <c r="O332" s="220" t="s">
        <v>997</v>
      </c>
      <c r="P332" s="220" t="s">
        <v>998</v>
      </c>
      <c r="Q332" s="220" t="s">
        <v>202</v>
      </c>
      <c r="R332" s="220" t="s">
        <v>255</v>
      </c>
      <c r="S332" s="220" t="s">
        <v>177</v>
      </c>
    </row>
    <row r="333" spans="1:19" hidden="1" x14ac:dyDescent="0.25">
      <c r="A333" s="220">
        <v>48</v>
      </c>
      <c r="B333" s="220" t="s">
        <v>0</v>
      </c>
      <c r="C333" s="220" t="s">
        <v>380</v>
      </c>
      <c r="D333" s="220" t="s">
        <v>367</v>
      </c>
      <c r="E333" s="220">
        <v>5</v>
      </c>
      <c r="F333" s="220">
        <v>207.89699999999999</v>
      </c>
      <c r="G333" s="220">
        <v>15832</v>
      </c>
      <c r="H333" s="220">
        <v>19186</v>
      </c>
      <c r="I333" s="220">
        <v>22084</v>
      </c>
      <c r="J333" s="220">
        <v>204.571</v>
      </c>
      <c r="K333" s="220">
        <v>4.673</v>
      </c>
      <c r="L333" s="220">
        <v>36.706000000000003</v>
      </c>
      <c r="M333" s="220" t="s">
        <v>996</v>
      </c>
      <c r="N333" s="220" t="s">
        <v>933</v>
      </c>
      <c r="O333" s="220" t="s">
        <v>997</v>
      </c>
      <c r="P333" s="220" t="s">
        <v>998</v>
      </c>
      <c r="Q333" s="220" t="s">
        <v>169</v>
      </c>
      <c r="R333" s="220" t="s">
        <v>594</v>
      </c>
      <c r="S333" s="220" t="s">
        <v>51</v>
      </c>
    </row>
    <row r="334" spans="1:19" x14ac:dyDescent="0.25">
      <c r="A334" s="220">
        <v>48</v>
      </c>
      <c r="B334" s="220" t="s">
        <v>0</v>
      </c>
      <c r="C334" s="220" t="s">
        <v>380</v>
      </c>
      <c r="D334" s="220" t="s">
        <v>367</v>
      </c>
      <c r="E334" s="220">
        <v>6</v>
      </c>
      <c r="F334" s="220">
        <v>182.565</v>
      </c>
      <c r="G334" s="220">
        <v>14153</v>
      </c>
      <c r="H334" s="220">
        <v>17144</v>
      </c>
      <c r="I334" s="220">
        <v>19743</v>
      </c>
      <c r="J334" s="220">
        <v>179.643</v>
      </c>
      <c r="K334" s="220">
        <v>4.718</v>
      </c>
      <c r="L334" s="220">
        <v>36.865000000000002</v>
      </c>
      <c r="M334" s="220" t="s">
        <v>996</v>
      </c>
      <c r="N334" s="220" t="s">
        <v>933</v>
      </c>
      <c r="O334" s="220" t="s">
        <v>997</v>
      </c>
      <c r="P334" s="220" t="s">
        <v>998</v>
      </c>
      <c r="Q334" s="220" t="s">
        <v>146</v>
      </c>
      <c r="R334" s="220" t="s">
        <v>172</v>
      </c>
      <c r="S334" s="220" t="s">
        <v>645</v>
      </c>
    </row>
    <row r="335" spans="1:19" x14ac:dyDescent="0.25">
      <c r="A335" s="220">
        <v>48</v>
      </c>
      <c r="B335" s="220" t="s">
        <v>0</v>
      </c>
      <c r="C335" s="220" t="s">
        <v>380</v>
      </c>
      <c r="D335" s="220" t="s">
        <v>367</v>
      </c>
      <c r="E335" s="220">
        <v>7</v>
      </c>
      <c r="F335" s="220">
        <v>169.733</v>
      </c>
      <c r="G335" s="220">
        <v>13202</v>
      </c>
      <c r="H335" s="220">
        <v>15994</v>
      </c>
      <c r="I335" s="220">
        <v>18417</v>
      </c>
      <c r="J335" s="220">
        <v>167.017</v>
      </c>
      <c r="K335" s="220">
        <v>4.7709999999999999</v>
      </c>
      <c r="L335" s="220">
        <v>36.909999999999997</v>
      </c>
      <c r="M335" s="220" t="s">
        <v>996</v>
      </c>
      <c r="N335" s="220" t="s">
        <v>933</v>
      </c>
      <c r="O335" s="220" t="s">
        <v>997</v>
      </c>
      <c r="P335" s="220" t="s">
        <v>998</v>
      </c>
      <c r="Q335" s="220" t="s">
        <v>275</v>
      </c>
      <c r="R335" s="220" t="s">
        <v>532</v>
      </c>
      <c r="S335" s="220" t="s">
        <v>999</v>
      </c>
    </row>
    <row r="336" spans="1:19" hidden="1" x14ac:dyDescent="0.25">
      <c r="A336" s="220">
        <v>49</v>
      </c>
      <c r="B336" s="220" t="s">
        <v>1000</v>
      </c>
      <c r="C336" s="220" t="s">
        <v>221</v>
      </c>
      <c r="D336" s="220" t="s">
        <v>368</v>
      </c>
      <c r="E336" s="220">
        <v>1</v>
      </c>
      <c r="F336" s="220">
        <v>204.22900000000001</v>
      </c>
      <c r="G336" s="220">
        <v>10438</v>
      </c>
      <c r="H336" s="220">
        <v>12312</v>
      </c>
      <c r="I336" s="220">
        <v>14372</v>
      </c>
      <c r="J336" s="220">
        <v>201.02799999999999</v>
      </c>
      <c r="K336" s="220">
        <v>-19.928000000000001</v>
      </c>
      <c r="L336" s="220">
        <v>24.413</v>
      </c>
      <c r="M336" s="220" t="s">
        <v>1001</v>
      </c>
      <c r="N336" s="220" t="s">
        <v>933</v>
      </c>
      <c r="O336" s="220" t="s">
        <v>1002</v>
      </c>
      <c r="P336" s="220" t="s">
        <v>1003</v>
      </c>
      <c r="Q336" s="220" t="s">
        <v>73</v>
      </c>
      <c r="R336" s="220" t="s">
        <v>122</v>
      </c>
      <c r="S336" s="220" t="s">
        <v>148</v>
      </c>
    </row>
    <row r="337" spans="1:19" hidden="1" x14ac:dyDescent="0.25">
      <c r="A337" s="220">
        <v>49</v>
      </c>
      <c r="B337" s="220" t="s">
        <v>1000</v>
      </c>
      <c r="C337" s="220" t="s">
        <v>221</v>
      </c>
      <c r="D337" s="220" t="s">
        <v>368</v>
      </c>
      <c r="E337" s="220">
        <v>2</v>
      </c>
      <c r="F337" s="220">
        <v>202.65299999999999</v>
      </c>
      <c r="G337" s="220">
        <v>10450</v>
      </c>
      <c r="H337" s="220">
        <v>12327</v>
      </c>
      <c r="I337" s="220">
        <v>14386</v>
      </c>
      <c r="J337" s="220">
        <v>199.476</v>
      </c>
      <c r="K337" s="220">
        <v>-19.934999999999999</v>
      </c>
      <c r="L337" s="220">
        <v>24.425999999999998</v>
      </c>
      <c r="M337" s="220" t="s">
        <v>1001</v>
      </c>
      <c r="N337" s="220" t="s">
        <v>933</v>
      </c>
      <c r="O337" s="220" t="s">
        <v>1002</v>
      </c>
      <c r="P337" s="220" t="s">
        <v>1003</v>
      </c>
      <c r="Q337" s="220" t="s">
        <v>202</v>
      </c>
      <c r="R337" s="220" t="s">
        <v>255</v>
      </c>
      <c r="S337" s="220" t="s">
        <v>208</v>
      </c>
    </row>
    <row r="338" spans="1:19" hidden="1" x14ac:dyDescent="0.25">
      <c r="A338" s="220">
        <v>49</v>
      </c>
      <c r="B338" s="220" t="s">
        <v>1000</v>
      </c>
      <c r="C338" s="220" t="s">
        <v>221</v>
      </c>
      <c r="D338" s="220" t="s">
        <v>368</v>
      </c>
      <c r="E338" s="220">
        <v>3</v>
      </c>
      <c r="F338" s="220">
        <v>203.02600000000001</v>
      </c>
      <c r="G338" s="220">
        <v>10483</v>
      </c>
      <c r="H338" s="220">
        <v>12366</v>
      </c>
      <c r="I338" s="220">
        <v>14434</v>
      </c>
      <c r="J338" s="220">
        <v>199.84299999999999</v>
      </c>
      <c r="K338" s="220">
        <v>-19.945</v>
      </c>
      <c r="L338" s="220">
        <v>24.43</v>
      </c>
      <c r="M338" s="220" t="s">
        <v>1001</v>
      </c>
      <c r="N338" s="220" t="s">
        <v>933</v>
      </c>
      <c r="O338" s="220" t="s">
        <v>1002</v>
      </c>
      <c r="P338" s="220" t="s">
        <v>1003</v>
      </c>
      <c r="Q338" s="220" t="s">
        <v>120</v>
      </c>
      <c r="R338" s="220" t="s">
        <v>226</v>
      </c>
      <c r="S338" s="220" t="s">
        <v>235</v>
      </c>
    </row>
    <row r="339" spans="1:19" hidden="1" x14ac:dyDescent="0.25">
      <c r="A339" s="220">
        <v>49</v>
      </c>
      <c r="B339" s="220" t="s">
        <v>1000</v>
      </c>
      <c r="C339" s="220" t="s">
        <v>221</v>
      </c>
      <c r="D339" s="220" t="s">
        <v>368</v>
      </c>
      <c r="E339" s="220">
        <v>4</v>
      </c>
      <c r="F339" s="220">
        <v>202.97900000000001</v>
      </c>
      <c r="G339" s="220">
        <v>10455</v>
      </c>
      <c r="H339" s="220">
        <v>12333</v>
      </c>
      <c r="I339" s="220">
        <v>14396</v>
      </c>
      <c r="J339" s="220">
        <v>199.797</v>
      </c>
      <c r="K339" s="220">
        <v>-19.937000000000001</v>
      </c>
      <c r="L339" s="220">
        <v>24.417999999999999</v>
      </c>
      <c r="M339" s="220" t="s">
        <v>1001</v>
      </c>
      <c r="N339" s="220" t="s">
        <v>933</v>
      </c>
      <c r="O339" s="220" t="s">
        <v>1002</v>
      </c>
      <c r="P339" s="220" t="s">
        <v>1003</v>
      </c>
      <c r="Q339" s="220" t="s">
        <v>237</v>
      </c>
      <c r="R339" s="220" t="s">
        <v>105</v>
      </c>
      <c r="S339" s="220" t="s">
        <v>189</v>
      </c>
    </row>
    <row r="340" spans="1:19" hidden="1" x14ac:dyDescent="0.25">
      <c r="A340" s="220">
        <v>49</v>
      </c>
      <c r="B340" s="220" t="s">
        <v>1000</v>
      </c>
      <c r="C340" s="220" t="s">
        <v>221</v>
      </c>
      <c r="D340" s="220" t="s">
        <v>368</v>
      </c>
      <c r="E340" s="220">
        <v>5</v>
      </c>
      <c r="F340" s="220">
        <v>184.58699999999999</v>
      </c>
      <c r="G340" s="220">
        <v>14705</v>
      </c>
      <c r="H340" s="220">
        <v>17724</v>
      </c>
      <c r="I340" s="220">
        <v>20482</v>
      </c>
      <c r="J340" s="220">
        <v>181.64599999999999</v>
      </c>
      <c r="K340" s="220">
        <v>-0.84699999999999998</v>
      </c>
      <c r="L340" s="220">
        <v>35.701000000000001</v>
      </c>
      <c r="M340" s="220" t="s">
        <v>1001</v>
      </c>
      <c r="N340" s="220" t="s">
        <v>933</v>
      </c>
      <c r="O340" s="220" t="s">
        <v>1002</v>
      </c>
      <c r="P340" s="220" t="s">
        <v>1003</v>
      </c>
      <c r="Q340" s="220" t="s">
        <v>174</v>
      </c>
      <c r="R340" s="220" t="s">
        <v>611</v>
      </c>
      <c r="S340" s="220" t="s">
        <v>1004</v>
      </c>
    </row>
    <row r="341" spans="1:19" x14ac:dyDescent="0.25">
      <c r="A341" s="220">
        <v>49</v>
      </c>
      <c r="B341" s="220" t="s">
        <v>1000</v>
      </c>
      <c r="C341" s="220" t="s">
        <v>221</v>
      </c>
      <c r="D341" s="220" t="s">
        <v>368</v>
      </c>
      <c r="E341" s="220">
        <v>6</v>
      </c>
      <c r="F341" s="220">
        <v>162.44</v>
      </c>
      <c r="G341" s="220">
        <v>12993</v>
      </c>
      <c r="H341" s="220">
        <v>15654</v>
      </c>
      <c r="I341" s="220">
        <v>18094</v>
      </c>
      <c r="J341" s="220">
        <v>159.851</v>
      </c>
      <c r="K341" s="220">
        <v>-0.82499999999999996</v>
      </c>
      <c r="L341" s="220">
        <v>36.052999999999997</v>
      </c>
      <c r="M341" s="220" t="s">
        <v>1001</v>
      </c>
      <c r="N341" s="220" t="s">
        <v>933</v>
      </c>
      <c r="O341" s="220" t="s">
        <v>1002</v>
      </c>
      <c r="P341" s="220" t="s">
        <v>1003</v>
      </c>
      <c r="Q341" s="220" t="s">
        <v>159</v>
      </c>
      <c r="R341" s="220" t="s">
        <v>234</v>
      </c>
      <c r="S341" s="220" t="s">
        <v>205</v>
      </c>
    </row>
    <row r="342" spans="1:19" x14ac:dyDescent="0.25">
      <c r="A342" s="220">
        <v>49</v>
      </c>
      <c r="B342" s="220" t="s">
        <v>1000</v>
      </c>
      <c r="C342" s="220" t="s">
        <v>221</v>
      </c>
      <c r="D342" s="220" t="s">
        <v>368</v>
      </c>
      <c r="E342" s="220">
        <v>7</v>
      </c>
      <c r="F342" s="220">
        <v>150.87799999999999</v>
      </c>
      <c r="G342" s="220">
        <v>12031</v>
      </c>
      <c r="H342" s="220">
        <v>14490</v>
      </c>
      <c r="I342" s="220">
        <v>16759</v>
      </c>
      <c r="J342" s="220">
        <v>148.47300000000001</v>
      </c>
      <c r="K342" s="220">
        <v>-0.753</v>
      </c>
      <c r="L342" s="220">
        <v>36.106999999999999</v>
      </c>
      <c r="M342" s="220" t="s">
        <v>1001</v>
      </c>
      <c r="N342" s="220" t="s">
        <v>933</v>
      </c>
      <c r="O342" s="220" t="s">
        <v>1002</v>
      </c>
      <c r="P342" s="220" t="s">
        <v>1003</v>
      </c>
      <c r="Q342" s="220" t="s">
        <v>661</v>
      </c>
      <c r="R342" s="220" t="s">
        <v>1005</v>
      </c>
      <c r="S342" s="220" t="s">
        <v>727</v>
      </c>
    </row>
    <row r="343" spans="1:19" hidden="1" x14ac:dyDescent="0.25">
      <c r="A343" s="220">
        <v>50</v>
      </c>
      <c r="B343" s="220" t="s">
        <v>1006</v>
      </c>
      <c r="C343" s="220" t="s">
        <v>294</v>
      </c>
      <c r="D343" s="220" t="s">
        <v>369</v>
      </c>
      <c r="E343" s="220">
        <v>1</v>
      </c>
      <c r="F343" s="220">
        <v>204.25800000000001</v>
      </c>
      <c r="G343" s="220">
        <v>10447</v>
      </c>
      <c r="H343" s="220">
        <v>12323</v>
      </c>
      <c r="I343" s="220">
        <v>14381</v>
      </c>
      <c r="J343" s="220">
        <v>201.05600000000001</v>
      </c>
      <c r="K343" s="220">
        <v>-19.928999999999998</v>
      </c>
      <c r="L343" s="220">
        <v>24.425999999999998</v>
      </c>
      <c r="M343" s="220" t="s">
        <v>1007</v>
      </c>
      <c r="N343" s="220" t="s">
        <v>933</v>
      </c>
      <c r="O343" s="220" t="s">
        <v>1008</v>
      </c>
      <c r="P343" s="220" t="s">
        <v>1009</v>
      </c>
      <c r="Q343" s="220" t="s">
        <v>570</v>
      </c>
      <c r="R343" s="220" t="s">
        <v>127</v>
      </c>
      <c r="S343" s="220" t="s">
        <v>118</v>
      </c>
    </row>
    <row r="344" spans="1:19" hidden="1" x14ac:dyDescent="0.25">
      <c r="A344" s="220">
        <v>50</v>
      </c>
      <c r="B344" s="220" t="s">
        <v>1006</v>
      </c>
      <c r="C344" s="220" t="s">
        <v>294</v>
      </c>
      <c r="D344" s="220" t="s">
        <v>369</v>
      </c>
      <c r="E344" s="220">
        <v>2</v>
      </c>
      <c r="F344" s="220">
        <v>201.91499999999999</v>
      </c>
      <c r="G344" s="220">
        <v>10442</v>
      </c>
      <c r="H344" s="220">
        <v>12317</v>
      </c>
      <c r="I344" s="220">
        <v>14375</v>
      </c>
      <c r="J344" s="220">
        <v>198.749</v>
      </c>
      <c r="K344" s="220">
        <v>-19.931999999999999</v>
      </c>
      <c r="L344" s="220">
        <v>24.396000000000001</v>
      </c>
      <c r="M344" s="220" t="s">
        <v>1007</v>
      </c>
      <c r="N344" s="220" t="s">
        <v>933</v>
      </c>
      <c r="O344" s="220" t="s">
        <v>1008</v>
      </c>
      <c r="P344" s="220" t="s">
        <v>1009</v>
      </c>
      <c r="Q344" s="220" t="s">
        <v>145</v>
      </c>
      <c r="R344" s="220" t="s">
        <v>209</v>
      </c>
      <c r="S344" s="220" t="s">
        <v>198</v>
      </c>
    </row>
    <row r="345" spans="1:19" hidden="1" x14ac:dyDescent="0.25">
      <c r="A345" s="220">
        <v>50</v>
      </c>
      <c r="B345" s="220" t="s">
        <v>1006</v>
      </c>
      <c r="C345" s="220" t="s">
        <v>294</v>
      </c>
      <c r="D345" s="220" t="s">
        <v>369</v>
      </c>
      <c r="E345" s="220">
        <v>3</v>
      </c>
      <c r="F345" s="220">
        <v>203.012</v>
      </c>
      <c r="G345" s="220">
        <v>10500</v>
      </c>
      <c r="H345" s="220">
        <v>12385</v>
      </c>
      <c r="I345" s="220">
        <v>14454</v>
      </c>
      <c r="J345" s="220">
        <v>199.82900000000001</v>
      </c>
      <c r="K345" s="220">
        <v>-19.943000000000001</v>
      </c>
      <c r="L345" s="220">
        <v>24.417999999999999</v>
      </c>
      <c r="M345" s="220" t="s">
        <v>1007</v>
      </c>
      <c r="N345" s="220" t="s">
        <v>933</v>
      </c>
      <c r="O345" s="220" t="s">
        <v>1008</v>
      </c>
      <c r="P345" s="220" t="s">
        <v>1009</v>
      </c>
      <c r="Q345" s="220" t="s">
        <v>131</v>
      </c>
      <c r="R345" s="220" t="s">
        <v>216</v>
      </c>
      <c r="S345" s="220" t="s">
        <v>250</v>
      </c>
    </row>
    <row r="346" spans="1:19" hidden="1" x14ac:dyDescent="0.25">
      <c r="A346" s="220">
        <v>50</v>
      </c>
      <c r="B346" s="220" t="s">
        <v>1006</v>
      </c>
      <c r="C346" s="220" t="s">
        <v>294</v>
      </c>
      <c r="D346" s="220" t="s">
        <v>369</v>
      </c>
      <c r="E346" s="220">
        <v>4</v>
      </c>
      <c r="F346" s="220">
        <v>203.12700000000001</v>
      </c>
      <c r="G346" s="220">
        <v>10447</v>
      </c>
      <c r="H346" s="220">
        <v>12322</v>
      </c>
      <c r="I346" s="220">
        <v>14385</v>
      </c>
      <c r="J346" s="220">
        <v>199.94300000000001</v>
      </c>
      <c r="K346" s="220">
        <v>-19.937000000000001</v>
      </c>
      <c r="L346" s="220">
        <v>24.417999999999999</v>
      </c>
      <c r="M346" s="220" t="s">
        <v>1007</v>
      </c>
      <c r="N346" s="220" t="s">
        <v>933</v>
      </c>
      <c r="O346" s="220" t="s">
        <v>1008</v>
      </c>
      <c r="P346" s="220" t="s">
        <v>1009</v>
      </c>
      <c r="Q346" s="220" t="s">
        <v>131</v>
      </c>
      <c r="R346" s="220" t="s">
        <v>216</v>
      </c>
      <c r="S346" s="220" t="s">
        <v>253</v>
      </c>
    </row>
    <row r="347" spans="1:19" hidden="1" x14ac:dyDescent="0.25">
      <c r="A347" s="220">
        <v>50</v>
      </c>
      <c r="B347" s="220" t="s">
        <v>1006</v>
      </c>
      <c r="C347" s="220" t="s">
        <v>294</v>
      </c>
      <c r="D347" s="220" t="s">
        <v>369</v>
      </c>
      <c r="E347" s="220">
        <v>5</v>
      </c>
      <c r="F347" s="220">
        <v>221.779</v>
      </c>
      <c r="G347" s="220">
        <v>16974</v>
      </c>
      <c r="H347" s="220">
        <v>20475</v>
      </c>
      <c r="I347" s="220">
        <v>23637</v>
      </c>
      <c r="J347" s="220">
        <v>218.245</v>
      </c>
      <c r="K347" s="220">
        <v>-0.79200000000000004</v>
      </c>
      <c r="L347" s="220">
        <v>36.115000000000002</v>
      </c>
      <c r="M347" s="220" t="s">
        <v>1007</v>
      </c>
      <c r="N347" s="220" t="s">
        <v>933</v>
      </c>
      <c r="O347" s="220" t="s">
        <v>1008</v>
      </c>
      <c r="P347" s="220" t="s">
        <v>1009</v>
      </c>
      <c r="Q347" s="220" t="s">
        <v>171</v>
      </c>
      <c r="R347" s="220" t="s">
        <v>185</v>
      </c>
      <c r="S347" s="220" t="s">
        <v>162</v>
      </c>
    </row>
    <row r="348" spans="1:19" x14ac:dyDescent="0.25">
      <c r="A348" s="220">
        <v>50</v>
      </c>
      <c r="B348" s="220" t="s">
        <v>1006</v>
      </c>
      <c r="C348" s="220" t="s">
        <v>294</v>
      </c>
      <c r="D348" s="220" t="s">
        <v>369</v>
      </c>
      <c r="E348" s="220">
        <v>6</v>
      </c>
      <c r="F348" s="220">
        <v>194.441</v>
      </c>
      <c r="G348" s="220">
        <v>15140</v>
      </c>
      <c r="H348" s="220">
        <v>18261</v>
      </c>
      <c r="I348" s="220">
        <v>21093</v>
      </c>
      <c r="J348" s="220">
        <v>191.34200000000001</v>
      </c>
      <c r="K348" s="220">
        <v>-0.77600000000000002</v>
      </c>
      <c r="L348" s="220">
        <v>36.308999999999997</v>
      </c>
      <c r="M348" s="220" t="s">
        <v>1007</v>
      </c>
      <c r="N348" s="220" t="s">
        <v>933</v>
      </c>
      <c r="O348" s="220" t="s">
        <v>1008</v>
      </c>
      <c r="P348" s="220" t="s">
        <v>1009</v>
      </c>
      <c r="Q348" s="220" t="s">
        <v>274</v>
      </c>
      <c r="R348" s="220" t="s">
        <v>190</v>
      </c>
      <c r="S348" s="220" t="s">
        <v>550</v>
      </c>
    </row>
    <row r="349" spans="1:19" x14ac:dyDescent="0.25">
      <c r="A349" s="220">
        <v>50</v>
      </c>
      <c r="B349" s="220" t="s">
        <v>1006</v>
      </c>
      <c r="C349" s="220" t="s">
        <v>294</v>
      </c>
      <c r="D349" s="220" t="s">
        <v>369</v>
      </c>
      <c r="E349" s="220">
        <v>7</v>
      </c>
      <c r="F349" s="220">
        <v>180.80099999999999</v>
      </c>
      <c r="G349" s="220">
        <v>14165</v>
      </c>
      <c r="H349" s="220">
        <v>17082</v>
      </c>
      <c r="I349" s="220">
        <v>19732</v>
      </c>
      <c r="J349" s="220">
        <v>177.92</v>
      </c>
      <c r="K349" s="220">
        <v>-0.72299999999999998</v>
      </c>
      <c r="L349" s="220">
        <v>36.369999999999997</v>
      </c>
      <c r="M349" s="220" t="s">
        <v>1007</v>
      </c>
      <c r="N349" s="220" t="s">
        <v>933</v>
      </c>
      <c r="O349" s="220" t="s">
        <v>1008</v>
      </c>
      <c r="P349" s="220" t="s">
        <v>1009</v>
      </c>
      <c r="Q349" s="220" t="s">
        <v>1010</v>
      </c>
      <c r="R349" s="220" t="s">
        <v>527</v>
      </c>
      <c r="S349" s="220" t="s">
        <v>684</v>
      </c>
    </row>
    <row r="350" spans="1:19" hidden="1" x14ac:dyDescent="0.25">
      <c r="A350" s="220">
        <v>51</v>
      </c>
      <c r="B350" s="220" t="s">
        <v>1011</v>
      </c>
      <c r="C350" s="220" t="s">
        <v>267</v>
      </c>
      <c r="D350" s="220" t="s">
        <v>373</v>
      </c>
      <c r="E350" s="220">
        <v>1</v>
      </c>
      <c r="F350" s="220">
        <v>204.072</v>
      </c>
      <c r="G350" s="220">
        <v>10413</v>
      </c>
      <c r="H350" s="220">
        <v>12283</v>
      </c>
      <c r="I350" s="220">
        <v>14334</v>
      </c>
      <c r="J350" s="220">
        <v>200.87299999999999</v>
      </c>
      <c r="K350" s="220">
        <v>-19.919</v>
      </c>
      <c r="L350" s="220">
        <v>24.407</v>
      </c>
      <c r="M350" s="220" t="s">
        <v>1012</v>
      </c>
      <c r="N350" s="220" t="s">
        <v>933</v>
      </c>
      <c r="O350" s="220" t="s">
        <v>1013</v>
      </c>
      <c r="P350" s="220" t="s">
        <v>1014</v>
      </c>
      <c r="Q350" s="220" t="s">
        <v>54</v>
      </c>
      <c r="R350" s="220" t="s">
        <v>131</v>
      </c>
      <c r="S350" s="220" t="s">
        <v>194</v>
      </c>
    </row>
    <row r="351" spans="1:19" hidden="1" x14ac:dyDescent="0.25">
      <c r="A351" s="220">
        <v>51</v>
      </c>
      <c r="B351" s="220" t="s">
        <v>1011</v>
      </c>
      <c r="C351" s="220" t="s">
        <v>267</v>
      </c>
      <c r="D351" s="220" t="s">
        <v>373</v>
      </c>
      <c r="E351" s="220">
        <v>2</v>
      </c>
      <c r="F351" s="220">
        <v>201.405</v>
      </c>
      <c r="G351" s="220">
        <v>10417</v>
      </c>
      <c r="H351" s="220">
        <v>12287</v>
      </c>
      <c r="I351" s="220">
        <v>14340</v>
      </c>
      <c r="J351" s="220">
        <v>198.24700000000001</v>
      </c>
      <c r="K351" s="220">
        <v>-19.920999999999999</v>
      </c>
      <c r="L351" s="220">
        <v>24.387</v>
      </c>
      <c r="M351" s="220" t="s">
        <v>1012</v>
      </c>
      <c r="N351" s="220" t="s">
        <v>933</v>
      </c>
      <c r="O351" s="220" t="s">
        <v>1013</v>
      </c>
      <c r="P351" s="220" t="s">
        <v>1014</v>
      </c>
      <c r="Q351" s="220" t="s">
        <v>111</v>
      </c>
      <c r="R351" s="220" t="s">
        <v>233</v>
      </c>
      <c r="S351" s="220" t="s">
        <v>190</v>
      </c>
    </row>
    <row r="352" spans="1:19" hidden="1" x14ac:dyDescent="0.25">
      <c r="A352" s="220">
        <v>51</v>
      </c>
      <c r="B352" s="220" t="s">
        <v>1011</v>
      </c>
      <c r="C352" s="220" t="s">
        <v>267</v>
      </c>
      <c r="D352" s="220" t="s">
        <v>373</v>
      </c>
      <c r="E352" s="220">
        <v>3</v>
      </c>
      <c r="F352" s="220">
        <v>202.70099999999999</v>
      </c>
      <c r="G352" s="220">
        <v>10475</v>
      </c>
      <c r="H352" s="220">
        <v>12356</v>
      </c>
      <c r="I352" s="220">
        <v>14424</v>
      </c>
      <c r="J352" s="220">
        <v>199.523</v>
      </c>
      <c r="K352" s="220">
        <v>-19.928000000000001</v>
      </c>
      <c r="L352" s="220">
        <v>24.402999999999999</v>
      </c>
      <c r="M352" s="220" t="s">
        <v>1012</v>
      </c>
      <c r="N352" s="220" t="s">
        <v>933</v>
      </c>
      <c r="O352" s="220" t="s">
        <v>1013</v>
      </c>
      <c r="P352" s="220" t="s">
        <v>1014</v>
      </c>
      <c r="Q352" s="220" t="s">
        <v>117</v>
      </c>
      <c r="R352" s="220" t="s">
        <v>119</v>
      </c>
      <c r="S352" s="220" t="s">
        <v>241</v>
      </c>
    </row>
    <row r="353" spans="1:19" hidden="1" x14ac:dyDescent="0.25">
      <c r="A353" s="220">
        <v>51</v>
      </c>
      <c r="B353" s="220" t="s">
        <v>1011</v>
      </c>
      <c r="C353" s="220" t="s">
        <v>267</v>
      </c>
      <c r="D353" s="220" t="s">
        <v>373</v>
      </c>
      <c r="E353" s="220">
        <v>4</v>
      </c>
      <c r="F353" s="220">
        <v>202.446</v>
      </c>
      <c r="G353" s="220">
        <v>10420</v>
      </c>
      <c r="H353" s="220">
        <v>12291</v>
      </c>
      <c r="I353" s="220">
        <v>14343</v>
      </c>
      <c r="J353" s="220">
        <v>199.27199999999999</v>
      </c>
      <c r="K353" s="220">
        <v>-19.937000000000001</v>
      </c>
      <c r="L353" s="220">
        <v>24.417999999999999</v>
      </c>
      <c r="M353" s="220" t="s">
        <v>1012</v>
      </c>
      <c r="N353" s="220" t="s">
        <v>933</v>
      </c>
      <c r="O353" s="220" t="s">
        <v>1013</v>
      </c>
      <c r="P353" s="220" t="s">
        <v>1014</v>
      </c>
      <c r="Q353" s="220" t="s">
        <v>158</v>
      </c>
      <c r="R353" s="220" t="s">
        <v>233</v>
      </c>
      <c r="S353" s="220" t="s">
        <v>241</v>
      </c>
    </row>
    <row r="354" spans="1:19" hidden="1" x14ac:dyDescent="0.25">
      <c r="A354" s="220">
        <v>51</v>
      </c>
      <c r="B354" s="220" t="s">
        <v>1011</v>
      </c>
      <c r="C354" s="220" t="s">
        <v>267</v>
      </c>
      <c r="D354" s="220" t="s">
        <v>373</v>
      </c>
      <c r="E354" s="220">
        <v>5</v>
      </c>
      <c r="F354" s="220">
        <v>239.143</v>
      </c>
      <c r="G354" s="220">
        <v>18751</v>
      </c>
      <c r="H354" s="220">
        <v>22602</v>
      </c>
      <c r="I354" s="220">
        <v>26112</v>
      </c>
      <c r="J354" s="220">
        <v>235.333</v>
      </c>
      <c r="K354" s="220">
        <v>-0.95899999999999996</v>
      </c>
      <c r="L354" s="220">
        <v>35.942999999999998</v>
      </c>
      <c r="M354" s="220" t="s">
        <v>1012</v>
      </c>
      <c r="N354" s="220" t="s">
        <v>933</v>
      </c>
      <c r="O354" s="220" t="s">
        <v>1013</v>
      </c>
      <c r="P354" s="220" t="s">
        <v>1014</v>
      </c>
      <c r="Q354" s="220" t="s">
        <v>178</v>
      </c>
      <c r="R354" s="220" t="s">
        <v>603</v>
      </c>
      <c r="S354" s="220" t="s">
        <v>856</v>
      </c>
    </row>
    <row r="355" spans="1:19" x14ac:dyDescent="0.25">
      <c r="A355" s="220">
        <v>51</v>
      </c>
      <c r="B355" s="220" t="s">
        <v>1011</v>
      </c>
      <c r="C355" s="220" t="s">
        <v>267</v>
      </c>
      <c r="D355" s="220" t="s">
        <v>373</v>
      </c>
      <c r="E355" s="220">
        <v>6</v>
      </c>
      <c r="F355" s="220">
        <v>208.547</v>
      </c>
      <c r="G355" s="220">
        <v>16455</v>
      </c>
      <c r="H355" s="220">
        <v>19830</v>
      </c>
      <c r="I355" s="220">
        <v>22924</v>
      </c>
      <c r="J355" s="220">
        <v>205.22399999999999</v>
      </c>
      <c r="K355" s="220">
        <v>-0.91300000000000003</v>
      </c>
      <c r="L355" s="220">
        <v>36.319000000000003</v>
      </c>
      <c r="M355" s="220" t="s">
        <v>1012</v>
      </c>
      <c r="N355" s="220" t="s">
        <v>933</v>
      </c>
      <c r="O355" s="220" t="s">
        <v>1013</v>
      </c>
      <c r="P355" s="220" t="s">
        <v>1014</v>
      </c>
      <c r="Q355" s="220" t="s">
        <v>290</v>
      </c>
      <c r="R355" s="220" t="s">
        <v>824</v>
      </c>
      <c r="S355" s="220" t="s">
        <v>747</v>
      </c>
    </row>
    <row r="356" spans="1:19" x14ac:dyDescent="0.25">
      <c r="A356" s="220">
        <v>51</v>
      </c>
      <c r="B356" s="220" t="s">
        <v>1011</v>
      </c>
      <c r="C356" s="220" t="s">
        <v>267</v>
      </c>
      <c r="D356" s="220" t="s">
        <v>373</v>
      </c>
      <c r="E356" s="220">
        <v>7</v>
      </c>
      <c r="F356" s="220">
        <v>195.60300000000001</v>
      </c>
      <c r="G356" s="220">
        <v>15244</v>
      </c>
      <c r="H356" s="220">
        <v>18367</v>
      </c>
      <c r="I356" s="220">
        <v>21236</v>
      </c>
      <c r="J356" s="220">
        <v>192.48599999999999</v>
      </c>
      <c r="K356" s="220">
        <v>-0.92200000000000004</v>
      </c>
      <c r="L356" s="220">
        <v>36.365000000000002</v>
      </c>
      <c r="M356" s="220" t="s">
        <v>1012</v>
      </c>
      <c r="N356" s="220" t="s">
        <v>933</v>
      </c>
      <c r="O356" s="220" t="s">
        <v>1013</v>
      </c>
      <c r="P356" s="220" t="s">
        <v>1014</v>
      </c>
      <c r="Q356" s="220" t="s">
        <v>290</v>
      </c>
      <c r="R356" s="220" t="s">
        <v>824</v>
      </c>
      <c r="S356" s="220" t="s">
        <v>747</v>
      </c>
    </row>
    <row r="357" spans="1:19" hidden="1" x14ac:dyDescent="0.25">
      <c r="A357" s="220">
        <v>52</v>
      </c>
      <c r="B357" s="220" t="s">
        <v>1015</v>
      </c>
      <c r="C357" s="220" t="s">
        <v>286</v>
      </c>
      <c r="D357" s="220" t="s">
        <v>375</v>
      </c>
      <c r="E357" s="220">
        <v>1</v>
      </c>
      <c r="F357" s="220">
        <v>203.90600000000001</v>
      </c>
      <c r="G357" s="220">
        <v>10426</v>
      </c>
      <c r="H357" s="220">
        <v>12297</v>
      </c>
      <c r="I357" s="220">
        <v>14363</v>
      </c>
      <c r="J357" s="220">
        <v>200.709</v>
      </c>
      <c r="K357" s="220">
        <v>-19.940999999999999</v>
      </c>
      <c r="L357" s="220">
        <v>24.395</v>
      </c>
      <c r="M357" s="220" t="s">
        <v>1016</v>
      </c>
      <c r="N357" s="220" t="s">
        <v>933</v>
      </c>
      <c r="O357" s="220" t="s">
        <v>1017</v>
      </c>
      <c r="P357" s="220" t="s">
        <v>1018</v>
      </c>
      <c r="Q357" s="220" t="s">
        <v>54</v>
      </c>
      <c r="R357" s="220" t="s">
        <v>131</v>
      </c>
      <c r="S357" s="220" t="s">
        <v>194</v>
      </c>
    </row>
    <row r="358" spans="1:19" hidden="1" x14ac:dyDescent="0.25">
      <c r="A358" s="220">
        <v>52</v>
      </c>
      <c r="B358" s="220" t="s">
        <v>1015</v>
      </c>
      <c r="C358" s="220" t="s">
        <v>286</v>
      </c>
      <c r="D358" s="220" t="s">
        <v>375</v>
      </c>
      <c r="E358" s="220">
        <v>2</v>
      </c>
      <c r="F358" s="220">
        <v>201.529</v>
      </c>
      <c r="G358" s="220">
        <v>10433</v>
      </c>
      <c r="H358" s="220">
        <v>12306</v>
      </c>
      <c r="I358" s="220">
        <v>14374</v>
      </c>
      <c r="J358" s="220">
        <v>198.369</v>
      </c>
      <c r="K358" s="220">
        <v>-19.93</v>
      </c>
      <c r="L358" s="220">
        <v>24.385999999999999</v>
      </c>
      <c r="M358" s="220" t="s">
        <v>1016</v>
      </c>
      <c r="N358" s="220" t="s">
        <v>933</v>
      </c>
      <c r="O358" s="220" t="s">
        <v>1017</v>
      </c>
      <c r="P358" s="220" t="s">
        <v>1018</v>
      </c>
      <c r="Q358" s="220" t="s">
        <v>158</v>
      </c>
      <c r="R358" s="220" t="s">
        <v>233</v>
      </c>
      <c r="S358" s="220" t="s">
        <v>190</v>
      </c>
    </row>
    <row r="359" spans="1:19" hidden="1" x14ac:dyDescent="0.25">
      <c r="A359" s="220">
        <v>52</v>
      </c>
      <c r="B359" s="220" t="s">
        <v>1015</v>
      </c>
      <c r="C359" s="220" t="s">
        <v>286</v>
      </c>
      <c r="D359" s="220" t="s">
        <v>375</v>
      </c>
      <c r="E359" s="220">
        <v>3</v>
      </c>
      <c r="F359" s="220">
        <v>202.88499999999999</v>
      </c>
      <c r="G359" s="220">
        <v>10484</v>
      </c>
      <c r="H359" s="220">
        <v>12366</v>
      </c>
      <c r="I359" s="220">
        <v>14444</v>
      </c>
      <c r="J359" s="220">
        <v>199.70400000000001</v>
      </c>
      <c r="K359" s="220">
        <v>-19.949000000000002</v>
      </c>
      <c r="L359" s="220">
        <v>24.399000000000001</v>
      </c>
      <c r="M359" s="220" t="s">
        <v>1016</v>
      </c>
      <c r="N359" s="220" t="s">
        <v>933</v>
      </c>
      <c r="O359" s="220" t="s">
        <v>1017</v>
      </c>
      <c r="P359" s="220" t="s">
        <v>1018</v>
      </c>
      <c r="Q359" s="220" t="s">
        <v>81</v>
      </c>
      <c r="R359" s="220" t="s">
        <v>96</v>
      </c>
      <c r="S359" s="220" t="s">
        <v>200</v>
      </c>
    </row>
    <row r="360" spans="1:19" hidden="1" x14ac:dyDescent="0.25">
      <c r="A360" s="220">
        <v>52</v>
      </c>
      <c r="B360" s="220" t="s">
        <v>1015</v>
      </c>
      <c r="C360" s="220" t="s">
        <v>286</v>
      </c>
      <c r="D360" s="220" t="s">
        <v>375</v>
      </c>
      <c r="E360" s="220">
        <v>4</v>
      </c>
      <c r="F360" s="220">
        <v>202.97399999999999</v>
      </c>
      <c r="G360" s="220">
        <v>10442</v>
      </c>
      <c r="H360" s="220">
        <v>12315</v>
      </c>
      <c r="I360" s="220">
        <v>14386</v>
      </c>
      <c r="J360" s="220">
        <v>199.791</v>
      </c>
      <c r="K360" s="220">
        <v>-19.937000000000001</v>
      </c>
      <c r="L360" s="220">
        <v>24.417999999999999</v>
      </c>
      <c r="M360" s="220" t="s">
        <v>1016</v>
      </c>
      <c r="N360" s="220" t="s">
        <v>933</v>
      </c>
      <c r="O360" s="220" t="s">
        <v>1017</v>
      </c>
      <c r="P360" s="220" t="s">
        <v>1018</v>
      </c>
      <c r="Q360" s="220" t="s">
        <v>117</v>
      </c>
      <c r="R360" s="220" t="s">
        <v>119</v>
      </c>
      <c r="S360" s="220" t="s">
        <v>241</v>
      </c>
    </row>
    <row r="361" spans="1:19" hidden="1" x14ac:dyDescent="0.25">
      <c r="A361" s="220">
        <v>52</v>
      </c>
      <c r="B361" s="220" t="s">
        <v>1015</v>
      </c>
      <c r="C361" s="220" t="s">
        <v>286</v>
      </c>
      <c r="D361" s="220" t="s">
        <v>375</v>
      </c>
      <c r="E361" s="220">
        <v>5</v>
      </c>
      <c r="F361" s="220">
        <v>203.02</v>
      </c>
      <c r="G361" s="220">
        <v>15684</v>
      </c>
      <c r="H361" s="220">
        <v>18905</v>
      </c>
      <c r="I361" s="220">
        <v>21869</v>
      </c>
      <c r="J361" s="220">
        <v>199.786</v>
      </c>
      <c r="K361" s="220">
        <v>-1.6519999999999999</v>
      </c>
      <c r="L361" s="220">
        <v>36.171999999999997</v>
      </c>
      <c r="M361" s="220" t="s">
        <v>1016</v>
      </c>
      <c r="N361" s="220" t="s">
        <v>933</v>
      </c>
      <c r="O361" s="220" t="s">
        <v>1017</v>
      </c>
      <c r="P361" s="220" t="s">
        <v>1018</v>
      </c>
      <c r="Q361" s="220" t="s">
        <v>156</v>
      </c>
      <c r="R361" s="220" t="s">
        <v>160</v>
      </c>
      <c r="S361" s="220" t="s">
        <v>162</v>
      </c>
    </row>
    <row r="362" spans="1:19" x14ac:dyDescent="0.25">
      <c r="A362" s="220">
        <v>52</v>
      </c>
      <c r="B362" s="220" t="s">
        <v>1015</v>
      </c>
      <c r="C362" s="220" t="s">
        <v>286</v>
      </c>
      <c r="D362" s="220" t="s">
        <v>375</v>
      </c>
      <c r="E362" s="220">
        <v>6</v>
      </c>
      <c r="F362" s="220">
        <v>179.39500000000001</v>
      </c>
      <c r="G362" s="220">
        <v>14181</v>
      </c>
      <c r="H362" s="220">
        <v>17086</v>
      </c>
      <c r="I362" s="220">
        <v>19767</v>
      </c>
      <c r="J362" s="220">
        <v>176.53700000000001</v>
      </c>
      <c r="K362" s="220">
        <v>-1.611</v>
      </c>
      <c r="L362" s="220">
        <v>36.314</v>
      </c>
      <c r="M362" s="220" t="s">
        <v>1016</v>
      </c>
      <c r="N362" s="220" t="s">
        <v>933</v>
      </c>
      <c r="O362" s="220" t="s">
        <v>1017</v>
      </c>
      <c r="P362" s="220" t="s">
        <v>1018</v>
      </c>
      <c r="Q362" s="220" t="s">
        <v>194</v>
      </c>
      <c r="R362" s="220" t="s">
        <v>172</v>
      </c>
      <c r="S362" s="220" t="s">
        <v>595</v>
      </c>
    </row>
    <row r="363" spans="1:19" x14ac:dyDescent="0.25">
      <c r="A363" s="220">
        <v>52</v>
      </c>
      <c r="B363" s="220" t="s">
        <v>1015</v>
      </c>
      <c r="C363" s="220" t="s">
        <v>286</v>
      </c>
      <c r="D363" s="220" t="s">
        <v>375</v>
      </c>
      <c r="E363" s="220">
        <v>7</v>
      </c>
      <c r="F363" s="220">
        <v>169.69</v>
      </c>
      <c r="G363" s="220">
        <v>13394</v>
      </c>
      <c r="H363" s="220">
        <v>16131</v>
      </c>
      <c r="I363" s="220">
        <v>18676</v>
      </c>
      <c r="J363" s="220">
        <v>166.98599999999999</v>
      </c>
      <c r="K363" s="220">
        <v>-1.665</v>
      </c>
      <c r="L363" s="220">
        <v>36.357999999999997</v>
      </c>
      <c r="M363" s="220" t="s">
        <v>1016</v>
      </c>
      <c r="N363" s="220" t="s">
        <v>933</v>
      </c>
      <c r="O363" s="220" t="s">
        <v>1017</v>
      </c>
      <c r="P363" s="220" t="s">
        <v>1018</v>
      </c>
      <c r="Q363" s="220" t="s">
        <v>194</v>
      </c>
      <c r="R363" s="220" t="s">
        <v>172</v>
      </c>
      <c r="S363" s="220" t="s">
        <v>595</v>
      </c>
    </row>
    <row r="364" spans="1:19" hidden="1" x14ac:dyDescent="0.25">
      <c r="A364" s="220">
        <v>53</v>
      </c>
      <c r="B364" s="220" t="s">
        <v>1019</v>
      </c>
      <c r="C364" s="220" t="s">
        <v>688</v>
      </c>
      <c r="D364" s="220" t="s">
        <v>376</v>
      </c>
      <c r="E364" s="220">
        <v>1</v>
      </c>
      <c r="F364" s="220">
        <v>203.566</v>
      </c>
      <c r="G364" s="220">
        <v>10414</v>
      </c>
      <c r="H364" s="220">
        <v>12284</v>
      </c>
      <c r="I364" s="220">
        <v>14338</v>
      </c>
      <c r="J364" s="220">
        <v>200.375</v>
      </c>
      <c r="K364" s="220">
        <v>-19.936</v>
      </c>
      <c r="L364" s="220">
        <v>24.446000000000002</v>
      </c>
      <c r="M364" s="220" t="s">
        <v>1020</v>
      </c>
      <c r="N364" s="220" t="s">
        <v>933</v>
      </c>
      <c r="O364" s="220" t="s">
        <v>1021</v>
      </c>
      <c r="P364" s="220" t="s">
        <v>1022</v>
      </c>
      <c r="Q364" s="220" t="s">
        <v>78</v>
      </c>
      <c r="R364" s="220" t="s">
        <v>145</v>
      </c>
      <c r="S364" s="220" t="s">
        <v>146</v>
      </c>
    </row>
    <row r="365" spans="1:19" hidden="1" x14ac:dyDescent="0.25">
      <c r="A365" s="220">
        <v>53</v>
      </c>
      <c r="B365" s="220" t="s">
        <v>1019</v>
      </c>
      <c r="C365" s="220" t="s">
        <v>688</v>
      </c>
      <c r="D365" s="220" t="s">
        <v>376</v>
      </c>
      <c r="E365" s="220">
        <v>2</v>
      </c>
      <c r="F365" s="220">
        <v>201.327</v>
      </c>
      <c r="G365" s="220">
        <v>10414</v>
      </c>
      <c r="H365" s="220">
        <v>12284</v>
      </c>
      <c r="I365" s="220">
        <v>14337</v>
      </c>
      <c r="J365" s="220">
        <v>198.17</v>
      </c>
      <c r="K365" s="220">
        <v>-19.942</v>
      </c>
      <c r="L365" s="220">
        <v>24.437999999999999</v>
      </c>
      <c r="M365" s="220" t="s">
        <v>1020</v>
      </c>
      <c r="N365" s="220" t="s">
        <v>933</v>
      </c>
      <c r="O365" s="220" t="s">
        <v>1021</v>
      </c>
      <c r="P365" s="220" t="s">
        <v>1022</v>
      </c>
      <c r="Q365" s="220" t="s">
        <v>120</v>
      </c>
      <c r="R365" s="220" t="s">
        <v>226</v>
      </c>
      <c r="S365" s="220" t="s">
        <v>235</v>
      </c>
    </row>
    <row r="366" spans="1:19" hidden="1" x14ac:dyDescent="0.25">
      <c r="A366" s="220">
        <v>53</v>
      </c>
      <c r="B366" s="220" t="s">
        <v>1019</v>
      </c>
      <c r="C366" s="220" t="s">
        <v>688</v>
      </c>
      <c r="D366" s="220" t="s">
        <v>376</v>
      </c>
      <c r="E366" s="220">
        <v>3</v>
      </c>
      <c r="F366" s="220">
        <v>202.45</v>
      </c>
      <c r="G366" s="220">
        <v>10453</v>
      </c>
      <c r="H366" s="220">
        <v>12330</v>
      </c>
      <c r="I366" s="220">
        <v>14394</v>
      </c>
      <c r="J366" s="220">
        <v>199.27600000000001</v>
      </c>
      <c r="K366" s="220">
        <v>-19.93</v>
      </c>
      <c r="L366" s="220">
        <v>24.44</v>
      </c>
      <c r="M366" s="220" t="s">
        <v>1020</v>
      </c>
      <c r="N366" s="220" t="s">
        <v>933</v>
      </c>
      <c r="O366" s="220" t="s">
        <v>1021</v>
      </c>
      <c r="P366" s="220" t="s">
        <v>1022</v>
      </c>
      <c r="Q366" s="220" t="s">
        <v>158</v>
      </c>
      <c r="R366" s="220" t="s">
        <v>233</v>
      </c>
      <c r="S366" s="220" t="s">
        <v>303</v>
      </c>
    </row>
    <row r="367" spans="1:19" hidden="1" x14ac:dyDescent="0.25">
      <c r="A367" s="220">
        <v>53</v>
      </c>
      <c r="B367" s="220" t="s">
        <v>1019</v>
      </c>
      <c r="C367" s="220" t="s">
        <v>688</v>
      </c>
      <c r="D367" s="220" t="s">
        <v>376</v>
      </c>
      <c r="E367" s="220">
        <v>4</v>
      </c>
      <c r="F367" s="220">
        <v>202.589</v>
      </c>
      <c r="G367" s="220">
        <v>10428</v>
      </c>
      <c r="H367" s="220">
        <v>12299</v>
      </c>
      <c r="I367" s="220">
        <v>14355</v>
      </c>
      <c r="J367" s="220">
        <v>199.41300000000001</v>
      </c>
      <c r="K367" s="220">
        <v>-19.937000000000001</v>
      </c>
      <c r="L367" s="220">
        <v>24.417999999999999</v>
      </c>
      <c r="M367" s="220" t="s">
        <v>1020</v>
      </c>
      <c r="N367" s="220" t="s">
        <v>933</v>
      </c>
      <c r="O367" s="220" t="s">
        <v>1021</v>
      </c>
      <c r="P367" s="220" t="s">
        <v>1022</v>
      </c>
      <c r="Q367" s="220" t="s">
        <v>111</v>
      </c>
      <c r="R367" s="220" t="s">
        <v>233</v>
      </c>
      <c r="S367" s="220" t="s">
        <v>190</v>
      </c>
    </row>
    <row r="368" spans="1:19" hidden="1" x14ac:dyDescent="0.25">
      <c r="A368" s="220">
        <v>53</v>
      </c>
      <c r="B368" s="220" t="s">
        <v>1019</v>
      </c>
      <c r="C368" s="220" t="s">
        <v>688</v>
      </c>
      <c r="D368" s="220" t="s">
        <v>376</v>
      </c>
      <c r="E368" s="220">
        <v>5</v>
      </c>
      <c r="F368" s="220">
        <v>271.03899999999999</v>
      </c>
      <c r="G368" s="220">
        <v>20855</v>
      </c>
      <c r="H368" s="220">
        <v>25143</v>
      </c>
      <c r="I368" s="220">
        <v>29034</v>
      </c>
      <c r="J368" s="220">
        <v>266.721</v>
      </c>
      <c r="K368" s="220">
        <v>-1.24</v>
      </c>
      <c r="L368" s="220">
        <v>35.704999999999998</v>
      </c>
      <c r="M368" s="220" t="s">
        <v>1020</v>
      </c>
      <c r="N368" s="220" t="s">
        <v>933</v>
      </c>
      <c r="O368" s="220" t="s">
        <v>1021</v>
      </c>
      <c r="P368" s="220" t="s">
        <v>1022</v>
      </c>
      <c r="Q368" s="220" t="s">
        <v>175</v>
      </c>
      <c r="R368" s="220" t="s">
        <v>101</v>
      </c>
      <c r="S368" s="220" t="s">
        <v>1023</v>
      </c>
    </row>
    <row r="369" spans="1:19" x14ac:dyDescent="0.25">
      <c r="A369" s="220">
        <v>53</v>
      </c>
      <c r="B369" s="220" t="s">
        <v>1019</v>
      </c>
      <c r="C369" s="220" t="s">
        <v>688</v>
      </c>
      <c r="D369" s="220" t="s">
        <v>376</v>
      </c>
      <c r="E369" s="220">
        <v>6</v>
      </c>
      <c r="F369" s="220">
        <v>235.91</v>
      </c>
      <c r="G369" s="220">
        <v>18380</v>
      </c>
      <c r="H369" s="220">
        <v>22150</v>
      </c>
      <c r="I369" s="220">
        <v>25597</v>
      </c>
      <c r="J369" s="220">
        <v>232.15100000000001</v>
      </c>
      <c r="K369" s="220">
        <v>-1.226</v>
      </c>
      <c r="L369" s="220">
        <v>36.015999999999998</v>
      </c>
      <c r="M369" s="220" t="s">
        <v>1020</v>
      </c>
      <c r="N369" s="220" t="s">
        <v>933</v>
      </c>
      <c r="O369" s="220" t="s">
        <v>1021</v>
      </c>
      <c r="P369" s="220" t="s">
        <v>1022</v>
      </c>
      <c r="Q369" s="220" t="s">
        <v>197</v>
      </c>
      <c r="R369" s="220" t="s">
        <v>550</v>
      </c>
      <c r="S369" s="220" t="s">
        <v>1024</v>
      </c>
    </row>
    <row r="370" spans="1:19" x14ac:dyDescent="0.25">
      <c r="A370" s="220">
        <v>53</v>
      </c>
      <c r="B370" s="220" t="s">
        <v>1019</v>
      </c>
      <c r="C370" s="220" t="s">
        <v>688</v>
      </c>
      <c r="D370" s="220" t="s">
        <v>376</v>
      </c>
      <c r="E370" s="220">
        <v>7</v>
      </c>
      <c r="F370" s="220">
        <v>221.66399999999999</v>
      </c>
      <c r="G370" s="220">
        <v>17109</v>
      </c>
      <c r="H370" s="220">
        <v>20615</v>
      </c>
      <c r="I370" s="220">
        <v>23834</v>
      </c>
      <c r="J370" s="220">
        <v>218.13200000000001</v>
      </c>
      <c r="K370" s="220">
        <v>-1.2629999999999999</v>
      </c>
      <c r="L370" s="220">
        <v>36.075000000000003</v>
      </c>
      <c r="M370" s="220" t="s">
        <v>1020</v>
      </c>
      <c r="N370" s="220" t="s">
        <v>933</v>
      </c>
      <c r="O370" s="220" t="s">
        <v>1021</v>
      </c>
      <c r="P370" s="220" t="s">
        <v>1022</v>
      </c>
      <c r="Q370" s="220" t="s">
        <v>197</v>
      </c>
      <c r="R370" s="220" t="s">
        <v>550</v>
      </c>
      <c r="S370" s="220" t="s">
        <v>1024</v>
      </c>
    </row>
    <row r="371" spans="1:19" hidden="1" x14ac:dyDescent="0.25">
      <c r="A371" s="220">
        <v>54</v>
      </c>
      <c r="B371" s="220" t="s">
        <v>1025</v>
      </c>
      <c r="C371" s="220" t="s">
        <v>251</v>
      </c>
      <c r="D371" s="220" t="s">
        <v>377</v>
      </c>
      <c r="E371" s="220">
        <v>1</v>
      </c>
      <c r="F371" s="220">
        <v>203.983</v>
      </c>
      <c r="G371" s="220">
        <v>10430</v>
      </c>
      <c r="H371" s="220">
        <v>12303</v>
      </c>
      <c r="I371" s="220">
        <v>14362</v>
      </c>
      <c r="J371" s="220">
        <v>200.785</v>
      </c>
      <c r="K371" s="220">
        <v>-19.927</v>
      </c>
      <c r="L371" s="220">
        <v>24.452000000000002</v>
      </c>
      <c r="M371" s="220" t="s">
        <v>683</v>
      </c>
      <c r="N371" s="220" t="s">
        <v>933</v>
      </c>
      <c r="O371" s="220" t="s">
        <v>1026</v>
      </c>
      <c r="P371" s="220" t="s">
        <v>1027</v>
      </c>
      <c r="Q371" s="220" t="s">
        <v>220</v>
      </c>
      <c r="R371" s="220" t="s">
        <v>81</v>
      </c>
      <c r="S371" s="220" t="s">
        <v>252</v>
      </c>
    </row>
    <row r="372" spans="1:19" hidden="1" x14ac:dyDescent="0.25">
      <c r="A372" s="220">
        <v>54</v>
      </c>
      <c r="B372" s="220" t="s">
        <v>1025</v>
      </c>
      <c r="C372" s="220" t="s">
        <v>251</v>
      </c>
      <c r="D372" s="220" t="s">
        <v>377</v>
      </c>
      <c r="E372" s="220">
        <v>2</v>
      </c>
      <c r="F372" s="220">
        <v>201.68199999999999</v>
      </c>
      <c r="G372" s="220">
        <v>10433</v>
      </c>
      <c r="H372" s="220">
        <v>12306</v>
      </c>
      <c r="I372" s="220">
        <v>14365</v>
      </c>
      <c r="J372" s="220">
        <v>198.52</v>
      </c>
      <c r="K372" s="220">
        <v>-19.937000000000001</v>
      </c>
      <c r="L372" s="220">
        <v>24.428000000000001</v>
      </c>
      <c r="M372" s="220" t="s">
        <v>683</v>
      </c>
      <c r="N372" s="220" t="s">
        <v>933</v>
      </c>
      <c r="O372" s="220" t="s">
        <v>1026</v>
      </c>
      <c r="P372" s="220" t="s">
        <v>1027</v>
      </c>
      <c r="Q372" s="220" t="s">
        <v>110</v>
      </c>
      <c r="R372" s="220" t="s">
        <v>112</v>
      </c>
      <c r="S372" s="220" t="s">
        <v>584</v>
      </c>
    </row>
    <row r="373" spans="1:19" hidden="1" x14ac:dyDescent="0.25">
      <c r="A373" s="220">
        <v>54</v>
      </c>
      <c r="B373" s="220" t="s">
        <v>1025</v>
      </c>
      <c r="C373" s="220" t="s">
        <v>251</v>
      </c>
      <c r="D373" s="220" t="s">
        <v>377</v>
      </c>
      <c r="E373" s="220">
        <v>3</v>
      </c>
      <c r="F373" s="220">
        <v>202.952</v>
      </c>
      <c r="G373" s="220">
        <v>10500</v>
      </c>
      <c r="H373" s="220">
        <v>12385</v>
      </c>
      <c r="I373" s="220">
        <v>14456</v>
      </c>
      <c r="J373" s="220">
        <v>199.77</v>
      </c>
      <c r="K373" s="220">
        <v>-19.945</v>
      </c>
      <c r="L373" s="220">
        <v>24.433</v>
      </c>
      <c r="M373" s="220" t="s">
        <v>683</v>
      </c>
      <c r="N373" s="220" t="s">
        <v>933</v>
      </c>
      <c r="O373" s="220" t="s">
        <v>1026</v>
      </c>
      <c r="P373" s="220" t="s">
        <v>1027</v>
      </c>
      <c r="Q373" s="220" t="s">
        <v>123</v>
      </c>
      <c r="R373" s="220" t="s">
        <v>281</v>
      </c>
      <c r="S373" s="220" t="s">
        <v>561</v>
      </c>
    </row>
    <row r="374" spans="1:19" hidden="1" x14ac:dyDescent="0.25">
      <c r="A374" s="220">
        <v>54</v>
      </c>
      <c r="B374" s="220" t="s">
        <v>1025</v>
      </c>
      <c r="C374" s="220" t="s">
        <v>251</v>
      </c>
      <c r="D374" s="220" t="s">
        <v>377</v>
      </c>
      <c r="E374" s="220">
        <v>4</v>
      </c>
      <c r="F374" s="220">
        <v>203.096</v>
      </c>
      <c r="G374" s="220">
        <v>10454</v>
      </c>
      <c r="H374" s="220">
        <v>12332</v>
      </c>
      <c r="I374" s="220">
        <v>14395</v>
      </c>
      <c r="J374" s="220">
        <v>199.91200000000001</v>
      </c>
      <c r="K374" s="220">
        <v>-19.937000000000001</v>
      </c>
      <c r="L374" s="220">
        <v>24.417999999999999</v>
      </c>
      <c r="M374" s="220" t="s">
        <v>683</v>
      </c>
      <c r="N374" s="220" t="s">
        <v>933</v>
      </c>
      <c r="O374" s="220" t="s">
        <v>1026</v>
      </c>
      <c r="P374" s="220" t="s">
        <v>1027</v>
      </c>
      <c r="Q374" s="220" t="s">
        <v>203</v>
      </c>
      <c r="R374" s="220" t="s">
        <v>242</v>
      </c>
      <c r="S374" s="220" t="s">
        <v>531</v>
      </c>
    </row>
    <row r="375" spans="1:19" hidden="1" x14ac:dyDescent="0.25">
      <c r="A375" s="220">
        <v>54</v>
      </c>
      <c r="B375" s="220" t="s">
        <v>1025</v>
      </c>
      <c r="C375" s="220" t="s">
        <v>251</v>
      </c>
      <c r="D375" s="220" t="s">
        <v>377</v>
      </c>
      <c r="E375" s="220">
        <v>5</v>
      </c>
      <c r="F375" s="220">
        <v>210.446</v>
      </c>
      <c r="G375" s="220">
        <v>16594</v>
      </c>
      <c r="H375" s="220">
        <v>20009</v>
      </c>
      <c r="I375" s="220">
        <v>23104</v>
      </c>
      <c r="J375" s="220">
        <v>207.09399999999999</v>
      </c>
      <c r="K375" s="220">
        <v>-1.504</v>
      </c>
      <c r="L375" s="220">
        <v>35.723999999999997</v>
      </c>
      <c r="M375" s="220" t="s">
        <v>683</v>
      </c>
      <c r="N375" s="220" t="s">
        <v>933</v>
      </c>
      <c r="O375" s="220" t="s">
        <v>1026</v>
      </c>
      <c r="P375" s="220" t="s">
        <v>1027</v>
      </c>
      <c r="Q375" s="220" t="s">
        <v>167</v>
      </c>
      <c r="R375" s="220" t="s">
        <v>88</v>
      </c>
      <c r="S375" s="220" t="s">
        <v>162</v>
      </c>
    </row>
    <row r="376" spans="1:19" x14ac:dyDescent="0.25">
      <c r="A376" s="220">
        <v>54</v>
      </c>
      <c r="B376" s="220" t="s">
        <v>1025</v>
      </c>
      <c r="C376" s="220" t="s">
        <v>251</v>
      </c>
      <c r="D376" s="220" t="s">
        <v>377</v>
      </c>
      <c r="E376" s="220">
        <v>6</v>
      </c>
      <c r="F376" s="220">
        <v>187.19300000000001</v>
      </c>
      <c r="G376" s="220">
        <v>15081</v>
      </c>
      <c r="H376" s="220">
        <v>18175</v>
      </c>
      <c r="I376" s="220">
        <v>21001</v>
      </c>
      <c r="J376" s="220">
        <v>184.21100000000001</v>
      </c>
      <c r="K376" s="220">
        <v>-1.407</v>
      </c>
      <c r="L376" s="220">
        <v>35.896999999999998</v>
      </c>
      <c r="M376" s="220" t="s">
        <v>683</v>
      </c>
      <c r="N376" s="220" t="s">
        <v>933</v>
      </c>
      <c r="O376" s="220" t="s">
        <v>1026</v>
      </c>
      <c r="P376" s="220" t="s">
        <v>1027</v>
      </c>
      <c r="Q376" s="220" t="s">
        <v>252</v>
      </c>
      <c r="R376" s="220" t="s">
        <v>144</v>
      </c>
      <c r="S376" s="220" t="s">
        <v>685</v>
      </c>
    </row>
    <row r="377" spans="1:19" x14ac:dyDescent="0.25">
      <c r="A377" s="220">
        <v>54</v>
      </c>
      <c r="B377" s="220" t="s">
        <v>1025</v>
      </c>
      <c r="C377" s="220" t="s">
        <v>251</v>
      </c>
      <c r="D377" s="220" t="s">
        <v>377</v>
      </c>
      <c r="E377" s="220">
        <v>7</v>
      </c>
      <c r="F377" s="220">
        <v>175.19300000000001</v>
      </c>
      <c r="G377" s="220">
        <v>14168</v>
      </c>
      <c r="H377" s="220">
        <v>17073</v>
      </c>
      <c r="I377" s="220">
        <v>19727</v>
      </c>
      <c r="J377" s="220">
        <v>172.40299999999999</v>
      </c>
      <c r="K377" s="220">
        <v>-1.393</v>
      </c>
      <c r="L377" s="220">
        <v>35.881</v>
      </c>
      <c r="M377" s="220" t="s">
        <v>683</v>
      </c>
      <c r="N377" s="220" t="s">
        <v>933</v>
      </c>
      <c r="O377" s="220" t="s">
        <v>1026</v>
      </c>
      <c r="P377" s="220" t="s">
        <v>1027</v>
      </c>
      <c r="Q377" s="220" t="s">
        <v>1028</v>
      </c>
      <c r="R377" s="220" t="s">
        <v>722</v>
      </c>
      <c r="S377" s="220" t="s">
        <v>1029</v>
      </c>
    </row>
    <row r="378" spans="1:19" hidden="1" x14ac:dyDescent="0.25">
      <c r="A378" s="220">
        <v>55</v>
      </c>
      <c r="B378" s="220" t="s">
        <v>1030</v>
      </c>
      <c r="C378" s="220" t="s">
        <v>294</v>
      </c>
      <c r="D378" s="220" t="s">
        <v>378</v>
      </c>
      <c r="E378" s="220">
        <v>1</v>
      </c>
      <c r="F378" s="220">
        <v>204.02799999999999</v>
      </c>
      <c r="G378" s="220">
        <v>10437</v>
      </c>
      <c r="H378" s="220">
        <v>12311</v>
      </c>
      <c r="I378" s="220">
        <v>14366</v>
      </c>
      <c r="J378" s="220">
        <v>200.82900000000001</v>
      </c>
      <c r="K378" s="220">
        <v>-19.937999999999999</v>
      </c>
      <c r="L378" s="220">
        <v>24.454999999999998</v>
      </c>
      <c r="M378" s="220" t="s">
        <v>1031</v>
      </c>
      <c r="N378" s="220" t="s">
        <v>933</v>
      </c>
      <c r="O378" s="220" t="s">
        <v>1032</v>
      </c>
      <c r="P378" s="220" t="s">
        <v>1033</v>
      </c>
      <c r="Q378" s="220" t="s">
        <v>84</v>
      </c>
      <c r="R378" s="220" t="s">
        <v>202</v>
      </c>
      <c r="S378" s="220" t="s">
        <v>113</v>
      </c>
    </row>
    <row r="379" spans="1:19" hidden="1" x14ac:dyDescent="0.25">
      <c r="A379" s="220">
        <v>55</v>
      </c>
      <c r="B379" s="220" t="s">
        <v>1030</v>
      </c>
      <c r="C379" s="220" t="s">
        <v>294</v>
      </c>
      <c r="D379" s="220" t="s">
        <v>378</v>
      </c>
      <c r="E379" s="220">
        <v>2</v>
      </c>
      <c r="F379" s="220">
        <v>201.96100000000001</v>
      </c>
      <c r="G379" s="220">
        <v>10443</v>
      </c>
      <c r="H379" s="220">
        <v>12318</v>
      </c>
      <c r="I379" s="220">
        <v>14376</v>
      </c>
      <c r="J379" s="220">
        <v>198.79400000000001</v>
      </c>
      <c r="K379" s="220">
        <v>-19.943000000000001</v>
      </c>
      <c r="L379" s="220">
        <v>24.422999999999998</v>
      </c>
      <c r="M379" s="220" t="s">
        <v>1031</v>
      </c>
      <c r="N379" s="220" t="s">
        <v>933</v>
      </c>
      <c r="O379" s="220" t="s">
        <v>1032</v>
      </c>
      <c r="P379" s="220" t="s">
        <v>1033</v>
      </c>
      <c r="Q379" s="220" t="s">
        <v>158</v>
      </c>
      <c r="R379" s="220" t="s">
        <v>119</v>
      </c>
      <c r="S379" s="220" t="s">
        <v>190</v>
      </c>
    </row>
    <row r="380" spans="1:19" hidden="1" x14ac:dyDescent="0.25">
      <c r="A380" s="220">
        <v>55</v>
      </c>
      <c r="B380" s="220" t="s">
        <v>1030</v>
      </c>
      <c r="C380" s="220" t="s">
        <v>294</v>
      </c>
      <c r="D380" s="220" t="s">
        <v>378</v>
      </c>
      <c r="E380" s="220">
        <v>3</v>
      </c>
      <c r="F380" s="220">
        <v>202.99</v>
      </c>
      <c r="G380" s="220">
        <v>10480</v>
      </c>
      <c r="H380" s="220">
        <v>12363</v>
      </c>
      <c r="I380" s="220">
        <v>14432</v>
      </c>
      <c r="J380" s="220">
        <v>199.80799999999999</v>
      </c>
      <c r="K380" s="220">
        <v>-19.940999999999999</v>
      </c>
      <c r="L380" s="220">
        <v>24.445</v>
      </c>
      <c r="M380" s="220" t="s">
        <v>1031</v>
      </c>
      <c r="N380" s="220" t="s">
        <v>933</v>
      </c>
      <c r="O380" s="220" t="s">
        <v>1032</v>
      </c>
      <c r="P380" s="220" t="s">
        <v>1033</v>
      </c>
      <c r="Q380" s="220" t="s">
        <v>81</v>
      </c>
      <c r="R380" s="220" t="s">
        <v>214</v>
      </c>
      <c r="S380" s="220" t="s">
        <v>200</v>
      </c>
    </row>
    <row r="381" spans="1:19" hidden="1" x14ac:dyDescent="0.25">
      <c r="A381" s="220">
        <v>55</v>
      </c>
      <c r="B381" s="220" t="s">
        <v>1030</v>
      </c>
      <c r="C381" s="220" t="s">
        <v>294</v>
      </c>
      <c r="D381" s="220" t="s">
        <v>378</v>
      </c>
      <c r="E381" s="220">
        <v>4</v>
      </c>
      <c r="F381" s="220">
        <v>202.74700000000001</v>
      </c>
      <c r="G381" s="220">
        <v>10438</v>
      </c>
      <c r="H381" s="220">
        <v>12311</v>
      </c>
      <c r="I381" s="220">
        <v>14369</v>
      </c>
      <c r="J381" s="220">
        <v>199.56899999999999</v>
      </c>
      <c r="K381" s="220">
        <v>-19.937000000000001</v>
      </c>
      <c r="L381" s="220">
        <v>24.417999999999999</v>
      </c>
      <c r="M381" s="220" t="s">
        <v>1031</v>
      </c>
      <c r="N381" s="220" t="s">
        <v>933</v>
      </c>
      <c r="O381" s="220" t="s">
        <v>1032</v>
      </c>
      <c r="P381" s="220" t="s">
        <v>1033</v>
      </c>
      <c r="Q381" s="220" t="s">
        <v>81</v>
      </c>
      <c r="R381" s="220" t="s">
        <v>96</v>
      </c>
      <c r="S381" s="220" t="s">
        <v>144</v>
      </c>
    </row>
    <row r="382" spans="1:19" hidden="1" x14ac:dyDescent="0.25">
      <c r="A382" s="220">
        <v>55</v>
      </c>
      <c r="B382" s="220" t="s">
        <v>1030</v>
      </c>
      <c r="C382" s="220" t="s">
        <v>294</v>
      </c>
      <c r="D382" s="220" t="s">
        <v>378</v>
      </c>
      <c r="E382" s="220">
        <v>5</v>
      </c>
      <c r="F382" s="220">
        <v>215.411</v>
      </c>
      <c r="G382" s="220">
        <v>16350</v>
      </c>
      <c r="H382" s="220">
        <v>19703</v>
      </c>
      <c r="I382" s="220">
        <v>22764</v>
      </c>
      <c r="J382" s="220">
        <v>211.97900000000001</v>
      </c>
      <c r="K382" s="220">
        <v>-0.86799999999999999</v>
      </c>
      <c r="L382" s="220">
        <v>35.563000000000002</v>
      </c>
      <c r="M382" s="220" t="s">
        <v>1031</v>
      </c>
      <c r="N382" s="220" t="s">
        <v>933</v>
      </c>
      <c r="O382" s="220" t="s">
        <v>1032</v>
      </c>
      <c r="P382" s="220" t="s">
        <v>1033</v>
      </c>
      <c r="Q382" s="220" t="s">
        <v>151</v>
      </c>
      <c r="R382" s="220" t="s">
        <v>46</v>
      </c>
      <c r="S382" s="220" t="s">
        <v>602</v>
      </c>
    </row>
    <row r="383" spans="1:19" x14ac:dyDescent="0.25">
      <c r="A383" s="220">
        <v>55</v>
      </c>
      <c r="B383" s="220" t="s">
        <v>1030</v>
      </c>
      <c r="C383" s="220" t="s">
        <v>294</v>
      </c>
      <c r="D383" s="220" t="s">
        <v>378</v>
      </c>
      <c r="E383" s="220">
        <v>6</v>
      </c>
      <c r="F383" s="220">
        <v>188.76599999999999</v>
      </c>
      <c r="G383" s="220">
        <v>14590</v>
      </c>
      <c r="H383" s="220">
        <v>17577</v>
      </c>
      <c r="I383" s="220">
        <v>20315</v>
      </c>
      <c r="J383" s="220">
        <v>185.75800000000001</v>
      </c>
      <c r="K383" s="220">
        <v>-0.85699999999999998</v>
      </c>
      <c r="L383" s="220">
        <v>35.945999999999998</v>
      </c>
      <c r="M383" s="220" t="s">
        <v>1031</v>
      </c>
      <c r="N383" s="220" t="s">
        <v>933</v>
      </c>
      <c r="O383" s="220" t="s">
        <v>1032</v>
      </c>
      <c r="P383" s="220" t="s">
        <v>1033</v>
      </c>
      <c r="Q383" s="220" t="s">
        <v>270</v>
      </c>
      <c r="R383" s="220" t="s">
        <v>190</v>
      </c>
      <c r="S383" s="220" t="s">
        <v>633</v>
      </c>
    </row>
    <row r="384" spans="1:19" x14ac:dyDescent="0.25">
      <c r="A384" s="220">
        <v>55</v>
      </c>
      <c r="B384" s="220" t="s">
        <v>1030</v>
      </c>
      <c r="C384" s="220" t="s">
        <v>294</v>
      </c>
      <c r="D384" s="220" t="s">
        <v>378</v>
      </c>
      <c r="E384" s="220">
        <v>7</v>
      </c>
      <c r="F384" s="220">
        <v>175.535</v>
      </c>
      <c r="G384" s="220">
        <v>13610</v>
      </c>
      <c r="H384" s="220">
        <v>16398</v>
      </c>
      <c r="I384" s="220">
        <v>18951</v>
      </c>
      <c r="J384" s="220">
        <v>172.738</v>
      </c>
      <c r="K384" s="220">
        <v>-0.78900000000000003</v>
      </c>
      <c r="L384" s="220">
        <v>36.005000000000003</v>
      </c>
      <c r="M384" s="220" t="s">
        <v>1031</v>
      </c>
      <c r="N384" s="220" t="s">
        <v>933</v>
      </c>
      <c r="O384" s="220" t="s">
        <v>1032</v>
      </c>
      <c r="P384" s="220" t="s">
        <v>1033</v>
      </c>
      <c r="Q384" s="220" t="s">
        <v>710</v>
      </c>
      <c r="R384" s="220" t="s">
        <v>665</v>
      </c>
      <c r="S384" s="220" t="s">
        <v>658</v>
      </c>
    </row>
    <row r="385" spans="1:19" hidden="1" x14ac:dyDescent="0.25">
      <c r="A385" s="220">
        <v>56</v>
      </c>
      <c r="B385" s="220" t="s">
        <v>1034</v>
      </c>
      <c r="C385" s="220" t="s">
        <v>260</v>
      </c>
      <c r="D385" s="220" t="s">
        <v>381</v>
      </c>
      <c r="E385" s="220">
        <v>1</v>
      </c>
      <c r="F385" s="220">
        <v>203.80199999999999</v>
      </c>
      <c r="G385" s="220">
        <v>10392</v>
      </c>
      <c r="H385" s="220">
        <v>12257</v>
      </c>
      <c r="I385" s="220">
        <v>14320</v>
      </c>
      <c r="J385" s="220">
        <v>200.607</v>
      </c>
      <c r="K385" s="220">
        <v>-19.946000000000002</v>
      </c>
      <c r="L385" s="220">
        <v>24.414000000000001</v>
      </c>
      <c r="M385" s="220" t="s">
        <v>1035</v>
      </c>
      <c r="N385" s="220" t="s">
        <v>933</v>
      </c>
      <c r="O385" s="220" t="s">
        <v>1036</v>
      </c>
      <c r="P385" s="220" t="s">
        <v>1037</v>
      </c>
      <c r="Q385" s="220" t="s">
        <v>85</v>
      </c>
      <c r="R385" s="220" t="s">
        <v>133</v>
      </c>
      <c r="S385" s="220" t="s">
        <v>195</v>
      </c>
    </row>
    <row r="386" spans="1:19" hidden="1" x14ac:dyDescent="0.25">
      <c r="A386" s="220">
        <v>56</v>
      </c>
      <c r="B386" s="220" t="s">
        <v>1034</v>
      </c>
      <c r="C386" s="220" t="s">
        <v>260</v>
      </c>
      <c r="D386" s="220" t="s">
        <v>381</v>
      </c>
      <c r="E386" s="220">
        <v>2</v>
      </c>
      <c r="F386" s="220">
        <v>200.85599999999999</v>
      </c>
      <c r="G386" s="220">
        <v>10412</v>
      </c>
      <c r="H386" s="220">
        <v>12281</v>
      </c>
      <c r="I386" s="220">
        <v>14344</v>
      </c>
      <c r="J386" s="220">
        <v>197.70599999999999</v>
      </c>
      <c r="K386" s="220">
        <v>-19.943999999999999</v>
      </c>
      <c r="L386" s="220">
        <v>24.41</v>
      </c>
      <c r="M386" s="220" t="s">
        <v>1035</v>
      </c>
      <c r="N386" s="220" t="s">
        <v>933</v>
      </c>
      <c r="O386" s="220" t="s">
        <v>1036</v>
      </c>
      <c r="P386" s="220" t="s">
        <v>1037</v>
      </c>
      <c r="Q386" s="220" t="s">
        <v>120</v>
      </c>
      <c r="R386" s="220" t="s">
        <v>226</v>
      </c>
      <c r="S386" s="220" t="s">
        <v>189</v>
      </c>
    </row>
    <row r="387" spans="1:19" hidden="1" x14ac:dyDescent="0.25">
      <c r="A387" s="220">
        <v>56</v>
      </c>
      <c r="B387" s="220" t="s">
        <v>1034</v>
      </c>
      <c r="C387" s="220" t="s">
        <v>260</v>
      </c>
      <c r="D387" s="220" t="s">
        <v>381</v>
      </c>
      <c r="E387" s="220">
        <v>3</v>
      </c>
      <c r="F387" s="220">
        <v>202.40100000000001</v>
      </c>
      <c r="G387" s="220">
        <v>10472</v>
      </c>
      <c r="H387" s="220">
        <v>12352</v>
      </c>
      <c r="I387" s="220">
        <v>14430</v>
      </c>
      <c r="J387" s="220">
        <v>199.22800000000001</v>
      </c>
      <c r="K387" s="220">
        <v>-19.934999999999999</v>
      </c>
      <c r="L387" s="220">
        <v>24.407</v>
      </c>
      <c r="M387" s="220" t="s">
        <v>1035</v>
      </c>
      <c r="N387" s="220" t="s">
        <v>933</v>
      </c>
      <c r="O387" s="220" t="s">
        <v>1036</v>
      </c>
      <c r="P387" s="220" t="s">
        <v>1037</v>
      </c>
      <c r="Q387" s="220" t="s">
        <v>158</v>
      </c>
      <c r="R387" s="220" t="s">
        <v>233</v>
      </c>
      <c r="S387" s="220" t="s">
        <v>303</v>
      </c>
    </row>
    <row r="388" spans="1:19" hidden="1" x14ac:dyDescent="0.25">
      <c r="A388" s="220">
        <v>56</v>
      </c>
      <c r="B388" s="220" t="s">
        <v>1034</v>
      </c>
      <c r="C388" s="220" t="s">
        <v>260</v>
      </c>
      <c r="D388" s="220" t="s">
        <v>381</v>
      </c>
      <c r="E388" s="220">
        <v>4</v>
      </c>
      <c r="F388" s="220">
        <v>202.357</v>
      </c>
      <c r="G388" s="220">
        <v>10426</v>
      </c>
      <c r="H388" s="220">
        <v>12297</v>
      </c>
      <c r="I388" s="220">
        <v>14366</v>
      </c>
      <c r="J388" s="220">
        <v>199.184</v>
      </c>
      <c r="K388" s="220">
        <v>-19.937000000000001</v>
      </c>
      <c r="L388" s="220">
        <v>24.417999999999999</v>
      </c>
      <c r="M388" s="220" t="s">
        <v>1035</v>
      </c>
      <c r="N388" s="220" t="s">
        <v>933</v>
      </c>
      <c r="O388" s="220" t="s">
        <v>1036</v>
      </c>
      <c r="P388" s="220" t="s">
        <v>1037</v>
      </c>
      <c r="Q388" s="220" t="s">
        <v>111</v>
      </c>
      <c r="R388" s="220" t="s">
        <v>132</v>
      </c>
      <c r="S388" s="220" t="s">
        <v>190</v>
      </c>
    </row>
    <row r="389" spans="1:19" hidden="1" x14ac:dyDescent="0.25">
      <c r="A389" s="220">
        <v>56</v>
      </c>
      <c r="B389" s="220" t="s">
        <v>1034</v>
      </c>
      <c r="C389" s="220" t="s">
        <v>260</v>
      </c>
      <c r="D389" s="220" t="s">
        <v>381</v>
      </c>
      <c r="E389" s="220">
        <v>5</v>
      </c>
      <c r="F389" s="220">
        <v>188.29499999999999</v>
      </c>
      <c r="G389" s="220">
        <v>14968</v>
      </c>
      <c r="H389" s="220">
        <v>18035</v>
      </c>
      <c r="I389" s="220">
        <v>20863</v>
      </c>
      <c r="J389" s="220">
        <v>185.29599999999999</v>
      </c>
      <c r="K389" s="220">
        <v>-1.671</v>
      </c>
      <c r="L389" s="220">
        <v>35.851999999999997</v>
      </c>
      <c r="M389" s="220" t="s">
        <v>1035</v>
      </c>
      <c r="N389" s="220" t="s">
        <v>933</v>
      </c>
      <c r="O389" s="220" t="s">
        <v>1036</v>
      </c>
      <c r="P389" s="220" t="s">
        <v>1037</v>
      </c>
      <c r="Q389" s="220" t="s">
        <v>171</v>
      </c>
      <c r="R389" s="220" t="s">
        <v>88</v>
      </c>
      <c r="S389" s="220" t="s">
        <v>620</v>
      </c>
    </row>
    <row r="390" spans="1:19" x14ac:dyDescent="0.25">
      <c r="A390" s="220">
        <v>56</v>
      </c>
      <c r="B390" s="220" t="s">
        <v>1034</v>
      </c>
      <c r="C390" s="220" t="s">
        <v>260</v>
      </c>
      <c r="D390" s="220" t="s">
        <v>381</v>
      </c>
      <c r="E390" s="220">
        <v>6</v>
      </c>
      <c r="F390" s="220">
        <v>167.12799999999999</v>
      </c>
      <c r="G390" s="220">
        <v>13554</v>
      </c>
      <c r="H390" s="220">
        <v>16326</v>
      </c>
      <c r="I390" s="220">
        <v>18894</v>
      </c>
      <c r="J390" s="220">
        <v>164.46600000000001</v>
      </c>
      <c r="K390" s="220">
        <v>-1.633</v>
      </c>
      <c r="L390" s="220">
        <v>36.091000000000001</v>
      </c>
      <c r="M390" s="220" t="s">
        <v>1035</v>
      </c>
      <c r="N390" s="220" t="s">
        <v>933</v>
      </c>
      <c r="O390" s="220" t="s">
        <v>1036</v>
      </c>
      <c r="P390" s="220" t="s">
        <v>1037</v>
      </c>
      <c r="Q390" s="220" t="s">
        <v>219</v>
      </c>
      <c r="R390" s="220" t="s">
        <v>198</v>
      </c>
      <c r="S390" s="220" t="s">
        <v>589</v>
      </c>
    </row>
    <row r="391" spans="1:19" x14ac:dyDescent="0.25">
      <c r="A391" s="220">
        <v>56</v>
      </c>
      <c r="B391" s="220" t="s">
        <v>1034</v>
      </c>
      <c r="C391" s="220" t="s">
        <v>260</v>
      </c>
      <c r="D391" s="220" t="s">
        <v>381</v>
      </c>
      <c r="E391" s="220">
        <v>7</v>
      </c>
      <c r="F391" s="220">
        <v>156.29</v>
      </c>
      <c r="G391" s="220">
        <v>12696</v>
      </c>
      <c r="H391" s="220">
        <v>15290</v>
      </c>
      <c r="I391" s="220">
        <v>17699</v>
      </c>
      <c r="J391" s="220">
        <v>153.80000000000001</v>
      </c>
      <c r="K391" s="220">
        <v>-1.583</v>
      </c>
      <c r="L391" s="220">
        <v>36.124000000000002</v>
      </c>
      <c r="M391" s="220" t="s">
        <v>1035</v>
      </c>
      <c r="N391" s="220" t="s">
        <v>933</v>
      </c>
      <c r="O391" s="220" t="s">
        <v>1036</v>
      </c>
      <c r="P391" s="220" t="s">
        <v>1037</v>
      </c>
      <c r="Q391" s="220" t="s">
        <v>663</v>
      </c>
      <c r="R391" s="220" t="s">
        <v>409</v>
      </c>
      <c r="S391" s="220" t="s">
        <v>979</v>
      </c>
    </row>
    <row r="392" spans="1:19" hidden="1" x14ac:dyDescent="0.25">
      <c r="A392" s="220">
        <v>57</v>
      </c>
      <c r="B392" s="220" t="s">
        <v>1038</v>
      </c>
      <c r="C392" s="220" t="s">
        <v>505</v>
      </c>
      <c r="D392" s="220" t="s">
        <v>383</v>
      </c>
      <c r="E392" s="220">
        <v>1</v>
      </c>
      <c r="F392" s="220">
        <v>203.304</v>
      </c>
      <c r="G392" s="220">
        <v>10447</v>
      </c>
      <c r="H392" s="220">
        <v>12321</v>
      </c>
      <c r="I392" s="220">
        <v>14392</v>
      </c>
      <c r="J392" s="220">
        <v>200.11699999999999</v>
      </c>
      <c r="K392" s="220">
        <v>-19.925999999999998</v>
      </c>
      <c r="L392" s="220">
        <v>24.417999999999999</v>
      </c>
      <c r="M392" s="220" t="s">
        <v>1039</v>
      </c>
      <c r="N392" s="220" t="s">
        <v>933</v>
      </c>
      <c r="O392" s="220" t="s">
        <v>1040</v>
      </c>
      <c r="P392" s="220" t="s">
        <v>1041</v>
      </c>
      <c r="Q392" s="220" t="s">
        <v>649</v>
      </c>
      <c r="R392" s="220" t="s">
        <v>130</v>
      </c>
      <c r="S392" s="220" t="s">
        <v>262</v>
      </c>
    </row>
    <row r="393" spans="1:19" hidden="1" x14ac:dyDescent="0.25">
      <c r="A393" s="220">
        <v>57</v>
      </c>
      <c r="B393" s="220" t="s">
        <v>1038</v>
      </c>
      <c r="C393" s="220" t="s">
        <v>505</v>
      </c>
      <c r="D393" s="220" t="s">
        <v>383</v>
      </c>
      <c r="E393" s="220">
        <v>2</v>
      </c>
      <c r="F393" s="220">
        <v>201.60300000000001</v>
      </c>
      <c r="G393" s="220">
        <v>10437</v>
      </c>
      <c r="H393" s="220">
        <v>12309</v>
      </c>
      <c r="I393" s="220">
        <v>14381</v>
      </c>
      <c r="J393" s="220">
        <v>198.44200000000001</v>
      </c>
      <c r="K393" s="220">
        <v>-19.925999999999998</v>
      </c>
      <c r="L393" s="220">
        <v>24.385000000000002</v>
      </c>
      <c r="M393" s="220" t="s">
        <v>1039</v>
      </c>
      <c r="N393" s="220" t="s">
        <v>933</v>
      </c>
      <c r="O393" s="220" t="s">
        <v>1040</v>
      </c>
      <c r="P393" s="220" t="s">
        <v>1041</v>
      </c>
      <c r="Q393" s="220" t="s">
        <v>131</v>
      </c>
      <c r="R393" s="220" t="s">
        <v>216</v>
      </c>
      <c r="S393" s="220" t="s">
        <v>250</v>
      </c>
    </row>
    <row r="394" spans="1:19" hidden="1" x14ac:dyDescent="0.25">
      <c r="A394" s="220">
        <v>57</v>
      </c>
      <c r="B394" s="220" t="s">
        <v>1038</v>
      </c>
      <c r="C394" s="220" t="s">
        <v>505</v>
      </c>
      <c r="D394" s="220" t="s">
        <v>383</v>
      </c>
      <c r="E394" s="220">
        <v>3</v>
      </c>
      <c r="F394" s="220">
        <v>203.68799999999999</v>
      </c>
      <c r="G394" s="220">
        <v>10497</v>
      </c>
      <c r="H394" s="220">
        <v>12382</v>
      </c>
      <c r="I394" s="220">
        <v>14464</v>
      </c>
      <c r="J394" s="220">
        <v>200.494</v>
      </c>
      <c r="K394" s="220">
        <v>-19.925000000000001</v>
      </c>
      <c r="L394" s="220">
        <v>24.408999999999999</v>
      </c>
      <c r="M394" s="220" t="s">
        <v>1039</v>
      </c>
      <c r="N394" s="220" t="s">
        <v>933</v>
      </c>
      <c r="O394" s="220" t="s">
        <v>1040</v>
      </c>
      <c r="P394" s="220" t="s">
        <v>1041</v>
      </c>
      <c r="Q394" s="220" t="s">
        <v>237</v>
      </c>
      <c r="R394" s="220" t="s">
        <v>105</v>
      </c>
      <c r="S394" s="220" t="s">
        <v>585</v>
      </c>
    </row>
    <row r="395" spans="1:19" hidden="1" x14ac:dyDescent="0.25">
      <c r="A395" s="220">
        <v>57</v>
      </c>
      <c r="B395" s="220" t="s">
        <v>1038</v>
      </c>
      <c r="C395" s="220" t="s">
        <v>505</v>
      </c>
      <c r="D395" s="220" t="s">
        <v>383</v>
      </c>
      <c r="E395" s="220">
        <v>4</v>
      </c>
      <c r="F395" s="220">
        <v>202.94800000000001</v>
      </c>
      <c r="G395" s="220">
        <v>10438</v>
      </c>
      <c r="H395" s="220">
        <v>12311</v>
      </c>
      <c r="I395" s="220">
        <v>14383</v>
      </c>
      <c r="J395" s="220">
        <v>199.76499999999999</v>
      </c>
      <c r="K395" s="220">
        <v>-19.937000000000001</v>
      </c>
      <c r="L395" s="220">
        <v>24.417999999999999</v>
      </c>
      <c r="M395" s="220" t="s">
        <v>1039</v>
      </c>
      <c r="N395" s="220" t="s">
        <v>933</v>
      </c>
      <c r="O395" s="220" t="s">
        <v>1040</v>
      </c>
      <c r="P395" s="220" t="s">
        <v>1041</v>
      </c>
      <c r="Q395" s="220" t="s">
        <v>237</v>
      </c>
      <c r="R395" s="220" t="s">
        <v>252</v>
      </c>
      <c r="S395" s="220" t="s">
        <v>585</v>
      </c>
    </row>
    <row r="396" spans="1:19" hidden="1" x14ac:dyDescent="0.25">
      <c r="A396" s="220">
        <v>57</v>
      </c>
      <c r="B396" s="220" t="s">
        <v>1038</v>
      </c>
      <c r="C396" s="220" t="s">
        <v>505</v>
      </c>
      <c r="D396" s="220" t="s">
        <v>383</v>
      </c>
      <c r="E396" s="220">
        <v>5</v>
      </c>
      <c r="F396" s="220">
        <v>189.376</v>
      </c>
      <c r="G396" s="220">
        <v>14361</v>
      </c>
      <c r="H396" s="220">
        <v>17296</v>
      </c>
      <c r="I396" s="220">
        <v>20023</v>
      </c>
      <c r="J396" s="220">
        <v>186.35900000000001</v>
      </c>
      <c r="K396" s="220">
        <v>-1.363</v>
      </c>
      <c r="L396" s="220">
        <v>36.045000000000002</v>
      </c>
      <c r="M396" s="220" t="s">
        <v>1039</v>
      </c>
      <c r="N396" s="220" t="s">
        <v>933</v>
      </c>
      <c r="O396" s="220" t="s">
        <v>1040</v>
      </c>
      <c r="P396" s="220" t="s">
        <v>1041</v>
      </c>
      <c r="Q396" s="220" t="s">
        <v>178</v>
      </c>
      <c r="R396" s="220" t="s">
        <v>89</v>
      </c>
      <c r="S396" s="220" t="s">
        <v>835</v>
      </c>
    </row>
    <row r="397" spans="1:19" x14ac:dyDescent="0.25">
      <c r="A397" s="220">
        <v>57</v>
      </c>
      <c r="B397" s="220" t="s">
        <v>1038</v>
      </c>
      <c r="C397" s="220" t="s">
        <v>505</v>
      </c>
      <c r="D397" s="220" t="s">
        <v>383</v>
      </c>
      <c r="E397" s="220">
        <v>6</v>
      </c>
      <c r="F397" s="220">
        <v>166.279</v>
      </c>
      <c r="G397" s="220">
        <v>12828</v>
      </c>
      <c r="H397" s="220">
        <v>15447</v>
      </c>
      <c r="I397" s="220">
        <v>17885</v>
      </c>
      <c r="J397" s="220">
        <v>163.62899999999999</v>
      </c>
      <c r="K397" s="220">
        <v>-1.331</v>
      </c>
      <c r="L397" s="220">
        <v>36.304000000000002</v>
      </c>
      <c r="M397" s="220" t="s">
        <v>1039</v>
      </c>
      <c r="N397" s="220" t="s">
        <v>933</v>
      </c>
      <c r="O397" s="220" t="s">
        <v>1040</v>
      </c>
      <c r="P397" s="220" t="s">
        <v>1041</v>
      </c>
      <c r="Q397" s="220" t="s">
        <v>163</v>
      </c>
      <c r="R397" s="220" t="s">
        <v>196</v>
      </c>
      <c r="S397" s="220" t="s">
        <v>187</v>
      </c>
    </row>
    <row r="398" spans="1:19" x14ac:dyDescent="0.25">
      <c r="A398" s="220">
        <v>57</v>
      </c>
      <c r="B398" s="220" t="s">
        <v>1038</v>
      </c>
      <c r="C398" s="220" t="s">
        <v>505</v>
      </c>
      <c r="D398" s="220" t="s">
        <v>383</v>
      </c>
      <c r="E398" s="220">
        <v>7</v>
      </c>
      <c r="F398" s="220">
        <v>154.44499999999999</v>
      </c>
      <c r="G398" s="220">
        <v>11967</v>
      </c>
      <c r="H398" s="220">
        <v>14410</v>
      </c>
      <c r="I398" s="220">
        <v>16681</v>
      </c>
      <c r="J398" s="220">
        <v>151.98400000000001</v>
      </c>
      <c r="K398" s="220">
        <v>-1.28</v>
      </c>
      <c r="L398" s="220">
        <v>36.305999999999997</v>
      </c>
      <c r="M398" s="220" t="s">
        <v>1039</v>
      </c>
      <c r="N398" s="220" t="s">
        <v>933</v>
      </c>
      <c r="O398" s="220" t="s">
        <v>1040</v>
      </c>
      <c r="P398" s="220" t="s">
        <v>1041</v>
      </c>
      <c r="Q398" s="220" t="s">
        <v>334</v>
      </c>
      <c r="R398" s="220" t="s">
        <v>641</v>
      </c>
      <c r="S398" s="220" t="s">
        <v>709</v>
      </c>
    </row>
    <row r="399" spans="1:19" hidden="1" x14ac:dyDescent="0.25">
      <c r="A399" s="220">
        <v>58</v>
      </c>
      <c r="B399" s="220" t="s">
        <v>1042</v>
      </c>
      <c r="C399" s="220" t="s">
        <v>1043</v>
      </c>
      <c r="D399" s="220" t="s">
        <v>384</v>
      </c>
      <c r="E399" s="220">
        <v>1</v>
      </c>
      <c r="F399" s="220">
        <v>204.142</v>
      </c>
      <c r="G399" s="220">
        <v>10411</v>
      </c>
      <c r="H399" s="220">
        <v>12279</v>
      </c>
      <c r="I399" s="220">
        <v>14343</v>
      </c>
      <c r="J399" s="220">
        <v>200.941</v>
      </c>
      <c r="K399" s="220">
        <v>-19.919</v>
      </c>
      <c r="L399" s="220">
        <v>24.434000000000001</v>
      </c>
      <c r="M399" s="220" t="s">
        <v>1044</v>
      </c>
      <c r="N399" s="220" t="s">
        <v>933</v>
      </c>
      <c r="O399" s="220" t="s">
        <v>1045</v>
      </c>
      <c r="P399" s="220" t="s">
        <v>1046</v>
      </c>
      <c r="Q399" s="220" t="s">
        <v>68</v>
      </c>
      <c r="R399" s="220" t="s">
        <v>136</v>
      </c>
      <c r="S399" s="220" t="s">
        <v>217</v>
      </c>
    </row>
    <row r="400" spans="1:19" hidden="1" x14ac:dyDescent="0.25">
      <c r="A400" s="220">
        <v>58</v>
      </c>
      <c r="B400" s="220" t="s">
        <v>1042</v>
      </c>
      <c r="C400" s="220" t="s">
        <v>1043</v>
      </c>
      <c r="D400" s="220" t="s">
        <v>384</v>
      </c>
      <c r="E400" s="220">
        <v>2</v>
      </c>
      <c r="F400" s="220">
        <v>199.77199999999999</v>
      </c>
      <c r="G400" s="220">
        <v>10410</v>
      </c>
      <c r="H400" s="220">
        <v>12279</v>
      </c>
      <c r="I400" s="220">
        <v>14344</v>
      </c>
      <c r="J400" s="220">
        <v>196.63900000000001</v>
      </c>
      <c r="K400" s="220">
        <v>-19.925999999999998</v>
      </c>
      <c r="L400" s="220">
        <v>24.402000000000001</v>
      </c>
      <c r="M400" s="220" t="s">
        <v>1044</v>
      </c>
      <c r="N400" s="220" t="s">
        <v>933</v>
      </c>
      <c r="O400" s="220" t="s">
        <v>1045</v>
      </c>
      <c r="P400" s="220" t="s">
        <v>1046</v>
      </c>
      <c r="Q400" s="220" t="s">
        <v>126</v>
      </c>
      <c r="R400" s="220" t="s">
        <v>272</v>
      </c>
      <c r="S400" s="220" t="s">
        <v>172</v>
      </c>
    </row>
    <row r="401" spans="1:19" hidden="1" x14ac:dyDescent="0.25">
      <c r="A401" s="220">
        <v>58</v>
      </c>
      <c r="B401" s="220" t="s">
        <v>1042</v>
      </c>
      <c r="C401" s="220" t="s">
        <v>1043</v>
      </c>
      <c r="D401" s="220" t="s">
        <v>384</v>
      </c>
      <c r="E401" s="220">
        <v>3</v>
      </c>
      <c r="F401" s="220">
        <v>201.71799999999999</v>
      </c>
      <c r="G401" s="220">
        <v>10488</v>
      </c>
      <c r="H401" s="220">
        <v>12370</v>
      </c>
      <c r="I401" s="220">
        <v>14453</v>
      </c>
      <c r="J401" s="220">
        <v>198.55500000000001</v>
      </c>
      <c r="K401" s="220">
        <v>-19.933</v>
      </c>
      <c r="L401" s="220">
        <v>24.43</v>
      </c>
      <c r="M401" s="220" t="s">
        <v>1044</v>
      </c>
      <c r="N401" s="220" t="s">
        <v>933</v>
      </c>
      <c r="O401" s="220" t="s">
        <v>1045</v>
      </c>
      <c r="P401" s="220" t="s">
        <v>1046</v>
      </c>
      <c r="Q401" s="220" t="s">
        <v>131</v>
      </c>
      <c r="R401" s="220" t="s">
        <v>270</v>
      </c>
      <c r="S401" s="220" t="s">
        <v>208</v>
      </c>
    </row>
    <row r="402" spans="1:19" hidden="1" x14ac:dyDescent="0.25">
      <c r="A402" s="220">
        <v>58</v>
      </c>
      <c r="B402" s="220" t="s">
        <v>1042</v>
      </c>
      <c r="C402" s="220" t="s">
        <v>1043</v>
      </c>
      <c r="D402" s="220" t="s">
        <v>384</v>
      </c>
      <c r="E402" s="220">
        <v>4</v>
      </c>
      <c r="F402" s="220">
        <v>203.61099999999999</v>
      </c>
      <c r="G402" s="220">
        <v>10428</v>
      </c>
      <c r="H402" s="220">
        <v>12300</v>
      </c>
      <c r="I402" s="220">
        <v>14370</v>
      </c>
      <c r="J402" s="220">
        <v>200.41800000000001</v>
      </c>
      <c r="K402" s="220">
        <v>-19.937000000000001</v>
      </c>
      <c r="L402" s="220">
        <v>24.417999999999999</v>
      </c>
      <c r="M402" s="220" t="s">
        <v>1044</v>
      </c>
      <c r="N402" s="220" t="s">
        <v>933</v>
      </c>
      <c r="O402" s="220" t="s">
        <v>1045</v>
      </c>
      <c r="P402" s="220" t="s">
        <v>1046</v>
      </c>
      <c r="Q402" s="220" t="s">
        <v>202</v>
      </c>
      <c r="R402" s="220" t="s">
        <v>216</v>
      </c>
      <c r="S402" s="220" t="s">
        <v>208</v>
      </c>
    </row>
    <row r="403" spans="1:19" hidden="1" x14ac:dyDescent="0.25">
      <c r="A403" s="220">
        <v>58</v>
      </c>
      <c r="B403" s="220" t="s">
        <v>1042</v>
      </c>
      <c r="C403" s="220" t="s">
        <v>1043</v>
      </c>
      <c r="D403" s="220" t="s">
        <v>384</v>
      </c>
      <c r="E403" s="220">
        <v>5</v>
      </c>
      <c r="F403" s="220">
        <v>262.64100000000002</v>
      </c>
      <c r="G403" s="220">
        <v>21157</v>
      </c>
      <c r="H403" s="220">
        <v>25526</v>
      </c>
      <c r="I403" s="220">
        <v>29494</v>
      </c>
      <c r="J403" s="220">
        <v>258.45600000000002</v>
      </c>
      <c r="K403" s="220">
        <v>-1.1539999999999999</v>
      </c>
      <c r="L403" s="220">
        <v>36.207000000000001</v>
      </c>
      <c r="M403" s="220" t="s">
        <v>1044</v>
      </c>
      <c r="N403" s="220" t="s">
        <v>933</v>
      </c>
      <c r="O403" s="220" t="s">
        <v>1045</v>
      </c>
      <c r="P403" s="220" t="s">
        <v>1046</v>
      </c>
      <c r="Q403" s="220" t="s">
        <v>169</v>
      </c>
      <c r="R403" s="220" t="s">
        <v>594</v>
      </c>
      <c r="S403" s="220" t="s">
        <v>619</v>
      </c>
    </row>
    <row r="404" spans="1:19" x14ac:dyDescent="0.25">
      <c r="A404" s="220">
        <v>58</v>
      </c>
      <c r="B404" s="220" t="s">
        <v>1042</v>
      </c>
      <c r="C404" s="220" t="s">
        <v>1043</v>
      </c>
      <c r="D404" s="220" t="s">
        <v>384</v>
      </c>
      <c r="E404" s="220">
        <v>6</v>
      </c>
      <c r="F404" s="220">
        <v>232.583</v>
      </c>
      <c r="G404" s="220">
        <v>18990</v>
      </c>
      <c r="H404" s="220">
        <v>22901</v>
      </c>
      <c r="I404" s="220">
        <v>26480</v>
      </c>
      <c r="J404" s="220">
        <v>228.87700000000001</v>
      </c>
      <c r="K404" s="220">
        <v>-1.123</v>
      </c>
      <c r="L404" s="220">
        <v>36.369</v>
      </c>
      <c r="M404" s="220" t="s">
        <v>1044</v>
      </c>
      <c r="N404" s="220" t="s">
        <v>933</v>
      </c>
      <c r="O404" s="220" t="s">
        <v>1045</v>
      </c>
      <c r="P404" s="220" t="s">
        <v>1046</v>
      </c>
      <c r="Q404" s="220" t="s">
        <v>198</v>
      </c>
      <c r="R404" s="220" t="s">
        <v>1047</v>
      </c>
      <c r="S404" s="220" t="s">
        <v>1048</v>
      </c>
    </row>
    <row r="405" spans="1:19" x14ac:dyDescent="0.25">
      <c r="A405" s="220">
        <v>58</v>
      </c>
      <c r="B405" s="220" t="s">
        <v>1042</v>
      </c>
      <c r="C405" s="220" t="s">
        <v>1043</v>
      </c>
      <c r="D405" s="220" t="s">
        <v>384</v>
      </c>
      <c r="E405" s="220">
        <v>7</v>
      </c>
      <c r="F405" s="220">
        <v>216.53200000000001</v>
      </c>
      <c r="G405" s="220">
        <v>17679</v>
      </c>
      <c r="H405" s="220">
        <v>21312</v>
      </c>
      <c r="I405" s="220">
        <v>24655</v>
      </c>
      <c r="J405" s="220">
        <v>213.08199999999999</v>
      </c>
      <c r="K405" s="220">
        <v>-1.0569999999999999</v>
      </c>
      <c r="L405" s="220">
        <v>36.356000000000002</v>
      </c>
      <c r="M405" s="220" t="s">
        <v>1044</v>
      </c>
      <c r="N405" s="220" t="s">
        <v>933</v>
      </c>
      <c r="O405" s="220" t="s">
        <v>1045</v>
      </c>
      <c r="P405" s="220" t="s">
        <v>1046</v>
      </c>
      <c r="Q405" s="220" t="s">
        <v>682</v>
      </c>
      <c r="R405" s="220" t="s">
        <v>882</v>
      </c>
      <c r="S405" s="220" t="s">
        <v>1049</v>
      </c>
    </row>
    <row r="406" spans="1:19" hidden="1" x14ac:dyDescent="0.25">
      <c r="A406" s="220">
        <v>59</v>
      </c>
      <c r="B406" s="220" t="s">
        <v>0</v>
      </c>
      <c r="C406" s="220" t="s">
        <v>289</v>
      </c>
      <c r="D406" s="220" t="s">
        <v>385</v>
      </c>
      <c r="E406" s="220">
        <v>1</v>
      </c>
      <c r="F406" s="220">
        <v>204.05</v>
      </c>
      <c r="G406" s="220">
        <v>10429</v>
      </c>
      <c r="H406" s="220">
        <v>12301</v>
      </c>
      <c r="I406" s="220">
        <v>14358</v>
      </c>
      <c r="J406" s="220">
        <v>200.851</v>
      </c>
      <c r="K406" s="220">
        <v>-19.927</v>
      </c>
      <c r="L406" s="220">
        <v>24.402999999999999</v>
      </c>
      <c r="M406" s="220" t="s">
        <v>679</v>
      </c>
      <c r="N406" s="220" t="s">
        <v>933</v>
      </c>
      <c r="O406" s="220" t="s">
        <v>1050</v>
      </c>
      <c r="P406" s="220" t="s">
        <v>1051</v>
      </c>
      <c r="Q406" s="220" t="s">
        <v>82</v>
      </c>
      <c r="R406" s="220" t="s">
        <v>158</v>
      </c>
      <c r="S406" s="220" t="s">
        <v>270</v>
      </c>
    </row>
    <row r="407" spans="1:19" hidden="1" x14ac:dyDescent="0.25">
      <c r="A407" s="220">
        <v>59</v>
      </c>
      <c r="B407" s="220" t="s">
        <v>0</v>
      </c>
      <c r="C407" s="220" t="s">
        <v>289</v>
      </c>
      <c r="D407" s="220" t="s">
        <v>385</v>
      </c>
      <c r="E407" s="220">
        <v>2</v>
      </c>
      <c r="F407" s="220">
        <v>201.27699999999999</v>
      </c>
      <c r="G407" s="220">
        <v>10464</v>
      </c>
      <c r="H407" s="220">
        <v>12342</v>
      </c>
      <c r="I407" s="220">
        <v>14404</v>
      </c>
      <c r="J407" s="220">
        <v>198.12100000000001</v>
      </c>
      <c r="K407" s="220">
        <v>-19.943999999999999</v>
      </c>
      <c r="L407" s="220">
        <v>24.401</v>
      </c>
      <c r="M407" s="220" t="s">
        <v>679</v>
      </c>
      <c r="N407" s="220" t="s">
        <v>933</v>
      </c>
      <c r="O407" s="220" t="s">
        <v>1050</v>
      </c>
      <c r="P407" s="220" t="s">
        <v>1051</v>
      </c>
      <c r="Q407" s="220" t="s">
        <v>203</v>
      </c>
      <c r="R407" s="220" t="s">
        <v>242</v>
      </c>
      <c r="S407" s="220" t="s">
        <v>528</v>
      </c>
    </row>
    <row r="408" spans="1:19" hidden="1" x14ac:dyDescent="0.25">
      <c r="A408" s="220">
        <v>59</v>
      </c>
      <c r="B408" s="220" t="s">
        <v>0</v>
      </c>
      <c r="C408" s="220" t="s">
        <v>289</v>
      </c>
      <c r="D408" s="220" t="s">
        <v>385</v>
      </c>
      <c r="E408" s="220">
        <v>3</v>
      </c>
      <c r="F408" s="220">
        <v>203.875</v>
      </c>
      <c r="G408" s="220">
        <v>10505</v>
      </c>
      <c r="H408" s="220">
        <v>12391</v>
      </c>
      <c r="I408" s="220">
        <v>14462</v>
      </c>
      <c r="J408" s="220">
        <v>200.679</v>
      </c>
      <c r="K408" s="220">
        <v>-19.937000000000001</v>
      </c>
      <c r="L408" s="220">
        <v>24.401</v>
      </c>
      <c r="M408" s="220" t="s">
        <v>679</v>
      </c>
      <c r="N408" s="220" t="s">
        <v>933</v>
      </c>
      <c r="O408" s="220" t="s">
        <v>1050</v>
      </c>
      <c r="P408" s="220" t="s">
        <v>1051</v>
      </c>
      <c r="Q408" s="220" t="s">
        <v>203</v>
      </c>
      <c r="R408" s="220" t="s">
        <v>242</v>
      </c>
      <c r="S408" s="220" t="s">
        <v>531</v>
      </c>
    </row>
    <row r="409" spans="1:19" hidden="1" x14ac:dyDescent="0.25">
      <c r="A409" s="220">
        <v>59</v>
      </c>
      <c r="B409" s="220" t="s">
        <v>0</v>
      </c>
      <c r="C409" s="220" t="s">
        <v>289</v>
      </c>
      <c r="D409" s="220" t="s">
        <v>385</v>
      </c>
      <c r="E409" s="220">
        <v>4</v>
      </c>
      <c r="F409" s="220">
        <v>203.751</v>
      </c>
      <c r="G409" s="220">
        <v>10453</v>
      </c>
      <c r="H409" s="220">
        <v>12330</v>
      </c>
      <c r="I409" s="220">
        <v>14395</v>
      </c>
      <c r="J409" s="220">
        <v>200.55699999999999</v>
      </c>
      <c r="K409" s="220">
        <v>-19.937000000000001</v>
      </c>
      <c r="L409" s="220">
        <v>24.417999999999999</v>
      </c>
      <c r="M409" s="220" t="s">
        <v>679</v>
      </c>
      <c r="N409" s="220" t="s">
        <v>933</v>
      </c>
      <c r="O409" s="220" t="s">
        <v>1050</v>
      </c>
      <c r="P409" s="220" t="s">
        <v>1051</v>
      </c>
      <c r="Q409" s="220" t="s">
        <v>79</v>
      </c>
      <c r="R409" s="220" t="s">
        <v>149</v>
      </c>
      <c r="S409" s="220" t="s">
        <v>528</v>
      </c>
    </row>
    <row r="410" spans="1:19" hidden="1" x14ac:dyDescent="0.25">
      <c r="A410" s="220">
        <v>59</v>
      </c>
      <c r="B410" s="220" t="s">
        <v>0</v>
      </c>
      <c r="C410" s="220" t="s">
        <v>289</v>
      </c>
      <c r="D410" s="220" t="s">
        <v>385</v>
      </c>
      <c r="E410" s="220">
        <v>5</v>
      </c>
      <c r="F410" s="220">
        <v>207.42599999999999</v>
      </c>
      <c r="G410" s="220">
        <v>15804</v>
      </c>
      <c r="H410" s="220">
        <v>19152</v>
      </c>
      <c r="I410" s="220">
        <v>22026</v>
      </c>
      <c r="J410" s="220">
        <v>204.107</v>
      </c>
      <c r="K410" s="220">
        <v>4.6790000000000003</v>
      </c>
      <c r="L410" s="220">
        <v>36.759</v>
      </c>
      <c r="M410" s="220" t="s">
        <v>679</v>
      </c>
      <c r="N410" s="220" t="s">
        <v>933</v>
      </c>
      <c r="O410" s="220" t="s">
        <v>1050</v>
      </c>
      <c r="P410" s="220" t="s">
        <v>1051</v>
      </c>
      <c r="Q410" s="220" t="s">
        <v>175</v>
      </c>
      <c r="R410" s="220" t="s">
        <v>101</v>
      </c>
      <c r="S410" s="220" t="s">
        <v>887</v>
      </c>
    </row>
    <row r="411" spans="1:19" x14ac:dyDescent="0.25">
      <c r="A411" s="220">
        <v>59</v>
      </c>
      <c r="B411" s="220" t="s">
        <v>0</v>
      </c>
      <c r="C411" s="220" t="s">
        <v>289</v>
      </c>
      <c r="D411" s="220" t="s">
        <v>385</v>
      </c>
      <c r="E411" s="220">
        <v>6</v>
      </c>
      <c r="F411" s="220">
        <v>181.74600000000001</v>
      </c>
      <c r="G411" s="220">
        <v>14088</v>
      </c>
      <c r="H411" s="220">
        <v>17070</v>
      </c>
      <c r="I411" s="220">
        <v>19642</v>
      </c>
      <c r="J411" s="220">
        <v>178.83799999999999</v>
      </c>
      <c r="K411" s="220">
        <v>4.7409999999999997</v>
      </c>
      <c r="L411" s="220">
        <v>37</v>
      </c>
      <c r="M411" s="220" t="s">
        <v>679</v>
      </c>
      <c r="N411" s="220" t="s">
        <v>933</v>
      </c>
      <c r="O411" s="220" t="s">
        <v>1050</v>
      </c>
      <c r="P411" s="220" t="s">
        <v>1051</v>
      </c>
      <c r="Q411" s="220" t="s">
        <v>113</v>
      </c>
      <c r="R411" s="220" t="s">
        <v>250</v>
      </c>
      <c r="S411" s="220" t="s">
        <v>573</v>
      </c>
    </row>
    <row r="412" spans="1:19" x14ac:dyDescent="0.25">
      <c r="A412" s="220">
        <v>59</v>
      </c>
      <c r="B412" s="220" t="s">
        <v>0</v>
      </c>
      <c r="C412" s="220" t="s">
        <v>289</v>
      </c>
      <c r="D412" s="220" t="s">
        <v>385</v>
      </c>
      <c r="E412" s="220">
        <v>7</v>
      </c>
      <c r="F412" s="220">
        <v>168.86500000000001</v>
      </c>
      <c r="G412" s="220">
        <v>13137</v>
      </c>
      <c r="H412" s="220">
        <v>15916</v>
      </c>
      <c r="I412" s="220">
        <v>18313</v>
      </c>
      <c r="J412" s="220">
        <v>166.16300000000001</v>
      </c>
      <c r="K412" s="220">
        <v>4.7779999999999996</v>
      </c>
      <c r="L412" s="220">
        <v>37.03</v>
      </c>
      <c r="M412" s="220" t="s">
        <v>679</v>
      </c>
      <c r="N412" s="220" t="s">
        <v>933</v>
      </c>
      <c r="O412" s="220" t="s">
        <v>1050</v>
      </c>
      <c r="P412" s="220" t="s">
        <v>1051</v>
      </c>
      <c r="Q412" s="220" t="s">
        <v>663</v>
      </c>
      <c r="R412" s="220" t="s">
        <v>1052</v>
      </c>
      <c r="S412" s="220" t="s">
        <v>542</v>
      </c>
    </row>
    <row r="413" spans="1:19" hidden="1" x14ac:dyDescent="0.25">
      <c r="A413" s="220">
        <v>60</v>
      </c>
      <c r="B413" s="220" t="s">
        <v>0</v>
      </c>
      <c r="C413" s="220" t="s">
        <v>380</v>
      </c>
      <c r="D413" s="220" t="s">
        <v>386</v>
      </c>
      <c r="E413" s="220">
        <v>1</v>
      </c>
      <c r="F413" s="220">
        <v>203.88</v>
      </c>
      <c r="G413" s="220">
        <v>10428</v>
      </c>
      <c r="H413" s="220">
        <v>12300</v>
      </c>
      <c r="I413" s="220">
        <v>14356</v>
      </c>
      <c r="J413" s="220">
        <v>200.68299999999999</v>
      </c>
      <c r="K413" s="220">
        <v>-19.933</v>
      </c>
      <c r="L413" s="220">
        <v>24.411999999999999</v>
      </c>
      <c r="M413" s="220" t="s">
        <v>678</v>
      </c>
      <c r="N413" s="220" t="s">
        <v>933</v>
      </c>
      <c r="O413" s="220" t="s">
        <v>1053</v>
      </c>
      <c r="P413" s="220" t="s">
        <v>1054</v>
      </c>
      <c r="Q413" s="220" t="s">
        <v>78</v>
      </c>
      <c r="R413" s="220" t="s">
        <v>126</v>
      </c>
      <c r="S413" s="220" t="s">
        <v>245</v>
      </c>
    </row>
    <row r="414" spans="1:19" hidden="1" x14ac:dyDescent="0.25">
      <c r="A414" s="220">
        <v>60</v>
      </c>
      <c r="B414" s="220" t="s">
        <v>0</v>
      </c>
      <c r="C414" s="220" t="s">
        <v>380</v>
      </c>
      <c r="D414" s="220" t="s">
        <v>386</v>
      </c>
      <c r="E414" s="220">
        <v>2</v>
      </c>
      <c r="F414" s="220">
        <v>201.63900000000001</v>
      </c>
      <c r="G414" s="220">
        <v>10440</v>
      </c>
      <c r="H414" s="220">
        <v>12315</v>
      </c>
      <c r="I414" s="220">
        <v>14375</v>
      </c>
      <c r="J414" s="220">
        <v>198.47800000000001</v>
      </c>
      <c r="K414" s="220">
        <v>-19.937000000000001</v>
      </c>
      <c r="L414" s="220">
        <v>24.413</v>
      </c>
      <c r="M414" s="220" t="s">
        <v>678</v>
      </c>
      <c r="N414" s="220" t="s">
        <v>933</v>
      </c>
      <c r="O414" s="220" t="s">
        <v>1053</v>
      </c>
      <c r="P414" s="220" t="s">
        <v>1054</v>
      </c>
      <c r="Q414" s="220" t="s">
        <v>120</v>
      </c>
      <c r="R414" s="220" t="s">
        <v>226</v>
      </c>
      <c r="S414" s="220" t="s">
        <v>585</v>
      </c>
    </row>
    <row r="415" spans="1:19" hidden="1" x14ac:dyDescent="0.25">
      <c r="A415" s="220">
        <v>60</v>
      </c>
      <c r="B415" s="220" t="s">
        <v>0</v>
      </c>
      <c r="C415" s="220" t="s">
        <v>380</v>
      </c>
      <c r="D415" s="220" t="s">
        <v>386</v>
      </c>
      <c r="E415" s="220">
        <v>3</v>
      </c>
      <c r="F415" s="220">
        <v>203.34200000000001</v>
      </c>
      <c r="G415" s="220">
        <v>10489</v>
      </c>
      <c r="H415" s="220">
        <v>12372</v>
      </c>
      <c r="I415" s="220">
        <v>14443</v>
      </c>
      <c r="J415" s="220">
        <v>200.154</v>
      </c>
      <c r="K415" s="220">
        <v>-19.931000000000001</v>
      </c>
      <c r="L415" s="220">
        <v>24.427</v>
      </c>
      <c r="M415" s="220" t="s">
        <v>678</v>
      </c>
      <c r="N415" s="220" t="s">
        <v>933</v>
      </c>
      <c r="O415" s="220" t="s">
        <v>1053</v>
      </c>
      <c r="P415" s="220" t="s">
        <v>1054</v>
      </c>
      <c r="Q415" s="220" t="s">
        <v>158</v>
      </c>
      <c r="R415" s="220" t="s">
        <v>233</v>
      </c>
      <c r="S415" s="220" t="s">
        <v>303</v>
      </c>
    </row>
    <row r="416" spans="1:19" hidden="1" x14ac:dyDescent="0.25">
      <c r="A416" s="220">
        <v>60</v>
      </c>
      <c r="B416" s="220" t="s">
        <v>0</v>
      </c>
      <c r="C416" s="220" t="s">
        <v>380</v>
      </c>
      <c r="D416" s="220" t="s">
        <v>386</v>
      </c>
      <c r="E416" s="220">
        <v>4</v>
      </c>
      <c r="F416" s="220">
        <v>202.809</v>
      </c>
      <c r="G416" s="220">
        <v>10448</v>
      </c>
      <c r="H416" s="220">
        <v>12323</v>
      </c>
      <c r="I416" s="220">
        <v>14384</v>
      </c>
      <c r="J416" s="220">
        <v>199.62899999999999</v>
      </c>
      <c r="K416" s="220">
        <v>-19.937000000000001</v>
      </c>
      <c r="L416" s="220">
        <v>24.417999999999999</v>
      </c>
      <c r="M416" s="220" t="s">
        <v>678</v>
      </c>
      <c r="N416" s="220" t="s">
        <v>933</v>
      </c>
      <c r="O416" s="220" t="s">
        <v>1053</v>
      </c>
      <c r="P416" s="220" t="s">
        <v>1054</v>
      </c>
      <c r="Q416" s="220" t="s">
        <v>158</v>
      </c>
      <c r="R416" s="220" t="s">
        <v>233</v>
      </c>
      <c r="S416" s="220" t="s">
        <v>303</v>
      </c>
    </row>
    <row r="417" spans="1:19" hidden="1" x14ac:dyDescent="0.25">
      <c r="A417" s="220">
        <v>60</v>
      </c>
      <c r="B417" s="220" t="s">
        <v>0</v>
      </c>
      <c r="C417" s="220" t="s">
        <v>380</v>
      </c>
      <c r="D417" s="220" t="s">
        <v>386</v>
      </c>
      <c r="E417" s="220">
        <v>5</v>
      </c>
      <c r="F417" s="220">
        <v>225.56299999999999</v>
      </c>
      <c r="G417" s="220">
        <v>17936</v>
      </c>
      <c r="H417" s="220">
        <v>21740</v>
      </c>
      <c r="I417" s="220">
        <v>25001</v>
      </c>
      <c r="J417" s="220">
        <v>221.95500000000001</v>
      </c>
      <c r="K417" s="220">
        <v>4.6959999999999997</v>
      </c>
      <c r="L417" s="220">
        <v>36.585000000000001</v>
      </c>
      <c r="M417" s="220" t="s">
        <v>678</v>
      </c>
      <c r="N417" s="220" t="s">
        <v>933</v>
      </c>
      <c r="O417" s="220" t="s">
        <v>1053</v>
      </c>
      <c r="P417" s="220" t="s">
        <v>1054</v>
      </c>
      <c r="Q417" s="220" t="s">
        <v>399</v>
      </c>
      <c r="R417" s="220" t="s">
        <v>56</v>
      </c>
      <c r="S417" s="220" t="s">
        <v>55</v>
      </c>
    </row>
    <row r="418" spans="1:19" x14ac:dyDescent="0.25">
      <c r="A418" s="220">
        <v>60</v>
      </c>
      <c r="B418" s="220" t="s">
        <v>0</v>
      </c>
      <c r="C418" s="220" t="s">
        <v>380</v>
      </c>
      <c r="D418" s="220" t="s">
        <v>386</v>
      </c>
      <c r="E418" s="220">
        <v>6</v>
      </c>
      <c r="F418" s="220">
        <v>197.06700000000001</v>
      </c>
      <c r="G418" s="220">
        <v>15759</v>
      </c>
      <c r="H418" s="220">
        <v>19088</v>
      </c>
      <c r="I418" s="220">
        <v>21964</v>
      </c>
      <c r="J418" s="220">
        <v>193.91399999999999</v>
      </c>
      <c r="K418" s="220">
        <v>4.7169999999999996</v>
      </c>
      <c r="L418" s="220">
        <v>36.959000000000003</v>
      </c>
      <c r="M418" s="220" t="s">
        <v>678</v>
      </c>
      <c r="N418" s="220" t="s">
        <v>933</v>
      </c>
      <c r="O418" s="220" t="s">
        <v>1053</v>
      </c>
      <c r="P418" s="220" t="s">
        <v>1054</v>
      </c>
      <c r="Q418" s="220" t="s">
        <v>112</v>
      </c>
      <c r="R418" s="220" t="s">
        <v>188</v>
      </c>
      <c r="S418" s="220" t="s">
        <v>1055</v>
      </c>
    </row>
    <row r="419" spans="1:19" x14ac:dyDescent="0.25">
      <c r="A419" s="220">
        <v>60</v>
      </c>
      <c r="B419" s="220" t="s">
        <v>0</v>
      </c>
      <c r="C419" s="220" t="s">
        <v>380</v>
      </c>
      <c r="D419" s="220" t="s">
        <v>386</v>
      </c>
      <c r="E419" s="220">
        <v>7</v>
      </c>
      <c r="F419" s="220">
        <v>182.62299999999999</v>
      </c>
      <c r="G419" s="220">
        <v>14551</v>
      </c>
      <c r="H419" s="220">
        <v>17623</v>
      </c>
      <c r="I419" s="220">
        <v>20282</v>
      </c>
      <c r="J419" s="220">
        <v>179.70099999999999</v>
      </c>
      <c r="K419" s="220">
        <v>4.7759999999999998</v>
      </c>
      <c r="L419" s="220">
        <v>36.981999999999999</v>
      </c>
      <c r="M419" s="220" t="s">
        <v>678</v>
      </c>
      <c r="N419" s="220" t="s">
        <v>933</v>
      </c>
      <c r="O419" s="220" t="s">
        <v>1053</v>
      </c>
      <c r="P419" s="220" t="s">
        <v>1054</v>
      </c>
      <c r="Q419" s="220" t="s">
        <v>1056</v>
      </c>
      <c r="R419" s="220" t="s">
        <v>742</v>
      </c>
      <c r="S419" s="220" t="s">
        <v>1057</v>
      </c>
    </row>
    <row r="420" spans="1:19" hidden="1" x14ac:dyDescent="0.25">
      <c r="A420" s="220">
        <v>61</v>
      </c>
      <c r="B420" s="220" t="s">
        <v>1058</v>
      </c>
      <c r="C420" s="220" t="s">
        <v>335</v>
      </c>
      <c r="D420" s="220" t="s">
        <v>387</v>
      </c>
      <c r="E420" s="220">
        <v>1</v>
      </c>
      <c r="F420" s="220">
        <v>203.93299999999999</v>
      </c>
      <c r="G420" s="220">
        <v>10428</v>
      </c>
      <c r="H420" s="220">
        <v>12300</v>
      </c>
      <c r="I420" s="220">
        <v>14368</v>
      </c>
      <c r="J420" s="220">
        <v>200.73500000000001</v>
      </c>
      <c r="K420" s="220">
        <v>-19.934000000000001</v>
      </c>
      <c r="L420" s="220">
        <v>24.46</v>
      </c>
      <c r="M420" s="220" t="s">
        <v>735</v>
      </c>
      <c r="N420" s="220" t="s">
        <v>933</v>
      </c>
      <c r="O420" s="220" t="s">
        <v>1059</v>
      </c>
      <c r="P420" s="220" t="s">
        <v>1060</v>
      </c>
      <c r="Q420" s="220" t="s">
        <v>78</v>
      </c>
      <c r="R420" s="220" t="s">
        <v>126</v>
      </c>
      <c r="S420" s="220" t="s">
        <v>245</v>
      </c>
    </row>
    <row r="421" spans="1:19" hidden="1" x14ac:dyDescent="0.25">
      <c r="A421" s="220">
        <v>61</v>
      </c>
      <c r="B421" s="220" t="s">
        <v>1058</v>
      </c>
      <c r="C421" s="220" t="s">
        <v>335</v>
      </c>
      <c r="D421" s="220" t="s">
        <v>387</v>
      </c>
      <c r="E421" s="220">
        <v>2</v>
      </c>
      <c r="F421" s="220">
        <v>201.642</v>
      </c>
      <c r="G421" s="220">
        <v>10452</v>
      </c>
      <c r="H421" s="220">
        <v>12327</v>
      </c>
      <c r="I421" s="220">
        <v>14399</v>
      </c>
      <c r="J421" s="220">
        <v>198.48</v>
      </c>
      <c r="K421" s="220">
        <v>-19.946999999999999</v>
      </c>
      <c r="L421" s="220">
        <v>24.422000000000001</v>
      </c>
      <c r="M421" s="220" t="s">
        <v>735</v>
      </c>
      <c r="N421" s="220" t="s">
        <v>933</v>
      </c>
      <c r="O421" s="220" t="s">
        <v>1059</v>
      </c>
      <c r="P421" s="220" t="s">
        <v>1060</v>
      </c>
      <c r="Q421" s="220" t="s">
        <v>120</v>
      </c>
      <c r="R421" s="220" t="s">
        <v>226</v>
      </c>
      <c r="S421" s="220" t="s">
        <v>189</v>
      </c>
    </row>
    <row r="422" spans="1:19" hidden="1" x14ac:dyDescent="0.25">
      <c r="A422" s="220">
        <v>61</v>
      </c>
      <c r="B422" s="220" t="s">
        <v>1058</v>
      </c>
      <c r="C422" s="220" t="s">
        <v>335</v>
      </c>
      <c r="D422" s="220" t="s">
        <v>387</v>
      </c>
      <c r="E422" s="220">
        <v>3</v>
      </c>
      <c r="F422" s="220">
        <v>203.03899999999999</v>
      </c>
      <c r="G422" s="220">
        <v>10498</v>
      </c>
      <c r="H422" s="220">
        <v>12383</v>
      </c>
      <c r="I422" s="220">
        <v>14467</v>
      </c>
      <c r="J422" s="220">
        <v>199.85499999999999</v>
      </c>
      <c r="K422" s="220">
        <v>-19.933</v>
      </c>
      <c r="L422" s="220">
        <v>24.425999999999998</v>
      </c>
      <c r="M422" s="220" t="s">
        <v>735</v>
      </c>
      <c r="N422" s="220" t="s">
        <v>933</v>
      </c>
      <c r="O422" s="220" t="s">
        <v>1059</v>
      </c>
      <c r="P422" s="220" t="s">
        <v>1060</v>
      </c>
      <c r="Q422" s="220" t="s">
        <v>158</v>
      </c>
      <c r="R422" s="220" t="s">
        <v>119</v>
      </c>
      <c r="S422" s="220" t="s">
        <v>241</v>
      </c>
    </row>
    <row r="423" spans="1:19" hidden="1" x14ac:dyDescent="0.25">
      <c r="A423" s="220">
        <v>61</v>
      </c>
      <c r="B423" s="220" t="s">
        <v>1058</v>
      </c>
      <c r="C423" s="220" t="s">
        <v>335</v>
      </c>
      <c r="D423" s="220" t="s">
        <v>387</v>
      </c>
      <c r="E423" s="220">
        <v>4</v>
      </c>
      <c r="F423" s="220">
        <v>203.17699999999999</v>
      </c>
      <c r="G423" s="220">
        <v>10453</v>
      </c>
      <c r="H423" s="220">
        <v>12329</v>
      </c>
      <c r="I423" s="220">
        <v>14400</v>
      </c>
      <c r="J423" s="220">
        <v>199.99100000000001</v>
      </c>
      <c r="K423" s="220">
        <v>-19.937000000000001</v>
      </c>
      <c r="L423" s="220">
        <v>24.417999999999999</v>
      </c>
      <c r="M423" s="220" t="s">
        <v>735</v>
      </c>
      <c r="N423" s="220" t="s">
        <v>933</v>
      </c>
      <c r="O423" s="220" t="s">
        <v>1059</v>
      </c>
      <c r="P423" s="220" t="s">
        <v>1060</v>
      </c>
      <c r="Q423" s="220" t="s">
        <v>158</v>
      </c>
      <c r="R423" s="220" t="s">
        <v>233</v>
      </c>
      <c r="S423" s="220" t="s">
        <v>303</v>
      </c>
    </row>
    <row r="424" spans="1:19" hidden="1" x14ac:dyDescent="0.25">
      <c r="A424" s="220">
        <v>61</v>
      </c>
      <c r="B424" s="220" t="s">
        <v>1058</v>
      </c>
      <c r="C424" s="220" t="s">
        <v>335</v>
      </c>
      <c r="D424" s="220" t="s">
        <v>387</v>
      </c>
      <c r="E424" s="220">
        <v>5</v>
      </c>
      <c r="F424" s="220">
        <v>182.99199999999999</v>
      </c>
      <c r="G424" s="220">
        <v>13966</v>
      </c>
      <c r="H424" s="220">
        <v>16829</v>
      </c>
      <c r="I424" s="220">
        <v>19471</v>
      </c>
      <c r="J424" s="220">
        <v>180.07599999999999</v>
      </c>
      <c r="K424" s="220">
        <v>-1.3129999999999999</v>
      </c>
      <c r="L424" s="220">
        <v>36.225000000000001</v>
      </c>
      <c r="M424" s="220" t="s">
        <v>735</v>
      </c>
      <c r="N424" s="220" t="s">
        <v>933</v>
      </c>
      <c r="O424" s="220" t="s">
        <v>1059</v>
      </c>
      <c r="P424" s="220" t="s">
        <v>1060</v>
      </c>
      <c r="Q424" s="220" t="s">
        <v>167</v>
      </c>
      <c r="R424" s="220" t="s">
        <v>88</v>
      </c>
      <c r="S424" s="220" t="s">
        <v>565</v>
      </c>
    </row>
    <row r="425" spans="1:19" x14ac:dyDescent="0.25">
      <c r="A425" s="220">
        <v>61</v>
      </c>
      <c r="B425" s="220" t="s">
        <v>1058</v>
      </c>
      <c r="C425" s="220" t="s">
        <v>335</v>
      </c>
      <c r="D425" s="220" t="s">
        <v>387</v>
      </c>
      <c r="E425" s="220">
        <v>6</v>
      </c>
      <c r="F425" s="220">
        <v>161.03299999999999</v>
      </c>
      <c r="G425" s="220">
        <v>12532</v>
      </c>
      <c r="H425" s="220">
        <v>15098</v>
      </c>
      <c r="I425" s="220">
        <v>17469</v>
      </c>
      <c r="J425" s="220">
        <v>158.46700000000001</v>
      </c>
      <c r="K425" s="220">
        <v>-1.284</v>
      </c>
      <c r="L425" s="220">
        <v>36.347000000000001</v>
      </c>
      <c r="M425" s="220" t="s">
        <v>735</v>
      </c>
      <c r="N425" s="220" t="s">
        <v>933</v>
      </c>
      <c r="O425" s="220" t="s">
        <v>1059</v>
      </c>
      <c r="P425" s="220" t="s">
        <v>1060</v>
      </c>
      <c r="Q425" s="220" t="s">
        <v>140</v>
      </c>
      <c r="R425" s="220" t="s">
        <v>170</v>
      </c>
      <c r="S425" s="220" t="s">
        <v>535</v>
      </c>
    </row>
    <row r="426" spans="1:19" x14ac:dyDescent="0.25">
      <c r="A426" s="220">
        <v>61</v>
      </c>
      <c r="B426" s="220" t="s">
        <v>1058</v>
      </c>
      <c r="C426" s="220" t="s">
        <v>335</v>
      </c>
      <c r="D426" s="220" t="s">
        <v>387</v>
      </c>
      <c r="E426" s="220">
        <v>7</v>
      </c>
      <c r="F426" s="220">
        <v>150.01400000000001</v>
      </c>
      <c r="G426" s="220">
        <v>11776</v>
      </c>
      <c r="H426" s="220">
        <v>14187</v>
      </c>
      <c r="I426" s="220">
        <v>16420</v>
      </c>
      <c r="J426" s="220">
        <v>147.62299999999999</v>
      </c>
      <c r="K426" s="220">
        <v>-1.226</v>
      </c>
      <c r="L426" s="220">
        <v>36.363999999999997</v>
      </c>
      <c r="M426" s="220" t="s">
        <v>735</v>
      </c>
      <c r="N426" s="220" t="s">
        <v>933</v>
      </c>
      <c r="O426" s="220" t="s">
        <v>1059</v>
      </c>
      <c r="P426" s="220" t="s">
        <v>1060</v>
      </c>
      <c r="Q426" s="220" t="s">
        <v>700</v>
      </c>
      <c r="R426" s="220" t="s">
        <v>738</v>
      </c>
      <c r="S426" s="220" t="s">
        <v>723</v>
      </c>
    </row>
    <row r="427" spans="1:19" hidden="1" x14ac:dyDescent="0.25">
      <c r="A427" s="220">
        <v>62</v>
      </c>
      <c r="B427" s="220" t="s">
        <v>1061</v>
      </c>
      <c r="C427" s="220" t="s">
        <v>322</v>
      </c>
      <c r="D427" s="220" t="s">
        <v>388</v>
      </c>
      <c r="E427" s="220">
        <v>1</v>
      </c>
      <c r="F427" s="220">
        <v>204.75200000000001</v>
      </c>
      <c r="G427" s="220">
        <v>10467</v>
      </c>
      <c r="H427" s="220">
        <v>12346</v>
      </c>
      <c r="I427" s="220">
        <v>14420</v>
      </c>
      <c r="J427" s="220">
        <v>201.541</v>
      </c>
      <c r="K427" s="220">
        <v>-19.934999999999999</v>
      </c>
      <c r="L427" s="220">
        <v>24.44</v>
      </c>
      <c r="M427" s="220" t="s">
        <v>1062</v>
      </c>
      <c r="N427" s="220" t="s">
        <v>933</v>
      </c>
      <c r="O427" s="220" t="s">
        <v>1063</v>
      </c>
      <c r="P427" s="220" t="s">
        <v>1064</v>
      </c>
      <c r="Q427" s="220" t="s">
        <v>49</v>
      </c>
      <c r="R427" s="220" t="s">
        <v>134</v>
      </c>
      <c r="S427" s="220" t="s">
        <v>192</v>
      </c>
    </row>
    <row r="428" spans="1:19" hidden="1" x14ac:dyDescent="0.25">
      <c r="A428" s="220">
        <v>62</v>
      </c>
      <c r="B428" s="220" t="s">
        <v>1061</v>
      </c>
      <c r="C428" s="220" t="s">
        <v>322</v>
      </c>
      <c r="D428" s="220" t="s">
        <v>388</v>
      </c>
      <c r="E428" s="220">
        <v>2</v>
      </c>
      <c r="F428" s="220">
        <v>202.26499999999999</v>
      </c>
      <c r="G428" s="220">
        <v>10469</v>
      </c>
      <c r="H428" s="220">
        <v>12348</v>
      </c>
      <c r="I428" s="220">
        <v>14424</v>
      </c>
      <c r="J428" s="220">
        <v>199.09299999999999</v>
      </c>
      <c r="K428" s="220">
        <v>-19.95</v>
      </c>
      <c r="L428" s="220">
        <v>24.436</v>
      </c>
      <c r="M428" s="220" t="s">
        <v>1062</v>
      </c>
      <c r="N428" s="220" t="s">
        <v>933</v>
      </c>
      <c r="O428" s="220" t="s">
        <v>1063</v>
      </c>
      <c r="P428" s="220" t="s">
        <v>1064</v>
      </c>
      <c r="Q428" s="220" t="s">
        <v>131</v>
      </c>
      <c r="R428" s="220" t="s">
        <v>216</v>
      </c>
      <c r="S428" s="220" t="s">
        <v>250</v>
      </c>
    </row>
    <row r="429" spans="1:19" hidden="1" x14ac:dyDescent="0.25">
      <c r="A429" s="220">
        <v>62</v>
      </c>
      <c r="B429" s="220" t="s">
        <v>1061</v>
      </c>
      <c r="C429" s="220" t="s">
        <v>322</v>
      </c>
      <c r="D429" s="220" t="s">
        <v>388</v>
      </c>
      <c r="E429" s="220">
        <v>3</v>
      </c>
      <c r="F429" s="220">
        <v>203.42</v>
      </c>
      <c r="G429" s="220">
        <v>10514</v>
      </c>
      <c r="H429" s="220">
        <v>12401</v>
      </c>
      <c r="I429" s="220">
        <v>14489</v>
      </c>
      <c r="J429" s="220">
        <v>200.23</v>
      </c>
      <c r="K429" s="220">
        <v>-19.937000000000001</v>
      </c>
      <c r="L429" s="220">
        <v>24.425999999999998</v>
      </c>
      <c r="M429" s="220" t="s">
        <v>1062</v>
      </c>
      <c r="N429" s="220" t="s">
        <v>933</v>
      </c>
      <c r="O429" s="220" t="s">
        <v>1063</v>
      </c>
      <c r="P429" s="220" t="s">
        <v>1064</v>
      </c>
      <c r="Q429" s="220" t="s">
        <v>237</v>
      </c>
      <c r="R429" s="220" t="s">
        <v>105</v>
      </c>
      <c r="S429" s="220" t="s">
        <v>585</v>
      </c>
    </row>
    <row r="430" spans="1:19" hidden="1" x14ac:dyDescent="0.25">
      <c r="A430" s="220">
        <v>62</v>
      </c>
      <c r="B430" s="220" t="s">
        <v>1061</v>
      </c>
      <c r="C430" s="220" t="s">
        <v>322</v>
      </c>
      <c r="D430" s="220" t="s">
        <v>388</v>
      </c>
      <c r="E430" s="220">
        <v>4</v>
      </c>
      <c r="F430" s="220">
        <v>203.28800000000001</v>
      </c>
      <c r="G430" s="220">
        <v>10475</v>
      </c>
      <c r="H430" s="220">
        <v>12355</v>
      </c>
      <c r="I430" s="220">
        <v>14430</v>
      </c>
      <c r="J430" s="220">
        <v>200.1</v>
      </c>
      <c r="K430" s="220">
        <v>-19.937000000000001</v>
      </c>
      <c r="L430" s="220">
        <v>24.417999999999999</v>
      </c>
      <c r="M430" s="220" t="s">
        <v>1062</v>
      </c>
      <c r="N430" s="220" t="s">
        <v>933</v>
      </c>
      <c r="O430" s="220" t="s">
        <v>1063</v>
      </c>
      <c r="P430" s="220" t="s">
        <v>1064</v>
      </c>
      <c r="Q430" s="220" t="s">
        <v>120</v>
      </c>
      <c r="R430" s="220" t="s">
        <v>226</v>
      </c>
      <c r="S430" s="220" t="s">
        <v>189</v>
      </c>
    </row>
    <row r="431" spans="1:19" hidden="1" x14ac:dyDescent="0.25">
      <c r="A431" s="220">
        <v>62</v>
      </c>
      <c r="B431" s="220" t="s">
        <v>1061</v>
      </c>
      <c r="C431" s="220" t="s">
        <v>322</v>
      </c>
      <c r="D431" s="220" t="s">
        <v>388</v>
      </c>
      <c r="E431" s="220">
        <v>5</v>
      </c>
      <c r="F431" s="220">
        <v>252.78800000000001</v>
      </c>
      <c r="G431" s="220">
        <v>19694</v>
      </c>
      <c r="H431" s="220">
        <v>23726</v>
      </c>
      <c r="I431" s="220">
        <v>27442</v>
      </c>
      <c r="J431" s="220">
        <v>248.761</v>
      </c>
      <c r="K431" s="220">
        <v>-1.375</v>
      </c>
      <c r="L431" s="220">
        <v>35.746000000000002</v>
      </c>
      <c r="M431" s="220" t="s">
        <v>1062</v>
      </c>
      <c r="N431" s="220" t="s">
        <v>933</v>
      </c>
      <c r="O431" s="220" t="s">
        <v>1063</v>
      </c>
      <c r="P431" s="220" t="s">
        <v>1064</v>
      </c>
      <c r="Q431" s="220" t="s">
        <v>175</v>
      </c>
      <c r="R431" s="220" t="s">
        <v>101</v>
      </c>
      <c r="S431" s="220" t="s">
        <v>835</v>
      </c>
    </row>
    <row r="432" spans="1:19" x14ac:dyDescent="0.25">
      <c r="A432" s="220">
        <v>62</v>
      </c>
      <c r="B432" s="220" t="s">
        <v>1061</v>
      </c>
      <c r="C432" s="220" t="s">
        <v>322</v>
      </c>
      <c r="D432" s="220" t="s">
        <v>388</v>
      </c>
      <c r="E432" s="220">
        <v>6</v>
      </c>
      <c r="F432" s="220">
        <v>219.983</v>
      </c>
      <c r="G432" s="220">
        <v>17297</v>
      </c>
      <c r="H432" s="220">
        <v>20832</v>
      </c>
      <c r="I432" s="220">
        <v>24105</v>
      </c>
      <c r="J432" s="220">
        <v>216.47800000000001</v>
      </c>
      <c r="K432" s="220">
        <v>-1.3560000000000001</v>
      </c>
      <c r="L432" s="220">
        <v>35.979999999999997</v>
      </c>
      <c r="M432" s="220" t="s">
        <v>1062</v>
      </c>
      <c r="N432" s="220" t="s">
        <v>933</v>
      </c>
      <c r="O432" s="220" t="s">
        <v>1063</v>
      </c>
      <c r="P432" s="220" t="s">
        <v>1064</v>
      </c>
      <c r="Q432" s="220" t="s">
        <v>191</v>
      </c>
      <c r="R432" s="220" t="s">
        <v>183</v>
      </c>
      <c r="S432" s="220" t="s">
        <v>860</v>
      </c>
    </row>
    <row r="433" spans="1:19" x14ac:dyDescent="0.25">
      <c r="A433" s="220">
        <v>62</v>
      </c>
      <c r="B433" s="220" t="s">
        <v>1061</v>
      </c>
      <c r="C433" s="220" t="s">
        <v>322</v>
      </c>
      <c r="D433" s="220" t="s">
        <v>388</v>
      </c>
      <c r="E433" s="220">
        <v>7</v>
      </c>
      <c r="F433" s="220">
        <v>206.44</v>
      </c>
      <c r="G433" s="220">
        <v>16012</v>
      </c>
      <c r="H433" s="220">
        <v>19281</v>
      </c>
      <c r="I433" s="220">
        <v>22317</v>
      </c>
      <c r="J433" s="220">
        <v>203.15100000000001</v>
      </c>
      <c r="K433" s="220">
        <v>-1.383</v>
      </c>
      <c r="L433" s="220">
        <v>36.011000000000003</v>
      </c>
      <c r="M433" s="220" t="s">
        <v>1062</v>
      </c>
      <c r="N433" s="220" t="s">
        <v>933</v>
      </c>
      <c r="O433" s="220" t="s">
        <v>1063</v>
      </c>
      <c r="P433" s="220" t="s">
        <v>1064</v>
      </c>
      <c r="Q433" s="220" t="s">
        <v>191</v>
      </c>
      <c r="R433" s="220" t="s">
        <v>183</v>
      </c>
      <c r="S433" s="220" t="s">
        <v>860</v>
      </c>
    </row>
    <row r="434" spans="1:19" hidden="1" x14ac:dyDescent="0.25">
      <c r="A434" s="220">
        <v>63</v>
      </c>
      <c r="B434" s="220" t="s">
        <v>1065</v>
      </c>
      <c r="C434" s="220" t="s">
        <v>513</v>
      </c>
      <c r="D434" s="220" t="s">
        <v>389</v>
      </c>
      <c r="E434" s="220">
        <v>1</v>
      </c>
      <c r="F434" s="220">
        <v>203.512</v>
      </c>
      <c r="G434" s="220">
        <v>10417</v>
      </c>
      <c r="H434" s="220">
        <v>12288</v>
      </c>
      <c r="I434" s="220">
        <v>14340</v>
      </c>
      <c r="J434" s="220">
        <v>200.321</v>
      </c>
      <c r="K434" s="220">
        <v>-19.934000000000001</v>
      </c>
      <c r="L434" s="220">
        <v>24.407</v>
      </c>
      <c r="M434" s="220" t="s">
        <v>674</v>
      </c>
      <c r="N434" s="220" t="s">
        <v>933</v>
      </c>
      <c r="O434" s="220" t="s">
        <v>1066</v>
      </c>
      <c r="P434" s="220" t="s">
        <v>1067</v>
      </c>
      <c r="Q434" s="220" t="s">
        <v>213</v>
      </c>
      <c r="R434" s="220" t="s">
        <v>120</v>
      </c>
      <c r="S434" s="220" t="s">
        <v>209</v>
      </c>
    </row>
    <row r="435" spans="1:19" hidden="1" x14ac:dyDescent="0.25">
      <c r="A435" s="220">
        <v>63</v>
      </c>
      <c r="B435" s="220" t="s">
        <v>1065</v>
      </c>
      <c r="C435" s="220" t="s">
        <v>513</v>
      </c>
      <c r="D435" s="220" t="s">
        <v>389</v>
      </c>
      <c r="E435" s="220">
        <v>2</v>
      </c>
      <c r="F435" s="220">
        <v>201.40899999999999</v>
      </c>
      <c r="G435" s="220">
        <v>10428</v>
      </c>
      <c r="H435" s="220">
        <v>12300</v>
      </c>
      <c r="I435" s="220">
        <v>14355</v>
      </c>
      <c r="J435" s="220">
        <v>198.25200000000001</v>
      </c>
      <c r="K435" s="220">
        <v>-19.946999999999999</v>
      </c>
      <c r="L435" s="220">
        <v>24.408999999999999</v>
      </c>
      <c r="M435" s="220" t="s">
        <v>674</v>
      </c>
      <c r="N435" s="220" t="s">
        <v>933</v>
      </c>
      <c r="O435" s="220" t="s">
        <v>1066</v>
      </c>
      <c r="P435" s="220" t="s">
        <v>1067</v>
      </c>
      <c r="Q435" s="220" t="s">
        <v>81</v>
      </c>
      <c r="R435" s="220" t="s">
        <v>214</v>
      </c>
      <c r="S435" s="220" t="s">
        <v>144</v>
      </c>
    </row>
    <row r="436" spans="1:19" hidden="1" x14ac:dyDescent="0.25">
      <c r="A436" s="220">
        <v>63</v>
      </c>
      <c r="B436" s="220" t="s">
        <v>1065</v>
      </c>
      <c r="C436" s="220" t="s">
        <v>513</v>
      </c>
      <c r="D436" s="220" t="s">
        <v>389</v>
      </c>
      <c r="E436" s="220">
        <v>3</v>
      </c>
      <c r="F436" s="220">
        <v>202.86199999999999</v>
      </c>
      <c r="G436" s="220">
        <v>10473</v>
      </c>
      <c r="H436" s="220">
        <v>12353</v>
      </c>
      <c r="I436" s="220">
        <v>14421</v>
      </c>
      <c r="J436" s="220">
        <v>199.68199999999999</v>
      </c>
      <c r="K436" s="220">
        <v>-19.939</v>
      </c>
      <c r="L436" s="220">
        <v>24.428000000000001</v>
      </c>
      <c r="M436" s="220" t="s">
        <v>674</v>
      </c>
      <c r="N436" s="220" t="s">
        <v>933</v>
      </c>
      <c r="O436" s="220" t="s">
        <v>1066</v>
      </c>
      <c r="P436" s="220" t="s">
        <v>1067</v>
      </c>
      <c r="Q436" s="220" t="s">
        <v>79</v>
      </c>
      <c r="R436" s="220" t="s">
        <v>149</v>
      </c>
      <c r="S436" s="220" t="s">
        <v>519</v>
      </c>
    </row>
    <row r="437" spans="1:19" hidden="1" x14ac:dyDescent="0.25">
      <c r="A437" s="220">
        <v>63</v>
      </c>
      <c r="B437" s="220" t="s">
        <v>1065</v>
      </c>
      <c r="C437" s="220" t="s">
        <v>513</v>
      </c>
      <c r="D437" s="220" t="s">
        <v>389</v>
      </c>
      <c r="E437" s="220">
        <v>4</v>
      </c>
      <c r="F437" s="220">
        <v>202.96799999999999</v>
      </c>
      <c r="G437" s="220">
        <v>10441</v>
      </c>
      <c r="H437" s="220">
        <v>12314</v>
      </c>
      <c r="I437" s="220">
        <v>14374</v>
      </c>
      <c r="J437" s="220">
        <v>199.786</v>
      </c>
      <c r="K437" s="220">
        <v>-19.937000000000001</v>
      </c>
      <c r="L437" s="220">
        <v>24.417999999999999</v>
      </c>
      <c r="M437" s="220" t="s">
        <v>674</v>
      </c>
      <c r="N437" s="220" t="s">
        <v>933</v>
      </c>
      <c r="O437" s="220" t="s">
        <v>1066</v>
      </c>
      <c r="P437" s="220" t="s">
        <v>1067</v>
      </c>
      <c r="Q437" s="220" t="s">
        <v>277</v>
      </c>
      <c r="R437" s="220" t="s">
        <v>214</v>
      </c>
      <c r="S437" s="220" t="s">
        <v>201</v>
      </c>
    </row>
    <row r="438" spans="1:19" hidden="1" x14ac:dyDescent="0.25">
      <c r="A438" s="220">
        <v>63</v>
      </c>
      <c r="B438" s="220" t="s">
        <v>1065</v>
      </c>
      <c r="C438" s="220" t="s">
        <v>513</v>
      </c>
      <c r="D438" s="220" t="s">
        <v>389</v>
      </c>
      <c r="E438" s="220">
        <v>5</v>
      </c>
      <c r="F438" s="220">
        <v>207.06899999999999</v>
      </c>
      <c r="G438" s="220">
        <v>16011</v>
      </c>
      <c r="H438" s="220">
        <v>19299</v>
      </c>
      <c r="I438" s="220">
        <v>22291</v>
      </c>
      <c r="J438" s="220">
        <v>203.77199999999999</v>
      </c>
      <c r="K438" s="220">
        <v>-1.7509999999999999</v>
      </c>
      <c r="L438" s="220">
        <v>35.567999999999998</v>
      </c>
      <c r="M438" s="220" t="s">
        <v>674</v>
      </c>
      <c r="N438" s="220" t="s">
        <v>933</v>
      </c>
      <c r="O438" s="220" t="s">
        <v>1066</v>
      </c>
      <c r="P438" s="220" t="s">
        <v>1067</v>
      </c>
      <c r="Q438" s="220" t="s">
        <v>171</v>
      </c>
      <c r="R438" s="220" t="s">
        <v>88</v>
      </c>
      <c r="S438" s="220" t="s">
        <v>630</v>
      </c>
    </row>
    <row r="439" spans="1:19" x14ac:dyDescent="0.25">
      <c r="A439" s="220">
        <v>63</v>
      </c>
      <c r="B439" s="220" t="s">
        <v>1065</v>
      </c>
      <c r="C439" s="220" t="s">
        <v>513</v>
      </c>
      <c r="D439" s="220" t="s">
        <v>389</v>
      </c>
      <c r="E439" s="220">
        <v>6</v>
      </c>
      <c r="F439" s="220">
        <v>183.18799999999999</v>
      </c>
      <c r="G439" s="220">
        <v>14482</v>
      </c>
      <c r="H439" s="220">
        <v>17449</v>
      </c>
      <c r="I439" s="220">
        <v>20161</v>
      </c>
      <c r="J439" s="220">
        <v>180.27099999999999</v>
      </c>
      <c r="K439" s="220">
        <v>-1.7150000000000001</v>
      </c>
      <c r="L439" s="220">
        <v>35.744</v>
      </c>
      <c r="M439" s="220" t="s">
        <v>674</v>
      </c>
      <c r="N439" s="220" t="s">
        <v>933</v>
      </c>
      <c r="O439" s="220" t="s">
        <v>1066</v>
      </c>
      <c r="P439" s="220" t="s">
        <v>1067</v>
      </c>
      <c r="Q439" s="220" t="s">
        <v>106</v>
      </c>
      <c r="R439" s="220" t="s">
        <v>208</v>
      </c>
      <c r="S439" s="220" t="s">
        <v>370</v>
      </c>
    </row>
    <row r="440" spans="1:19" x14ac:dyDescent="0.25">
      <c r="A440" s="220">
        <v>63</v>
      </c>
      <c r="B440" s="220" t="s">
        <v>1065</v>
      </c>
      <c r="C440" s="220" t="s">
        <v>513</v>
      </c>
      <c r="D440" s="220" t="s">
        <v>389</v>
      </c>
      <c r="E440" s="220">
        <v>7</v>
      </c>
      <c r="F440" s="220">
        <v>171.20099999999999</v>
      </c>
      <c r="G440" s="220">
        <v>13652</v>
      </c>
      <c r="H440" s="220">
        <v>16448</v>
      </c>
      <c r="I440" s="220">
        <v>19006</v>
      </c>
      <c r="J440" s="220">
        <v>168.47399999999999</v>
      </c>
      <c r="K440" s="220">
        <v>-1.6739999999999999</v>
      </c>
      <c r="L440" s="220">
        <v>35.74</v>
      </c>
      <c r="M440" s="220" t="s">
        <v>674</v>
      </c>
      <c r="N440" s="220" t="s">
        <v>933</v>
      </c>
      <c r="O440" s="220" t="s">
        <v>1066</v>
      </c>
      <c r="P440" s="220" t="s">
        <v>1067</v>
      </c>
      <c r="Q440" s="220" t="s">
        <v>716</v>
      </c>
      <c r="R440" s="220" t="s">
        <v>574</v>
      </c>
      <c r="S440" s="220" t="s">
        <v>658</v>
      </c>
    </row>
    <row r="441" spans="1:19" hidden="1" x14ac:dyDescent="0.25">
      <c r="A441" s="220">
        <v>64</v>
      </c>
      <c r="B441" s="220" t="s">
        <v>1068</v>
      </c>
      <c r="C441" s="220" t="s">
        <v>269</v>
      </c>
      <c r="D441" s="220" t="s">
        <v>390</v>
      </c>
      <c r="E441" s="220">
        <v>1</v>
      </c>
      <c r="F441" s="220">
        <v>204.39500000000001</v>
      </c>
      <c r="G441" s="220">
        <v>10439</v>
      </c>
      <c r="H441" s="220">
        <v>12311</v>
      </c>
      <c r="I441" s="220">
        <v>14382</v>
      </c>
      <c r="J441" s="220">
        <v>201.19</v>
      </c>
      <c r="K441" s="220">
        <v>-19.931000000000001</v>
      </c>
      <c r="L441" s="220">
        <v>24.449000000000002</v>
      </c>
      <c r="M441" s="220" t="s">
        <v>1069</v>
      </c>
      <c r="N441" s="220" t="s">
        <v>933</v>
      </c>
      <c r="O441" s="220" t="s">
        <v>1070</v>
      </c>
      <c r="P441" s="220" t="s">
        <v>1071</v>
      </c>
      <c r="Q441" s="220" t="s">
        <v>54</v>
      </c>
      <c r="R441" s="220" t="s">
        <v>207</v>
      </c>
      <c r="S441" s="220" t="s">
        <v>194</v>
      </c>
    </row>
    <row r="442" spans="1:19" hidden="1" x14ac:dyDescent="0.25">
      <c r="A442" s="220">
        <v>64</v>
      </c>
      <c r="B442" s="220" t="s">
        <v>1068</v>
      </c>
      <c r="C442" s="220" t="s">
        <v>269</v>
      </c>
      <c r="D442" s="220" t="s">
        <v>390</v>
      </c>
      <c r="E442" s="220">
        <v>2</v>
      </c>
      <c r="F442" s="220">
        <v>201.84399999999999</v>
      </c>
      <c r="G442" s="220">
        <v>10464</v>
      </c>
      <c r="H442" s="220">
        <v>12342</v>
      </c>
      <c r="I442" s="220">
        <v>14416</v>
      </c>
      <c r="J442" s="220">
        <v>198.679</v>
      </c>
      <c r="K442" s="220">
        <v>-19.937999999999999</v>
      </c>
      <c r="L442" s="220">
        <v>24.401</v>
      </c>
      <c r="M442" s="220" t="s">
        <v>1069</v>
      </c>
      <c r="N442" s="220" t="s">
        <v>933</v>
      </c>
      <c r="O442" s="220" t="s">
        <v>1070</v>
      </c>
      <c r="P442" s="220" t="s">
        <v>1071</v>
      </c>
      <c r="Q442" s="220" t="s">
        <v>158</v>
      </c>
      <c r="R442" s="220" t="s">
        <v>233</v>
      </c>
      <c r="S442" s="220" t="s">
        <v>303</v>
      </c>
    </row>
    <row r="443" spans="1:19" hidden="1" x14ac:dyDescent="0.25">
      <c r="A443" s="220">
        <v>64</v>
      </c>
      <c r="B443" s="220" t="s">
        <v>1068</v>
      </c>
      <c r="C443" s="220" t="s">
        <v>269</v>
      </c>
      <c r="D443" s="220" t="s">
        <v>390</v>
      </c>
      <c r="E443" s="220">
        <v>3</v>
      </c>
      <c r="F443" s="220">
        <v>203.571</v>
      </c>
      <c r="G443" s="220">
        <v>10510</v>
      </c>
      <c r="H443" s="220">
        <v>12396</v>
      </c>
      <c r="I443" s="220">
        <v>14480</v>
      </c>
      <c r="J443" s="220">
        <v>200.37899999999999</v>
      </c>
      <c r="K443" s="220">
        <v>-19.940000000000001</v>
      </c>
      <c r="L443" s="220">
        <v>24.417999999999999</v>
      </c>
      <c r="M443" s="220" t="s">
        <v>1069</v>
      </c>
      <c r="N443" s="220" t="s">
        <v>933</v>
      </c>
      <c r="O443" s="220" t="s">
        <v>1070</v>
      </c>
      <c r="P443" s="220" t="s">
        <v>1071</v>
      </c>
      <c r="Q443" s="220" t="s">
        <v>81</v>
      </c>
      <c r="R443" s="220" t="s">
        <v>214</v>
      </c>
      <c r="S443" s="220" t="s">
        <v>200</v>
      </c>
    </row>
    <row r="444" spans="1:19" hidden="1" x14ac:dyDescent="0.25">
      <c r="A444" s="220">
        <v>64</v>
      </c>
      <c r="B444" s="220" t="s">
        <v>1068</v>
      </c>
      <c r="C444" s="220" t="s">
        <v>269</v>
      </c>
      <c r="D444" s="220" t="s">
        <v>390</v>
      </c>
      <c r="E444" s="220">
        <v>4</v>
      </c>
      <c r="F444" s="220">
        <v>203.172</v>
      </c>
      <c r="G444" s="220">
        <v>10462</v>
      </c>
      <c r="H444" s="220">
        <v>12340</v>
      </c>
      <c r="I444" s="220">
        <v>14414</v>
      </c>
      <c r="J444" s="220">
        <v>199.98599999999999</v>
      </c>
      <c r="K444" s="220">
        <v>-19.937000000000001</v>
      </c>
      <c r="L444" s="220">
        <v>24.417999999999999</v>
      </c>
      <c r="M444" s="220" t="s">
        <v>1069</v>
      </c>
      <c r="N444" s="220" t="s">
        <v>933</v>
      </c>
      <c r="O444" s="220" t="s">
        <v>1070</v>
      </c>
      <c r="P444" s="220" t="s">
        <v>1071</v>
      </c>
      <c r="Q444" s="220" t="s">
        <v>117</v>
      </c>
      <c r="R444" s="220" t="s">
        <v>96</v>
      </c>
      <c r="S444" s="220" t="s">
        <v>144</v>
      </c>
    </row>
    <row r="445" spans="1:19" hidden="1" x14ac:dyDescent="0.25">
      <c r="A445" s="220">
        <v>64</v>
      </c>
      <c r="B445" s="220" t="s">
        <v>1068</v>
      </c>
      <c r="C445" s="220" t="s">
        <v>269</v>
      </c>
      <c r="D445" s="220" t="s">
        <v>390</v>
      </c>
      <c r="E445" s="220">
        <v>5</v>
      </c>
      <c r="F445" s="220">
        <v>196.92099999999999</v>
      </c>
      <c r="G445" s="220">
        <v>15053</v>
      </c>
      <c r="H445" s="220">
        <v>18127</v>
      </c>
      <c r="I445" s="220">
        <v>20978</v>
      </c>
      <c r="J445" s="220">
        <v>193.78399999999999</v>
      </c>
      <c r="K445" s="220">
        <v>-1.4179999999999999</v>
      </c>
      <c r="L445" s="220">
        <v>35.536999999999999</v>
      </c>
      <c r="M445" s="220" t="s">
        <v>1069</v>
      </c>
      <c r="N445" s="220" t="s">
        <v>933</v>
      </c>
      <c r="O445" s="220" t="s">
        <v>1070</v>
      </c>
      <c r="P445" s="220" t="s">
        <v>1071</v>
      </c>
      <c r="Q445" s="220" t="s">
        <v>178</v>
      </c>
      <c r="R445" s="220" t="s">
        <v>603</v>
      </c>
      <c r="S445" s="220" t="s">
        <v>1004</v>
      </c>
    </row>
    <row r="446" spans="1:19" x14ac:dyDescent="0.25">
      <c r="A446" s="220">
        <v>64</v>
      </c>
      <c r="B446" s="220" t="s">
        <v>1068</v>
      </c>
      <c r="C446" s="220" t="s">
        <v>269</v>
      </c>
      <c r="D446" s="220" t="s">
        <v>390</v>
      </c>
      <c r="E446" s="220">
        <v>6</v>
      </c>
      <c r="F446" s="220">
        <v>171.46100000000001</v>
      </c>
      <c r="G446" s="220">
        <v>13280</v>
      </c>
      <c r="H446" s="220">
        <v>15987</v>
      </c>
      <c r="I446" s="220">
        <v>18509</v>
      </c>
      <c r="J446" s="220">
        <v>168.73</v>
      </c>
      <c r="K446" s="220">
        <v>-1.3939999999999999</v>
      </c>
      <c r="L446" s="220">
        <v>35.787999999999997</v>
      </c>
      <c r="M446" s="220" t="s">
        <v>1069</v>
      </c>
      <c r="N446" s="220" t="s">
        <v>933</v>
      </c>
      <c r="O446" s="220" t="s">
        <v>1070</v>
      </c>
      <c r="P446" s="220" t="s">
        <v>1071</v>
      </c>
      <c r="Q446" s="220" t="s">
        <v>124</v>
      </c>
      <c r="R446" s="220" t="s">
        <v>258</v>
      </c>
      <c r="S446" s="220" t="s">
        <v>183</v>
      </c>
    </row>
    <row r="447" spans="1:19" x14ac:dyDescent="0.25">
      <c r="A447" s="220">
        <v>64</v>
      </c>
      <c r="B447" s="220" t="s">
        <v>1068</v>
      </c>
      <c r="C447" s="220" t="s">
        <v>269</v>
      </c>
      <c r="D447" s="220" t="s">
        <v>390</v>
      </c>
      <c r="E447" s="220">
        <v>7</v>
      </c>
      <c r="F447" s="220">
        <v>158.95599999999999</v>
      </c>
      <c r="G447" s="220">
        <v>12313</v>
      </c>
      <c r="H447" s="220">
        <v>14821</v>
      </c>
      <c r="I447" s="220">
        <v>17161</v>
      </c>
      <c r="J447" s="220">
        <v>156.42400000000001</v>
      </c>
      <c r="K447" s="220">
        <v>-1.36</v>
      </c>
      <c r="L447" s="220">
        <v>35.76</v>
      </c>
      <c r="M447" s="220" t="s">
        <v>1069</v>
      </c>
      <c r="N447" s="220" t="s">
        <v>933</v>
      </c>
      <c r="O447" s="220" t="s">
        <v>1070</v>
      </c>
      <c r="P447" s="220" t="s">
        <v>1071</v>
      </c>
      <c r="Q447" s="220" t="s">
        <v>321</v>
      </c>
      <c r="R447" s="220" t="s">
        <v>733</v>
      </c>
      <c r="S447" s="220" t="s">
        <v>1072</v>
      </c>
    </row>
    <row r="448" spans="1:19" hidden="1" x14ac:dyDescent="0.25">
      <c r="A448" s="220">
        <v>65</v>
      </c>
      <c r="B448" s="220" t="s">
        <v>1073</v>
      </c>
      <c r="C448" s="220" t="s">
        <v>518</v>
      </c>
      <c r="D448" s="220" t="s">
        <v>391</v>
      </c>
      <c r="E448" s="220">
        <v>1</v>
      </c>
      <c r="F448" s="220">
        <v>204.03100000000001</v>
      </c>
      <c r="G448" s="220">
        <v>10437</v>
      </c>
      <c r="H448" s="220">
        <v>12310</v>
      </c>
      <c r="I448" s="220">
        <v>14379</v>
      </c>
      <c r="J448" s="220">
        <v>200.83099999999999</v>
      </c>
      <c r="K448" s="220">
        <v>-19.931000000000001</v>
      </c>
      <c r="L448" s="220">
        <v>24.431000000000001</v>
      </c>
      <c r="M448" s="220" t="s">
        <v>1074</v>
      </c>
      <c r="N448" s="220" t="s">
        <v>933</v>
      </c>
      <c r="O448" s="220" t="s">
        <v>1075</v>
      </c>
      <c r="P448" s="220" t="s">
        <v>1076</v>
      </c>
      <c r="Q448" s="220" t="s">
        <v>49</v>
      </c>
      <c r="R448" s="220" t="s">
        <v>130</v>
      </c>
      <c r="S448" s="220" t="s">
        <v>262</v>
      </c>
    </row>
    <row r="449" spans="1:19" hidden="1" x14ac:dyDescent="0.25">
      <c r="A449" s="220">
        <v>65</v>
      </c>
      <c r="B449" s="220" t="s">
        <v>1073</v>
      </c>
      <c r="C449" s="220" t="s">
        <v>518</v>
      </c>
      <c r="D449" s="220" t="s">
        <v>391</v>
      </c>
      <c r="E449" s="220">
        <v>2</v>
      </c>
      <c r="F449" s="220">
        <v>201.37299999999999</v>
      </c>
      <c r="G449" s="220">
        <v>10436</v>
      </c>
      <c r="H449" s="220">
        <v>12308</v>
      </c>
      <c r="I449" s="220">
        <v>14377</v>
      </c>
      <c r="J449" s="220">
        <v>198.215</v>
      </c>
      <c r="K449" s="220">
        <v>-19.934999999999999</v>
      </c>
      <c r="L449" s="220">
        <v>24.42</v>
      </c>
      <c r="M449" s="220" t="s">
        <v>1074</v>
      </c>
      <c r="N449" s="220" t="s">
        <v>933</v>
      </c>
      <c r="O449" s="220" t="s">
        <v>1075</v>
      </c>
      <c r="P449" s="220" t="s">
        <v>1076</v>
      </c>
      <c r="Q449" s="220" t="s">
        <v>131</v>
      </c>
      <c r="R449" s="220" t="s">
        <v>216</v>
      </c>
      <c r="S449" s="220" t="s">
        <v>250</v>
      </c>
    </row>
    <row r="450" spans="1:19" hidden="1" x14ac:dyDescent="0.25">
      <c r="A450" s="220">
        <v>65</v>
      </c>
      <c r="B450" s="220" t="s">
        <v>1073</v>
      </c>
      <c r="C450" s="220" t="s">
        <v>518</v>
      </c>
      <c r="D450" s="220" t="s">
        <v>391</v>
      </c>
      <c r="E450" s="220">
        <v>3</v>
      </c>
      <c r="F450" s="220">
        <v>203.17099999999999</v>
      </c>
      <c r="G450" s="220">
        <v>10489</v>
      </c>
      <c r="H450" s="220">
        <v>12373</v>
      </c>
      <c r="I450" s="220">
        <v>14454</v>
      </c>
      <c r="J450" s="220">
        <v>199.98500000000001</v>
      </c>
      <c r="K450" s="220">
        <v>-19.940999999999999</v>
      </c>
      <c r="L450" s="220">
        <v>24.411000000000001</v>
      </c>
      <c r="M450" s="220" t="s">
        <v>1074</v>
      </c>
      <c r="N450" s="220" t="s">
        <v>933</v>
      </c>
      <c r="O450" s="220" t="s">
        <v>1075</v>
      </c>
      <c r="P450" s="220" t="s">
        <v>1076</v>
      </c>
      <c r="Q450" s="220" t="s">
        <v>237</v>
      </c>
      <c r="R450" s="220" t="s">
        <v>105</v>
      </c>
      <c r="S450" s="220" t="s">
        <v>189</v>
      </c>
    </row>
    <row r="451" spans="1:19" hidden="1" x14ac:dyDescent="0.25">
      <c r="A451" s="220">
        <v>65</v>
      </c>
      <c r="B451" s="220" t="s">
        <v>1073</v>
      </c>
      <c r="C451" s="220" t="s">
        <v>518</v>
      </c>
      <c r="D451" s="220" t="s">
        <v>391</v>
      </c>
      <c r="E451" s="220">
        <v>4</v>
      </c>
      <c r="F451" s="220">
        <v>202.786</v>
      </c>
      <c r="G451" s="220">
        <v>10443</v>
      </c>
      <c r="H451" s="220">
        <v>12317</v>
      </c>
      <c r="I451" s="220">
        <v>14385</v>
      </c>
      <c r="J451" s="220">
        <v>199.60599999999999</v>
      </c>
      <c r="K451" s="220">
        <v>-19.937000000000001</v>
      </c>
      <c r="L451" s="220">
        <v>24.417999999999999</v>
      </c>
      <c r="M451" s="220" t="s">
        <v>1074</v>
      </c>
      <c r="N451" s="220" t="s">
        <v>933</v>
      </c>
      <c r="O451" s="220" t="s">
        <v>1075</v>
      </c>
      <c r="P451" s="220" t="s">
        <v>1076</v>
      </c>
      <c r="Q451" s="220" t="s">
        <v>120</v>
      </c>
      <c r="R451" s="220" t="s">
        <v>226</v>
      </c>
      <c r="S451" s="220" t="s">
        <v>189</v>
      </c>
    </row>
    <row r="452" spans="1:19" hidden="1" x14ac:dyDescent="0.25">
      <c r="A452" s="220">
        <v>65</v>
      </c>
      <c r="B452" s="220" t="s">
        <v>1073</v>
      </c>
      <c r="C452" s="220" t="s">
        <v>518</v>
      </c>
      <c r="D452" s="220" t="s">
        <v>391</v>
      </c>
      <c r="E452" s="220">
        <v>5</v>
      </c>
      <c r="F452" s="220">
        <v>191.93100000000001</v>
      </c>
      <c r="G452" s="220">
        <v>15083</v>
      </c>
      <c r="H452" s="220">
        <v>18174</v>
      </c>
      <c r="I452" s="220">
        <v>21019</v>
      </c>
      <c r="J452" s="220">
        <v>188.874</v>
      </c>
      <c r="K452" s="220">
        <v>-1.625</v>
      </c>
      <c r="L452" s="220">
        <v>35.758000000000003</v>
      </c>
      <c r="M452" s="220" t="s">
        <v>1074</v>
      </c>
      <c r="N452" s="220" t="s">
        <v>933</v>
      </c>
      <c r="O452" s="220" t="s">
        <v>1075</v>
      </c>
      <c r="P452" s="220" t="s">
        <v>1076</v>
      </c>
      <c r="Q452" s="220" t="s">
        <v>156</v>
      </c>
      <c r="R452" s="220" t="s">
        <v>103</v>
      </c>
      <c r="S452" s="220" t="s">
        <v>601</v>
      </c>
    </row>
    <row r="453" spans="1:19" x14ac:dyDescent="0.25">
      <c r="A453" s="220">
        <v>65</v>
      </c>
      <c r="B453" s="220" t="s">
        <v>1073</v>
      </c>
      <c r="C453" s="220" t="s">
        <v>518</v>
      </c>
      <c r="D453" s="220" t="s">
        <v>391</v>
      </c>
      <c r="E453" s="220">
        <v>6</v>
      </c>
      <c r="F453" s="220">
        <v>170.56399999999999</v>
      </c>
      <c r="G453" s="220">
        <v>13686</v>
      </c>
      <c r="H453" s="220">
        <v>16488</v>
      </c>
      <c r="I453" s="220">
        <v>19076</v>
      </c>
      <c r="J453" s="220">
        <v>167.84800000000001</v>
      </c>
      <c r="K453" s="220">
        <v>-1.6379999999999999</v>
      </c>
      <c r="L453" s="220">
        <v>35.871000000000002</v>
      </c>
      <c r="M453" s="220" t="s">
        <v>1074</v>
      </c>
      <c r="N453" s="220" t="s">
        <v>933</v>
      </c>
      <c r="O453" s="220" t="s">
        <v>1075</v>
      </c>
      <c r="P453" s="220" t="s">
        <v>1076</v>
      </c>
      <c r="Q453" s="220" t="s">
        <v>139</v>
      </c>
      <c r="R453" s="220" t="s">
        <v>215</v>
      </c>
      <c r="S453" s="220" t="s">
        <v>298</v>
      </c>
    </row>
    <row r="454" spans="1:19" x14ac:dyDescent="0.25">
      <c r="A454" s="220">
        <v>65</v>
      </c>
      <c r="B454" s="220" t="s">
        <v>1073</v>
      </c>
      <c r="C454" s="220" t="s">
        <v>518</v>
      </c>
      <c r="D454" s="220" t="s">
        <v>391</v>
      </c>
      <c r="E454" s="220">
        <v>7</v>
      </c>
      <c r="F454" s="220">
        <v>159.572</v>
      </c>
      <c r="G454" s="220">
        <v>12903</v>
      </c>
      <c r="H454" s="220">
        <v>15543</v>
      </c>
      <c r="I454" s="220">
        <v>17986</v>
      </c>
      <c r="J454" s="220">
        <v>157.03</v>
      </c>
      <c r="K454" s="220">
        <v>-1.542</v>
      </c>
      <c r="L454" s="220">
        <v>35.880000000000003</v>
      </c>
      <c r="M454" s="220" t="s">
        <v>1074</v>
      </c>
      <c r="N454" s="220" t="s">
        <v>933</v>
      </c>
      <c r="O454" s="220" t="s">
        <v>1075</v>
      </c>
      <c r="P454" s="220" t="s">
        <v>1076</v>
      </c>
      <c r="Q454" s="220" t="s">
        <v>1077</v>
      </c>
      <c r="R454" s="220" t="s">
        <v>529</v>
      </c>
      <c r="S454" s="220" t="s">
        <v>644</v>
      </c>
    </row>
    <row r="455" spans="1:19" hidden="1" x14ac:dyDescent="0.25">
      <c r="A455" s="220">
        <v>66</v>
      </c>
      <c r="B455" s="220" t="s">
        <v>1078</v>
      </c>
      <c r="C455" s="220" t="s">
        <v>551</v>
      </c>
      <c r="D455" s="220" t="s">
        <v>393</v>
      </c>
      <c r="E455" s="220">
        <v>1</v>
      </c>
      <c r="F455" s="220">
        <v>204.42099999999999</v>
      </c>
      <c r="G455" s="220">
        <v>10451</v>
      </c>
      <c r="H455" s="220">
        <v>12327</v>
      </c>
      <c r="I455" s="220">
        <v>14388</v>
      </c>
      <c r="J455" s="220">
        <v>201.21600000000001</v>
      </c>
      <c r="K455" s="220">
        <v>-19.933</v>
      </c>
      <c r="L455" s="220">
        <v>24.416</v>
      </c>
      <c r="M455" s="220" t="s">
        <v>671</v>
      </c>
      <c r="N455" s="220" t="s">
        <v>933</v>
      </c>
      <c r="O455" s="220" t="s">
        <v>1079</v>
      </c>
      <c r="P455" s="220" t="s">
        <v>1080</v>
      </c>
      <c r="Q455" s="220" t="s">
        <v>102</v>
      </c>
      <c r="R455" s="220" t="s">
        <v>249</v>
      </c>
      <c r="S455" s="220" t="s">
        <v>159</v>
      </c>
    </row>
    <row r="456" spans="1:19" hidden="1" x14ac:dyDescent="0.25">
      <c r="A456" s="220">
        <v>66</v>
      </c>
      <c r="B456" s="220" t="s">
        <v>1078</v>
      </c>
      <c r="C456" s="220" t="s">
        <v>551</v>
      </c>
      <c r="D456" s="220" t="s">
        <v>393</v>
      </c>
      <c r="E456" s="220">
        <v>2</v>
      </c>
      <c r="F456" s="220">
        <v>201.62299999999999</v>
      </c>
      <c r="G456" s="220">
        <v>10448</v>
      </c>
      <c r="H456" s="220">
        <v>12323</v>
      </c>
      <c r="I456" s="220">
        <v>14384</v>
      </c>
      <c r="J456" s="220">
        <v>198.46100000000001</v>
      </c>
      <c r="K456" s="220">
        <v>-19.93</v>
      </c>
      <c r="L456" s="220">
        <v>24.399000000000001</v>
      </c>
      <c r="M456" s="220" t="s">
        <v>671</v>
      </c>
      <c r="N456" s="220" t="s">
        <v>933</v>
      </c>
      <c r="O456" s="220" t="s">
        <v>1079</v>
      </c>
      <c r="P456" s="220" t="s">
        <v>1080</v>
      </c>
      <c r="Q456" s="220" t="s">
        <v>237</v>
      </c>
      <c r="R456" s="220" t="s">
        <v>252</v>
      </c>
      <c r="S456" s="220" t="s">
        <v>253</v>
      </c>
    </row>
    <row r="457" spans="1:19" hidden="1" x14ac:dyDescent="0.25">
      <c r="A457" s="220">
        <v>66</v>
      </c>
      <c r="B457" s="220" t="s">
        <v>1078</v>
      </c>
      <c r="C457" s="220" t="s">
        <v>551</v>
      </c>
      <c r="D457" s="220" t="s">
        <v>393</v>
      </c>
      <c r="E457" s="220">
        <v>3</v>
      </c>
      <c r="F457" s="220">
        <v>203.55600000000001</v>
      </c>
      <c r="G457" s="220">
        <v>10509</v>
      </c>
      <c r="H457" s="220">
        <v>12396</v>
      </c>
      <c r="I457" s="220">
        <v>14471</v>
      </c>
      <c r="J457" s="220">
        <v>200.36500000000001</v>
      </c>
      <c r="K457" s="220">
        <v>-19.934000000000001</v>
      </c>
      <c r="L457" s="220">
        <v>24.414999999999999</v>
      </c>
      <c r="M457" s="220" t="s">
        <v>671</v>
      </c>
      <c r="N457" s="220" t="s">
        <v>933</v>
      </c>
      <c r="O457" s="220" t="s">
        <v>1079</v>
      </c>
      <c r="P457" s="220" t="s">
        <v>1080</v>
      </c>
      <c r="Q457" s="220" t="s">
        <v>111</v>
      </c>
      <c r="R457" s="220" t="s">
        <v>132</v>
      </c>
      <c r="S457" s="220" t="s">
        <v>235</v>
      </c>
    </row>
    <row r="458" spans="1:19" hidden="1" x14ac:dyDescent="0.25">
      <c r="A458" s="220">
        <v>66</v>
      </c>
      <c r="B458" s="220" t="s">
        <v>1078</v>
      </c>
      <c r="C458" s="220" t="s">
        <v>551</v>
      </c>
      <c r="D458" s="220" t="s">
        <v>393</v>
      </c>
      <c r="E458" s="220">
        <v>4</v>
      </c>
      <c r="F458" s="220">
        <v>203.857</v>
      </c>
      <c r="G458" s="220">
        <v>10478</v>
      </c>
      <c r="H458" s="220">
        <v>12359</v>
      </c>
      <c r="I458" s="220">
        <v>14425</v>
      </c>
      <c r="J458" s="220">
        <v>200.661</v>
      </c>
      <c r="K458" s="220">
        <v>-19.937000000000001</v>
      </c>
      <c r="L458" s="220">
        <v>24.417999999999999</v>
      </c>
      <c r="M458" s="220" t="s">
        <v>671</v>
      </c>
      <c r="N458" s="220" t="s">
        <v>933</v>
      </c>
      <c r="O458" s="220" t="s">
        <v>1079</v>
      </c>
      <c r="P458" s="220" t="s">
        <v>1080</v>
      </c>
      <c r="Q458" s="220" t="s">
        <v>111</v>
      </c>
      <c r="R458" s="220" t="s">
        <v>132</v>
      </c>
      <c r="S458" s="220" t="s">
        <v>190</v>
      </c>
    </row>
    <row r="459" spans="1:19" hidden="1" x14ac:dyDescent="0.25">
      <c r="A459" s="220">
        <v>66</v>
      </c>
      <c r="B459" s="220" t="s">
        <v>1078</v>
      </c>
      <c r="C459" s="220" t="s">
        <v>551</v>
      </c>
      <c r="D459" s="220" t="s">
        <v>393</v>
      </c>
      <c r="E459" s="220">
        <v>5</v>
      </c>
      <c r="F459" s="220">
        <v>199.191</v>
      </c>
      <c r="G459" s="220">
        <v>15104</v>
      </c>
      <c r="H459" s="220">
        <v>18182</v>
      </c>
      <c r="I459" s="220">
        <v>21035</v>
      </c>
      <c r="J459" s="220">
        <v>196.01900000000001</v>
      </c>
      <c r="K459" s="220">
        <v>-1.82</v>
      </c>
      <c r="L459" s="220">
        <v>35.634</v>
      </c>
      <c r="M459" s="220" t="s">
        <v>671</v>
      </c>
      <c r="N459" s="220" t="s">
        <v>933</v>
      </c>
      <c r="O459" s="220" t="s">
        <v>1079</v>
      </c>
      <c r="P459" s="220" t="s">
        <v>1080</v>
      </c>
      <c r="Q459" s="220" t="s">
        <v>181</v>
      </c>
      <c r="R459" s="220" t="s">
        <v>87</v>
      </c>
      <c r="S459" s="220" t="s">
        <v>100</v>
      </c>
    </row>
    <row r="460" spans="1:19" x14ac:dyDescent="0.25">
      <c r="A460" s="220">
        <v>66</v>
      </c>
      <c r="B460" s="220" t="s">
        <v>1078</v>
      </c>
      <c r="C460" s="220" t="s">
        <v>551</v>
      </c>
      <c r="D460" s="220" t="s">
        <v>393</v>
      </c>
      <c r="E460" s="220">
        <v>6</v>
      </c>
      <c r="F460" s="220">
        <v>174.50399999999999</v>
      </c>
      <c r="G460" s="220">
        <v>13464</v>
      </c>
      <c r="H460" s="220">
        <v>16205</v>
      </c>
      <c r="I460" s="220">
        <v>18755</v>
      </c>
      <c r="J460" s="220">
        <v>171.72499999999999</v>
      </c>
      <c r="K460" s="220">
        <v>-1.8149999999999999</v>
      </c>
      <c r="L460" s="220">
        <v>36.042999999999999</v>
      </c>
      <c r="M460" s="220" t="s">
        <v>671</v>
      </c>
      <c r="N460" s="220" t="s">
        <v>933</v>
      </c>
      <c r="O460" s="220" t="s">
        <v>1079</v>
      </c>
      <c r="P460" s="220" t="s">
        <v>1080</v>
      </c>
      <c r="Q460" s="220" t="s">
        <v>245</v>
      </c>
      <c r="R460" s="220" t="s">
        <v>215</v>
      </c>
      <c r="S460" s="220" t="s">
        <v>265</v>
      </c>
    </row>
    <row r="461" spans="1:19" x14ac:dyDescent="0.25">
      <c r="A461" s="220">
        <v>66</v>
      </c>
      <c r="B461" s="220" t="s">
        <v>1078</v>
      </c>
      <c r="C461" s="220" t="s">
        <v>551</v>
      </c>
      <c r="D461" s="220" t="s">
        <v>393</v>
      </c>
      <c r="E461" s="220">
        <v>7</v>
      </c>
      <c r="F461" s="220">
        <v>162.21</v>
      </c>
      <c r="G461" s="220">
        <v>12547</v>
      </c>
      <c r="H461" s="220">
        <v>15100</v>
      </c>
      <c r="I461" s="220">
        <v>17477</v>
      </c>
      <c r="J461" s="220">
        <v>159.626</v>
      </c>
      <c r="K461" s="220">
        <v>-1.7490000000000001</v>
      </c>
      <c r="L461" s="220">
        <v>36.125999999999998</v>
      </c>
      <c r="M461" s="220" t="s">
        <v>671</v>
      </c>
      <c r="N461" s="220" t="s">
        <v>933</v>
      </c>
      <c r="O461" s="220" t="s">
        <v>1079</v>
      </c>
      <c r="P461" s="220" t="s">
        <v>1080</v>
      </c>
      <c r="Q461" s="220" t="s">
        <v>968</v>
      </c>
      <c r="R461" s="220" t="s">
        <v>733</v>
      </c>
      <c r="S461" s="220" t="s">
        <v>617</v>
      </c>
    </row>
    <row r="462" spans="1:19" hidden="1" x14ac:dyDescent="0.25">
      <c r="A462" s="220">
        <v>67</v>
      </c>
      <c r="B462" s="220" t="s">
        <v>1081</v>
      </c>
      <c r="C462" s="220" t="s">
        <v>269</v>
      </c>
      <c r="D462" s="220" t="s">
        <v>394</v>
      </c>
      <c r="E462" s="220">
        <v>1</v>
      </c>
      <c r="F462" s="220">
        <v>204.74299999999999</v>
      </c>
      <c r="G462" s="220">
        <v>10471</v>
      </c>
      <c r="H462" s="220">
        <v>12351</v>
      </c>
      <c r="I462" s="220">
        <v>14415</v>
      </c>
      <c r="J462" s="220">
        <v>201.53299999999999</v>
      </c>
      <c r="K462" s="220">
        <v>-19.931999999999999</v>
      </c>
      <c r="L462" s="220">
        <v>24.420999999999999</v>
      </c>
      <c r="M462" s="220" t="s">
        <v>732</v>
      </c>
      <c r="N462" s="220" t="s">
        <v>933</v>
      </c>
      <c r="O462" s="220" t="s">
        <v>1082</v>
      </c>
      <c r="P462" s="220" t="s">
        <v>1083</v>
      </c>
      <c r="Q462" s="220" t="s">
        <v>73</v>
      </c>
      <c r="R462" s="220" t="s">
        <v>134</v>
      </c>
      <c r="S462" s="220" t="s">
        <v>192</v>
      </c>
    </row>
    <row r="463" spans="1:19" hidden="1" x14ac:dyDescent="0.25">
      <c r="A463" s="220">
        <v>67</v>
      </c>
      <c r="B463" s="220" t="s">
        <v>1081</v>
      </c>
      <c r="C463" s="220" t="s">
        <v>269</v>
      </c>
      <c r="D463" s="220" t="s">
        <v>394</v>
      </c>
      <c r="E463" s="220">
        <v>2</v>
      </c>
      <c r="F463" s="220">
        <v>202.411</v>
      </c>
      <c r="G463" s="220">
        <v>10473</v>
      </c>
      <c r="H463" s="220">
        <v>12353</v>
      </c>
      <c r="I463" s="220">
        <v>14419</v>
      </c>
      <c r="J463" s="220">
        <v>199.23699999999999</v>
      </c>
      <c r="K463" s="220">
        <v>-19.928000000000001</v>
      </c>
      <c r="L463" s="220">
        <v>24.436</v>
      </c>
      <c r="M463" s="220" t="s">
        <v>732</v>
      </c>
      <c r="N463" s="220" t="s">
        <v>933</v>
      </c>
      <c r="O463" s="220" t="s">
        <v>1082</v>
      </c>
      <c r="P463" s="220" t="s">
        <v>1083</v>
      </c>
      <c r="Q463" s="220" t="s">
        <v>202</v>
      </c>
      <c r="R463" s="220" t="s">
        <v>216</v>
      </c>
      <c r="S463" s="220" t="s">
        <v>250</v>
      </c>
    </row>
    <row r="464" spans="1:19" hidden="1" x14ac:dyDescent="0.25">
      <c r="A464" s="220">
        <v>67</v>
      </c>
      <c r="B464" s="220" t="s">
        <v>1081</v>
      </c>
      <c r="C464" s="220" t="s">
        <v>269</v>
      </c>
      <c r="D464" s="220" t="s">
        <v>394</v>
      </c>
      <c r="E464" s="220">
        <v>3</v>
      </c>
      <c r="F464" s="220">
        <v>203.762</v>
      </c>
      <c r="G464" s="220">
        <v>10520</v>
      </c>
      <c r="H464" s="220">
        <v>12410</v>
      </c>
      <c r="I464" s="220">
        <v>14488</v>
      </c>
      <c r="J464" s="220">
        <v>200.56700000000001</v>
      </c>
      <c r="K464" s="220">
        <v>-19.940000000000001</v>
      </c>
      <c r="L464" s="220">
        <v>24.428000000000001</v>
      </c>
      <c r="M464" s="220" t="s">
        <v>732</v>
      </c>
      <c r="N464" s="220" t="s">
        <v>933</v>
      </c>
      <c r="O464" s="220" t="s">
        <v>1082</v>
      </c>
      <c r="P464" s="220" t="s">
        <v>1083</v>
      </c>
      <c r="Q464" s="220" t="s">
        <v>120</v>
      </c>
      <c r="R464" s="220" t="s">
        <v>226</v>
      </c>
      <c r="S464" s="220" t="s">
        <v>189</v>
      </c>
    </row>
    <row r="465" spans="1:19" hidden="1" x14ac:dyDescent="0.25">
      <c r="A465" s="220">
        <v>67</v>
      </c>
      <c r="B465" s="220" t="s">
        <v>1081</v>
      </c>
      <c r="C465" s="220" t="s">
        <v>269</v>
      </c>
      <c r="D465" s="220" t="s">
        <v>394</v>
      </c>
      <c r="E465" s="220">
        <v>4</v>
      </c>
      <c r="F465" s="220">
        <v>203.654</v>
      </c>
      <c r="G465" s="220">
        <v>10476</v>
      </c>
      <c r="H465" s="220">
        <v>12357</v>
      </c>
      <c r="I465" s="220">
        <v>14422</v>
      </c>
      <c r="J465" s="220">
        <v>200.46100000000001</v>
      </c>
      <c r="K465" s="220">
        <v>-19.937000000000001</v>
      </c>
      <c r="L465" s="220">
        <v>24.417999999999999</v>
      </c>
      <c r="M465" s="220" t="s">
        <v>732</v>
      </c>
      <c r="N465" s="220" t="s">
        <v>933</v>
      </c>
      <c r="O465" s="220" t="s">
        <v>1082</v>
      </c>
      <c r="P465" s="220" t="s">
        <v>1083</v>
      </c>
      <c r="Q465" s="220" t="s">
        <v>120</v>
      </c>
      <c r="R465" s="220" t="s">
        <v>226</v>
      </c>
      <c r="S465" s="220" t="s">
        <v>189</v>
      </c>
    </row>
    <row r="466" spans="1:19" hidden="1" x14ac:dyDescent="0.25">
      <c r="A466" s="220">
        <v>67</v>
      </c>
      <c r="B466" s="220" t="s">
        <v>1081</v>
      </c>
      <c r="C466" s="220" t="s">
        <v>269</v>
      </c>
      <c r="D466" s="220" t="s">
        <v>394</v>
      </c>
      <c r="E466" s="220">
        <v>5</v>
      </c>
      <c r="F466" s="220">
        <v>198.447</v>
      </c>
      <c r="G466" s="220">
        <v>15800</v>
      </c>
      <c r="H466" s="220">
        <v>19043</v>
      </c>
      <c r="I466" s="220">
        <v>22007</v>
      </c>
      <c r="J466" s="220">
        <v>195.286</v>
      </c>
      <c r="K466" s="220">
        <v>-1.655</v>
      </c>
      <c r="L466" s="220">
        <v>35.985999999999997</v>
      </c>
      <c r="M466" s="220" t="s">
        <v>732</v>
      </c>
      <c r="N466" s="220" t="s">
        <v>933</v>
      </c>
      <c r="O466" s="220" t="s">
        <v>1082</v>
      </c>
      <c r="P466" s="220" t="s">
        <v>1083</v>
      </c>
      <c r="Q466" s="220" t="s">
        <v>171</v>
      </c>
      <c r="R466" s="220" t="s">
        <v>185</v>
      </c>
      <c r="S466" s="220" t="s">
        <v>582</v>
      </c>
    </row>
    <row r="467" spans="1:19" x14ac:dyDescent="0.25">
      <c r="A467" s="220">
        <v>67</v>
      </c>
      <c r="B467" s="220" t="s">
        <v>1081</v>
      </c>
      <c r="C467" s="220" t="s">
        <v>269</v>
      </c>
      <c r="D467" s="220" t="s">
        <v>394</v>
      </c>
      <c r="E467" s="220">
        <v>6</v>
      </c>
      <c r="F467" s="220">
        <v>175.81700000000001</v>
      </c>
      <c r="G467" s="220">
        <v>14264</v>
      </c>
      <c r="H467" s="220">
        <v>17181</v>
      </c>
      <c r="I467" s="220">
        <v>19864</v>
      </c>
      <c r="J467" s="220">
        <v>173.017</v>
      </c>
      <c r="K467" s="220">
        <v>-1.625</v>
      </c>
      <c r="L467" s="220">
        <v>36.113</v>
      </c>
      <c r="M467" s="220" t="s">
        <v>732</v>
      </c>
      <c r="N467" s="220" t="s">
        <v>933</v>
      </c>
      <c r="O467" s="220" t="s">
        <v>1082</v>
      </c>
      <c r="P467" s="220" t="s">
        <v>1083</v>
      </c>
      <c r="Q467" s="220" t="s">
        <v>106</v>
      </c>
      <c r="R467" s="220" t="s">
        <v>208</v>
      </c>
      <c r="S467" s="220" t="s">
        <v>370</v>
      </c>
    </row>
    <row r="468" spans="1:19" x14ac:dyDescent="0.25">
      <c r="A468" s="220">
        <v>67</v>
      </c>
      <c r="B468" s="220" t="s">
        <v>1081</v>
      </c>
      <c r="C468" s="220" t="s">
        <v>269</v>
      </c>
      <c r="D468" s="220" t="s">
        <v>394</v>
      </c>
      <c r="E468" s="220">
        <v>7</v>
      </c>
      <c r="F468" s="220">
        <v>164.249</v>
      </c>
      <c r="G468" s="220">
        <v>13339</v>
      </c>
      <c r="H468" s="220">
        <v>16069</v>
      </c>
      <c r="I468" s="220">
        <v>18584</v>
      </c>
      <c r="J468" s="220">
        <v>161.63300000000001</v>
      </c>
      <c r="K468" s="220">
        <v>-1.571</v>
      </c>
      <c r="L468" s="220">
        <v>36.180999999999997</v>
      </c>
      <c r="M468" s="220" t="s">
        <v>732</v>
      </c>
      <c r="N468" s="220" t="s">
        <v>933</v>
      </c>
      <c r="O468" s="220" t="s">
        <v>1082</v>
      </c>
      <c r="P468" s="220" t="s">
        <v>1083</v>
      </c>
      <c r="Q468" s="220" t="s">
        <v>749</v>
      </c>
      <c r="R468" s="220" t="s">
        <v>845</v>
      </c>
      <c r="S468" s="220" t="s">
        <v>941</v>
      </c>
    </row>
    <row r="469" spans="1:19" hidden="1" x14ac:dyDescent="0.25">
      <c r="A469" s="220">
        <v>68</v>
      </c>
      <c r="B469" s="220" t="s">
        <v>1084</v>
      </c>
      <c r="C469" s="220" t="s">
        <v>229</v>
      </c>
      <c r="D469" s="220" t="s">
        <v>395</v>
      </c>
      <c r="E469" s="220">
        <v>1</v>
      </c>
      <c r="F469" s="220">
        <v>204.65199999999999</v>
      </c>
      <c r="G469" s="220">
        <v>10483</v>
      </c>
      <c r="H469" s="220">
        <v>12364</v>
      </c>
      <c r="I469" s="220">
        <v>14442</v>
      </c>
      <c r="J469" s="220">
        <v>201.44300000000001</v>
      </c>
      <c r="K469" s="220">
        <v>-19.914999999999999</v>
      </c>
      <c r="L469" s="220">
        <v>24.395</v>
      </c>
      <c r="M469" s="220" t="s">
        <v>1085</v>
      </c>
      <c r="N469" s="220" t="s">
        <v>933</v>
      </c>
      <c r="O469" s="220" t="s">
        <v>1086</v>
      </c>
      <c r="P469" s="220" t="s">
        <v>1087</v>
      </c>
      <c r="Q469" s="220" t="s">
        <v>74</v>
      </c>
      <c r="R469" s="220" t="s">
        <v>122</v>
      </c>
      <c r="S469" s="220" t="s">
        <v>148</v>
      </c>
    </row>
    <row r="470" spans="1:19" hidden="1" x14ac:dyDescent="0.25">
      <c r="A470" s="220">
        <v>68</v>
      </c>
      <c r="B470" s="220" t="s">
        <v>1084</v>
      </c>
      <c r="C470" s="220" t="s">
        <v>229</v>
      </c>
      <c r="D470" s="220" t="s">
        <v>395</v>
      </c>
      <c r="E470" s="220">
        <v>2</v>
      </c>
      <c r="F470" s="220">
        <v>202.447</v>
      </c>
      <c r="G470" s="220">
        <v>10481</v>
      </c>
      <c r="H470" s="220">
        <v>12361</v>
      </c>
      <c r="I470" s="220">
        <v>14438</v>
      </c>
      <c r="J470" s="220">
        <v>199.27199999999999</v>
      </c>
      <c r="K470" s="220">
        <v>-19.940999999999999</v>
      </c>
      <c r="L470" s="220">
        <v>24.399000000000001</v>
      </c>
      <c r="M470" s="220" t="s">
        <v>1085</v>
      </c>
      <c r="N470" s="220" t="s">
        <v>933</v>
      </c>
      <c r="O470" s="220" t="s">
        <v>1086</v>
      </c>
      <c r="P470" s="220" t="s">
        <v>1087</v>
      </c>
      <c r="Q470" s="220" t="s">
        <v>236</v>
      </c>
      <c r="R470" s="220" t="s">
        <v>252</v>
      </c>
      <c r="S470" s="220" t="s">
        <v>253</v>
      </c>
    </row>
    <row r="471" spans="1:19" hidden="1" x14ac:dyDescent="0.25">
      <c r="A471" s="220">
        <v>68</v>
      </c>
      <c r="B471" s="220" t="s">
        <v>1084</v>
      </c>
      <c r="C471" s="220" t="s">
        <v>229</v>
      </c>
      <c r="D471" s="220" t="s">
        <v>395</v>
      </c>
      <c r="E471" s="220">
        <v>3</v>
      </c>
      <c r="F471" s="220">
        <v>204.042</v>
      </c>
      <c r="G471" s="220">
        <v>10534</v>
      </c>
      <c r="H471" s="220">
        <v>12424</v>
      </c>
      <c r="I471" s="220">
        <v>14516</v>
      </c>
      <c r="J471" s="220">
        <v>200.84299999999999</v>
      </c>
      <c r="K471" s="220">
        <v>-19.940999999999999</v>
      </c>
      <c r="L471" s="220">
        <v>24.382999999999999</v>
      </c>
      <c r="M471" s="220" t="s">
        <v>1085</v>
      </c>
      <c r="N471" s="220" t="s">
        <v>933</v>
      </c>
      <c r="O471" s="220" t="s">
        <v>1086</v>
      </c>
      <c r="P471" s="220" t="s">
        <v>1087</v>
      </c>
      <c r="Q471" s="220" t="s">
        <v>120</v>
      </c>
      <c r="R471" s="220" t="s">
        <v>132</v>
      </c>
      <c r="S471" s="220" t="s">
        <v>235</v>
      </c>
    </row>
    <row r="472" spans="1:19" hidden="1" x14ac:dyDescent="0.25">
      <c r="A472" s="220">
        <v>68</v>
      </c>
      <c r="B472" s="220" t="s">
        <v>1084</v>
      </c>
      <c r="C472" s="220" t="s">
        <v>229</v>
      </c>
      <c r="D472" s="220" t="s">
        <v>395</v>
      </c>
      <c r="E472" s="220">
        <v>4</v>
      </c>
      <c r="F472" s="220">
        <v>203.88300000000001</v>
      </c>
      <c r="G472" s="220">
        <v>10492</v>
      </c>
      <c r="H472" s="220">
        <v>12375</v>
      </c>
      <c r="I472" s="220">
        <v>14453</v>
      </c>
      <c r="J472" s="220">
        <v>200.68600000000001</v>
      </c>
      <c r="K472" s="220">
        <v>-19.937000000000001</v>
      </c>
      <c r="L472" s="220">
        <v>24.417999999999999</v>
      </c>
      <c r="M472" s="220" t="s">
        <v>1085</v>
      </c>
      <c r="N472" s="220" t="s">
        <v>933</v>
      </c>
      <c r="O472" s="220" t="s">
        <v>1086</v>
      </c>
      <c r="P472" s="220" t="s">
        <v>1087</v>
      </c>
      <c r="Q472" s="220" t="s">
        <v>120</v>
      </c>
      <c r="R472" s="220" t="s">
        <v>226</v>
      </c>
      <c r="S472" s="220" t="s">
        <v>189</v>
      </c>
    </row>
    <row r="473" spans="1:19" hidden="1" x14ac:dyDescent="0.25">
      <c r="A473" s="220">
        <v>68</v>
      </c>
      <c r="B473" s="220" t="s">
        <v>1084</v>
      </c>
      <c r="C473" s="220" t="s">
        <v>229</v>
      </c>
      <c r="D473" s="220" t="s">
        <v>395</v>
      </c>
      <c r="E473" s="220">
        <v>5</v>
      </c>
      <c r="F473" s="220">
        <v>205.119</v>
      </c>
      <c r="G473" s="220">
        <v>15586</v>
      </c>
      <c r="H473" s="220">
        <v>18774</v>
      </c>
      <c r="I473" s="220">
        <v>21723</v>
      </c>
      <c r="J473" s="220">
        <v>201.852</v>
      </c>
      <c r="K473" s="220">
        <v>-1.464</v>
      </c>
      <c r="L473" s="220">
        <v>35.816000000000003</v>
      </c>
      <c r="M473" s="220" t="s">
        <v>1085</v>
      </c>
      <c r="N473" s="220" t="s">
        <v>933</v>
      </c>
      <c r="O473" s="220" t="s">
        <v>1086</v>
      </c>
      <c r="P473" s="220" t="s">
        <v>1087</v>
      </c>
      <c r="Q473" s="220" t="s">
        <v>178</v>
      </c>
      <c r="R473" s="220" t="s">
        <v>89</v>
      </c>
      <c r="S473" s="220" t="s">
        <v>835</v>
      </c>
    </row>
    <row r="474" spans="1:19" x14ac:dyDescent="0.25">
      <c r="A474" s="220">
        <v>68</v>
      </c>
      <c r="B474" s="220" t="s">
        <v>1084</v>
      </c>
      <c r="C474" s="220" t="s">
        <v>229</v>
      </c>
      <c r="D474" s="220" t="s">
        <v>395</v>
      </c>
      <c r="E474" s="220">
        <v>6</v>
      </c>
      <c r="F474" s="220">
        <v>179.494</v>
      </c>
      <c r="G474" s="220">
        <v>13882</v>
      </c>
      <c r="H474" s="220">
        <v>16720</v>
      </c>
      <c r="I474" s="220">
        <v>19350</v>
      </c>
      <c r="J474" s="220">
        <v>176.63399999999999</v>
      </c>
      <c r="K474" s="220">
        <v>-1.423</v>
      </c>
      <c r="L474" s="220">
        <v>36.058</v>
      </c>
      <c r="M474" s="220" t="s">
        <v>1085</v>
      </c>
      <c r="N474" s="220" t="s">
        <v>933</v>
      </c>
      <c r="O474" s="220" t="s">
        <v>1086</v>
      </c>
      <c r="P474" s="220" t="s">
        <v>1087</v>
      </c>
      <c r="Q474" s="220" t="s">
        <v>146</v>
      </c>
      <c r="R474" s="220" t="s">
        <v>198</v>
      </c>
      <c r="S474" s="220" t="s">
        <v>589</v>
      </c>
    </row>
    <row r="475" spans="1:19" x14ac:dyDescent="0.25">
      <c r="A475" s="220">
        <v>68</v>
      </c>
      <c r="B475" s="220" t="s">
        <v>1084</v>
      </c>
      <c r="C475" s="220" t="s">
        <v>229</v>
      </c>
      <c r="D475" s="220" t="s">
        <v>395</v>
      </c>
      <c r="E475" s="220">
        <v>7</v>
      </c>
      <c r="F475" s="220">
        <v>166.554</v>
      </c>
      <c r="G475" s="220">
        <v>12928</v>
      </c>
      <c r="H475" s="220">
        <v>15569</v>
      </c>
      <c r="I475" s="220">
        <v>18019</v>
      </c>
      <c r="J475" s="220">
        <v>163.90100000000001</v>
      </c>
      <c r="K475" s="220">
        <v>-1.3580000000000001</v>
      </c>
      <c r="L475" s="220">
        <v>36.082999999999998</v>
      </c>
      <c r="M475" s="220" t="s">
        <v>1085</v>
      </c>
      <c r="N475" s="220" t="s">
        <v>933</v>
      </c>
      <c r="O475" s="220" t="s">
        <v>1086</v>
      </c>
      <c r="P475" s="220" t="s">
        <v>1087</v>
      </c>
      <c r="Q475" s="220" t="s">
        <v>1088</v>
      </c>
      <c r="R475" s="220" t="s">
        <v>1089</v>
      </c>
      <c r="S475" s="220" t="s">
        <v>1090</v>
      </c>
    </row>
    <row r="476" spans="1:19" hidden="1" x14ac:dyDescent="0.25">
      <c r="A476" s="220">
        <v>69</v>
      </c>
      <c r="B476" s="220" t="s">
        <v>1091</v>
      </c>
      <c r="C476" s="220" t="s">
        <v>283</v>
      </c>
      <c r="D476" s="220" t="s">
        <v>396</v>
      </c>
      <c r="E476" s="220">
        <v>1</v>
      </c>
      <c r="F476" s="220">
        <v>204.97900000000001</v>
      </c>
      <c r="G476" s="220">
        <v>10470</v>
      </c>
      <c r="H476" s="220">
        <v>12349</v>
      </c>
      <c r="I476" s="220">
        <v>14426</v>
      </c>
      <c r="J476" s="220">
        <v>201.76499999999999</v>
      </c>
      <c r="K476" s="220">
        <v>-19.936</v>
      </c>
      <c r="L476" s="220">
        <v>24.422000000000001</v>
      </c>
      <c r="M476" s="220" t="s">
        <v>1092</v>
      </c>
      <c r="N476" s="220" t="s">
        <v>933</v>
      </c>
      <c r="O476" s="220" t="s">
        <v>1093</v>
      </c>
      <c r="P476" s="220" t="s">
        <v>1094</v>
      </c>
      <c r="Q476" s="220" t="s">
        <v>74</v>
      </c>
      <c r="R476" s="220" t="s">
        <v>122</v>
      </c>
      <c r="S476" s="220" t="s">
        <v>135</v>
      </c>
    </row>
    <row r="477" spans="1:19" hidden="1" x14ac:dyDescent="0.25">
      <c r="A477" s="220">
        <v>69</v>
      </c>
      <c r="B477" s="220" t="s">
        <v>1091</v>
      </c>
      <c r="C477" s="220" t="s">
        <v>283</v>
      </c>
      <c r="D477" s="220" t="s">
        <v>396</v>
      </c>
      <c r="E477" s="220">
        <v>2</v>
      </c>
      <c r="F477" s="220">
        <v>202.17099999999999</v>
      </c>
      <c r="G477" s="220">
        <v>10480</v>
      </c>
      <c r="H477" s="220">
        <v>12361</v>
      </c>
      <c r="I477" s="220">
        <v>14439</v>
      </c>
      <c r="J477" s="220">
        <v>199.001</v>
      </c>
      <c r="K477" s="220">
        <v>-19.928000000000001</v>
      </c>
      <c r="L477" s="220">
        <v>24.428000000000001</v>
      </c>
      <c r="M477" s="220" t="s">
        <v>1092</v>
      </c>
      <c r="N477" s="220" t="s">
        <v>933</v>
      </c>
      <c r="O477" s="220" t="s">
        <v>1093</v>
      </c>
      <c r="P477" s="220" t="s">
        <v>1094</v>
      </c>
      <c r="Q477" s="220" t="s">
        <v>236</v>
      </c>
      <c r="R477" s="220" t="s">
        <v>252</v>
      </c>
      <c r="S477" s="220" t="s">
        <v>253</v>
      </c>
    </row>
    <row r="478" spans="1:19" hidden="1" x14ac:dyDescent="0.25">
      <c r="A478" s="220">
        <v>69</v>
      </c>
      <c r="B478" s="220" t="s">
        <v>1091</v>
      </c>
      <c r="C478" s="220" t="s">
        <v>283</v>
      </c>
      <c r="D478" s="220" t="s">
        <v>396</v>
      </c>
      <c r="E478" s="220">
        <v>3</v>
      </c>
      <c r="F478" s="220">
        <v>203.703</v>
      </c>
      <c r="G478" s="220">
        <v>10530</v>
      </c>
      <c r="H478" s="220">
        <v>12420</v>
      </c>
      <c r="I478" s="220">
        <v>14506</v>
      </c>
      <c r="J478" s="220">
        <v>200.50899999999999</v>
      </c>
      <c r="K478" s="220">
        <v>-19.937000000000001</v>
      </c>
      <c r="L478" s="220">
        <v>24.408000000000001</v>
      </c>
      <c r="M478" s="220" t="s">
        <v>1092</v>
      </c>
      <c r="N478" s="220" t="s">
        <v>933</v>
      </c>
      <c r="O478" s="220" t="s">
        <v>1093</v>
      </c>
      <c r="P478" s="220" t="s">
        <v>1094</v>
      </c>
      <c r="Q478" s="220" t="s">
        <v>111</v>
      </c>
      <c r="R478" s="220" t="s">
        <v>132</v>
      </c>
      <c r="S478" s="220" t="s">
        <v>235</v>
      </c>
    </row>
    <row r="479" spans="1:19" hidden="1" x14ac:dyDescent="0.25">
      <c r="A479" s="220">
        <v>69</v>
      </c>
      <c r="B479" s="220" t="s">
        <v>1091</v>
      </c>
      <c r="C479" s="220" t="s">
        <v>283</v>
      </c>
      <c r="D479" s="220" t="s">
        <v>396</v>
      </c>
      <c r="E479" s="220">
        <v>4</v>
      </c>
      <c r="F479" s="220">
        <v>203.66200000000001</v>
      </c>
      <c r="G479" s="220">
        <v>10480</v>
      </c>
      <c r="H479" s="220">
        <v>12361</v>
      </c>
      <c r="I479" s="220">
        <v>14438</v>
      </c>
      <c r="J479" s="220">
        <v>200.46899999999999</v>
      </c>
      <c r="K479" s="220">
        <v>-19.937000000000001</v>
      </c>
      <c r="L479" s="220">
        <v>24.417999999999999</v>
      </c>
      <c r="M479" s="220" t="s">
        <v>1092</v>
      </c>
      <c r="N479" s="220" t="s">
        <v>933</v>
      </c>
      <c r="O479" s="220" t="s">
        <v>1093</v>
      </c>
      <c r="P479" s="220" t="s">
        <v>1094</v>
      </c>
      <c r="Q479" s="220" t="s">
        <v>111</v>
      </c>
      <c r="R479" s="220" t="s">
        <v>132</v>
      </c>
      <c r="S479" s="220" t="s">
        <v>235</v>
      </c>
    </row>
    <row r="480" spans="1:19" hidden="1" x14ac:dyDescent="0.25">
      <c r="A480" s="220">
        <v>69</v>
      </c>
      <c r="B480" s="220" t="s">
        <v>1091</v>
      </c>
      <c r="C480" s="220" t="s">
        <v>283</v>
      </c>
      <c r="D480" s="220" t="s">
        <v>396</v>
      </c>
      <c r="E480" s="220">
        <v>5</v>
      </c>
      <c r="F480" s="220">
        <v>199.911</v>
      </c>
      <c r="G480" s="220">
        <v>15987</v>
      </c>
      <c r="H480" s="220">
        <v>19260</v>
      </c>
      <c r="I480" s="220">
        <v>22283</v>
      </c>
      <c r="J480" s="220">
        <v>196.727</v>
      </c>
      <c r="K480" s="220">
        <v>-1.6060000000000001</v>
      </c>
      <c r="L480" s="220">
        <v>35.798000000000002</v>
      </c>
      <c r="M480" s="220" t="s">
        <v>1092</v>
      </c>
      <c r="N480" s="220" t="s">
        <v>933</v>
      </c>
      <c r="O480" s="220" t="s">
        <v>1093</v>
      </c>
      <c r="P480" s="220" t="s">
        <v>1094</v>
      </c>
      <c r="Q480" s="220" t="s">
        <v>178</v>
      </c>
      <c r="R480" s="220" t="s">
        <v>89</v>
      </c>
      <c r="S480" s="220" t="s">
        <v>835</v>
      </c>
    </row>
    <row r="481" spans="1:19" x14ac:dyDescent="0.25">
      <c r="A481" s="220">
        <v>69</v>
      </c>
      <c r="B481" s="220" t="s">
        <v>1091</v>
      </c>
      <c r="C481" s="220" t="s">
        <v>283</v>
      </c>
      <c r="D481" s="220" t="s">
        <v>396</v>
      </c>
      <c r="E481" s="220">
        <v>6</v>
      </c>
      <c r="F481" s="220">
        <v>176.01</v>
      </c>
      <c r="G481" s="220">
        <v>14168</v>
      </c>
      <c r="H481" s="220">
        <v>17057</v>
      </c>
      <c r="I481" s="220">
        <v>19744</v>
      </c>
      <c r="J481" s="220">
        <v>173.20599999999999</v>
      </c>
      <c r="K481" s="220">
        <v>-1.5620000000000001</v>
      </c>
      <c r="L481" s="220">
        <v>36.021999999999998</v>
      </c>
      <c r="M481" s="220" t="s">
        <v>1092</v>
      </c>
      <c r="N481" s="220" t="s">
        <v>933</v>
      </c>
      <c r="O481" s="220" t="s">
        <v>1093</v>
      </c>
      <c r="P481" s="220" t="s">
        <v>1094</v>
      </c>
      <c r="Q481" s="220" t="s">
        <v>147</v>
      </c>
      <c r="R481" s="220" t="s">
        <v>177</v>
      </c>
      <c r="S481" s="220" t="s">
        <v>940</v>
      </c>
    </row>
    <row r="482" spans="1:19" x14ac:dyDescent="0.25">
      <c r="A482" s="220">
        <v>69</v>
      </c>
      <c r="B482" s="220" t="s">
        <v>1091</v>
      </c>
      <c r="C482" s="220" t="s">
        <v>283</v>
      </c>
      <c r="D482" s="220" t="s">
        <v>396</v>
      </c>
      <c r="E482" s="220">
        <v>7</v>
      </c>
      <c r="F482" s="220">
        <v>163.31800000000001</v>
      </c>
      <c r="G482" s="220">
        <v>13124</v>
      </c>
      <c r="H482" s="220">
        <v>15798</v>
      </c>
      <c r="I482" s="220">
        <v>18291</v>
      </c>
      <c r="J482" s="220">
        <v>160.71700000000001</v>
      </c>
      <c r="K482" s="220">
        <v>-1.5029999999999999</v>
      </c>
      <c r="L482" s="220">
        <v>36.042000000000002</v>
      </c>
      <c r="M482" s="220" t="s">
        <v>1092</v>
      </c>
      <c r="N482" s="220" t="s">
        <v>933</v>
      </c>
      <c r="O482" s="220" t="s">
        <v>1093</v>
      </c>
      <c r="P482" s="220" t="s">
        <v>1094</v>
      </c>
      <c r="Q482" s="220" t="s">
        <v>716</v>
      </c>
      <c r="R482" s="220" t="s">
        <v>665</v>
      </c>
      <c r="S482" s="220" t="s">
        <v>1095</v>
      </c>
    </row>
    <row r="483" spans="1:19" hidden="1" x14ac:dyDescent="0.25">
      <c r="A483" s="220">
        <v>70</v>
      </c>
      <c r="B483" s="220" t="s">
        <v>1096</v>
      </c>
      <c r="C483" s="220" t="s">
        <v>283</v>
      </c>
      <c r="D483" s="220" t="s">
        <v>397</v>
      </c>
      <c r="E483" s="220">
        <v>1</v>
      </c>
      <c r="F483" s="220">
        <v>204.18600000000001</v>
      </c>
      <c r="G483" s="220">
        <v>10446</v>
      </c>
      <c r="H483" s="220">
        <v>12322</v>
      </c>
      <c r="I483" s="220">
        <v>14382</v>
      </c>
      <c r="J483" s="220">
        <v>200.98500000000001</v>
      </c>
      <c r="K483" s="220">
        <v>-19.927</v>
      </c>
      <c r="L483" s="220">
        <v>24.367999999999999</v>
      </c>
      <c r="M483" s="220" t="s">
        <v>730</v>
      </c>
      <c r="N483" s="220" t="s">
        <v>933</v>
      </c>
      <c r="O483" s="220" t="s">
        <v>1097</v>
      </c>
      <c r="P483" s="220" t="s">
        <v>1098</v>
      </c>
      <c r="Q483" s="220" t="s">
        <v>49</v>
      </c>
      <c r="R483" s="220" t="s">
        <v>130</v>
      </c>
      <c r="S483" s="220" t="s">
        <v>262</v>
      </c>
    </row>
    <row r="484" spans="1:19" hidden="1" x14ac:dyDescent="0.25">
      <c r="A484" s="220">
        <v>70</v>
      </c>
      <c r="B484" s="220" t="s">
        <v>1096</v>
      </c>
      <c r="C484" s="220" t="s">
        <v>283</v>
      </c>
      <c r="D484" s="220" t="s">
        <v>397</v>
      </c>
      <c r="E484" s="220">
        <v>2</v>
      </c>
      <c r="F484" s="220">
        <v>201.99199999999999</v>
      </c>
      <c r="G484" s="220">
        <v>10461</v>
      </c>
      <c r="H484" s="220">
        <v>12339</v>
      </c>
      <c r="I484" s="220">
        <v>14404</v>
      </c>
      <c r="J484" s="220">
        <v>198.82499999999999</v>
      </c>
      <c r="K484" s="220">
        <v>-19.942</v>
      </c>
      <c r="L484" s="220">
        <v>24.384</v>
      </c>
      <c r="M484" s="220" t="s">
        <v>730</v>
      </c>
      <c r="N484" s="220" t="s">
        <v>933</v>
      </c>
      <c r="O484" s="220" t="s">
        <v>1097</v>
      </c>
      <c r="P484" s="220" t="s">
        <v>1098</v>
      </c>
      <c r="Q484" s="220" t="s">
        <v>131</v>
      </c>
      <c r="R484" s="220" t="s">
        <v>270</v>
      </c>
      <c r="S484" s="220" t="s">
        <v>258</v>
      </c>
    </row>
    <row r="485" spans="1:19" hidden="1" x14ac:dyDescent="0.25">
      <c r="A485" s="220">
        <v>70</v>
      </c>
      <c r="B485" s="220" t="s">
        <v>1096</v>
      </c>
      <c r="C485" s="220" t="s">
        <v>283</v>
      </c>
      <c r="D485" s="220" t="s">
        <v>397</v>
      </c>
      <c r="E485" s="220">
        <v>3</v>
      </c>
      <c r="F485" s="220">
        <v>203.59399999999999</v>
      </c>
      <c r="G485" s="220">
        <v>10508</v>
      </c>
      <c r="H485" s="220">
        <v>12394</v>
      </c>
      <c r="I485" s="220">
        <v>14471</v>
      </c>
      <c r="J485" s="220">
        <v>200.40199999999999</v>
      </c>
      <c r="K485" s="220">
        <v>-19.934000000000001</v>
      </c>
      <c r="L485" s="220">
        <v>24.420999999999999</v>
      </c>
      <c r="M485" s="220" t="s">
        <v>730</v>
      </c>
      <c r="N485" s="220" t="s">
        <v>933</v>
      </c>
      <c r="O485" s="220" t="s">
        <v>1097</v>
      </c>
      <c r="P485" s="220" t="s">
        <v>1098</v>
      </c>
      <c r="Q485" s="220" t="s">
        <v>237</v>
      </c>
      <c r="R485" s="220" t="s">
        <v>105</v>
      </c>
      <c r="S485" s="220" t="s">
        <v>177</v>
      </c>
    </row>
    <row r="486" spans="1:19" hidden="1" x14ac:dyDescent="0.25">
      <c r="A486" s="220">
        <v>70</v>
      </c>
      <c r="B486" s="220" t="s">
        <v>1096</v>
      </c>
      <c r="C486" s="220" t="s">
        <v>283</v>
      </c>
      <c r="D486" s="220" t="s">
        <v>397</v>
      </c>
      <c r="E486" s="220">
        <v>4</v>
      </c>
      <c r="F486" s="220">
        <v>203.714</v>
      </c>
      <c r="G486" s="220">
        <v>10470</v>
      </c>
      <c r="H486" s="220">
        <v>12349</v>
      </c>
      <c r="I486" s="220">
        <v>14413</v>
      </c>
      <c r="J486" s="220">
        <v>200.52</v>
      </c>
      <c r="K486" s="220">
        <v>-19.937000000000001</v>
      </c>
      <c r="L486" s="220">
        <v>24.417999999999999</v>
      </c>
      <c r="M486" s="220" t="s">
        <v>730</v>
      </c>
      <c r="N486" s="220" t="s">
        <v>933</v>
      </c>
      <c r="O486" s="220" t="s">
        <v>1097</v>
      </c>
      <c r="P486" s="220" t="s">
        <v>1098</v>
      </c>
      <c r="Q486" s="220" t="s">
        <v>120</v>
      </c>
      <c r="R486" s="220" t="s">
        <v>105</v>
      </c>
      <c r="S486" s="220" t="s">
        <v>585</v>
      </c>
    </row>
    <row r="487" spans="1:19" hidden="1" x14ac:dyDescent="0.25">
      <c r="A487" s="220">
        <v>70</v>
      </c>
      <c r="B487" s="220" t="s">
        <v>1096</v>
      </c>
      <c r="C487" s="220" t="s">
        <v>283</v>
      </c>
      <c r="D487" s="220" t="s">
        <v>397</v>
      </c>
      <c r="E487" s="220">
        <v>5</v>
      </c>
      <c r="F487" s="220">
        <v>186.102</v>
      </c>
      <c r="G487" s="220">
        <v>14186</v>
      </c>
      <c r="H487" s="220">
        <v>17094</v>
      </c>
      <c r="I487" s="220">
        <v>19749</v>
      </c>
      <c r="J487" s="220">
        <v>183.13800000000001</v>
      </c>
      <c r="K487" s="220">
        <v>-1.248</v>
      </c>
      <c r="L487" s="220">
        <v>35.634</v>
      </c>
      <c r="M487" s="220" t="s">
        <v>730</v>
      </c>
      <c r="N487" s="220" t="s">
        <v>933</v>
      </c>
      <c r="O487" s="220" t="s">
        <v>1097</v>
      </c>
      <c r="P487" s="220" t="s">
        <v>1098</v>
      </c>
      <c r="Q487" s="220" t="s">
        <v>167</v>
      </c>
      <c r="R487" s="220" t="s">
        <v>88</v>
      </c>
      <c r="S487" s="220" t="s">
        <v>630</v>
      </c>
    </row>
    <row r="488" spans="1:19" x14ac:dyDescent="0.25">
      <c r="A488" s="220">
        <v>70</v>
      </c>
      <c r="B488" s="220" t="s">
        <v>1096</v>
      </c>
      <c r="C488" s="220" t="s">
        <v>283</v>
      </c>
      <c r="D488" s="220" t="s">
        <v>397</v>
      </c>
      <c r="E488" s="220">
        <v>6</v>
      </c>
      <c r="F488" s="220">
        <v>163.59700000000001</v>
      </c>
      <c r="G488" s="220">
        <v>12683</v>
      </c>
      <c r="H488" s="220">
        <v>15280</v>
      </c>
      <c r="I488" s="220">
        <v>17663</v>
      </c>
      <c r="J488" s="220">
        <v>160.99100000000001</v>
      </c>
      <c r="K488" s="220">
        <v>-1.212</v>
      </c>
      <c r="L488" s="220">
        <v>35.799999999999997</v>
      </c>
      <c r="M488" s="220" t="s">
        <v>730</v>
      </c>
      <c r="N488" s="220" t="s">
        <v>933</v>
      </c>
      <c r="O488" s="220" t="s">
        <v>1097</v>
      </c>
      <c r="P488" s="220" t="s">
        <v>1098</v>
      </c>
      <c r="Q488" s="220" t="s">
        <v>118</v>
      </c>
      <c r="R488" s="220" t="s">
        <v>239</v>
      </c>
      <c r="S488" s="220" t="s">
        <v>535</v>
      </c>
    </row>
    <row r="489" spans="1:19" x14ac:dyDescent="0.25">
      <c r="A489" s="220">
        <v>70</v>
      </c>
      <c r="B489" s="220" t="s">
        <v>1096</v>
      </c>
      <c r="C489" s="220" t="s">
        <v>283</v>
      </c>
      <c r="D489" s="220" t="s">
        <v>397</v>
      </c>
      <c r="E489" s="220">
        <v>7</v>
      </c>
      <c r="F489" s="220">
        <v>152.08500000000001</v>
      </c>
      <c r="G489" s="220">
        <v>11840</v>
      </c>
      <c r="H489" s="220">
        <v>14264</v>
      </c>
      <c r="I489" s="220">
        <v>16487</v>
      </c>
      <c r="J489" s="220">
        <v>149.66200000000001</v>
      </c>
      <c r="K489" s="220">
        <v>-1.161</v>
      </c>
      <c r="L489" s="220">
        <v>35.786999999999999</v>
      </c>
      <c r="M489" s="220" t="s">
        <v>730</v>
      </c>
      <c r="N489" s="220" t="s">
        <v>933</v>
      </c>
      <c r="O489" s="220" t="s">
        <v>1097</v>
      </c>
      <c r="P489" s="220" t="s">
        <v>1098</v>
      </c>
      <c r="Q489" s="220" t="s">
        <v>553</v>
      </c>
      <c r="R489" s="220" t="s">
        <v>349</v>
      </c>
      <c r="S489" s="220" t="s">
        <v>722</v>
      </c>
    </row>
    <row r="490" spans="1:19" hidden="1" x14ac:dyDescent="0.25">
      <c r="A490" s="220">
        <v>71</v>
      </c>
      <c r="B490" s="220" t="s">
        <v>0</v>
      </c>
      <c r="C490" s="220" t="s">
        <v>518</v>
      </c>
      <c r="D490" s="220" t="s">
        <v>398</v>
      </c>
      <c r="E490" s="220">
        <v>1</v>
      </c>
      <c r="F490" s="220">
        <v>204.62200000000001</v>
      </c>
      <c r="G490" s="220">
        <v>10469</v>
      </c>
      <c r="H490" s="220">
        <v>12347</v>
      </c>
      <c r="I490" s="220">
        <v>14424</v>
      </c>
      <c r="J490" s="220">
        <v>201.41300000000001</v>
      </c>
      <c r="K490" s="220">
        <v>-19.933</v>
      </c>
      <c r="L490" s="220">
        <v>24.42</v>
      </c>
      <c r="M490" s="220" t="s">
        <v>1099</v>
      </c>
      <c r="N490" s="220" t="s">
        <v>933</v>
      </c>
      <c r="O490" s="220" t="s">
        <v>1100</v>
      </c>
      <c r="P490" s="220" t="s">
        <v>1101</v>
      </c>
      <c r="Q490" s="220" t="s">
        <v>649</v>
      </c>
      <c r="R490" s="220" t="s">
        <v>130</v>
      </c>
      <c r="S490" s="220" t="s">
        <v>244</v>
      </c>
    </row>
    <row r="491" spans="1:19" hidden="1" x14ac:dyDescent="0.25">
      <c r="A491" s="220">
        <v>71</v>
      </c>
      <c r="B491" s="220" t="s">
        <v>0</v>
      </c>
      <c r="C491" s="220" t="s">
        <v>518</v>
      </c>
      <c r="D491" s="220" t="s">
        <v>398</v>
      </c>
      <c r="E491" s="220">
        <v>2</v>
      </c>
      <c r="F491" s="220">
        <v>202.47</v>
      </c>
      <c r="G491" s="220">
        <v>10486</v>
      </c>
      <c r="H491" s="220">
        <v>12367</v>
      </c>
      <c r="I491" s="220">
        <v>14447</v>
      </c>
      <c r="J491" s="220">
        <v>199.29499999999999</v>
      </c>
      <c r="K491" s="220">
        <v>-19.922999999999998</v>
      </c>
      <c r="L491" s="220">
        <v>24.413</v>
      </c>
      <c r="M491" s="220" t="s">
        <v>1099</v>
      </c>
      <c r="N491" s="220" t="s">
        <v>933</v>
      </c>
      <c r="O491" s="220" t="s">
        <v>1100</v>
      </c>
      <c r="P491" s="220" t="s">
        <v>1101</v>
      </c>
      <c r="Q491" s="220" t="s">
        <v>131</v>
      </c>
      <c r="R491" s="220" t="s">
        <v>270</v>
      </c>
      <c r="S491" s="220" t="s">
        <v>258</v>
      </c>
    </row>
    <row r="492" spans="1:19" hidden="1" x14ac:dyDescent="0.25">
      <c r="A492" s="220">
        <v>71</v>
      </c>
      <c r="B492" s="220" t="s">
        <v>0</v>
      </c>
      <c r="C492" s="220" t="s">
        <v>518</v>
      </c>
      <c r="D492" s="220" t="s">
        <v>398</v>
      </c>
      <c r="E492" s="220">
        <v>3</v>
      </c>
      <c r="F492" s="220">
        <v>203.898</v>
      </c>
      <c r="G492" s="220">
        <v>10531</v>
      </c>
      <c r="H492" s="220">
        <v>12421</v>
      </c>
      <c r="I492" s="220">
        <v>14511</v>
      </c>
      <c r="J492" s="220">
        <v>200.70099999999999</v>
      </c>
      <c r="K492" s="220">
        <v>-19.931999999999999</v>
      </c>
      <c r="L492" s="220">
        <v>24.411000000000001</v>
      </c>
      <c r="M492" s="220" t="s">
        <v>1099</v>
      </c>
      <c r="N492" s="220" t="s">
        <v>933</v>
      </c>
      <c r="O492" s="220" t="s">
        <v>1100</v>
      </c>
      <c r="P492" s="220" t="s">
        <v>1101</v>
      </c>
      <c r="Q492" s="220" t="s">
        <v>237</v>
      </c>
      <c r="R492" s="220" t="s">
        <v>105</v>
      </c>
      <c r="S492" s="220" t="s">
        <v>177</v>
      </c>
    </row>
    <row r="493" spans="1:19" hidden="1" x14ac:dyDescent="0.25">
      <c r="A493" s="220">
        <v>71</v>
      </c>
      <c r="B493" s="220" t="s">
        <v>0</v>
      </c>
      <c r="C493" s="220" t="s">
        <v>518</v>
      </c>
      <c r="D493" s="220" t="s">
        <v>398</v>
      </c>
      <c r="E493" s="220">
        <v>4</v>
      </c>
      <c r="F493" s="220">
        <v>203.59700000000001</v>
      </c>
      <c r="G493" s="220">
        <v>10482</v>
      </c>
      <c r="H493" s="220">
        <v>12362</v>
      </c>
      <c r="I493" s="220">
        <v>14439</v>
      </c>
      <c r="J493" s="220">
        <v>200.404</v>
      </c>
      <c r="K493" s="220">
        <v>-19.937000000000001</v>
      </c>
      <c r="L493" s="220">
        <v>24.417999999999999</v>
      </c>
      <c r="M493" s="220" t="s">
        <v>1099</v>
      </c>
      <c r="N493" s="220" t="s">
        <v>933</v>
      </c>
      <c r="O493" s="220" t="s">
        <v>1100</v>
      </c>
      <c r="P493" s="220" t="s">
        <v>1101</v>
      </c>
      <c r="Q493" s="220" t="s">
        <v>237</v>
      </c>
      <c r="R493" s="220" t="s">
        <v>105</v>
      </c>
      <c r="S493" s="220" t="s">
        <v>585</v>
      </c>
    </row>
    <row r="494" spans="1:19" hidden="1" x14ac:dyDescent="0.25">
      <c r="A494" s="220">
        <v>71</v>
      </c>
      <c r="B494" s="220" t="s">
        <v>0</v>
      </c>
      <c r="C494" s="220" t="s">
        <v>518</v>
      </c>
      <c r="D494" s="220" t="s">
        <v>398</v>
      </c>
      <c r="E494" s="220">
        <v>5</v>
      </c>
      <c r="F494" s="220">
        <v>202.26499999999999</v>
      </c>
      <c r="G494" s="220">
        <v>15853</v>
      </c>
      <c r="H494" s="220">
        <v>19202</v>
      </c>
      <c r="I494" s="220">
        <v>22119</v>
      </c>
      <c r="J494" s="220">
        <v>199.02799999999999</v>
      </c>
      <c r="K494" s="220">
        <v>4.7</v>
      </c>
      <c r="L494" s="220">
        <v>36.700000000000003</v>
      </c>
      <c r="M494" s="220" t="s">
        <v>1099</v>
      </c>
      <c r="N494" s="220" t="s">
        <v>933</v>
      </c>
      <c r="O494" s="220" t="s">
        <v>1100</v>
      </c>
      <c r="P494" s="220" t="s">
        <v>1101</v>
      </c>
      <c r="Q494" s="220" t="s">
        <v>174</v>
      </c>
      <c r="R494" s="220" t="s">
        <v>603</v>
      </c>
      <c r="S494" s="220" t="s">
        <v>856</v>
      </c>
    </row>
    <row r="495" spans="1:19" x14ac:dyDescent="0.25">
      <c r="A495" s="220">
        <v>71</v>
      </c>
      <c r="B495" s="220" t="s">
        <v>0</v>
      </c>
      <c r="C495" s="220" t="s">
        <v>518</v>
      </c>
      <c r="D495" s="220" t="s">
        <v>398</v>
      </c>
      <c r="E495" s="220">
        <v>6</v>
      </c>
      <c r="F495" s="220">
        <v>177.56100000000001</v>
      </c>
      <c r="G495" s="220">
        <v>14004</v>
      </c>
      <c r="H495" s="220">
        <v>16957</v>
      </c>
      <c r="I495" s="220">
        <v>19539</v>
      </c>
      <c r="J495" s="220">
        <v>174.72</v>
      </c>
      <c r="K495" s="220">
        <v>4.7130000000000001</v>
      </c>
      <c r="L495" s="220">
        <v>36.993000000000002</v>
      </c>
      <c r="M495" s="220" t="s">
        <v>1099</v>
      </c>
      <c r="N495" s="220" t="s">
        <v>933</v>
      </c>
      <c r="O495" s="220" t="s">
        <v>1100</v>
      </c>
      <c r="P495" s="220" t="s">
        <v>1101</v>
      </c>
      <c r="Q495" s="220" t="s">
        <v>209</v>
      </c>
      <c r="R495" s="220" t="s">
        <v>585</v>
      </c>
      <c r="S495" s="220" t="s">
        <v>940</v>
      </c>
    </row>
    <row r="496" spans="1:19" x14ac:dyDescent="0.25">
      <c r="A496" s="220">
        <v>71</v>
      </c>
      <c r="B496" s="220" t="s">
        <v>0</v>
      </c>
      <c r="C496" s="220" t="s">
        <v>518</v>
      </c>
      <c r="D496" s="220" t="s">
        <v>398</v>
      </c>
      <c r="E496" s="220">
        <v>7</v>
      </c>
      <c r="F496" s="220">
        <v>166.83799999999999</v>
      </c>
      <c r="G496" s="220">
        <v>12984</v>
      </c>
      <c r="H496" s="220">
        <v>15718</v>
      </c>
      <c r="I496" s="220">
        <v>18115</v>
      </c>
      <c r="J496" s="220">
        <v>164.16800000000001</v>
      </c>
      <c r="K496" s="220">
        <v>4.6870000000000003</v>
      </c>
      <c r="L496" s="220">
        <v>37.01</v>
      </c>
      <c r="M496" s="220" t="s">
        <v>1099</v>
      </c>
      <c r="N496" s="220" t="s">
        <v>933</v>
      </c>
      <c r="O496" s="220" t="s">
        <v>1100</v>
      </c>
      <c r="P496" s="220" t="s">
        <v>1101</v>
      </c>
      <c r="Q496" s="220" t="s">
        <v>209</v>
      </c>
      <c r="R496" s="220" t="s">
        <v>585</v>
      </c>
      <c r="S496" s="220" t="s">
        <v>940</v>
      </c>
    </row>
    <row r="497" spans="1:19" hidden="1" x14ac:dyDescent="0.25">
      <c r="A497" s="220">
        <v>72</v>
      </c>
      <c r="B497" s="220" t="s">
        <v>0</v>
      </c>
      <c r="C497" s="220" t="s">
        <v>576</v>
      </c>
      <c r="D497" s="220" t="s">
        <v>400</v>
      </c>
      <c r="E497" s="220">
        <v>1</v>
      </c>
      <c r="F497" s="220">
        <v>204.28899999999999</v>
      </c>
      <c r="G497" s="220">
        <v>10459</v>
      </c>
      <c r="H497" s="220">
        <v>12337</v>
      </c>
      <c r="I497" s="220">
        <v>14399</v>
      </c>
      <c r="J497" s="220">
        <v>201.08600000000001</v>
      </c>
      <c r="K497" s="220">
        <v>-19.934000000000001</v>
      </c>
      <c r="L497" s="220">
        <v>24.425000000000001</v>
      </c>
      <c r="M497" s="220" t="s">
        <v>1102</v>
      </c>
      <c r="N497" s="220" t="s">
        <v>933</v>
      </c>
      <c r="O497" s="220" t="s">
        <v>1103</v>
      </c>
      <c r="P497" s="220" t="s">
        <v>1104</v>
      </c>
      <c r="Q497" s="220" t="s">
        <v>49</v>
      </c>
      <c r="R497" s="220" t="s">
        <v>134</v>
      </c>
      <c r="S497" s="220" t="s">
        <v>262</v>
      </c>
    </row>
    <row r="498" spans="1:19" hidden="1" x14ac:dyDescent="0.25">
      <c r="A498" s="220">
        <v>72</v>
      </c>
      <c r="B498" s="220" t="s">
        <v>0</v>
      </c>
      <c r="C498" s="220" t="s">
        <v>576</v>
      </c>
      <c r="D498" s="220" t="s">
        <v>400</v>
      </c>
      <c r="E498" s="220">
        <v>2</v>
      </c>
      <c r="F498" s="220">
        <v>202.084</v>
      </c>
      <c r="G498" s="220">
        <v>10465</v>
      </c>
      <c r="H498" s="220">
        <v>12343</v>
      </c>
      <c r="I498" s="220">
        <v>14408</v>
      </c>
      <c r="J498" s="220">
        <v>198.916</v>
      </c>
      <c r="K498" s="220">
        <v>-19.928999999999998</v>
      </c>
      <c r="L498" s="220">
        <v>24.437000000000001</v>
      </c>
      <c r="M498" s="220" t="s">
        <v>1102</v>
      </c>
      <c r="N498" s="220" t="s">
        <v>933</v>
      </c>
      <c r="O498" s="220" t="s">
        <v>1103</v>
      </c>
      <c r="P498" s="220" t="s">
        <v>1104</v>
      </c>
      <c r="Q498" s="220" t="s">
        <v>131</v>
      </c>
      <c r="R498" s="220" t="s">
        <v>216</v>
      </c>
      <c r="S498" s="220" t="s">
        <v>243</v>
      </c>
    </row>
    <row r="499" spans="1:19" hidden="1" x14ac:dyDescent="0.25">
      <c r="A499" s="220">
        <v>72</v>
      </c>
      <c r="B499" s="220" t="s">
        <v>0</v>
      </c>
      <c r="C499" s="220" t="s">
        <v>576</v>
      </c>
      <c r="D499" s="220" t="s">
        <v>400</v>
      </c>
      <c r="E499" s="220">
        <v>3</v>
      </c>
      <c r="F499" s="220">
        <v>203.34899999999999</v>
      </c>
      <c r="G499" s="220">
        <v>10509</v>
      </c>
      <c r="H499" s="220">
        <v>12397</v>
      </c>
      <c r="I499" s="220">
        <v>14470</v>
      </c>
      <c r="J499" s="220">
        <v>200.161</v>
      </c>
      <c r="K499" s="220">
        <v>-19.940999999999999</v>
      </c>
      <c r="L499" s="220">
        <v>24.462</v>
      </c>
      <c r="M499" s="220" t="s">
        <v>1102</v>
      </c>
      <c r="N499" s="220" t="s">
        <v>933</v>
      </c>
      <c r="O499" s="220" t="s">
        <v>1103</v>
      </c>
      <c r="P499" s="220" t="s">
        <v>1104</v>
      </c>
      <c r="Q499" s="220" t="s">
        <v>120</v>
      </c>
      <c r="R499" s="220" t="s">
        <v>226</v>
      </c>
      <c r="S499" s="220" t="s">
        <v>585</v>
      </c>
    </row>
    <row r="500" spans="1:19" hidden="1" x14ac:dyDescent="0.25">
      <c r="A500" s="220">
        <v>72</v>
      </c>
      <c r="B500" s="220" t="s">
        <v>0</v>
      </c>
      <c r="C500" s="220" t="s">
        <v>576</v>
      </c>
      <c r="D500" s="220" t="s">
        <v>400</v>
      </c>
      <c r="E500" s="220">
        <v>4</v>
      </c>
      <c r="F500" s="220">
        <v>203.56700000000001</v>
      </c>
      <c r="G500" s="220">
        <v>10466</v>
      </c>
      <c r="H500" s="220">
        <v>12346</v>
      </c>
      <c r="I500" s="220">
        <v>14409</v>
      </c>
      <c r="J500" s="220">
        <v>200.375</v>
      </c>
      <c r="K500" s="220">
        <v>-19.937000000000001</v>
      </c>
      <c r="L500" s="220">
        <v>24.417999999999999</v>
      </c>
      <c r="M500" s="220" t="s">
        <v>1102</v>
      </c>
      <c r="N500" s="220" t="s">
        <v>933</v>
      </c>
      <c r="O500" s="220" t="s">
        <v>1103</v>
      </c>
      <c r="P500" s="220" t="s">
        <v>1104</v>
      </c>
      <c r="Q500" s="220" t="s">
        <v>120</v>
      </c>
      <c r="R500" s="220" t="s">
        <v>226</v>
      </c>
      <c r="S500" s="220" t="s">
        <v>585</v>
      </c>
    </row>
    <row r="501" spans="1:19" hidden="1" x14ac:dyDescent="0.25">
      <c r="A501" s="220">
        <v>72</v>
      </c>
      <c r="B501" s="220" t="s">
        <v>0</v>
      </c>
      <c r="C501" s="220" t="s">
        <v>576</v>
      </c>
      <c r="D501" s="220" t="s">
        <v>400</v>
      </c>
      <c r="E501" s="220">
        <v>5</v>
      </c>
      <c r="F501" s="220">
        <v>195.44399999999999</v>
      </c>
      <c r="G501" s="220">
        <v>14963</v>
      </c>
      <c r="H501" s="220">
        <v>18138</v>
      </c>
      <c r="I501" s="220">
        <v>20863</v>
      </c>
      <c r="J501" s="220">
        <v>192.31700000000001</v>
      </c>
      <c r="K501" s="220">
        <v>4.6470000000000002</v>
      </c>
      <c r="L501" s="220">
        <v>36.828000000000003</v>
      </c>
      <c r="M501" s="220" t="s">
        <v>1102</v>
      </c>
      <c r="N501" s="220" t="s">
        <v>933</v>
      </c>
      <c r="O501" s="220" t="s">
        <v>1103</v>
      </c>
      <c r="P501" s="220" t="s">
        <v>1104</v>
      </c>
      <c r="Q501" s="220" t="s">
        <v>156</v>
      </c>
      <c r="R501" s="220" t="s">
        <v>160</v>
      </c>
      <c r="S501" s="220" t="s">
        <v>565</v>
      </c>
    </row>
    <row r="502" spans="1:19" x14ac:dyDescent="0.25">
      <c r="A502" s="220">
        <v>72</v>
      </c>
      <c r="B502" s="220" t="s">
        <v>0</v>
      </c>
      <c r="C502" s="220" t="s">
        <v>576</v>
      </c>
      <c r="D502" s="220" t="s">
        <v>400</v>
      </c>
      <c r="E502" s="220">
        <v>6</v>
      </c>
      <c r="F502" s="220">
        <v>172.27799999999999</v>
      </c>
      <c r="G502" s="220">
        <v>13499</v>
      </c>
      <c r="H502" s="220">
        <v>16360</v>
      </c>
      <c r="I502" s="220">
        <v>18818</v>
      </c>
      <c r="J502" s="220">
        <v>169.52199999999999</v>
      </c>
      <c r="K502" s="220">
        <v>4.6559999999999997</v>
      </c>
      <c r="L502" s="220">
        <v>37.054000000000002</v>
      </c>
      <c r="M502" s="220" t="s">
        <v>1102</v>
      </c>
      <c r="N502" s="220" t="s">
        <v>933</v>
      </c>
      <c r="O502" s="220" t="s">
        <v>1103</v>
      </c>
      <c r="P502" s="220" t="s">
        <v>1104</v>
      </c>
      <c r="Q502" s="220" t="s">
        <v>148</v>
      </c>
      <c r="R502" s="220" t="s">
        <v>179</v>
      </c>
      <c r="S502" s="220" t="s">
        <v>300</v>
      </c>
    </row>
    <row r="503" spans="1:19" x14ac:dyDescent="0.25">
      <c r="A503" s="220">
        <v>72</v>
      </c>
      <c r="B503" s="220" t="s">
        <v>0</v>
      </c>
      <c r="C503" s="220" t="s">
        <v>576</v>
      </c>
      <c r="D503" s="220" t="s">
        <v>400</v>
      </c>
      <c r="E503" s="220">
        <v>7</v>
      </c>
      <c r="F503" s="220">
        <v>160.786</v>
      </c>
      <c r="G503" s="220">
        <v>12719</v>
      </c>
      <c r="H503" s="220">
        <v>15414</v>
      </c>
      <c r="I503" s="220">
        <v>17733</v>
      </c>
      <c r="J503" s="220">
        <v>158.21299999999999</v>
      </c>
      <c r="K503" s="220">
        <v>4.7300000000000004</v>
      </c>
      <c r="L503" s="220">
        <v>37.061999999999998</v>
      </c>
      <c r="M503" s="220" t="s">
        <v>1102</v>
      </c>
      <c r="N503" s="220" t="s">
        <v>933</v>
      </c>
      <c r="O503" s="220" t="s">
        <v>1103</v>
      </c>
      <c r="P503" s="220" t="s">
        <v>1104</v>
      </c>
      <c r="Q503" s="220" t="s">
        <v>321</v>
      </c>
      <c r="R503" s="220" t="s">
        <v>637</v>
      </c>
      <c r="S503" s="220" t="s">
        <v>1072</v>
      </c>
    </row>
    <row r="504" spans="1:19" hidden="1" x14ac:dyDescent="0.25">
      <c r="A504" s="220">
        <v>73</v>
      </c>
      <c r="B504" s="220" t="s">
        <v>1105</v>
      </c>
      <c r="C504" s="220" t="s">
        <v>729</v>
      </c>
      <c r="D504" s="220" t="s">
        <v>401</v>
      </c>
      <c r="E504" s="220">
        <v>1</v>
      </c>
      <c r="F504" s="220">
        <v>205.607</v>
      </c>
      <c r="G504" s="220">
        <v>10503</v>
      </c>
      <c r="H504" s="220">
        <v>12389</v>
      </c>
      <c r="I504" s="220">
        <v>14463</v>
      </c>
      <c r="J504" s="220">
        <v>202.38399999999999</v>
      </c>
      <c r="K504" s="220">
        <v>-19.934000000000001</v>
      </c>
      <c r="L504" s="220">
        <v>24.454999999999998</v>
      </c>
      <c r="M504" s="220" t="s">
        <v>666</v>
      </c>
      <c r="N504" s="220" t="s">
        <v>933</v>
      </c>
      <c r="O504" s="220" t="s">
        <v>1106</v>
      </c>
      <c r="P504" s="220" t="s">
        <v>1107</v>
      </c>
      <c r="Q504" s="220" t="s">
        <v>102</v>
      </c>
      <c r="R504" s="220" t="s">
        <v>133</v>
      </c>
      <c r="S504" s="220" t="s">
        <v>135</v>
      </c>
    </row>
    <row r="505" spans="1:19" hidden="1" x14ac:dyDescent="0.25">
      <c r="A505" s="220">
        <v>73</v>
      </c>
      <c r="B505" s="220" t="s">
        <v>1105</v>
      </c>
      <c r="C505" s="220" t="s">
        <v>729</v>
      </c>
      <c r="D505" s="220" t="s">
        <v>401</v>
      </c>
      <c r="E505" s="220">
        <v>2</v>
      </c>
      <c r="F505" s="220">
        <v>202.98400000000001</v>
      </c>
      <c r="G505" s="220">
        <v>10508</v>
      </c>
      <c r="H505" s="220">
        <v>12394</v>
      </c>
      <c r="I505" s="220">
        <v>14468</v>
      </c>
      <c r="J505" s="220">
        <v>199.80199999999999</v>
      </c>
      <c r="K505" s="220">
        <v>-19.927</v>
      </c>
      <c r="L505" s="220">
        <v>24.425999999999998</v>
      </c>
      <c r="M505" s="220" t="s">
        <v>666</v>
      </c>
      <c r="N505" s="220" t="s">
        <v>933</v>
      </c>
      <c r="O505" s="220" t="s">
        <v>1106</v>
      </c>
      <c r="P505" s="220" t="s">
        <v>1107</v>
      </c>
      <c r="Q505" s="220" t="s">
        <v>237</v>
      </c>
      <c r="R505" s="220" t="s">
        <v>105</v>
      </c>
      <c r="S505" s="220" t="s">
        <v>177</v>
      </c>
    </row>
    <row r="506" spans="1:19" hidden="1" x14ac:dyDescent="0.25">
      <c r="A506" s="220">
        <v>73</v>
      </c>
      <c r="B506" s="220" t="s">
        <v>1105</v>
      </c>
      <c r="C506" s="220" t="s">
        <v>729</v>
      </c>
      <c r="D506" s="220" t="s">
        <v>401</v>
      </c>
      <c r="E506" s="220">
        <v>3</v>
      </c>
      <c r="F506" s="220">
        <v>204.256</v>
      </c>
      <c r="G506" s="220">
        <v>10556</v>
      </c>
      <c r="H506" s="220">
        <v>12451</v>
      </c>
      <c r="I506" s="220">
        <v>14533</v>
      </c>
      <c r="J506" s="220">
        <v>201.054</v>
      </c>
      <c r="K506" s="220">
        <v>-19.931000000000001</v>
      </c>
      <c r="L506" s="220">
        <v>24.408999999999999</v>
      </c>
      <c r="M506" s="220" t="s">
        <v>666</v>
      </c>
      <c r="N506" s="220" t="s">
        <v>933</v>
      </c>
      <c r="O506" s="220" t="s">
        <v>1106</v>
      </c>
      <c r="P506" s="220" t="s">
        <v>1107</v>
      </c>
      <c r="Q506" s="220" t="s">
        <v>158</v>
      </c>
      <c r="R506" s="220" t="s">
        <v>119</v>
      </c>
      <c r="S506" s="220" t="s">
        <v>190</v>
      </c>
    </row>
    <row r="507" spans="1:19" hidden="1" x14ac:dyDescent="0.25">
      <c r="A507" s="220">
        <v>73</v>
      </c>
      <c r="B507" s="220" t="s">
        <v>1105</v>
      </c>
      <c r="C507" s="220" t="s">
        <v>729</v>
      </c>
      <c r="D507" s="220" t="s">
        <v>401</v>
      </c>
      <c r="E507" s="220">
        <v>4</v>
      </c>
      <c r="F507" s="220">
        <v>204.28100000000001</v>
      </c>
      <c r="G507" s="220">
        <v>10510</v>
      </c>
      <c r="H507" s="220">
        <v>12397</v>
      </c>
      <c r="I507" s="220">
        <v>14470</v>
      </c>
      <c r="J507" s="220">
        <v>201.078</v>
      </c>
      <c r="K507" s="220">
        <v>-19.937000000000001</v>
      </c>
      <c r="L507" s="220">
        <v>24.417999999999999</v>
      </c>
      <c r="M507" s="220" t="s">
        <v>666</v>
      </c>
      <c r="N507" s="220" t="s">
        <v>933</v>
      </c>
      <c r="O507" s="220" t="s">
        <v>1106</v>
      </c>
      <c r="P507" s="220" t="s">
        <v>1107</v>
      </c>
      <c r="Q507" s="220" t="s">
        <v>158</v>
      </c>
      <c r="R507" s="220" t="s">
        <v>233</v>
      </c>
      <c r="S507" s="220" t="s">
        <v>190</v>
      </c>
    </row>
    <row r="508" spans="1:19" hidden="1" x14ac:dyDescent="0.25">
      <c r="A508" s="220">
        <v>73</v>
      </c>
      <c r="B508" s="220" t="s">
        <v>1105</v>
      </c>
      <c r="C508" s="220" t="s">
        <v>729</v>
      </c>
      <c r="D508" s="220" t="s">
        <v>401</v>
      </c>
      <c r="E508" s="220">
        <v>5</v>
      </c>
      <c r="F508" s="220">
        <v>219.75299999999999</v>
      </c>
      <c r="G508" s="220">
        <v>16955</v>
      </c>
      <c r="H508" s="220">
        <v>20426</v>
      </c>
      <c r="I508" s="220">
        <v>23607</v>
      </c>
      <c r="J508" s="220">
        <v>216.25299999999999</v>
      </c>
      <c r="K508" s="220">
        <v>-1.4039999999999999</v>
      </c>
      <c r="L508" s="220">
        <v>35.429000000000002</v>
      </c>
      <c r="M508" s="220" t="s">
        <v>666</v>
      </c>
      <c r="N508" s="220" t="s">
        <v>933</v>
      </c>
      <c r="O508" s="220" t="s">
        <v>1106</v>
      </c>
      <c r="P508" s="220" t="s">
        <v>1107</v>
      </c>
      <c r="Q508" s="220" t="s">
        <v>168</v>
      </c>
      <c r="R508" s="220" t="s">
        <v>571</v>
      </c>
      <c r="S508" s="220" t="s">
        <v>83</v>
      </c>
    </row>
    <row r="509" spans="1:19" x14ac:dyDescent="0.25">
      <c r="A509" s="220">
        <v>73</v>
      </c>
      <c r="B509" s="220" t="s">
        <v>1105</v>
      </c>
      <c r="C509" s="220" t="s">
        <v>729</v>
      </c>
      <c r="D509" s="220" t="s">
        <v>401</v>
      </c>
      <c r="E509" s="220">
        <v>6</v>
      </c>
      <c r="F509" s="220">
        <v>191.459</v>
      </c>
      <c r="G509" s="220">
        <v>14937</v>
      </c>
      <c r="H509" s="220">
        <v>17985</v>
      </c>
      <c r="I509" s="220">
        <v>20796</v>
      </c>
      <c r="J509" s="220">
        <v>188.40899999999999</v>
      </c>
      <c r="K509" s="220">
        <v>-1.4219999999999999</v>
      </c>
      <c r="L509" s="220">
        <v>35.69</v>
      </c>
      <c r="M509" s="220" t="s">
        <v>666</v>
      </c>
      <c r="N509" s="220" t="s">
        <v>933</v>
      </c>
      <c r="O509" s="220" t="s">
        <v>1106</v>
      </c>
      <c r="P509" s="220" t="s">
        <v>1107</v>
      </c>
      <c r="Q509" s="220" t="s">
        <v>233</v>
      </c>
      <c r="R509" s="220" t="s">
        <v>584</v>
      </c>
      <c r="S509" s="220" t="s">
        <v>1108</v>
      </c>
    </row>
    <row r="510" spans="1:19" x14ac:dyDescent="0.25">
      <c r="A510" s="220">
        <v>73</v>
      </c>
      <c r="B510" s="220" t="s">
        <v>1105</v>
      </c>
      <c r="C510" s="220" t="s">
        <v>729</v>
      </c>
      <c r="D510" s="220" t="s">
        <v>401</v>
      </c>
      <c r="E510" s="220">
        <v>7</v>
      </c>
      <c r="F510" s="220">
        <v>177.48500000000001</v>
      </c>
      <c r="G510" s="220">
        <v>13820</v>
      </c>
      <c r="H510" s="220">
        <v>16640</v>
      </c>
      <c r="I510" s="220">
        <v>19243</v>
      </c>
      <c r="J510" s="220">
        <v>174.65799999999999</v>
      </c>
      <c r="K510" s="220">
        <v>-1.357</v>
      </c>
      <c r="L510" s="220">
        <v>35.719000000000001</v>
      </c>
      <c r="M510" s="220" t="s">
        <v>666</v>
      </c>
      <c r="N510" s="220" t="s">
        <v>933</v>
      </c>
      <c r="O510" s="220" t="s">
        <v>1106</v>
      </c>
      <c r="P510" s="220" t="s">
        <v>1107</v>
      </c>
      <c r="Q510" s="220" t="s">
        <v>746</v>
      </c>
      <c r="R510" s="220" t="s">
        <v>1109</v>
      </c>
      <c r="S510" s="220" t="s">
        <v>1110</v>
      </c>
    </row>
    <row r="511" spans="1:19" hidden="1" x14ac:dyDescent="0.25">
      <c r="A511" s="220">
        <v>74</v>
      </c>
      <c r="B511" s="220" t="s">
        <v>1111</v>
      </c>
      <c r="C511" s="220" t="s">
        <v>518</v>
      </c>
      <c r="D511" s="220" t="s">
        <v>402</v>
      </c>
      <c r="E511" s="220">
        <v>1</v>
      </c>
      <c r="F511" s="220">
        <v>204.86699999999999</v>
      </c>
      <c r="G511" s="220">
        <v>10476</v>
      </c>
      <c r="H511" s="220">
        <v>12355</v>
      </c>
      <c r="I511" s="220">
        <v>14431</v>
      </c>
      <c r="J511" s="220">
        <v>201.655</v>
      </c>
      <c r="K511" s="220">
        <v>-19.934999999999999</v>
      </c>
      <c r="L511" s="220">
        <v>24.422000000000001</v>
      </c>
      <c r="M511" s="220" t="s">
        <v>1112</v>
      </c>
      <c r="N511" s="220" t="s">
        <v>933</v>
      </c>
      <c r="O511" s="220" t="s">
        <v>1113</v>
      </c>
      <c r="P511" s="220" t="s">
        <v>1114</v>
      </c>
      <c r="Q511" s="220" t="s">
        <v>102</v>
      </c>
      <c r="R511" s="220" t="s">
        <v>133</v>
      </c>
      <c r="S511" s="220" t="s">
        <v>135</v>
      </c>
    </row>
    <row r="512" spans="1:19" hidden="1" x14ac:dyDescent="0.25">
      <c r="A512" s="220">
        <v>74</v>
      </c>
      <c r="B512" s="220" t="s">
        <v>1111</v>
      </c>
      <c r="C512" s="220" t="s">
        <v>518</v>
      </c>
      <c r="D512" s="220" t="s">
        <v>402</v>
      </c>
      <c r="E512" s="220">
        <v>2</v>
      </c>
      <c r="F512" s="220">
        <v>202.446</v>
      </c>
      <c r="G512" s="220">
        <v>10484</v>
      </c>
      <c r="H512" s="220">
        <v>12365</v>
      </c>
      <c r="I512" s="220">
        <v>14442</v>
      </c>
      <c r="J512" s="220">
        <v>199.27199999999999</v>
      </c>
      <c r="K512" s="220">
        <v>-19.936</v>
      </c>
      <c r="L512" s="220">
        <v>24.405000000000001</v>
      </c>
      <c r="M512" s="220" t="s">
        <v>1112</v>
      </c>
      <c r="N512" s="220" t="s">
        <v>933</v>
      </c>
      <c r="O512" s="220" t="s">
        <v>1113</v>
      </c>
      <c r="P512" s="220" t="s">
        <v>1114</v>
      </c>
      <c r="Q512" s="220" t="s">
        <v>120</v>
      </c>
      <c r="R512" s="220" t="s">
        <v>105</v>
      </c>
      <c r="S512" s="220" t="s">
        <v>585</v>
      </c>
    </row>
    <row r="513" spans="1:19" hidden="1" x14ac:dyDescent="0.25">
      <c r="A513" s="220">
        <v>74</v>
      </c>
      <c r="B513" s="220" t="s">
        <v>1111</v>
      </c>
      <c r="C513" s="220" t="s">
        <v>518</v>
      </c>
      <c r="D513" s="220" t="s">
        <v>402</v>
      </c>
      <c r="E513" s="220">
        <v>3</v>
      </c>
      <c r="F513" s="220">
        <v>203.7</v>
      </c>
      <c r="G513" s="220">
        <v>10526</v>
      </c>
      <c r="H513" s="220">
        <v>12416</v>
      </c>
      <c r="I513" s="220">
        <v>14505</v>
      </c>
      <c r="J513" s="220">
        <v>200.506</v>
      </c>
      <c r="K513" s="220">
        <v>-19.940999999999999</v>
      </c>
      <c r="L513" s="220">
        <v>24.405999999999999</v>
      </c>
      <c r="M513" s="220" t="s">
        <v>1112</v>
      </c>
      <c r="N513" s="220" t="s">
        <v>933</v>
      </c>
      <c r="O513" s="220" t="s">
        <v>1113</v>
      </c>
      <c r="P513" s="220" t="s">
        <v>1114</v>
      </c>
      <c r="Q513" s="220" t="s">
        <v>158</v>
      </c>
      <c r="R513" s="220" t="s">
        <v>233</v>
      </c>
      <c r="S513" s="220" t="s">
        <v>190</v>
      </c>
    </row>
    <row r="514" spans="1:19" hidden="1" x14ac:dyDescent="0.25">
      <c r="A514" s="220">
        <v>74</v>
      </c>
      <c r="B514" s="220" t="s">
        <v>1111</v>
      </c>
      <c r="C514" s="220" t="s">
        <v>518</v>
      </c>
      <c r="D514" s="220" t="s">
        <v>402</v>
      </c>
      <c r="E514" s="220">
        <v>4</v>
      </c>
      <c r="F514" s="220">
        <v>203.50700000000001</v>
      </c>
      <c r="G514" s="220">
        <v>10482</v>
      </c>
      <c r="H514" s="220">
        <v>12362</v>
      </c>
      <c r="I514" s="220">
        <v>14440</v>
      </c>
      <c r="J514" s="220">
        <v>200.316</v>
      </c>
      <c r="K514" s="220">
        <v>-19.937000000000001</v>
      </c>
      <c r="L514" s="220">
        <v>24.417999999999999</v>
      </c>
      <c r="M514" s="220" t="s">
        <v>1112</v>
      </c>
      <c r="N514" s="220" t="s">
        <v>933</v>
      </c>
      <c r="O514" s="220" t="s">
        <v>1113</v>
      </c>
      <c r="P514" s="220" t="s">
        <v>1114</v>
      </c>
      <c r="Q514" s="220" t="s">
        <v>111</v>
      </c>
      <c r="R514" s="220" t="s">
        <v>132</v>
      </c>
      <c r="S514" s="220" t="s">
        <v>190</v>
      </c>
    </row>
    <row r="515" spans="1:19" hidden="1" x14ac:dyDescent="0.25">
      <c r="A515" s="220">
        <v>74</v>
      </c>
      <c r="B515" s="220" t="s">
        <v>1111</v>
      </c>
      <c r="C515" s="220" t="s">
        <v>518</v>
      </c>
      <c r="D515" s="220" t="s">
        <v>402</v>
      </c>
      <c r="E515" s="220">
        <v>5</v>
      </c>
      <c r="F515" s="220">
        <v>195.28</v>
      </c>
      <c r="G515" s="220">
        <v>15098</v>
      </c>
      <c r="H515" s="220">
        <v>18196</v>
      </c>
      <c r="I515" s="220">
        <v>21041</v>
      </c>
      <c r="J515" s="220">
        <v>192.17</v>
      </c>
      <c r="K515" s="220">
        <v>-1.671</v>
      </c>
      <c r="L515" s="220">
        <v>35.798000000000002</v>
      </c>
      <c r="M515" s="220" t="s">
        <v>1112</v>
      </c>
      <c r="N515" s="220" t="s">
        <v>933</v>
      </c>
      <c r="O515" s="220" t="s">
        <v>1113</v>
      </c>
      <c r="P515" s="220" t="s">
        <v>1114</v>
      </c>
      <c r="Q515" s="220" t="s">
        <v>156</v>
      </c>
      <c r="R515" s="220" t="s">
        <v>160</v>
      </c>
      <c r="S515" s="220" t="s">
        <v>582</v>
      </c>
    </row>
    <row r="516" spans="1:19" x14ac:dyDescent="0.25">
      <c r="A516" s="220">
        <v>74</v>
      </c>
      <c r="B516" s="220" t="s">
        <v>1111</v>
      </c>
      <c r="C516" s="220" t="s">
        <v>518</v>
      </c>
      <c r="D516" s="220" t="s">
        <v>402</v>
      </c>
      <c r="E516" s="220">
        <v>6</v>
      </c>
      <c r="F516" s="220">
        <v>172.876</v>
      </c>
      <c r="G516" s="220">
        <v>13729</v>
      </c>
      <c r="H516" s="220">
        <v>16539</v>
      </c>
      <c r="I516" s="220">
        <v>19136</v>
      </c>
      <c r="J516" s="220">
        <v>170.12200000000001</v>
      </c>
      <c r="K516" s="220">
        <v>-1.6459999999999999</v>
      </c>
      <c r="L516" s="220">
        <v>35.951999999999998</v>
      </c>
      <c r="M516" s="220" t="s">
        <v>1112</v>
      </c>
      <c r="N516" s="220" t="s">
        <v>933</v>
      </c>
      <c r="O516" s="220" t="s">
        <v>1113</v>
      </c>
      <c r="P516" s="220" t="s">
        <v>1114</v>
      </c>
      <c r="Q516" s="220" t="s">
        <v>139</v>
      </c>
      <c r="R516" s="220" t="s">
        <v>193</v>
      </c>
      <c r="S516" s="220" t="s">
        <v>824</v>
      </c>
    </row>
    <row r="517" spans="1:19" x14ac:dyDescent="0.25">
      <c r="A517" s="220">
        <v>74</v>
      </c>
      <c r="B517" s="220" t="s">
        <v>1111</v>
      </c>
      <c r="C517" s="220" t="s">
        <v>518</v>
      </c>
      <c r="D517" s="220" t="s">
        <v>402</v>
      </c>
      <c r="E517" s="220">
        <v>7</v>
      </c>
      <c r="F517" s="220">
        <v>161.60499999999999</v>
      </c>
      <c r="G517" s="220">
        <v>12953</v>
      </c>
      <c r="H517" s="220">
        <v>15602</v>
      </c>
      <c r="I517" s="220">
        <v>18057</v>
      </c>
      <c r="J517" s="220">
        <v>159.03</v>
      </c>
      <c r="K517" s="220">
        <v>-1.573</v>
      </c>
      <c r="L517" s="220">
        <v>35.954999999999998</v>
      </c>
      <c r="M517" s="220" t="s">
        <v>1112</v>
      </c>
      <c r="N517" s="220" t="s">
        <v>933</v>
      </c>
      <c r="O517" s="220" t="s">
        <v>1113</v>
      </c>
      <c r="P517" s="220" t="s">
        <v>1114</v>
      </c>
      <c r="Q517" s="220" t="s">
        <v>489</v>
      </c>
      <c r="R517" s="220" t="s">
        <v>533</v>
      </c>
      <c r="S517" s="220" t="s">
        <v>668</v>
      </c>
    </row>
    <row r="518" spans="1:19" hidden="1" x14ac:dyDescent="0.25">
      <c r="A518" s="220">
        <v>75</v>
      </c>
      <c r="B518" s="220" t="s">
        <v>1115</v>
      </c>
      <c r="C518" s="220" t="s">
        <v>635</v>
      </c>
      <c r="D518" s="220" t="s">
        <v>403</v>
      </c>
      <c r="E518" s="220">
        <v>1</v>
      </c>
      <c r="F518" s="220">
        <v>205.428</v>
      </c>
      <c r="G518" s="220">
        <v>10507</v>
      </c>
      <c r="H518" s="220">
        <v>12392</v>
      </c>
      <c r="I518" s="220">
        <v>14473</v>
      </c>
      <c r="J518" s="220">
        <v>202.20699999999999</v>
      </c>
      <c r="K518" s="220">
        <v>-19.933</v>
      </c>
      <c r="L518" s="220">
        <v>24.427</v>
      </c>
      <c r="M518" s="220" t="s">
        <v>1116</v>
      </c>
      <c r="N518" s="220" t="s">
        <v>933</v>
      </c>
      <c r="O518" s="220" t="s">
        <v>1117</v>
      </c>
      <c r="P518" s="220" t="s">
        <v>1118</v>
      </c>
      <c r="Q518" s="220" t="s">
        <v>102</v>
      </c>
      <c r="R518" s="220" t="s">
        <v>133</v>
      </c>
      <c r="S518" s="220" t="s">
        <v>139</v>
      </c>
    </row>
    <row r="519" spans="1:19" hidden="1" x14ac:dyDescent="0.25">
      <c r="A519" s="220">
        <v>75</v>
      </c>
      <c r="B519" s="220" t="s">
        <v>1115</v>
      </c>
      <c r="C519" s="220" t="s">
        <v>635</v>
      </c>
      <c r="D519" s="220" t="s">
        <v>403</v>
      </c>
      <c r="E519" s="220">
        <v>2</v>
      </c>
      <c r="F519" s="220">
        <v>203.09100000000001</v>
      </c>
      <c r="G519" s="220">
        <v>10500</v>
      </c>
      <c r="H519" s="220">
        <v>12384</v>
      </c>
      <c r="I519" s="220">
        <v>14466</v>
      </c>
      <c r="J519" s="220">
        <v>199.90600000000001</v>
      </c>
      <c r="K519" s="220">
        <v>-19.936</v>
      </c>
      <c r="L519" s="220">
        <v>24.425999999999998</v>
      </c>
      <c r="M519" s="220" t="s">
        <v>1116</v>
      </c>
      <c r="N519" s="220" t="s">
        <v>933</v>
      </c>
      <c r="O519" s="220" t="s">
        <v>1117</v>
      </c>
      <c r="P519" s="220" t="s">
        <v>1118</v>
      </c>
      <c r="Q519" s="220" t="s">
        <v>120</v>
      </c>
      <c r="R519" s="220" t="s">
        <v>226</v>
      </c>
      <c r="S519" s="220" t="s">
        <v>585</v>
      </c>
    </row>
    <row r="520" spans="1:19" hidden="1" x14ac:dyDescent="0.25">
      <c r="A520" s="220">
        <v>75</v>
      </c>
      <c r="B520" s="220" t="s">
        <v>1115</v>
      </c>
      <c r="C520" s="220" t="s">
        <v>635</v>
      </c>
      <c r="D520" s="220" t="s">
        <v>403</v>
      </c>
      <c r="E520" s="220">
        <v>3</v>
      </c>
      <c r="F520" s="220">
        <v>204.26400000000001</v>
      </c>
      <c r="G520" s="220">
        <v>10557</v>
      </c>
      <c r="H520" s="220">
        <v>12451</v>
      </c>
      <c r="I520" s="220">
        <v>14547</v>
      </c>
      <c r="J520" s="220">
        <v>201.06200000000001</v>
      </c>
      <c r="K520" s="220">
        <v>-19.940999999999999</v>
      </c>
      <c r="L520" s="220">
        <v>24.411999999999999</v>
      </c>
      <c r="M520" s="220" t="s">
        <v>1116</v>
      </c>
      <c r="N520" s="220" t="s">
        <v>933</v>
      </c>
      <c r="O520" s="220" t="s">
        <v>1117</v>
      </c>
      <c r="P520" s="220" t="s">
        <v>1118</v>
      </c>
      <c r="Q520" s="220" t="s">
        <v>158</v>
      </c>
      <c r="R520" s="220" t="s">
        <v>233</v>
      </c>
      <c r="S520" s="220" t="s">
        <v>303</v>
      </c>
    </row>
    <row r="521" spans="1:19" hidden="1" x14ac:dyDescent="0.25">
      <c r="A521" s="220">
        <v>75</v>
      </c>
      <c r="B521" s="220" t="s">
        <v>1115</v>
      </c>
      <c r="C521" s="220" t="s">
        <v>635</v>
      </c>
      <c r="D521" s="220" t="s">
        <v>403</v>
      </c>
      <c r="E521" s="220">
        <v>4</v>
      </c>
      <c r="F521" s="220">
        <v>204.06800000000001</v>
      </c>
      <c r="G521" s="220">
        <v>10502</v>
      </c>
      <c r="H521" s="220">
        <v>12386</v>
      </c>
      <c r="I521" s="220">
        <v>14468</v>
      </c>
      <c r="J521" s="220">
        <v>200.86799999999999</v>
      </c>
      <c r="K521" s="220">
        <v>-19.937000000000001</v>
      </c>
      <c r="L521" s="220">
        <v>24.417999999999999</v>
      </c>
      <c r="M521" s="220" t="s">
        <v>1116</v>
      </c>
      <c r="N521" s="220" t="s">
        <v>933</v>
      </c>
      <c r="O521" s="220" t="s">
        <v>1117</v>
      </c>
      <c r="P521" s="220" t="s">
        <v>1118</v>
      </c>
      <c r="Q521" s="220" t="s">
        <v>158</v>
      </c>
      <c r="R521" s="220" t="s">
        <v>233</v>
      </c>
      <c r="S521" s="220" t="s">
        <v>303</v>
      </c>
    </row>
    <row r="522" spans="1:19" hidden="1" x14ac:dyDescent="0.25">
      <c r="A522" s="220">
        <v>75</v>
      </c>
      <c r="B522" s="220" t="s">
        <v>1115</v>
      </c>
      <c r="C522" s="220" t="s">
        <v>635</v>
      </c>
      <c r="D522" s="220" t="s">
        <v>403</v>
      </c>
      <c r="E522" s="220">
        <v>5</v>
      </c>
      <c r="F522" s="220">
        <v>209.83600000000001</v>
      </c>
      <c r="G522" s="220">
        <v>16025</v>
      </c>
      <c r="H522" s="220">
        <v>19297</v>
      </c>
      <c r="I522" s="220">
        <v>22336</v>
      </c>
      <c r="J522" s="220">
        <v>206.494</v>
      </c>
      <c r="K522" s="220">
        <v>-1.5009999999999999</v>
      </c>
      <c r="L522" s="220">
        <v>35.81</v>
      </c>
      <c r="M522" s="220" t="s">
        <v>1116</v>
      </c>
      <c r="N522" s="220" t="s">
        <v>933</v>
      </c>
      <c r="O522" s="220" t="s">
        <v>1117</v>
      </c>
      <c r="P522" s="220" t="s">
        <v>1118</v>
      </c>
      <c r="Q522" s="220" t="s">
        <v>175</v>
      </c>
      <c r="R522" s="220" t="s">
        <v>101</v>
      </c>
      <c r="S522" s="220" t="s">
        <v>1023</v>
      </c>
    </row>
    <row r="523" spans="1:19" x14ac:dyDescent="0.25">
      <c r="A523" s="220">
        <v>75</v>
      </c>
      <c r="B523" s="220" t="s">
        <v>1115</v>
      </c>
      <c r="C523" s="220" t="s">
        <v>635</v>
      </c>
      <c r="D523" s="220" t="s">
        <v>403</v>
      </c>
      <c r="E523" s="220">
        <v>6</v>
      </c>
      <c r="F523" s="220">
        <v>183.042</v>
      </c>
      <c r="G523" s="220">
        <v>14160</v>
      </c>
      <c r="H523" s="220">
        <v>17046</v>
      </c>
      <c r="I523" s="220">
        <v>19737</v>
      </c>
      <c r="J523" s="220">
        <v>180.126</v>
      </c>
      <c r="K523" s="220">
        <v>-1.486</v>
      </c>
      <c r="L523" s="220">
        <v>36.070999999999998</v>
      </c>
      <c r="M523" s="220" t="s">
        <v>1116</v>
      </c>
      <c r="N523" s="220" t="s">
        <v>933</v>
      </c>
      <c r="O523" s="220" t="s">
        <v>1117</v>
      </c>
      <c r="P523" s="220" t="s">
        <v>1118</v>
      </c>
      <c r="Q523" s="220" t="s">
        <v>147</v>
      </c>
      <c r="R523" s="220" t="s">
        <v>177</v>
      </c>
      <c r="S523" s="220" t="s">
        <v>577</v>
      </c>
    </row>
    <row r="524" spans="1:19" x14ac:dyDescent="0.25">
      <c r="A524" s="220">
        <v>75</v>
      </c>
      <c r="B524" s="220" t="s">
        <v>1115</v>
      </c>
      <c r="C524" s="220" t="s">
        <v>635</v>
      </c>
      <c r="D524" s="220" t="s">
        <v>403</v>
      </c>
      <c r="E524" s="220">
        <v>7</v>
      </c>
      <c r="F524" s="220">
        <v>169.79400000000001</v>
      </c>
      <c r="G524" s="220">
        <v>13142</v>
      </c>
      <c r="H524" s="220">
        <v>15820</v>
      </c>
      <c r="I524" s="220">
        <v>18318</v>
      </c>
      <c r="J524" s="220">
        <v>167.089</v>
      </c>
      <c r="K524" s="220">
        <v>-1.4370000000000001</v>
      </c>
      <c r="L524" s="220">
        <v>36.11</v>
      </c>
      <c r="M524" s="220" t="s">
        <v>1116</v>
      </c>
      <c r="N524" s="220" t="s">
        <v>933</v>
      </c>
      <c r="O524" s="220" t="s">
        <v>1117</v>
      </c>
      <c r="P524" s="220" t="s">
        <v>1118</v>
      </c>
      <c r="Q524" s="220" t="s">
        <v>1119</v>
      </c>
      <c r="R524" s="220" t="s">
        <v>588</v>
      </c>
      <c r="S524" s="220" t="s">
        <v>1120</v>
      </c>
    </row>
    <row r="525" spans="1:19" hidden="1" x14ac:dyDescent="0.25">
      <c r="A525" s="220">
        <v>76</v>
      </c>
      <c r="B525" s="220" t="s">
        <v>1121</v>
      </c>
      <c r="C525" s="220" t="s">
        <v>267</v>
      </c>
      <c r="D525" s="220" t="s">
        <v>404</v>
      </c>
      <c r="E525" s="220">
        <v>1</v>
      </c>
      <c r="F525" s="220">
        <v>204.78899999999999</v>
      </c>
      <c r="G525" s="220">
        <v>10463</v>
      </c>
      <c r="H525" s="220">
        <v>12340</v>
      </c>
      <c r="I525" s="220">
        <v>14413</v>
      </c>
      <c r="J525" s="220">
        <v>201.578</v>
      </c>
      <c r="K525" s="220">
        <v>-19.922000000000001</v>
      </c>
      <c r="L525" s="220">
        <v>24.42</v>
      </c>
      <c r="M525" s="220" t="s">
        <v>1122</v>
      </c>
      <c r="N525" s="220" t="s">
        <v>933</v>
      </c>
      <c r="O525" s="220" t="s">
        <v>1123</v>
      </c>
      <c r="P525" s="220" t="s">
        <v>1124</v>
      </c>
      <c r="Q525" s="220" t="s">
        <v>74</v>
      </c>
      <c r="R525" s="220" t="s">
        <v>122</v>
      </c>
      <c r="S525" s="220" t="s">
        <v>148</v>
      </c>
    </row>
    <row r="526" spans="1:19" hidden="1" x14ac:dyDescent="0.25">
      <c r="A526" s="220">
        <v>76</v>
      </c>
      <c r="B526" s="220" t="s">
        <v>1121</v>
      </c>
      <c r="C526" s="220" t="s">
        <v>267</v>
      </c>
      <c r="D526" s="220" t="s">
        <v>404</v>
      </c>
      <c r="E526" s="220">
        <v>2</v>
      </c>
      <c r="F526" s="220">
        <v>202.30600000000001</v>
      </c>
      <c r="G526" s="220">
        <v>10470</v>
      </c>
      <c r="H526" s="220">
        <v>12349</v>
      </c>
      <c r="I526" s="220">
        <v>14424</v>
      </c>
      <c r="J526" s="220">
        <v>199.13300000000001</v>
      </c>
      <c r="K526" s="220">
        <v>-19.928999999999998</v>
      </c>
      <c r="L526" s="220">
        <v>24.393999999999998</v>
      </c>
      <c r="M526" s="220" t="s">
        <v>1122</v>
      </c>
      <c r="N526" s="220" t="s">
        <v>933</v>
      </c>
      <c r="O526" s="220" t="s">
        <v>1123</v>
      </c>
      <c r="P526" s="220" t="s">
        <v>1124</v>
      </c>
      <c r="Q526" s="220" t="s">
        <v>236</v>
      </c>
      <c r="R526" s="220" t="s">
        <v>252</v>
      </c>
      <c r="S526" s="220" t="s">
        <v>253</v>
      </c>
    </row>
    <row r="527" spans="1:19" hidden="1" x14ac:dyDescent="0.25">
      <c r="A527" s="220">
        <v>76</v>
      </c>
      <c r="B527" s="220" t="s">
        <v>1121</v>
      </c>
      <c r="C527" s="220" t="s">
        <v>267</v>
      </c>
      <c r="D527" s="220" t="s">
        <v>404</v>
      </c>
      <c r="E527" s="220">
        <v>3</v>
      </c>
      <c r="F527" s="220">
        <v>203.71</v>
      </c>
      <c r="G527" s="220">
        <v>10528</v>
      </c>
      <c r="H527" s="220">
        <v>12419</v>
      </c>
      <c r="I527" s="220">
        <v>14506</v>
      </c>
      <c r="J527" s="220">
        <v>200.51599999999999</v>
      </c>
      <c r="K527" s="220">
        <v>-19.914999999999999</v>
      </c>
      <c r="L527" s="220">
        <v>24.408000000000001</v>
      </c>
      <c r="M527" s="220" t="s">
        <v>1122</v>
      </c>
      <c r="N527" s="220" t="s">
        <v>933</v>
      </c>
      <c r="O527" s="220" t="s">
        <v>1123</v>
      </c>
      <c r="P527" s="220" t="s">
        <v>1124</v>
      </c>
      <c r="Q527" s="220" t="s">
        <v>111</v>
      </c>
      <c r="R527" s="220" t="s">
        <v>226</v>
      </c>
      <c r="S527" s="220" t="s">
        <v>235</v>
      </c>
    </row>
    <row r="528" spans="1:19" hidden="1" x14ac:dyDescent="0.25">
      <c r="A528" s="220">
        <v>76</v>
      </c>
      <c r="B528" s="220" t="s">
        <v>1121</v>
      </c>
      <c r="C528" s="220" t="s">
        <v>267</v>
      </c>
      <c r="D528" s="220" t="s">
        <v>404</v>
      </c>
      <c r="E528" s="220">
        <v>4</v>
      </c>
      <c r="F528" s="220">
        <v>203.52699999999999</v>
      </c>
      <c r="G528" s="220">
        <v>10482</v>
      </c>
      <c r="H528" s="220">
        <v>12363</v>
      </c>
      <c r="I528" s="220">
        <v>14444</v>
      </c>
      <c r="J528" s="220">
        <v>200.33500000000001</v>
      </c>
      <c r="K528" s="220">
        <v>-19.937000000000001</v>
      </c>
      <c r="L528" s="220">
        <v>24.417999999999999</v>
      </c>
      <c r="M528" s="220" t="s">
        <v>1122</v>
      </c>
      <c r="N528" s="220" t="s">
        <v>933</v>
      </c>
      <c r="O528" s="220" t="s">
        <v>1123</v>
      </c>
      <c r="P528" s="220" t="s">
        <v>1124</v>
      </c>
      <c r="Q528" s="220" t="s">
        <v>111</v>
      </c>
      <c r="R528" s="220" t="s">
        <v>132</v>
      </c>
      <c r="S528" s="220" t="s">
        <v>235</v>
      </c>
    </row>
    <row r="529" spans="1:19" hidden="1" x14ac:dyDescent="0.25">
      <c r="A529" s="220">
        <v>76</v>
      </c>
      <c r="B529" s="220" t="s">
        <v>1121</v>
      </c>
      <c r="C529" s="220" t="s">
        <v>267</v>
      </c>
      <c r="D529" s="220" t="s">
        <v>404</v>
      </c>
      <c r="E529" s="220">
        <v>5</v>
      </c>
      <c r="F529" s="220">
        <v>200.22800000000001</v>
      </c>
      <c r="G529" s="220">
        <v>15804</v>
      </c>
      <c r="H529" s="220">
        <v>19049</v>
      </c>
      <c r="I529" s="220">
        <v>22023</v>
      </c>
      <c r="J529" s="220">
        <v>197.03800000000001</v>
      </c>
      <c r="K529" s="220">
        <v>-1.4850000000000001</v>
      </c>
      <c r="L529" s="220">
        <v>35.9</v>
      </c>
      <c r="M529" s="220" t="s">
        <v>1122</v>
      </c>
      <c r="N529" s="220" t="s">
        <v>933</v>
      </c>
      <c r="O529" s="220" t="s">
        <v>1123</v>
      </c>
      <c r="P529" s="220" t="s">
        <v>1124</v>
      </c>
      <c r="Q529" s="220" t="s">
        <v>156</v>
      </c>
      <c r="R529" s="220" t="s">
        <v>160</v>
      </c>
      <c r="S529" s="220" t="s">
        <v>697</v>
      </c>
    </row>
    <row r="530" spans="1:19" x14ac:dyDescent="0.25">
      <c r="A530" s="220">
        <v>76</v>
      </c>
      <c r="B530" s="220" t="s">
        <v>1121</v>
      </c>
      <c r="C530" s="220" t="s">
        <v>267</v>
      </c>
      <c r="D530" s="220" t="s">
        <v>404</v>
      </c>
      <c r="E530" s="220">
        <v>6</v>
      </c>
      <c r="F530" s="220">
        <v>178.15600000000001</v>
      </c>
      <c r="G530" s="220">
        <v>14321</v>
      </c>
      <c r="H530" s="220">
        <v>17260</v>
      </c>
      <c r="I530" s="220">
        <v>19962</v>
      </c>
      <c r="J530" s="220">
        <v>175.31800000000001</v>
      </c>
      <c r="K530" s="220">
        <v>-1.464</v>
      </c>
      <c r="L530" s="220">
        <v>36.006999999999998</v>
      </c>
      <c r="M530" s="220" t="s">
        <v>1122</v>
      </c>
      <c r="N530" s="220" t="s">
        <v>933</v>
      </c>
      <c r="O530" s="220" t="s">
        <v>1123</v>
      </c>
      <c r="P530" s="220" t="s">
        <v>1124</v>
      </c>
      <c r="Q530" s="220" t="s">
        <v>124</v>
      </c>
      <c r="R530" s="220" t="s">
        <v>243</v>
      </c>
      <c r="S530" s="220" t="s">
        <v>573</v>
      </c>
    </row>
    <row r="531" spans="1:19" x14ac:dyDescent="0.25">
      <c r="A531" s="220">
        <v>76</v>
      </c>
      <c r="B531" s="220" t="s">
        <v>1121</v>
      </c>
      <c r="C531" s="220" t="s">
        <v>267</v>
      </c>
      <c r="D531" s="220" t="s">
        <v>404</v>
      </c>
      <c r="E531" s="220">
        <v>7</v>
      </c>
      <c r="F531" s="220">
        <v>166.59399999999999</v>
      </c>
      <c r="G531" s="220">
        <v>13483</v>
      </c>
      <c r="H531" s="220">
        <v>16244</v>
      </c>
      <c r="I531" s="220">
        <v>18795</v>
      </c>
      <c r="J531" s="220">
        <v>163.94</v>
      </c>
      <c r="K531" s="220">
        <v>-1.3839999999999999</v>
      </c>
      <c r="L531" s="220">
        <v>36.055</v>
      </c>
      <c r="M531" s="220" t="s">
        <v>1122</v>
      </c>
      <c r="N531" s="220" t="s">
        <v>933</v>
      </c>
      <c r="O531" s="220" t="s">
        <v>1123</v>
      </c>
      <c r="P531" s="220" t="s">
        <v>1124</v>
      </c>
      <c r="Q531" s="220" t="s">
        <v>436</v>
      </c>
      <c r="R531" s="220" t="s">
        <v>845</v>
      </c>
      <c r="S531" s="220" t="s">
        <v>1125</v>
      </c>
    </row>
    <row r="532" spans="1:19" hidden="1" x14ac:dyDescent="0.25">
      <c r="A532" s="220">
        <v>77</v>
      </c>
      <c r="B532" s="220" t="s">
        <v>1126</v>
      </c>
      <c r="C532" s="220" t="s">
        <v>286</v>
      </c>
      <c r="D532" s="220" t="s">
        <v>405</v>
      </c>
      <c r="E532" s="220">
        <v>1</v>
      </c>
      <c r="F532" s="220">
        <v>205.529</v>
      </c>
      <c r="G532" s="220">
        <v>10505</v>
      </c>
      <c r="H532" s="220">
        <v>12391</v>
      </c>
      <c r="I532" s="220">
        <v>14472</v>
      </c>
      <c r="J532" s="220">
        <v>202.30600000000001</v>
      </c>
      <c r="K532" s="220">
        <v>-19.931999999999999</v>
      </c>
      <c r="L532" s="220">
        <v>24.422000000000001</v>
      </c>
      <c r="M532" s="220" t="s">
        <v>1127</v>
      </c>
      <c r="N532" s="220" t="s">
        <v>933</v>
      </c>
      <c r="O532" s="220" t="s">
        <v>1128</v>
      </c>
      <c r="P532" s="220" t="s">
        <v>1129</v>
      </c>
      <c r="Q532" s="220" t="s">
        <v>78</v>
      </c>
      <c r="R532" s="220" t="s">
        <v>145</v>
      </c>
      <c r="S532" s="220" t="s">
        <v>195</v>
      </c>
    </row>
    <row r="533" spans="1:19" hidden="1" x14ac:dyDescent="0.25">
      <c r="A533" s="220">
        <v>77</v>
      </c>
      <c r="B533" s="220" t="s">
        <v>1126</v>
      </c>
      <c r="C533" s="220" t="s">
        <v>286</v>
      </c>
      <c r="D533" s="220" t="s">
        <v>405</v>
      </c>
      <c r="E533" s="220">
        <v>2</v>
      </c>
      <c r="F533" s="220">
        <v>202.636</v>
      </c>
      <c r="G533" s="220">
        <v>10501</v>
      </c>
      <c r="H533" s="220">
        <v>12385</v>
      </c>
      <c r="I533" s="220">
        <v>14467</v>
      </c>
      <c r="J533" s="220">
        <v>199.458</v>
      </c>
      <c r="K533" s="220">
        <v>-19.937000000000001</v>
      </c>
      <c r="L533" s="220">
        <v>24.401</v>
      </c>
      <c r="M533" s="220" t="s">
        <v>1127</v>
      </c>
      <c r="N533" s="220" t="s">
        <v>933</v>
      </c>
      <c r="O533" s="220" t="s">
        <v>1128</v>
      </c>
      <c r="P533" s="220" t="s">
        <v>1129</v>
      </c>
      <c r="Q533" s="220" t="s">
        <v>111</v>
      </c>
      <c r="R533" s="220" t="s">
        <v>132</v>
      </c>
      <c r="S533" s="220" t="s">
        <v>189</v>
      </c>
    </row>
    <row r="534" spans="1:19" hidden="1" x14ac:dyDescent="0.25">
      <c r="A534" s="220">
        <v>77</v>
      </c>
      <c r="B534" s="220" t="s">
        <v>1126</v>
      </c>
      <c r="C534" s="220" t="s">
        <v>286</v>
      </c>
      <c r="D534" s="220" t="s">
        <v>405</v>
      </c>
      <c r="E534" s="220">
        <v>3</v>
      </c>
      <c r="F534" s="220">
        <v>204.3</v>
      </c>
      <c r="G534" s="220">
        <v>10553</v>
      </c>
      <c r="H534" s="220">
        <v>12447</v>
      </c>
      <c r="I534" s="220">
        <v>14543</v>
      </c>
      <c r="J534" s="220">
        <v>201.096</v>
      </c>
      <c r="K534" s="220">
        <v>-19.931999999999999</v>
      </c>
      <c r="L534" s="220">
        <v>24.399000000000001</v>
      </c>
      <c r="M534" s="220" t="s">
        <v>1127</v>
      </c>
      <c r="N534" s="220" t="s">
        <v>933</v>
      </c>
      <c r="O534" s="220" t="s">
        <v>1128</v>
      </c>
      <c r="P534" s="220" t="s">
        <v>1129</v>
      </c>
      <c r="Q534" s="220" t="s">
        <v>117</v>
      </c>
      <c r="R534" s="220" t="s">
        <v>119</v>
      </c>
      <c r="S534" s="220" t="s">
        <v>241</v>
      </c>
    </row>
    <row r="535" spans="1:19" hidden="1" x14ac:dyDescent="0.25">
      <c r="A535" s="220">
        <v>77</v>
      </c>
      <c r="B535" s="220" t="s">
        <v>1126</v>
      </c>
      <c r="C535" s="220" t="s">
        <v>286</v>
      </c>
      <c r="D535" s="220" t="s">
        <v>405</v>
      </c>
      <c r="E535" s="220">
        <v>4</v>
      </c>
      <c r="F535" s="220">
        <v>204.02199999999999</v>
      </c>
      <c r="G535" s="220">
        <v>10506</v>
      </c>
      <c r="H535" s="220">
        <v>12391</v>
      </c>
      <c r="I535" s="220">
        <v>14476</v>
      </c>
      <c r="J535" s="220">
        <v>200.82300000000001</v>
      </c>
      <c r="K535" s="220">
        <v>-19.937000000000001</v>
      </c>
      <c r="L535" s="220">
        <v>24.417999999999999</v>
      </c>
      <c r="M535" s="220" t="s">
        <v>1127</v>
      </c>
      <c r="N535" s="220" t="s">
        <v>933</v>
      </c>
      <c r="O535" s="220" t="s">
        <v>1128</v>
      </c>
      <c r="P535" s="220" t="s">
        <v>1129</v>
      </c>
      <c r="Q535" s="220" t="s">
        <v>158</v>
      </c>
      <c r="R535" s="220" t="s">
        <v>233</v>
      </c>
      <c r="S535" s="220" t="s">
        <v>303</v>
      </c>
    </row>
    <row r="536" spans="1:19" hidden="1" x14ac:dyDescent="0.25">
      <c r="A536" s="220">
        <v>77</v>
      </c>
      <c r="B536" s="220" t="s">
        <v>1126</v>
      </c>
      <c r="C536" s="220" t="s">
        <v>286</v>
      </c>
      <c r="D536" s="220" t="s">
        <v>405</v>
      </c>
      <c r="E536" s="220">
        <v>5</v>
      </c>
      <c r="F536" s="220">
        <v>190.93199999999999</v>
      </c>
      <c r="G536" s="220">
        <v>14442</v>
      </c>
      <c r="H536" s="220">
        <v>17390</v>
      </c>
      <c r="I536" s="220">
        <v>20129</v>
      </c>
      <c r="J536" s="220">
        <v>187.89099999999999</v>
      </c>
      <c r="K536" s="220">
        <v>-1.4910000000000001</v>
      </c>
      <c r="L536" s="220">
        <v>35.542000000000002</v>
      </c>
      <c r="M536" s="220" t="s">
        <v>1127</v>
      </c>
      <c r="N536" s="220" t="s">
        <v>933</v>
      </c>
      <c r="O536" s="220" t="s">
        <v>1128</v>
      </c>
      <c r="P536" s="220" t="s">
        <v>1129</v>
      </c>
      <c r="Q536" s="220" t="s">
        <v>114</v>
      </c>
      <c r="R536" s="220" t="s">
        <v>47</v>
      </c>
      <c r="S536" s="220" t="s">
        <v>77</v>
      </c>
    </row>
    <row r="537" spans="1:19" x14ac:dyDescent="0.25">
      <c r="A537" s="220">
        <v>77</v>
      </c>
      <c r="B537" s="220" t="s">
        <v>1126</v>
      </c>
      <c r="C537" s="220" t="s">
        <v>286</v>
      </c>
      <c r="D537" s="220" t="s">
        <v>405</v>
      </c>
      <c r="E537" s="220">
        <v>6</v>
      </c>
      <c r="F537" s="220">
        <v>167.07599999999999</v>
      </c>
      <c r="G537" s="220">
        <v>12869</v>
      </c>
      <c r="H537" s="220">
        <v>15492</v>
      </c>
      <c r="I537" s="220">
        <v>17935</v>
      </c>
      <c r="J537" s="220">
        <v>164.41499999999999</v>
      </c>
      <c r="K537" s="220">
        <v>-1.51</v>
      </c>
      <c r="L537" s="220">
        <v>35.951000000000001</v>
      </c>
      <c r="M537" s="220" t="s">
        <v>1127</v>
      </c>
      <c r="N537" s="220" t="s">
        <v>933</v>
      </c>
      <c r="O537" s="220" t="s">
        <v>1128</v>
      </c>
      <c r="P537" s="220" t="s">
        <v>1129</v>
      </c>
      <c r="Q537" s="220" t="s">
        <v>192</v>
      </c>
      <c r="R537" s="220" t="s">
        <v>191</v>
      </c>
      <c r="S537" s="220" t="s">
        <v>600</v>
      </c>
    </row>
    <row r="538" spans="1:19" x14ac:dyDescent="0.25">
      <c r="A538" s="220">
        <v>77</v>
      </c>
      <c r="B538" s="220" t="s">
        <v>1126</v>
      </c>
      <c r="C538" s="220" t="s">
        <v>286</v>
      </c>
      <c r="D538" s="220" t="s">
        <v>405</v>
      </c>
      <c r="E538" s="220">
        <v>7</v>
      </c>
      <c r="F538" s="220">
        <v>155.262</v>
      </c>
      <c r="G538" s="220">
        <v>12003</v>
      </c>
      <c r="H538" s="220">
        <v>14449</v>
      </c>
      <c r="I538" s="220">
        <v>16730</v>
      </c>
      <c r="J538" s="220">
        <v>152.78800000000001</v>
      </c>
      <c r="K538" s="220">
        <v>-1.4419999999999999</v>
      </c>
      <c r="L538" s="220">
        <v>35.994</v>
      </c>
      <c r="M538" s="220" t="s">
        <v>1127</v>
      </c>
      <c r="N538" s="220" t="s">
        <v>933</v>
      </c>
      <c r="O538" s="220" t="s">
        <v>1128</v>
      </c>
      <c r="P538" s="220" t="s">
        <v>1129</v>
      </c>
      <c r="Q538" s="220" t="s">
        <v>288</v>
      </c>
      <c r="R538" s="220" t="s">
        <v>545</v>
      </c>
      <c r="S538" s="220" t="s">
        <v>1130</v>
      </c>
    </row>
    <row r="539" spans="1:19" hidden="1" x14ac:dyDescent="0.25">
      <c r="A539" s="220">
        <v>78</v>
      </c>
      <c r="B539" s="220" t="s">
        <v>1131</v>
      </c>
      <c r="C539" s="220" t="s">
        <v>289</v>
      </c>
      <c r="D539" s="220" t="s">
        <v>406</v>
      </c>
      <c r="E539" s="220">
        <v>1</v>
      </c>
      <c r="F539" s="220">
        <v>205.131</v>
      </c>
      <c r="G539" s="220">
        <v>10463</v>
      </c>
      <c r="H539" s="220">
        <v>12342</v>
      </c>
      <c r="I539" s="220">
        <v>14410</v>
      </c>
      <c r="J539" s="220">
        <v>201.91499999999999</v>
      </c>
      <c r="K539" s="220">
        <v>-19.943000000000001</v>
      </c>
      <c r="L539" s="220">
        <v>24.385000000000002</v>
      </c>
      <c r="M539" s="220" t="s">
        <v>1132</v>
      </c>
      <c r="N539" s="220" t="s">
        <v>933</v>
      </c>
      <c r="O539" s="220" t="s">
        <v>1133</v>
      </c>
      <c r="P539" s="220" t="s">
        <v>1134</v>
      </c>
      <c r="Q539" s="220" t="s">
        <v>649</v>
      </c>
      <c r="R539" s="220" t="s">
        <v>109</v>
      </c>
      <c r="S539" s="220" t="s">
        <v>228</v>
      </c>
    </row>
    <row r="540" spans="1:19" hidden="1" x14ac:dyDescent="0.25">
      <c r="A540" s="220">
        <v>78</v>
      </c>
      <c r="B540" s="220" t="s">
        <v>1131</v>
      </c>
      <c r="C540" s="220" t="s">
        <v>289</v>
      </c>
      <c r="D540" s="220" t="s">
        <v>406</v>
      </c>
      <c r="E540" s="220">
        <v>2</v>
      </c>
      <c r="F540" s="220">
        <v>201.261</v>
      </c>
      <c r="G540" s="220">
        <v>10461</v>
      </c>
      <c r="H540" s="220">
        <v>12339</v>
      </c>
      <c r="I540" s="220">
        <v>14405</v>
      </c>
      <c r="J540" s="220">
        <v>198.10499999999999</v>
      </c>
      <c r="K540" s="220">
        <v>-19.937999999999999</v>
      </c>
      <c r="L540" s="220">
        <v>24.393000000000001</v>
      </c>
      <c r="M540" s="220" t="s">
        <v>1132</v>
      </c>
      <c r="N540" s="220" t="s">
        <v>933</v>
      </c>
      <c r="O540" s="220" t="s">
        <v>1133</v>
      </c>
      <c r="P540" s="220" t="s">
        <v>1134</v>
      </c>
      <c r="Q540" s="220" t="s">
        <v>131</v>
      </c>
      <c r="R540" s="220" t="s">
        <v>270</v>
      </c>
      <c r="S540" s="220" t="s">
        <v>258</v>
      </c>
    </row>
    <row r="541" spans="1:19" hidden="1" x14ac:dyDescent="0.25">
      <c r="A541" s="220">
        <v>78</v>
      </c>
      <c r="B541" s="220" t="s">
        <v>1131</v>
      </c>
      <c r="C541" s="220" t="s">
        <v>289</v>
      </c>
      <c r="D541" s="220" t="s">
        <v>406</v>
      </c>
      <c r="E541" s="220">
        <v>3</v>
      </c>
      <c r="F541" s="220">
        <v>203.54499999999999</v>
      </c>
      <c r="G541" s="220">
        <v>10526</v>
      </c>
      <c r="H541" s="220">
        <v>12416</v>
      </c>
      <c r="I541" s="220">
        <v>14496</v>
      </c>
      <c r="J541" s="220">
        <v>200.35400000000001</v>
      </c>
      <c r="K541" s="220">
        <v>-19.940999999999999</v>
      </c>
      <c r="L541" s="220">
        <v>24.387</v>
      </c>
      <c r="M541" s="220" t="s">
        <v>1132</v>
      </c>
      <c r="N541" s="220" t="s">
        <v>933</v>
      </c>
      <c r="O541" s="220" t="s">
        <v>1133</v>
      </c>
      <c r="P541" s="220" t="s">
        <v>1134</v>
      </c>
      <c r="Q541" s="220" t="s">
        <v>237</v>
      </c>
      <c r="R541" s="220" t="s">
        <v>105</v>
      </c>
      <c r="S541" s="220" t="s">
        <v>585</v>
      </c>
    </row>
    <row r="542" spans="1:19" hidden="1" x14ac:dyDescent="0.25">
      <c r="A542" s="220">
        <v>78</v>
      </c>
      <c r="B542" s="220" t="s">
        <v>1131</v>
      </c>
      <c r="C542" s="220" t="s">
        <v>289</v>
      </c>
      <c r="D542" s="220" t="s">
        <v>406</v>
      </c>
      <c r="E542" s="220">
        <v>4</v>
      </c>
      <c r="F542" s="220">
        <v>203.66800000000001</v>
      </c>
      <c r="G542" s="220">
        <v>10476</v>
      </c>
      <c r="H542" s="220">
        <v>12357</v>
      </c>
      <c r="I542" s="220">
        <v>14425</v>
      </c>
      <c r="J542" s="220">
        <v>200.47499999999999</v>
      </c>
      <c r="K542" s="220">
        <v>-19.937000000000001</v>
      </c>
      <c r="L542" s="220">
        <v>24.417999999999999</v>
      </c>
      <c r="M542" s="220" t="s">
        <v>1132</v>
      </c>
      <c r="N542" s="220" t="s">
        <v>933</v>
      </c>
      <c r="O542" s="220" t="s">
        <v>1133</v>
      </c>
      <c r="P542" s="220" t="s">
        <v>1134</v>
      </c>
      <c r="Q542" s="220" t="s">
        <v>237</v>
      </c>
      <c r="R542" s="220" t="s">
        <v>105</v>
      </c>
      <c r="S542" s="220" t="s">
        <v>585</v>
      </c>
    </row>
    <row r="543" spans="1:19" hidden="1" x14ac:dyDescent="0.25">
      <c r="A543" s="220">
        <v>78</v>
      </c>
      <c r="B543" s="220" t="s">
        <v>1131</v>
      </c>
      <c r="C543" s="220" t="s">
        <v>289</v>
      </c>
      <c r="D543" s="220" t="s">
        <v>406</v>
      </c>
      <c r="E543" s="220">
        <v>5</v>
      </c>
      <c r="F543" s="220">
        <v>196.965</v>
      </c>
      <c r="G543" s="220">
        <v>15699</v>
      </c>
      <c r="H543" s="220">
        <v>18928</v>
      </c>
      <c r="I543" s="220">
        <v>21861</v>
      </c>
      <c r="J543" s="220">
        <v>193.828</v>
      </c>
      <c r="K543" s="220">
        <v>-1.228</v>
      </c>
      <c r="L543" s="220">
        <v>35.628</v>
      </c>
      <c r="M543" s="220" t="s">
        <v>1132</v>
      </c>
      <c r="N543" s="220" t="s">
        <v>933</v>
      </c>
      <c r="O543" s="220" t="s">
        <v>1133</v>
      </c>
      <c r="P543" s="220" t="s">
        <v>1134</v>
      </c>
      <c r="Q543" s="220" t="s">
        <v>156</v>
      </c>
      <c r="R543" s="220" t="s">
        <v>160</v>
      </c>
      <c r="S543" s="220" t="s">
        <v>601</v>
      </c>
    </row>
    <row r="544" spans="1:19" x14ac:dyDescent="0.25">
      <c r="A544" s="220">
        <v>78</v>
      </c>
      <c r="B544" s="220" t="s">
        <v>1131</v>
      </c>
      <c r="C544" s="220" t="s">
        <v>289</v>
      </c>
      <c r="D544" s="220" t="s">
        <v>406</v>
      </c>
      <c r="E544" s="220">
        <v>6</v>
      </c>
      <c r="F544" s="220">
        <v>175.61799999999999</v>
      </c>
      <c r="G544" s="220">
        <v>14232</v>
      </c>
      <c r="H544" s="220">
        <v>17150</v>
      </c>
      <c r="I544" s="220">
        <v>19820</v>
      </c>
      <c r="J544" s="220">
        <v>172.82</v>
      </c>
      <c r="K544" s="220">
        <v>-1.206</v>
      </c>
      <c r="L544" s="220">
        <v>35.777999999999999</v>
      </c>
      <c r="M544" s="220" t="s">
        <v>1132</v>
      </c>
      <c r="N544" s="220" t="s">
        <v>933</v>
      </c>
      <c r="O544" s="220" t="s">
        <v>1133</v>
      </c>
      <c r="P544" s="220" t="s">
        <v>1134</v>
      </c>
      <c r="Q544" s="220" t="s">
        <v>124</v>
      </c>
      <c r="R544" s="220" t="s">
        <v>243</v>
      </c>
      <c r="S544" s="220" t="s">
        <v>573</v>
      </c>
    </row>
    <row r="545" spans="1:19" x14ac:dyDescent="0.25">
      <c r="A545" s="220">
        <v>78</v>
      </c>
      <c r="B545" s="220" t="s">
        <v>1131</v>
      </c>
      <c r="C545" s="220" t="s">
        <v>289</v>
      </c>
      <c r="D545" s="220" t="s">
        <v>406</v>
      </c>
      <c r="E545" s="220">
        <v>7</v>
      </c>
      <c r="F545" s="220">
        <v>164.274</v>
      </c>
      <c r="G545" s="220">
        <v>13384</v>
      </c>
      <c r="H545" s="220">
        <v>16126</v>
      </c>
      <c r="I545" s="220">
        <v>18641</v>
      </c>
      <c r="J545" s="220">
        <v>161.65700000000001</v>
      </c>
      <c r="K545" s="220">
        <v>-1.119</v>
      </c>
      <c r="L545" s="220">
        <v>35.817999999999998</v>
      </c>
      <c r="M545" s="220" t="s">
        <v>1132</v>
      </c>
      <c r="N545" s="220" t="s">
        <v>933</v>
      </c>
      <c r="O545" s="220" t="s">
        <v>1133</v>
      </c>
      <c r="P545" s="220" t="s">
        <v>1134</v>
      </c>
      <c r="Q545" s="220" t="s">
        <v>271</v>
      </c>
      <c r="R545" s="220" t="s">
        <v>574</v>
      </c>
      <c r="S545" s="220" t="s">
        <v>995</v>
      </c>
    </row>
    <row r="546" spans="1:19" hidden="1" x14ac:dyDescent="0.25">
      <c r="A546" s="220">
        <v>79</v>
      </c>
      <c r="B546" s="220" t="s">
        <v>1135</v>
      </c>
      <c r="C546" s="220" t="s">
        <v>505</v>
      </c>
      <c r="D546" s="220" t="s">
        <v>407</v>
      </c>
      <c r="E546" s="220">
        <v>1</v>
      </c>
      <c r="F546" s="220">
        <v>205.37</v>
      </c>
      <c r="G546" s="220">
        <v>10502</v>
      </c>
      <c r="H546" s="220">
        <v>12387</v>
      </c>
      <c r="I546" s="220">
        <v>14471</v>
      </c>
      <c r="J546" s="220">
        <v>202.15</v>
      </c>
      <c r="K546" s="220">
        <v>-19.940999999999999</v>
      </c>
      <c r="L546" s="220">
        <v>24.449000000000002</v>
      </c>
      <c r="M546" s="220" t="s">
        <v>724</v>
      </c>
      <c r="N546" s="220" t="s">
        <v>933</v>
      </c>
      <c r="O546" s="220" t="s">
        <v>1136</v>
      </c>
      <c r="P546" s="220" t="s">
        <v>1137</v>
      </c>
      <c r="Q546" s="220" t="s">
        <v>102</v>
      </c>
      <c r="R546" s="220" t="s">
        <v>122</v>
      </c>
      <c r="S546" s="220" t="s">
        <v>159</v>
      </c>
    </row>
    <row r="547" spans="1:19" hidden="1" x14ac:dyDescent="0.25">
      <c r="A547" s="220">
        <v>79</v>
      </c>
      <c r="B547" s="220" t="s">
        <v>1135</v>
      </c>
      <c r="C547" s="220" t="s">
        <v>505</v>
      </c>
      <c r="D547" s="220" t="s">
        <v>407</v>
      </c>
      <c r="E547" s="220">
        <v>2</v>
      </c>
      <c r="F547" s="220">
        <v>202.66900000000001</v>
      </c>
      <c r="G547" s="220">
        <v>10483</v>
      </c>
      <c r="H547" s="220">
        <v>12365</v>
      </c>
      <c r="I547" s="220">
        <v>14446</v>
      </c>
      <c r="J547" s="220">
        <v>199.49100000000001</v>
      </c>
      <c r="K547" s="220">
        <v>-19.945</v>
      </c>
      <c r="L547" s="220">
        <v>24.428000000000001</v>
      </c>
      <c r="M547" s="220" t="s">
        <v>724</v>
      </c>
      <c r="N547" s="220" t="s">
        <v>933</v>
      </c>
      <c r="O547" s="220" t="s">
        <v>1136</v>
      </c>
      <c r="P547" s="220" t="s">
        <v>1137</v>
      </c>
      <c r="Q547" s="220" t="s">
        <v>237</v>
      </c>
      <c r="R547" s="220" t="s">
        <v>105</v>
      </c>
      <c r="S547" s="220" t="s">
        <v>177</v>
      </c>
    </row>
    <row r="548" spans="1:19" hidden="1" x14ac:dyDescent="0.25">
      <c r="A548" s="220">
        <v>79</v>
      </c>
      <c r="B548" s="220" t="s">
        <v>1135</v>
      </c>
      <c r="C548" s="220" t="s">
        <v>505</v>
      </c>
      <c r="D548" s="220" t="s">
        <v>407</v>
      </c>
      <c r="E548" s="220">
        <v>3</v>
      </c>
      <c r="F548" s="220">
        <v>204.35300000000001</v>
      </c>
      <c r="G548" s="220">
        <v>10546</v>
      </c>
      <c r="H548" s="220">
        <v>12439</v>
      </c>
      <c r="I548" s="220">
        <v>14533</v>
      </c>
      <c r="J548" s="220">
        <v>201.149</v>
      </c>
      <c r="K548" s="220">
        <v>-19.93</v>
      </c>
      <c r="L548" s="220">
        <v>24.448</v>
      </c>
      <c r="M548" s="220" t="s">
        <v>724</v>
      </c>
      <c r="N548" s="220" t="s">
        <v>933</v>
      </c>
      <c r="O548" s="220" t="s">
        <v>1136</v>
      </c>
      <c r="P548" s="220" t="s">
        <v>1137</v>
      </c>
      <c r="Q548" s="220" t="s">
        <v>111</v>
      </c>
      <c r="R548" s="220" t="s">
        <v>233</v>
      </c>
      <c r="S548" s="220" t="s">
        <v>235</v>
      </c>
    </row>
    <row r="549" spans="1:19" hidden="1" x14ac:dyDescent="0.25">
      <c r="A549" s="220">
        <v>79</v>
      </c>
      <c r="B549" s="220" t="s">
        <v>1135</v>
      </c>
      <c r="C549" s="220" t="s">
        <v>505</v>
      </c>
      <c r="D549" s="220" t="s">
        <v>407</v>
      </c>
      <c r="E549" s="220">
        <v>4</v>
      </c>
      <c r="F549" s="220">
        <v>204.143</v>
      </c>
      <c r="G549" s="220">
        <v>10506</v>
      </c>
      <c r="H549" s="220">
        <v>12391</v>
      </c>
      <c r="I549" s="220">
        <v>14473</v>
      </c>
      <c r="J549" s="220">
        <v>200.94200000000001</v>
      </c>
      <c r="K549" s="220">
        <v>-19.937000000000001</v>
      </c>
      <c r="L549" s="220">
        <v>24.417999999999999</v>
      </c>
      <c r="M549" s="220" t="s">
        <v>724</v>
      </c>
      <c r="N549" s="220" t="s">
        <v>933</v>
      </c>
      <c r="O549" s="220" t="s">
        <v>1136</v>
      </c>
      <c r="P549" s="220" t="s">
        <v>1137</v>
      </c>
      <c r="Q549" s="220" t="s">
        <v>158</v>
      </c>
      <c r="R549" s="220" t="s">
        <v>233</v>
      </c>
      <c r="S549" s="220" t="s">
        <v>190</v>
      </c>
    </row>
    <row r="550" spans="1:19" hidden="1" x14ac:dyDescent="0.25">
      <c r="A550" s="220">
        <v>79</v>
      </c>
      <c r="B550" s="220" t="s">
        <v>1135</v>
      </c>
      <c r="C550" s="220" t="s">
        <v>505</v>
      </c>
      <c r="D550" s="220" t="s">
        <v>407</v>
      </c>
      <c r="E550" s="220">
        <v>5</v>
      </c>
      <c r="F550" s="220">
        <v>186.70699999999999</v>
      </c>
      <c r="G550" s="220">
        <v>14144</v>
      </c>
      <c r="H550" s="220">
        <v>17036</v>
      </c>
      <c r="I550" s="220">
        <v>19711</v>
      </c>
      <c r="J550" s="220">
        <v>183.733</v>
      </c>
      <c r="K550" s="220">
        <v>-1.2849999999999999</v>
      </c>
      <c r="L550" s="220">
        <v>35.491</v>
      </c>
      <c r="M550" s="220" t="s">
        <v>724</v>
      </c>
      <c r="N550" s="220" t="s">
        <v>933</v>
      </c>
      <c r="O550" s="220" t="s">
        <v>1136</v>
      </c>
      <c r="P550" s="220" t="s">
        <v>1137</v>
      </c>
      <c r="Q550" s="220" t="s">
        <v>399</v>
      </c>
      <c r="R550" s="220" t="s">
        <v>56</v>
      </c>
      <c r="S550" s="220" t="s">
        <v>55</v>
      </c>
    </row>
    <row r="551" spans="1:19" x14ac:dyDescent="0.25">
      <c r="A551" s="220">
        <v>79</v>
      </c>
      <c r="B551" s="220" t="s">
        <v>1135</v>
      </c>
      <c r="C551" s="220" t="s">
        <v>505</v>
      </c>
      <c r="D551" s="220" t="s">
        <v>407</v>
      </c>
      <c r="E551" s="220">
        <v>6</v>
      </c>
      <c r="F551" s="220">
        <v>163.74199999999999</v>
      </c>
      <c r="G551" s="220">
        <v>12631</v>
      </c>
      <c r="H551" s="220">
        <v>15210</v>
      </c>
      <c r="I551" s="220">
        <v>17602</v>
      </c>
      <c r="J551" s="220">
        <v>161.13300000000001</v>
      </c>
      <c r="K551" s="220">
        <v>-1.2589999999999999</v>
      </c>
      <c r="L551" s="220">
        <v>35.856000000000002</v>
      </c>
      <c r="M551" s="220" t="s">
        <v>724</v>
      </c>
      <c r="N551" s="220" t="s">
        <v>933</v>
      </c>
      <c r="O551" s="220" t="s">
        <v>1136</v>
      </c>
      <c r="P551" s="220" t="s">
        <v>1137</v>
      </c>
      <c r="Q551" s="220" t="s">
        <v>228</v>
      </c>
      <c r="R551" s="220" t="s">
        <v>196</v>
      </c>
      <c r="S551" s="220" t="s">
        <v>261</v>
      </c>
    </row>
    <row r="552" spans="1:19" x14ac:dyDescent="0.25">
      <c r="A552" s="220">
        <v>79</v>
      </c>
      <c r="B552" s="220" t="s">
        <v>1135</v>
      </c>
      <c r="C552" s="220" t="s">
        <v>505</v>
      </c>
      <c r="D552" s="220" t="s">
        <v>407</v>
      </c>
      <c r="E552" s="220">
        <v>7</v>
      </c>
      <c r="F552" s="220">
        <v>152.11199999999999</v>
      </c>
      <c r="G552" s="220">
        <v>11774</v>
      </c>
      <c r="H552" s="220">
        <v>14178</v>
      </c>
      <c r="I552" s="220">
        <v>16412</v>
      </c>
      <c r="J552" s="220">
        <v>149.68899999999999</v>
      </c>
      <c r="K552" s="220">
        <v>-1.2170000000000001</v>
      </c>
      <c r="L552" s="220">
        <v>35.871000000000002</v>
      </c>
      <c r="M552" s="220" t="s">
        <v>724</v>
      </c>
      <c r="N552" s="220" t="s">
        <v>933</v>
      </c>
      <c r="O552" s="220" t="s">
        <v>1136</v>
      </c>
      <c r="P552" s="220" t="s">
        <v>1137</v>
      </c>
      <c r="Q552" s="220" t="s">
        <v>553</v>
      </c>
      <c r="R552" s="220" t="s">
        <v>349</v>
      </c>
      <c r="S552" s="220" t="s">
        <v>722</v>
      </c>
    </row>
    <row r="553" spans="1:19" hidden="1" x14ac:dyDescent="0.25">
      <c r="A553" s="220">
        <v>80</v>
      </c>
      <c r="B553" s="220" t="s">
        <v>1138</v>
      </c>
      <c r="C553" s="220" t="s">
        <v>328</v>
      </c>
      <c r="D553" s="220" t="s">
        <v>408</v>
      </c>
      <c r="E553" s="220">
        <v>1</v>
      </c>
      <c r="F553" s="220">
        <v>205.68199999999999</v>
      </c>
      <c r="G553" s="220">
        <v>10493</v>
      </c>
      <c r="H553" s="220">
        <v>12376</v>
      </c>
      <c r="I553" s="220">
        <v>14461</v>
      </c>
      <c r="J553" s="220">
        <v>202.45699999999999</v>
      </c>
      <c r="K553" s="220">
        <v>-19.934000000000001</v>
      </c>
      <c r="L553" s="220">
        <v>24.442</v>
      </c>
      <c r="M553" s="220" t="s">
        <v>1139</v>
      </c>
      <c r="N553" s="220" t="s">
        <v>933</v>
      </c>
      <c r="O553" s="220" t="s">
        <v>1140</v>
      </c>
      <c r="P553" s="220" t="s">
        <v>1141</v>
      </c>
      <c r="Q553" s="220" t="s">
        <v>71</v>
      </c>
      <c r="R553" s="220" t="s">
        <v>115</v>
      </c>
      <c r="S553" s="220" t="s">
        <v>228</v>
      </c>
    </row>
    <row r="554" spans="1:19" hidden="1" x14ac:dyDescent="0.25">
      <c r="A554" s="220">
        <v>80</v>
      </c>
      <c r="B554" s="220" t="s">
        <v>1138</v>
      </c>
      <c r="C554" s="220" t="s">
        <v>328</v>
      </c>
      <c r="D554" s="220" t="s">
        <v>408</v>
      </c>
      <c r="E554" s="220">
        <v>2</v>
      </c>
      <c r="F554" s="220">
        <v>202.61600000000001</v>
      </c>
      <c r="G554" s="220">
        <v>10499</v>
      </c>
      <c r="H554" s="220">
        <v>12383</v>
      </c>
      <c r="I554" s="220">
        <v>14463</v>
      </c>
      <c r="J554" s="220">
        <v>199.43899999999999</v>
      </c>
      <c r="K554" s="220">
        <v>-19.943000000000001</v>
      </c>
      <c r="L554" s="220">
        <v>24.411000000000001</v>
      </c>
      <c r="M554" s="220" t="s">
        <v>1139</v>
      </c>
      <c r="N554" s="220" t="s">
        <v>933</v>
      </c>
      <c r="O554" s="220" t="s">
        <v>1140</v>
      </c>
      <c r="P554" s="220" t="s">
        <v>1141</v>
      </c>
      <c r="Q554" s="220" t="s">
        <v>131</v>
      </c>
      <c r="R554" s="220" t="s">
        <v>270</v>
      </c>
      <c r="S554" s="220" t="s">
        <v>258</v>
      </c>
    </row>
    <row r="555" spans="1:19" hidden="1" x14ac:dyDescent="0.25">
      <c r="A555" s="220">
        <v>80</v>
      </c>
      <c r="B555" s="220" t="s">
        <v>1138</v>
      </c>
      <c r="C555" s="220" t="s">
        <v>328</v>
      </c>
      <c r="D555" s="220" t="s">
        <v>408</v>
      </c>
      <c r="E555" s="220">
        <v>3</v>
      </c>
      <c r="F555" s="220">
        <v>204.23400000000001</v>
      </c>
      <c r="G555" s="220">
        <v>10550</v>
      </c>
      <c r="H555" s="220">
        <v>12443</v>
      </c>
      <c r="I555" s="220">
        <v>14534</v>
      </c>
      <c r="J555" s="220">
        <v>201.03200000000001</v>
      </c>
      <c r="K555" s="220">
        <v>-19.936</v>
      </c>
      <c r="L555" s="220">
        <v>24.416</v>
      </c>
      <c r="M555" s="220" t="s">
        <v>1139</v>
      </c>
      <c r="N555" s="220" t="s">
        <v>933</v>
      </c>
      <c r="O555" s="220" t="s">
        <v>1140</v>
      </c>
      <c r="P555" s="220" t="s">
        <v>1141</v>
      </c>
      <c r="Q555" s="220" t="s">
        <v>237</v>
      </c>
      <c r="R555" s="220" t="s">
        <v>105</v>
      </c>
      <c r="S555" s="220" t="s">
        <v>177</v>
      </c>
    </row>
    <row r="556" spans="1:19" hidden="1" x14ac:dyDescent="0.25">
      <c r="A556" s="220">
        <v>80</v>
      </c>
      <c r="B556" s="220" t="s">
        <v>1138</v>
      </c>
      <c r="C556" s="220" t="s">
        <v>328</v>
      </c>
      <c r="D556" s="220" t="s">
        <v>408</v>
      </c>
      <c r="E556" s="220">
        <v>4</v>
      </c>
      <c r="F556" s="220">
        <v>204.184</v>
      </c>
      <c r="G556" s="220">
        <v>10504</v>
      </c>
      <c r="H556" s="220">
        <v>12390</v>
      </c>
      <c r="I556" s="220">
        <v>14475</v>
      </c>
      <c r="J556" s="220">
        <v>200.982</v>
      </c>
      <c r="K556" s="220">
        <v>-19.937000000000001</v>
      </c>
      <c r="L556" s="220">
        <v>24.417999999999999</v>
      </c>
      <c r="M556" s="220" t="s">
        <v>1139</v>
      </c>
      <c r="N556" s="220" t="s">
        <v>933</v>
      </c>
      <c r="O556" s="220" t="s">
        <v>1140</v>
      </c>
      <c r="P556" s="220" t="s">
        <v>1141</v>
      </c>
      <c r="Q556" s="220" t="s">
        <v>237</v>
      </c>
      <c r="R556" s="220" t="s">
        <v>252</v>
      </c>
      <c r="S556" s="220" t="s">
        <v>585</v>
      </c>
    </row>
    <row r="557" spans="1:19" hidden="1" x14ac:dyDescent="0.25">
      <c r="A557" s="220">
        <v>80</v>
      </c>
      <c r="B557" s="220" t="s">
        <v>1138</v>
      </c>
      <c r="C557" s="220" t="s">
        <v>328</v>
      </c>
      <c r="D557" s="220" t="s">
        <v>408</v>
      </c>
      <c r="E557" s="220">
        <v>5</v>
      </c>
      <c r="F557" s="220">
        <v>226.892</v>
      </c>
      <c r="G557" s="220">
        <v>18190</v>
      </c>
      <c r="H557" s="220">
        <v>21926</v>
      </c>
      <c r="I557" s="220">
        <v>25349</v>
      </c>
      <c r="J557" s="220">
        <v>223.27799999999999</v>
      </c>
      <c r="K557" s="220">
        <v>-1.665</v>
      </c>
      <c r="L557" s="220">
        <v>35.683999999999997</v>
      </c>
      <c r="M557" s="220" t="s">
        <v>1139</v>
      </c>
      <c r="N557" s="220" t="s">
        <v>933</v>
      </c>
      <c r="O557" s="220" t="s">
        <v>1140</v>
      </c>
      <c r="P557" s="220" t="s">
        <v>1141</v>
      </c>
      <c r="Q557" s="220" t="s">
        <v>168</v>
      </c>
      <c r="R557" s="220" t="s">
        <v>571</v>
      </c>
      <c r="S557" s="220" t="s">
        <v>887</v>
      </c>
    </row>
    <row r="558" spans="1:19" x14ac:dyDescent="0.25">
      <c r="A558" s="220">
        <v>80</v>
      </c>
      <c r="B558" s="220" t="s">
        <v>1138</v>
      </c>
      <c r="C558" s="220" t="s">
        <v>328</v>
      </c>
      <c r="D558" s="220" t="s">
        <v>408</v>
      </c>
      <c r="E558" s="220">
        <v>6</v>
      </c>
      <c r="F558" s="220">
        <v>200.22</v>
      </c>
      <c r="G558" s="220">
        <v>16257</v>
      </c>
      <c r="H558" s="220">
        <v>19584</v>
      </c>
      <c r="I558" s="220">
        <v>22661</v>
      </c>
      <c r="J558" s="220">
        <v>197.03100000000001</v>
      </c>
      <c r="K558" s="220">
        <v>-1.627</v>
      </c>
      <c r="L558" s="220">
        <v>35.93</v>
      </c>
      <c r="M558" s="220" t="s">
        <v>1139</v>
      </c>
      <c r="N558" s="220" t="s">
        <v>933</v>
      </c>
      <c r="O558" s="220" t="s">
        <v>1140</v>
      </c>
      <c r="P558" s="220" t="s">
        <v>1141</v>
      </c>
      <c r="Q558" s="220" t="s">
        <v>259</v>
      </c>
      <c r="R558" s="220" t="s">
        <v>187</v>
      </c>
      <c r="S558" s="220" t="s">
        <v>779</v>
      </c>
    </row>
    <row r="559" spans="1:19" x14ac:dyDescent="0.25">
      <c r="A559" s="220">
        <v>80</v>
      </c>
      <c r="B559" s="220" t="s">
        <v>1138</v>
      </c>
      <c r="C559" s="220" t="s">
        <v>328</v>
      </c>
      <c r="D559" s="220" t="s">
        <v>408</v>
      </c>
      <c r="E559" s="220">
        <v>7</v>
      </c>
      <c r="F559" s="220">
        <v>188.52199999999999</v>
      </c>
      <c r="G559" s="220">
        <v>15144</v>
      </c>
      <c r="H559" s="220">
        <v>18237</v>
      </c>
      <c r="I559" s="220">
        <v>21103</v>
      </c>
      <c r="J559" s="220">
        <v>185.51900000000001</v>
      </c>
      <c r="K559" s="220">
        <v>-1.625</v>
      </c>
      <c r="L559" s="220">
        <v>35.953000000000003</v>
      </c>
      <c r="M559" s="220" t="s">
        <v>1139</v>
      </c>
      <c r="N559" s="220" t="s">
        <v>933</v>
      </c>
      <c r="O559" s="220" t="s">
        <v>1140</v>
      </c>
      <c r="P559" s="220" t="s">
        <v>1141</v>
      </c>
      <c r="Q559" s="220" t="s">
        <v>259</v>
      </c>
      <c r="R559" s="220" t="s">
        <v>187</v>
      </c>
      <c r="S559" s="220" t="s">
        <v>779</v>
      </c>
    </row>
    <row r="560" spans="1:19" hidden="1" x14ac:dyDescent="0.25">
      <c r="A560" s="220">
        <v>81</v>
      </c>
      <c r="B560" s="220" t="s">
        <v>1142</v>
      </c>
      <c r="C560" s="220" t="s">
        <v>232</v>
      </c>
      <c r="D560" s="220" t="s">
        <v>410</v>
      </c>
      <c r="E560" s="220">
        <v>1</v>
      </c>
      <c r="F560" s="220">
        <v>205.34899999999999</v>
      </c>
      <c r="G560" s="220">
        <v>10495</v>
      </c>
      <c r="H560" s="220">
        <v>12379</v>
      </c>
      <c r="I560" s="220">
        <v>14460</v>
      </c>
      <c r="J560" s="220">
        <v>202.12899999999999</v>
      </c>
      <c r="K560" s="220">
        <v>-19.931999999999999</v>
      </c>
      <c r="L560" s="220">
        <v>24.434999999999999</v>
      </c>
      <c r="M560" s="220" t="s">
        <v>1143</v>
      </c>
      <c r="N560" s="220" t="s">
        <v>933</v>
      </c>
      <c r="O560" s="220" t="s">
        <v>1144</v>
      </c>
      <c r="P560" s="220" t="s">
        <v>1145</v>
      </c>
      <c r="Q560" s="220" t="s">
        <v>54</v>
      </c>
      <c r="R560" s="220" t="s">
        <v>207</v>
      </c>
      <c r="S560" s="220" t="s">
        <v>219</v>
      </c>
    </row>
    <row r="561" spans="1:19" hidden="1" x14ac:dyDescent="0.25">
      <c r="A561" s="220">
        <v>81</v>
      </c>
      <c r="B561" s="220" t="s">
        <v>1142</v>
      </c>
      <c r="C561" s="220" t="s">
        <v>232</v>
      </c>
      <c r="D561" s="220" t="s">
        <v>410</v>
      </c>
      <c r="E561" s="220">
        <v>2</v>
      </c>
      <c r="F561" s="220">
        <v>202.893</v>
      </c>
      <c r="G561" s="220">
        <v>10507</v>
      </c>
      <c r="H561" s="220">
        <v>12392</v>
      </c>
      <c r="I561" s="220">
        <v>14475</v>
      </c>
      <c r="J561" s="220">
        <v>199.71100000000001</v>
      </c>
      <c r="K561" s="220">
        <v>-19.948</v>
      </c>
      <c r="L561" s="220">
        <v>24.433</v>
      </c>
      <c r="M561" s="220" t="s">
        <v>1143</v>
      </c>
      <c r="N561" s="220" t="s">
        <v>933</v>
      </c>
      <c r="O561" s="220" t="s">
        <v>1144</v>
      </c>
      <c r="P561" s="220" t="s">
        <v>1145</v>
      </c>
      <c r="Q561" s="220" t="s">
        <v>158</v>
      </c>
      <c r="R561" s="220" t="s">
        <v>233</v>
      </c>
      <c r="S561" s="220" t="s">
        <v>190</v>
      </c>
    </row>
    <row r="562" spans="1:19" hidden="1" x14ac:dyDescent="0.25">
      <c r="A562" s="220">
        <v>81</v>
      </c>
      <c r="B562" s="220" t="s">
        <v>1142</v>
      </c>
      <c r="C562" s="220" t="s">
        <v>232</v>
      </c>
      <c r="D562" s="220" t="s">
        <v>410</v>
      </c>
      <c r="E562" s="220">
        <v>3</v>
      </c>
      <c r="F562" s="220">
        <v>204.16499999999999</v>
      </c>
      <c r="G562" s="220">
        <v>10550</v>
      </c>
      <c r="H562" s="220">
        <v>12444</v>
      </c>
      <c r="I562" s="220">
        <v>14537</v>
      </c>
      <c r="J562" s="220">
        <v>200.964</v>
      </c>
      <c r="K562" s="220">
        <v>-19.934000000000001</v>
      </c>
      <c r="L562" s="220">
        <v>24.422000000000001</v>
      </c>
      <c r="M562" s="220" t="s">
        <v>1143</v>
      </c>
      <c r="N562" s="220" t="s">
        <v>933</v>
      </c>
      <c r="O562" s="220" t="s">
        <v>1144</v>
      </c>
      <c r="P562" s="220" t="s">
        <v>1145</v>
      </c>
      <c r="Q562" s="220" t="s">
        <v>81</v>
      </c>
      <c r="R562" s="220" t="s">
        <v>96</v>
      </c>
      <c r="S562" s="220" t="s">
        <v>144</v>
      </c>
    </row>
    <row r="563" spans="1:19" hidden="1" x14ac:dyDescent="0.25">
      <c r="A563" s="220">
        <v>81</v>
      </c>
      <c r="B563" s="220" t="s">
        <v>1142</v>
      </c>
      <c r="C563" s="220" t="s">
        <v>232</v>
      </c>
      <c r="D563" s="220" t="s">
        <v>410</v>
      </c>
      <c r="E563" s="220">
        <v>4</v>
      </c>
      <c r="F563" s="220">
        <v>204.06299999999999</v>
      </c>
      <c r="G563" s="220">
        <v>10503</v>
      </c>
      <c r="H563" s="220">
        <v>12388</v>
      </c>
      <c r="I563" s="220">
        <v>14470</v>
      </c>
      <c r="J563" s="220">
        <v>200.864</v>
      </c>
      <c r="K563" s="220">
        <v>-19.937000000000001</v>
      </c>
      <c r="L563" s="220">
        <v>24.417999999999999</v>
      </c>
      <c r="M563" s="220" t="s">
        <v>1143</v>
      </c>
      <c r="N563" s="220" t="s">
        <v>933</v>
      </c>
      <c r="O563" s="220" t="s">
        <v>1144</v>
      </c>
      <c r="P563" s="220" t="s">
        <v>1145</v>
      </c>
      <c r="Q563" s="220" t="s">
        <v>117</v>
      </c>
      <c r="R563" s="220" t="s">
        <v>119</v>
      </c>
      <c r="S563" s="220" t="s">
        <v>241</v>
      </c>
    </row>
    <row r="564" spans="1:19" hidden="1" x14ac:dyDescent="0.25">
      <c r="A564" s="220">
        <v>81</v>
      </c>
      <c r="B564" s="220" t="s">
        <v>1142</v>
      </c>
      <c r="C564" s="220" t="s">
        <v>232</v>
      </c>
      <c r="D564" s="220" t="s">
        <v>410</v>
      </c>
      <c r="E564" s="220">
        <v>5</v>
      </c>
      <c r="F564" s="220">
        <v>189.52600000000001</v>
      </c>
      <c r="G564" s="220">
        <v>14409</v>
      </c>
      <c r="H564" s="220">
        <v>17356</v>
      </c>
      <c r="I564" s="220">
        <v>20086</v>
      </c>
      <c r="J564" s="220">
        <v>186.506</v>
      </c>
      <c r="K564" s="220">
        <v>-1.419</v>
      </c>
      <c r="L564" s="220">
        <v>35.97</v>
      </c>
      <c r="M564" s="220" t="s">
        <v>1143</v>
      </c>
      <c r="N564" s="220" t="s">
        <v>933</v>
      </c>
      <c r="O564" s="220" t="s">
        <v>1144</v>
      </c>
      <c r="P564" s="220" t="s">
        <v>1145</v>
      </c>
      <c r="Q564" s="220" t="s">
        <v>175</v>
      </c>
      <c r="R564" s="220" t="s">
        <v>101</v>
      </c>
      <c r="S564" s="220" t="s">
        <v>620</v>
      </c>
    </row>
    <row r="565" spans="1:19" x14ac:dyDescent="0.25">
      <c r="A565" s="220">
        <v>81</v>
      </c>
      <c r="B565" s="220" t="s">
        <v>1142</v>
      </c>
      <c r="C565" s="220" t="s">
        <v>232</v>
      </c>
      <c r="D565" s="220" t="s">
        <v>410</v>
      </c>
      <c r="E565" s="220">
        <v>6</v>
      </c>
      <c r="F565" s="220">
        <v>166.31399999999999</v>
      </c>
      <c r="G565" s="220">
        <v>12871</v>
      </c>
      <c r="H565" s="220">
        <v>15503</v>
      </c>
      <c r="I565" s="220">
        <v>17943</v>
      </c>
      <c r="J565" s="220">
        <v>163.66399999999999</v>
      </c>
      <c r="K565" s="220">
        <v>-1.389</v>
      </c>
      <c r="L565" s="220">
        <v>36.159999999999997</v>
      </c>
      <c r="M565" s="220" t="s">
        <v>1143</v>
      </c>
      <c r="N565" s="220" t="s">
        <v>933</v>
      </c>
      <c r="O565" s="220" t="s">
        <v>1144</v>
      </c>
      <c r="P565" s="220" t="s">
        <v>1145</v>
      </c>
      <c r="Q565" s="220" t="s">
        <v>163</v>
      </c>
      <c r="R565" s="220" t="s">
        <v>279</v>
      </c>
      <c r="S565" s="220" t="s">
        <v>187</v>
      </c>
    </row>
    <row r="566" spans="1:19" x14ac:dyDescent="0.25">
      <c r="A566" s="220">
        <v>81</v>
      </c>
      <c r="B566" s="220" t="s">
        <v>1142</v>
      </c>
      <c r="C566" s="220" t="s">
        <v>232</v>
      </c>
      <c r="D566" s="220" t="s">
        <v>410</v>
      </c>
      <c r="E566" s="220">
        <v>7</v>
      </c>
      <c r="F566" s="220">
        <v>154.53299999999999</v>
      </c>
      <c r="G566" s="220">
        <v>12009</v>
      </c>
      <c r="H566" s="220">
        <v>14462</v>
      </c>
      <c r="I566" s="220">
        <v>16738</v>
      </c>
      <c r="J566" s="220">
        <v>152.071</v>
      </c>
      <c r="K566" s="220">
        <v>-1.34</v>
      </c>
      <c r="L566" s="220">
        <v>36.186999999999998</v>
      </c>
      <c r="M566" s="220" t="s">
        <v>1143</v>
      </c>
      <c r="N566" s="220" t="s">
        <v>933</v>
      </c>
      <c r="O566" s="220" t="s">
        <v>1144</v>
      </c>
      <c r="P566" s="220" t="s">
        <v>1145</v>
      </c>
      <c r="Q566" s="220" t="s">
        <v>990</v>
      </c>
      <c r="R566" s="220" t="s">
        <v>1146</v>
      </c>
      <c r="S566" s="220" t="s">
        <v>881</v>
      </c>
    </row>
    <row r="567" spans="1:19" hidden="1" x14ac:dyDescent="0.25">
      <c r="A567" s="220">
        <v>82</v>
      </c>
      <c r="B567" s="220" t="s">
        <v>1147</v>
      </c>
      <c r="C567" s="220" t="s">
        <v>227</v>
      </c>
      <c r="D567" s="220" t="s">
        <v>411</v>
      </c>
      <c r="E567" s="220">
        <v>1</v>
      </c>
      <c r="F567" s="220">
        <v>204.059</v>
      </c>
      <c r="G567" s="220">
        <v>10450</v>
      </c>
      <c r="H567" s="220">
        <v>12324</v>
      </c>
      <c r="I567" s="220">
        <v>14402</v>
      </c>
      <c r="J567" s="220">
        <v>200.86</v>
      </c>
      <c r="K567" s="220">
        <v>-19.946000000000002</v>
      </c>
      <c r="L567" s="220">
        <v>24.402999999999999</v>
      </c>
      <c r="M567" s="220" t="s">
        <v>1148</v>
      </c>
      <c r="N567" s="220" t="s">
        <v>933</v>
      </c>
      <c r="O567" s="220" t="s">
        <v>1149</v>
      </c>
      <c r="P567" s="220" t="s">
        <v>1150</v>
      </c>
      <c r="Q567" s="220" t="s">
        <v>649</v>
      </c>
      <c r="R567" s="220" t="s">
        <v>130</v>
      </c>
      <c r="S567" s="220" t="s">
        <v>244</v>
      </c>
    </row>
    <row r="568" spans="1:19" hidden="1" x14ac:dyDescent="0.25">
      <c r="A568" s="220">
        <v>82</v>
      </c>
      <c r="B568" s="220" t="s">
        <v>1147</v>
      </c>
      <c r="C568" s="220" t="s">
        <v>227</v>
      </c>
      <c r="D568" s="220" t="s">
        <v>411</v>
      </c>
      <c r="E568" s="220">
        <v>2</v>
      </c>
      <c r="F568" s="220">
        <v>202.09700000000001</v>
      </c>
      <c r="G568" s="220">
        <v>10453</v>
      </c>
      <c r="H568" s="220">
        <v>12327</v>
      </c>
      <c r="I568" s="220">
        <v>14404</v>
      </c>
      <c r="J568" s="220">
        <v>198.928</v>
      </c>
      <c r="K568" s="220">
        <v>-19.928999999999998</v>
      </c>
      <c r="L568" s="220">
        <v>24.393000000000001</v>
      </c>
      <c r="M568" s="220" t="s">
        <v>1148</v>
      </c>
      <c r="N568" s="220" t="s">
        <v>933</v>
      </c>
      <c r="O568" s="220" t="s">
        <v>1149</v>
      </c>
      <c r="P568" s="220" t="s">
        <v>1150</v>
      </c>
      <c r="Q568" s="220" t="s">
        <v>131</v>
      </c>
      <c r="R568" s="220" t="s">
        <v>270</v>
      </c>
      <c r="S568" s="220" t="s">
        <v>243</v>
      </c>
    </row>
    <row r="569" spans="1:19" hidden="1" x14ac:dyDescent="0.25">
      <c r="A569" s="220">
        <v>82</v>
      </c>
      <c r="B569" s="220" t="s">
        <v>1147</v>
      </c>
      <c r="C569" s="220" t="s">
        <v>227</v>
      </c>
      <c r="D569" s="220" t="s">
        <v>411</v>
      </c>
      <c r="E569" s="220">
        <v>3</v>
      </c>
      <c r="F569" s="220">
        <v>203.17400000000001</v>
      </c>
      <c r="G569" s="220">
        <v>10503</v>
      </c>
      <c r="H569" s="220">
        <v>12386</v>
      </c>
      <c r="I569" s="220">
        <v>14472</v>
      </c>
      <c r="J569" s="220">
        <v>199.988</v>
      </c>
      <c r="K569" s="220">
        <v>-19.943999999999999</v>
      </c>
      <c r="L569" s="220">
        <v>24.419</v>
      </c>
      <c r="M569" s="220" t="s">
        <v>1148</v>
      </c>
      <c r="N569" s="220" t="s">
        <v>933</v>
      </c>
      <c r="O569" s="220" t="s">
        <v>1149</v>
      </c>
      <c r="P569" s="220" t="s">
        <v>1150</v>
      </c>
      <c r="Q569" s="220" t="s">
        <v>237</v>
      </c>
      <c r="R569" s="220" t="s">
        <v>105</v>
      </c>
      <c r="S569" s="220" t="s">
        <v>177</v>
      </c>
    </row>
    <row r="570" spans="1:19" hidden="1" x14ac:dyDescent="0.25">
      <c r="A570" s="220">
        <v>82</v>
      </c>
      <c r="B570" s="220" t="s">
        <v>1147</v>
      </c>
      <c r="C570" s="220" t="s">
        <v>227</v>
      </c>
      <c r="D570" s="220" t="s">
        <v>411</v>
      </c>
      <c r="E570" s="220">
        <v>4</v>
      </c>
      <c r="F570" s="220">
        <v>203.477</v>
      </c>
      <c r="G570" s="220">
        <v>10465</v>
      </c>
      <c r="H570" s="220">
        <v>12341</v>
      </c>
      <c r="I570" s="220">
        <v>14421</v>
      </c>
      <c r="J570" s="220">
        <v>200.28700000000001</v>
      </c>
      <c r="K570" s="220">
        <v>-19.937000000000001</v>
      </c>
      <c r="L570" s="220">
        <v>24.417999999999999</v>
      </c>
      <c r="M570" s="220" t="s">
        <v>1148</v>
      </c>
      <c r="N570" s="220" t="s">
        <v>933</v>
      </c>
      <c r="O570" s="220" t="s">
        <v>1149</v>
      </c>
      <c r="P570" s="220" t="s">
        <v>1150</v>
      </c>
      <c r="Q570" s="220" t="s">
        <v>120</v>
      </c>
      <c r="R570" s="220" t="s">
        <v>105</v>
      </c>
      <c r="S570" s="220" t="s">
        <v>585</v>
      </c>
    </row>
    <row r="571" spans="1:19" hidden="1" x14ac:dyDescent="0.25">
      <c r="A571" s="220">
        <v>82</v>
      </c>
      <c r="B571" s="220" t="s">
        <v>1147</v>
      </c>
      <c r="C571" s="220" t="s">
        <v>227</v>
      </c>
      <c r="D571" s="220" t="s">
        <v>411</v>
      </c>
      <c r="E571" s="220">
        <v>5</v>
      </c>
      <c r="F571" s="220">
        <v>189.62</v>
      </c>
      <c r="G571" s="220">
        <v>15053</v>
      </c>
      <c r="H571" s="220">
        <v>18132</v>
      </c>
      <c r="I571" s="220">
        <v>20990</v>
      </c>
      <c r="J571" s="220">
        <v>186.59899999999999</v>
      </c>
      <c r="K571" s="220">
        <v>-1.2450000000000001</v>
      </c>
      <c r="L571" s="220">
        <v>35.837000000000003</v>
      </c>
      <c r="M571" s="220" t="s">
        <v>1148</v>
      </c>
      <c r="N571" s="220" t="s">
        <v>933</v>
      </c>
      <c r="O571" s="220" t="s">
        <v>1149</v>
      </c>
      <c r="P571" s="220" t="s">
        <v>1150</v>
      </c>
      <c r="Q571" s="220" t="s">
        <v>181</v>
      </c>
      <c r="R571" s="220" t="s">
        <v>87</v>
      </c>
      <c r="S571" s="220" t="s">
        <v>50</v>
      </c>
    </row>
    <row r="572" spans="1:19" x14ac:dyDescent="0.25">
      <c r="A572" s="220">
        <v>82</v>
      </c>
      <c r="B572" s="220" t="s">
        <v>1147</v>
      </c>
      <c r="C572" s="220" t="s">
        <v>227</v>
      </c>
      <c r="D572" s="220" t="s">
        <v>411</v>
      </c>
      <c r="E572" s="220">
        <v>6</v>
      </c>
      <c r="F572" s="220">
        <v>166.38499999999999</v>
      </c>
      <c r="G572" s="220">
        <v>13282</v>
      </c>
      <c r="H572" s="220">
        <v>15990</v>
      </c>
      <c r="I572" s="220">
        <v>18521</v>
      </c>
      <c r="J572" s="220">
        <v>163.73400000000001</v>
      </c>
      <c r="K572" s="220">
        <v>-1.1890000000000001</v>
      </c>
      <c r="L572" s="220">
        <v>36.229999999999997</v>
      </c>
      <c r="M572" s="220" t="s">
        <v>1148</v>
      </c>
      <c r="N572" s="220" t="s">
        <v>933</v>
      </c>
      <c r="O572" s="220" t="s">
        <v>1149</v>
      </c>
      <c r="P572" s="220" t="s">
        <v>1150</v>
      </c>
      <c r="Q572" s="220" t="s">
        <v>219</v>
      </c>
      <c r="R572" s="220" t="s">
        <v>379</v>
      </c>
      <c r="S572" s="220" t="s">
        <v>374</v>
      </c>
    </row>
    <row r="573" spans="1:19" x14ac:dyDescent="0.25">
      <c r="A573" s="220">
        <v>82</v>
      </c>
      <c r="B573" s="220" t="s">
        <v>1147</v>
      </c>
      <c r="C573" s="220" t="s">
        <v>227</v>
      </c>
      <c r="D573" s="220" t="s">
        <v>411</v>
      </c>
      <c r="E573" s="220">
        <v>7</v>
      </c>
      <c r="F573" s="220">
        <v>154.30600000000001</v>
      </c>
      <c r="G573" s="220">
        <v>12284</v>
      </c>
      <c r="H573" s="220">
        <v>14784</v>
      </c>
      <c r="I573" s="220">
        <v>17126</v>
      </c>
      <c r="J573" s="220">
        <v>151.84700000000001</v>
      </c>
      <c r="K573" s="220">
        <v>-1.165</v>
      </c>
      <c r="L573" s="220">
        <v>36.204000000000001</v>
      </c>
      <c r="M573" s="220" t="s">
        <v>1148</v>
      </c>
      <c r="N573" s="220" t="s">
        <v>933</v>
      </c>
      <c r="O573" s="220" t="s">
        <v>1149</v>
      </c>
      <c r="P573" s="220" t="s">
        <v>1150</v>
      </c>
      <c r="Q573" s="220" t="s">
        <v>547</v>
      </c>
      <c r="R573" s="220" t="s">
        <v>622</v>
      </c>
      <c r="S573" s="220" t="s">
        <v>703</v>
      </c>
    </row>
    <row r="574" spans="1:19" hidden="1" x14ac:dyDescent="0.25">
      <c r="A574" s="220">
        <v>83</v>
      </c>
      <c r="B574" s="220" t="s">
        <v>0</v>
      </c>
      <c r="C574" s="220" t="s">
        <v>518</v>
      </c>
      <c r="D574" s="220" t="s">
        <v>412</v>
      </c>
      <c r="E574" s="220">
        <v>1</v>
      </c>
      <c r="F574" s="220">
        <v>204.90799999999999</v>
      </c>
      <c r="G574" s="220">
        <v>10482</v>
      </c>
      <c r="H574" s="220">
        <v>12363</v>
      </c>
      <c r="I574" s="220">
        <v>14441</v>
      </c>
      <c r="J574" s="220">
        <v>201.69499999999999</v>
      </c>
      <c r="K574" s="220">
        <v>-19.931000000000001</v>
      </c>
      <c r="L574" s="220">
        <v>24.390999999999998</v>
      </c>
      <c r="M574" s="220" t="s">
        <v>1151</v>
      </c>
      <c r="N574" s="220" t="s">
        <v>933</v>
      </c>
      <c r="O574" s="220" t="s">
        <v>1152</v>
      </c>
      <c r="P574" s="220" t="s">
        <v>1153</v>
      </c>
      <c r="Q574" s="220" t="s">
        <v>68</v>
      </c>
      <c r="R574" s="220" t="s">
        <v>136</v>
      </c>
      <c r="S574" s="220" t="s">
        <v>125</v>
      </c>
    </row>
    <row r="575" spans="1:19" hidden="1" x14ac:dyDescent="0.25">
      <c r="A575" s="220">
        <v>83</v>
      </c>
      <c r="B575" s="220" t="s">
        <v>0</v>
      </c>
      <c r="C575" s="220" t="s">
        <v>518</v>
      </c>
      <c r="D575" s="220" t="s">
        <v>412</v>
      </c>
      <c r="E575" s="220">
        <v>2</v>
      </c>
      <c r="F575" s="220">
        <v>202.755</v>
      </c>
      <c r="G575" s="220">
        <v>10496</v>
      </c>
      <c r="H575" s="220">
        <v>12379</v>
      </c>
      <c r="I575" s="220">
        <v>14459</v>
      </c>
      <c r="J575" s="220">
        <v>199.57599999999999</v>
      </c>
      <c r="K575" s="220">
        <v>-19.940999999999999</v>
      </c>
      <c r="L575" s="220">
        <v>24.411999999999999</v>
      </c>
      <c r="M575" s="220" t="s">
        <v>1151</v>
      </c>
      <c r="N575" s="220" t="s">
        <v>933</v>
      </c>
      <c r="O575" s="220" t="s">
        <v>1152</v>
      </c>
      <c r="P575" s="220" t="s">
        <v>1153</v>
      </c>
      <c r="Q575" s="220" t="s">
        <v>207</v>
      </c>
      <c r="R575" s="220" t="s">
        <v>274</v>
      </c>
      <c r="S575" s="220" t="s">
        <v>172</v>
      </c>
    </row>
    <row r="576" spans="1:19" hidden="1" x14ac:dyDescent="0.25">
      <c r="A576" s="220">
        <v>83</v>
      </c>
      <c r="B576" s="220" t="s">
        <v>0</v>
      </c>
      <c r="C576" s="220" t="s">
        <v>518</v>
      </c>
      <c r="D576" s="220" t="s">
        <v>412</v>
      </c>
      <c r="E576" s="220">
        <v>3</v>
      </c>
      <c r="F576" s="220">
        <v>204.02799999999999</v>
      </c>
      <c r="G576" s="220">
        <v>10553</v>
      </c>
      <c r="H576" s="220">
        <v>12447</v>
      </c>
      <c r="I576" s="220">
        <v>14541</v>
      </c>
      <c r="J576" s="220">
        <v>200.82900000000001</v>
      </c>
      <c r="K576" s="220">
        <v>-19.942</v>
      </c>
      <c r="L576" s="220">
        <v>24.385999999999999</v>
      </c>
      <c r="M576" s="220" t="s">
        <v>1151</v>
      </c>
      <c r="N576" s="220" t="s">
        <v>933</v>
      </c>
      <c r="O576" s="220" t="s">
        <v>1152</v>
      </c>
      <c r="P576" s="220" t="s">
        <v>1153</v>
      </c>
      <c r="Q576" s="220" t="s">
        <v>236</v>
      </c>
      <c r="R576" s="220" t="s">
        <v>252</v>
      </c>
      <c r="S576" s="220" t="s">
        <v>253</v>
      </c>
    </row>
    <row r="577" spans="1:19" hidden="1" x14ac:dyDescent="0.25">
      <c r="A577" s="220">
        <v>83</v>
      </c>
      <c r="B577" s="220" t="s">
        <v>0</v>
      </c>
      <c r="C577" s="220" t="s">
        <v>518</v>
      </c>
      <c r="D577" s="220" t="s">
        <v>412</v>
      </c>
      <c r="E577" s="220">
        <v>4</v>
      </c>
      <c r="F577" s="220">
        <v>203.989</v>
      </c>
      <c r="G577" s="220">
        <v>10506</v>
      </c>
      <c r="H577" s="220">
        <v>12391</v>
      </c>
      <c r="I577" s="220">
        <v>14476</v>
      </c>
      <c r="J577" s="220">
        <v>200.791</v>
      </c>
      <c r="K577" s="220">
        <v>-19.937000000000001</v>
      </c>
      <c r="L577" s="220">
        <v>24.417999999999999</v>
      </c>
      <c r="M577" s="220" t="s">
        <v>1151</v>
      </c>
      <c r="N577" s="220" t="s">
        <v>933</v>
      </c>
      <c r="O577" s="220" t="s">
        <v>1152</v>
      </c>
      <c r="P577" s="220" t="s">
        <v>1153</v>
      </c>
      <c r="Q577" s="220" t="s">
        <v>237</v>
      </c>
      <c r="R577" s="220" t="s">
        <v>252</v>
      </c>
      <c r="S577" s="220" t="s">
        <v>177</v>
      </c>
    </row>
    <row r="578" spans="1:19" hidden="1" x14ac:dyDescent="0.25">
      <c r="A578" s="220">
        <v>83</v>
      </c>
      <c r="B578" s="220" t="s">
        <v>0</v>
      </c>
      <c r="C578" s="220" t="s">
        <v>518</v>
      </c>
      <c r="D578" s="220" t="s">
        <v>412</v>
      </c>
      <c r="E578" s="220">
        <v>5</v>
      </c>
      <c r="F578" s="220">
        <v>192.71899999999999</v>
      </c>
      <c r="G578" s="220">
        <v>14715</v>
      </c>
      <c r="H578" s="220">
        <v>17832</v>
      </c>
      <c r="I578" s="220">
        <v>20531</v>
      </c>
      <c r="J578" s="220">
        <v>189.636</v>
      </c>
      <c r="K578" s="220">
        <v>4.6779999999999999</v>
      </c>
      <c r="L578" s="220">
        <v>36.847000000000001</v>
      </c>
      <c r="M578" s="220" t="s">
        <v>1151</v>
      </c>
      <c r="N578" s="220" t="s">
        <v>933</v>
      </c>
      <c r="O578" s="220" t="s">
        <v>1152</v>
      </c>
      <c r="P578" s="220" t="s">
        <v>1153</v>
      </c>
      <c r="Q578" s="220" t="s">
        <v>171</v>
      </c>
      <c r="R578" s="220" t="s">
        <v>185</v>
      </c>
      <c r="S578" s="220" t="s">
        <v>162</v>
      </c>
    </row>
    <row r="579" spans="1:19" x14ac:dyDescent="0.25">
      <c r="A579" s="220">
        <v>83</v>
      </c>
      <c r="B579" s="220" t="s">
        <v>0</v>
      </c>
      <c r="C579" s="220" t="s">
        <v>518</v>
      </c>
      <c r="D579" s="220" t="s">
        <v>412</v>
      </c>
      <c r="E579" s="220">
        <v>6</v>
      </c>
      <c r="F579" s="220">
        <v>169.196</v>
      </c>
      <c r="G579" s="220">
        <v>13181</v>
      </c>
      <c r="H579" s="220">
        <v>15969</v>
      </c>
      <c r="I579" s="220">
        <v>18394</v>
      </c>
      <c r="J579" s="220">
        <v>166.489</v>
      </c>
      <c r="K579" s="220">
        <v>4.7</v>
      </c>
      <c r="L579" s="220">
        <v>37.012999999999998</v>
      </c>
      <c r="M579" s="220" t="s">
        <v>1151</v>
      </c>
      <c r="N579" s="220" t="s">
        <v>933</v>
      </c>
      <c r="O579" s="220" t="s">
        <v>1152</v>
      </c>
      <c r="P579" s="220" t="s">
        <v>1153</v>
      </c>
      <c r="Q579" s="220" t="s">
        <v>244</v>
      </c>
      <c r="R579" s="220" t="s">
        <v>186</v>
      </c>
      <c r="S579" s="220" t="s">
        <v>568</v>
      </c>
    </row>
    <row r="580" spans="1:19" x14ac:dyDescent="0.25">
      <c r="A580" s="220">
        <v>83</v>
      </c>
      <c r="B580" s="220" t="s">
        <v>0</v>
      </c>
      <c r="C580" s="220" t="s">
        <v>518</v>
      </c>
      <c r="D580" s="220" t="s">
        <v>412</v>
      </c>
      <c r="E580" s="220">
        <v>7</v>
      </c>
      <c r="F580" s="220">
        <v>157.345</v>
      </c>
      <c r="G580" s="220">
        <v>12366</v>
      </c>
      <c r="H580" s="220">
        <v>14982</v>
      </c>
      <c r="I580" s="220">
        <v>17252</v>
      </c>
      <c r="J580" s="220">
        <v>154.828</v>
      </c>
      <c r="K580" s="220">
        <v>4.7549999999999999</v>
      </c>
      <c r="L580" s="220">
        <v>37.040999999999997</v>
      </c>
      <c r="M580" s="220" t="s">
        <v>1151</v>
      </c>
      <c r="N580" s="220" t="s">
        <v>933</v>
      </c>
      <c r="O580" s="220" t="s">
        <v>1152</v>
      </c>
      <c r="P580" s="220" t="s">
        <v>1153</v>
      </c>
      <c r="Q580" s="220" t="s">
        <v>667</v>
      </c>
      <c r="R580" s="220" t="s">
        <v>708</v>
      </c>
      <c r="S580" s="220" t="s">
        <v>615</v>
      </c>
    </row>
    <row r="581" spans="1:19" hidden="1" x14ac:dyDescent="0.25">
      <c r="A581" s="220">
        <v>84</v>
      </c>
      <c r="B581" s="220" t="s">
        <v>0</v>
      </c>
      <c r="C581" s="220" t="s">
        <v>269</v>
      </c>
      <c r="D581" s="220" t="s">
        <v>413</v>
      </c>
      <c r="E581" s="220">
        <v>1</v>
      </c>
      <c r="F581" s="220">
        <v>204.63300000000001</v>
      </c>
      <c r="G581" s="220">
        <v>10458</v>
      </c>
      <c r="H581" s="220">
        <v>12335</v>
      </c>
      <c r="I581" s="220">
        <v>14409</v>
      </c>
      <c r="J581" s="220">
        <v>201.42400000000001</v>
      </c>
      <c r="K581" s="220">
        <v>-19.945</v>
      </c>
      <c r="L581" s="220">
        <v>24.422000000000001</v>
      </c>
      <c r="M581" s="220" t="s">
        <v>1154</v>
      </c>
      <c r="N581" s="220" t="s">
        <v>933</v>
      </c>
      <c r="O581" s="220" t="s">
        <v>1155</v>
      </c>
      <c r="P581" s="220" t="s">
        <v>1156</v>
      </c>
      <c r="Q581" s="220" t="s">
        <v>74</v>
      </c>
      <c r="R581" s="220" t="s">
        <v>122</v>
      </c>
      <c r="S581" s="220" t="s">
        <v>148</v>
      </c>
    </row>
    <row r="582" spans="1:19" hidden="1" x14ac:dyDescent="0.25">
      <c r="A582" s="220">
        <v>84</v>
      </c>
      <c r="B582" s="220" t="s">
        <v>0</v>
      </c>
      <c r="C582" s="220" t="s">
        <v>269</v>
      </c>
      <c r="D582" s="220" t="s">
        <v>413</v>
      </c>
      <c r="E582" s="220">
        <v>2</v>
      </c>
      <c r="F582" s="220">
        <v>202.01400000000001</v>
      </c>
      <c r="G582" s="220">
        <v>10456</v>
      </c>
      <c r="H582" s="220">
        <v>12332</v>
      </c>
      <c r="I582" s="220">
        <v>14406</v>
      </c>
      <c r="J582" s="220">
        <v>198.846</v>
      </c>
      <c r="K582" s="220">
        <v>-19.949000000000002</v>
      </c>
      <c r="L582" s="220">
        <v>24.414999999999999</v>
      </c>
      <c r="M582" s="220" t="s">
        <v>1154</v>
      </c>
      <c r="N582" s="220" t="s">
        <v>933</v>
      </c>
      <c r="O582" s="220" t="s">
        <v>1155</v>
      </c>
      <c r="P582" s="220" t="s">
        <v>1156</v>
      </c>
      <c r="Q582" s="220" t="s">
        <v>236</v>
      </c>
      <c r="R582" s="220" t="s">
        <v>252</v>
      </c>
      <c r="S582" s="220" t="s">
        <v>208</v>
      </c>
    </row>
    <row r="583" spans="1:19" hidden="1" x14ac:dyDescent="0.25">
      <c r="A583" s="220">
        <v>84</v>
      </c>
      <c r="B583" s="220" t="s">
        <v>0</v>
      </c>
      <c r="C583" s="220" t="s">
        <v>269</v>
      </c>
      <c r="D583" s="220" t="s">
        <v>413</v>
      </c>
      <c r="E583" s="220">
        <v>3</v>
      </c>
      <c r="F583" s="220">
        <v>203.517</v>
      </c>
      <c r="G583" s="220">
        <v>10513</v>
      </c>
      <c r="H583" s="220">
        <v>12400</v>
      </c>
      <c r="I583" s="220">
        <v>14490</v>
      </c>
      <c r="J583" s="220">
        <v>200.32599999999999</v>
      </c>
      <c r="K583" s="220">
        <v>-19.928999999999998</v>
      </c>
      <c r="L583" s="220">
        <v>24.428000000000001</v>
      </c>
      <c r="M583" s="220" t="s">
        <v>1154</v>
      </c>
      <c r="N583" s="220" t="s">
        <v>933</v>
      </c>
      <c r="O583" s="220" t="s">
        <v>1155</v>
      </c>
      <c r="P583" s="220" t="s">
        <v>1156</v>
      </c>
      <c r="Q583" s="220" t="s">
        <v>111</v>
      </c>
      <c r="R583" s="220" t="s">
        <v>132</v>
      </c>
      <c r="S583" s="220" t="s">
        <v>189</v>
      </c>
    </row>
    <row r="584" spans="1:19" hidden="1" x14ac:dyDescent="0.25">
      <c r="A584" s="220">
        <v>84</v>
      </c>
      <c r="B584" s="220" t="s">
        <v>0</v>
      </c>
      <c r="C584" s="220" t="s">
        <v>269</v>
      </c>
      <c r="D584" s="220" t="s">
        <v>413</v>
      </c>
      <c r="E584" s="220">
        <v>4</v>
      </c>
      <c r="F584" s="220">
        <v>203.28</v>
      </c>
      <c r="G584" s="220">
        <v>10471</v>
      </c>
      <c r="H584" s="220">
        <v>12349</v>
      </c>
      <c r="I584" s="220">
        <v>14426</v>
      </c>
      <c r="J584" s="220">
        <v>200.09299999999999</v>
      </c>
      <c r="K584" s="220">
        <v>-19.937000000000001</v>
      </c>
      <c r="L584" s="220">
        <v>24.417999999999999</v>
      </c>
      <c r="M584" s="220" t="s">
        <v>1154</v>
      </c>
      <c r="N584" s="220" t="s">
        <v>933</v>
      </c>
      <c r="O584" s="220" t="s">
        <v>1155</v>
      </c>
      <c r="P584" s="220" t="s">
        <v>1156</v>
      </c>
      <c r="Q584" s="220" t="s">
        <v>111</v>
      </c>
      <c r="R584" s="220" t="s">
        <v>226</v>
      </c>
      <c r="S584" s="220" t="s">
        <v>235</v>
      </c>
    </row>
    <row r="585" spans="1:19" hidden="1" x14ac:dyDescent="0.25">
      <c r="A585" s="220">
        <v>84</v>
      </c>
      <c r="B585" s="220" t="s">
        <v>0</v>
      </c>
      <c r="C585" s="220" t="s">
        <v>269</v>
      </c>
      <c r="D585" s="220" t="s">
        <v>413</v>
      </c>
      <c r="E585" s="220">
        <v>5</v>
      </c>
      <c r="F585" s="220">
        <v>187.72</v>
      </c>
      <c r="G585" s="220">
        <v>14536</v>
      </c>
      <c r="H585" s="220">
        <v>17601</v>
      </c>
      <c r="I585" s="220">
        <v>20281</v>
      </c>
      <c r="J585" s="220">
        <v>184.71700000000001</v>
      </c>
      <c r="K585" s="220">
        <v>4.6760000000000002</v>
      </c>
      <c r="L585" s="220">
        <v>36.720999999999997</v>
      </c>
      <c r="M585" s="220" t="s">
        <v>1154</v>
      </c>
      <c r="N585" s="220" t="s">
        <v>933</v>
      </c>
      <c r="O585" s="220" t="s">
        <v>1155</v>
      </c>
      <c r="P585" s="220" t="s">
        <v>1156</v>
      </c>
      <c r="Q585" s="220" t="s">
        <v>174</v>
      </c>
      <c r="R585" s="220" t="s">
        <v>611</v>
      </c>
      <c r="S585" s="220" t="s">
        <v>1157</v>
      </c>
    </row>
    <row r="586" spans="1:19" x14ac:dyDescent="0.25">
      <c r="A586" s="220">
        <v>84</v>
      </c>
      <c r="B586" s="220" t="s">
        <v>0</v>
      </c>
      <c r="C586" s="220" t="s">
        <v>269</v>
      </c>
      <c r="D586" s="220" t="s">
        <v>413</v>
      </c>
      <c r="E586" s="220">
        <v>6</v>
      </c>
      <c r="F586" s="220">
        <v>164.221</v>
      </c>
      <c r="G586" s="220">
        <v>12830</v>
      </c>
      <c r="H586" s="220">
        <v>15531</v>
      </c>
      <c r="I586" s="220">
        <v>17902</v>
      </c>
      <c r="J586" s="220">
        <v>161.59299999999999</v>
      </c>
      <c r="K586" s="220">
        <v>4.6849999999999996</v>
      </c>
      <c r="L586" s="220">
        <v>37.058999999999997</v>
      </c>
      <c r="M586" s="220" t="s">
        <v>1154</v>
      </c>
      <c r="N586" s="220" t="s">
        <v>933</v>
      </c>
      <c r="O586" s="220" t="s">
        <v>1155</v>
      </c>
      <c r="P586" s="220" t="s">
        <v>1156</v>
      </c>
      <c r="Q586" s="220" t="s">
        <v>148</v>
      </c>
      <c r="R586" s="220" t="s">
        <v>234</v>
      </c>
      <c r="S586" s="220" t="s">
        <v>300</v>
      </c>
    </row>
    <row r="587" spans="1:19" x14ac:dyDescent="0.25">
      <c r="A587" s="220">
        <v>84</v>
      </c>
      <c r="B587" s="220" t="s">
        <v>0</v>
      </c>
      <c r="C587" s="220" t="s">
        <v>269</v>
      </c>
      <c r="D587" s="220" t="s">
        <v>413</v>
      </c>
      <c r="E587" s="220">
        <v>7</v>
      </c>
      <c r="F587" s="220">
        <v>154.304</v>
      </c>
      <c r="G587" s="220">
        <v>11911</v>
      </c>
      <c r="H587" s="220">
        <v>14419</v>
      </c>
      <c r="I587" s="220">
        <v>16623</v>
      </c>
      <c r="J587" s="220">
        <v>151.83500000000001</v>
      </c>
      <c r="K587" s="220">
        <v>4.6580000000000004</v>
      </c>
      <c r="L587" s="220">
        <v>37.079000000000001</v>
      </c>
      <c r="M587" s="220" t="s">
        <v>1154</v>
      </c>
      <c r="N587" s="220" t="s">
        <v>933</v>
      </c>
      <c r="O587" s="220" t="s">
        <v>1155</v>
      </c>
      <c r="P587" s="220" t="s">
        <v>1156</v>
      </c>
      <c r="Q587" s="220" t="s">
        <v>148</v>
      </c>
      <c r="R587" s="220" t="s">
        <v>234</v>
      </c>
      <c r="S587" s="220" t="s">
        <v>300</v>
      </c>
    </row>
    <row r="588" spans="1:19" hidden="1" x14ac:dyDescent="0.25">
      <c r="A588" s="220">
        <v>85</v>
      </c>
      <c r="B588" s="220" t="s">
        <v>1158</v>
      </c>
      <c r="C588" s="220" t="s">
        <v>260</v>
      </c>
      <c r="D588" s="220" t="s">
        <v>414</v>
      </c>
      <c r="E588" s="220">
        <v>1</v>
      </c>
      <c r="F588" s="220">
        <v>203.85300000000001</v>
      </c>
      <c r="G588" s="220">
        <v>10426</v>
      </c>
      <c r="H588" s="220">
        <v>12298</v>
      </c>
      <c r="I588" s="220">
        <v>14352</v>
      </c>
      <c r="J588" s="220">
        <v>200.65700000000001</v>
      </c>
      <c r="K588" s="220">
        <v>-19.925000000000001</v>
      </c>
      <c r="L588" s="220">
        <v>24.388999999999999</v>
      </c>
      <c r="M588" s="220" t="s">
        <v>655</v>
      </c>
      <c r="N588" s="220" t="s">
        <v>933</v>
      </c>
      <c r="O588" s="220" t="s">
        <v>1159</v>
      </c>
      <c r="P588" s="220" t="s">
        <v>1160</v>
      </c>
      <c r="Q588" s="220" t="s">
        <v>630</v>
      </c>
      <c r="R588" s="220" t="s">
        <v>55</v>
      </c>
      <c r="S588" s="220" t="s">
        <v>59</v>
      </c>
    </row>
    <row r="589" spans="1:19" hidden="1" x14ac:dyDescent="0.25">
      <c r="A589" s="220">
        <v>85</v>
      </c>
      <c r="B589" s="220" t="s">
        <v>1158</v>
      </c>
      <c r="C589" s="220" t="s">
        <v>260</v>
      </c>
      <c r="D589" s="220" t="s">
        <v>414</v>
      </c>
      <c r="E589" s="220">
        <v>2</v>
      </c>
      <c r="F589" s="220">
        <v>202.155</v>
      </c>
      <c r="G589" s="220">
        <v>10468</v>
      </c>
      <c r="H589" s="220">
        <v>12347</v>
      </c>
      <c r="I589" s="220">
        <v>14411</v>
      </c>
      <c r="J589" s="220">
        <v>198.98500000000001</v>
      </c>
      <c r="K589" s="220">
        <v>-19.940999999999999</v>
      </c>
      <c r="L589" s="220">
        <v>24.395</v>
      </c>
      <c r="M589" s="220" t="s">
        <v>655</v>
      </c>
      <c r="N589" s="220" t="s">
        <v>933</v>
      </c>
      <c r="O589" s="220" t="s">
        <v>1159</v>
      </c>
      <c r="P589" s="220" t="s">
        <v>1160</v>
      </c>
      <c r="Q589" s="220" t="s">
        <v>73</v>
      </c>
      <c r="R589" s="220" t="s">
        <v>134</v>
      </c>
      <c r="S589" s="220" t="s">
        <v>192</v>
      </c>
    </row>
    <row r="590" spans="1:19" hidden="1" x14ac:dyDescent="0.25">
      <c r="A590" s="220">
        <v>85</v>
      </c>
      <c r="B590" s="220" t="s">
        <v>1158</v>
      </c>
      <c r="C590" s="220" t="s">
        <v>260</v>
      </c>
      <c r="D590" s="220" t="s">
        <v>414</v>
      </c>
      <c r="E590" s="220">
        <v>3</v>
      </c>
      <c r="F590" s="220">
        <v>203.30699999999999</v>
      </c>
      <c r="G590" s="220">
        <v>10505</v>
      </c>
      <c r="H590" s="220">
        <v>12392</v>
      </c>
      <c r="I590" s="220">
        <v>14464</v>
      </c>
      <c r="J590" s="220">
        <v>200.119</v>
      </c>
      <c r="K590" s="220">
        <v>-19.931999999999999</v>
      </c>
      <c r="L590" s="220">
        <v>24.390999999999998</v>
      </c>
      <c r="M590" s="220" t="s">
        <v>655</v>
      </c>
      <c r="N590" s="220" t="s">
        <v>933</v>
      </c>
      <c r="O590" s="220" t="s">
        <v>1159</v>
      </c>
      <c r="P590" s="220" t="s">
        <v>1160</v>
      </c>
      <c r="Q590" s="220" t="s">
        <v>231</v>
      </c>
      <c r="R590" s="220" t="s">
        <v>158</v>
      </c>
      <c r="S590" s="220" t="s">
        <v>270</v>
      </c>
    </row>
    <row r="591" spans="1:19" hidden="1" x14ac:dyDescent="0.25">
      <c r="A591" s="220">
        <v>85</v>
      </c>
      <c r="B591" s="220" t="s">
        <v>1158</v>
      </c>
      <c r="C591" s="220" t="s">
        <v>260</v>
      </c>
      <c r="D591" s="220" t="s">
        <v>414</v>
      </c>
      <c r="E591" s="220">
        <v>4</v>
      </c>
      <c r="F591" s="220">
        <v>203.50200000000001</v>
      </c>
      <c r="G591" s="220">
        <v>10452</v>
      </c>
      <c r="H591" s="220">
        <v>12328</v>
      </c>
      <c r="I591" s="220">
        <v>14392</v>
      </c>
      <c r="J591" s="220">
        <v>200.31100000000001</v>
      </c>
      <c r="K591" s="220">
        <v>-19.937000000000001</v>
      </c>
      <c r="L591" s="220">
        <v>24.417999999999999</v>
      </c>
      <c r="M591" s="220" t="s">
        <v>655</v>
      </c>
      <c r="N591" s="220" t="s">
        <v>933</v>
      </c>
      <c r="O591" s="220" t="s">
        <v>1159</v>
      </c>
      <c r="P591" s="220" t="s">
        <v>1160</v>
      </c>
      <c r="Q591" s="220" t="s">
        <v>225</v>
      </c>
      <c r="R591" s="220" t="s">
        <v>123</v>
      </c>
      <c r="S591" s="220" t="s">
        <v>96</v>
      </c>
    </row>
    <row r="592" spans="1:19" hidden="1" x14ac:dyDescent="0.25">
      <c r="A592" s="220">
        <v>85</v>
      </c>
      <c r="B592" s="220" t="s">
        <v>1158</v>
      </c>
      <c r="C592" s="220" t="s">
        <v>260</v>
      </c>
      <c r="D592" s="220" t="s">
        <v>414</v>
      </c>
      <c r="E592" s="220">
        <v>5</v>
      </c>
      <c r="F592" s="220">
        <v>201.917</v>
      </c>
      <c r="G592" s="220">
        <v>15567</v>
      </c>
      <c r="H592" s="220">
        <v>18752</v>
      </c>
      <c r="I592" s="220">
        <v>21684</v>
      </c>
      <c r="J592" s="220">
        <v>198.7</v>
      </c>
      <c r="K592" s="220">
        <v>-1.129</v>
      </c>
      <c r="L592" s="220">
        <v>35.777999999999999</v>
      </c>
      <c r="M592" s="220" t="s">
        <v>655</v>
      </c>
      <c r="N592" s="220" t="s">
        <v>933</v>
      </c>
      <c r="O592" s="220" t="s">
        <v>1159</v>
      </c>
      <c r="P592" s="220" t="s">
        <v>1160</v>
      </c>
      <c r="Q592" s="220" t="s">
        <v>152</v>
      </c>
      <c r="R592" s="220" t="s">
        <v>114</v>
      </c>
      <c r="S592" s="220" t="s">
        <v>162</v>
      </c>
    </row>
    <row r="593" spans="1:19" x14ac:dyDescent="0.25">
      <c r="A593" s="220">
        <v>85</v>
      </c>
      <c r="B593" s="220" t="s">
        <v>1158</v>
      </c>
      <c r="C593" s="220" t="s">
        <v>260</v>
      </c>
      <c r="D593" s="220" t="s">
        <v>414</v>
      </c>
      <c r="E593" s="220">
        <v>6</v>
      </c>
      <c r="F593" s="220">
        <v>176.625</v>
      </c>
      <c r="G593" s="220">
        <v>13750</v>
      </c>
      <c r="H593" s="220">
        <v>16559</v>
      </c>
      <c r="I593" s="220">
        <v>19150</v>
      </c>
      <c r="J593" s="220">
        <v>173.81100000000001</v>
      </c>
      <c r="K593" s="220">
        <v>-1.143</v>
      </c>
      <c r="L593" s="220">
        <v>36.133000000000003</v>
      </c>
      <c r="M593" s="220" t="s">
        <v>655</v>
      </c>
      <c r="N593" s="220" t="s">
        <v>933</v>
      </c>
      <c r="O593" s="220" t="s">
        <v>1159</v>
      </c>
      <c r="P593" s="220" t="s">
        <v>1160</v>
      </c>
      <c r="Q593" s="220" t="s">
        <v>135</v>
      </c>
      <c r="R593" s="220" t="s">
        <v>263</v>
      </c>
      <c r="S593" s="220" t="s">
        <v>264</v>
      </c>
    </row>
    <row r="594" spans="1:19" x14ac:dyDescent="0.25">
      <c r="A594" s="220">
        <v>85</v>
      </c>
      <c r="B594" s="220" t="s">
        <v>1158</v>
      </c>
      <c r="C594" s="220" t="s">
        <v>260</v>
      </c>
      <c r="D594" s="220" t="s">
        <v>414</v>
      </c>
      <c r="E594" s="220">
        <v>7</v>
      </c>
      <c r="F594" s="220">
        <v>163.94900000000001</v>
      </c>
      <c r="G594" s="220">
        <v>12754</v>
      </c>
      <c r="H594" s="220">
        <v>15355</v>
      </c>
      <c r="I594" s="220">
        <v>17763</v>
      </c>
      <c r="J594" s="220">
        <v>161.33600000000001</v>
      </c>
      <c r="K594" s="220">
        <v>-1.087</v>
      </c>
      <c r="L594" s="220">
        <v>36.164999999999999</v>
      </c>
      <c r="M594" s="220" t="s">
        <v>655</v>
      </c>
      <c r="N594" s="220" t="s">
        <v>933</v>
      </c>
      <c r="O594" s="220" t="s">
        <v>1159</v>
      </c>
      <c r="P594" s="220" t="s">
        <v>1160</v>
      </c>
      <c r="Q594" s="220" t="s">
        <v>648</v>
      </c>
      <c r="R594" s="220" t="s">
        <v>654</v>
      </c>
      <c r="S594" s="220" t="s">
        <v>556</v>
      </c>
    </row>
    <row r="595" spans="1:19" hidden="1" x14ac:dyDescent="0.25">
      <c r="A595" s="220">
        <v>86</v>
      </c>
      <c r="B595" s="220" t="s">
        <v>1161</v>
      </c>
      <c r="C595" s="220" t="s">
        <v>518</v>
      </c>
      <c r="D595" s="220" t="s">
        <v>415</v>
      </c>
      <c r="E595" s="220">
        <v>1</v>
      </c>
      <c r="F595" s="220">
        <v>204.58600000000001</v>
      </c>
      <c r="G595" s="220">
        <v>10463</v>
      </c>
      <c r="H595" s="220">
        <v>12340</v>
      </c>
      <c r="I595" s="220">
        <v>14415</v>
      </c>
      <c r="J595" s="220">
        <v>201.37799999999999</v>
      </c>
      <c r="K595" s="220">
        <v>-19.928999999999998</v>
      </c>
      <c r="L595" s="220">
        <v>24.405999999999999</v>
      </c>
      <c r="M595" s="220" t="s">
        <v>1162</v>
      </c>
      <c r="N595" s="220" t="s">
        <v>933</v>
      </c>
      <c r="O595" s="220" t="s">
        <v>1163</v>
      </c>
      <c r="P595" s="220" t="s">
        <v>1164</v>
      </c>
      <c r="Q595" s="220" t="s">
        <v>570</v>
      </c>
      <c r="R595" s="220" t="s">
        <v>206</v>
      </c>
      <c r="S595" s="220" t="s">
        <v>212</v>
      </c>
    </row>
    <row r="596" spans="1:19" hidden="1" x14ac:dyDescent="0.25">
      <c r="A596" s="220">
        <v>86</v>
      </c>
      <c r="B596" s="220" t="s">
        <v>1161</v>
      </c>
      <c r="C596" s="220" t="s">
        <v>518</v>
      </c>
      <c r="D596" s="220" t="s">
        <v>415</v>
      </c>
      <c r="E596" s="220">
        <v>2</v>
      </c>
      <c r="F596" s="220">
        <v>202.41900000000001</v>
      </c>
      <c r="G596" s="220">
        <v>10458</v>
      </c>
      <c r="H596" s="220">
        <v>12334</v>
      </c>
      <c r="I596" s="220">
        <v>14408</v>
      </c>
      <c r="J596" s="220">
        <v>199.245</v>
      </c>
      <c r="K596" s="220">
        <v>-19.931000000000001</v>
      </c>
      <c r="L596" s="220">
        <v>24.39</v>
      </c>
      <c r="M596" s="220" t="s">
        <v>1162</v>
      </c>
      <c r="N596" s="220" t="s">
        <v>933</v>
      </c>
      <c r="O596" s="220" t="s">
        <v>1163</v>
      </c>
      <c r="P596" s="220" t="s">
        <v>1164</v>
      </c>
      <c r="Q596" s="220" t="s">
        <v>133</v>
      </c>
      <c r="R596" s="220" t="s">
        <v>209</v>
      </c>
      <c r="S596" s="220" t="s">
        <v>215</v>
      </c>
    </row>
    <row r="597" spans="1:19" hidden="1" x14ac:dyDescent="0.25">
      <c r="A597" s="220">
        <v>86</v>
      </c>
      <c r="B597" s="220" t="s">
        <v>1161</v>
      </c>
      <c r="C597" s="220" t="s">
        <v>518</v>
      </c>
      <c r="D597" s="220" t="s">
        <v>415</v>
      </c>
      <c r="E597" s="220">
        <v>3</v>
      </c>
      <c r="F597" s="220">
        <v>203.43700000000001</v>
      </c>
      <c r="G597" s="220">
        <v>10510</v>
      </c>
      <c r="H597" s="220">
        <v>12396</v>
      </c>
      <c r="I597" s="220">
        <v>14484</v>
      </c>
      <c r="J597" s="220">
        <v>200.24700000000001</v>
      </c>
      <c r="K597" s="220">
        <v>-19.927</v>
      </c>
      <c r="L597" s="220">
        <v>24.398</v>
      </c>
      <c r="M597" s="220" t="s">
        <v>1162</v>
      </c>
      <c r="N597" s="220" t="s">
        <v>933</v>
      </c>
      <c r="O597" s="220" t="s">
        <v>1163</v>
      </c>
      <c r="P597" s="220" t="s">
        <v>1164</v>
      </c>
      <c r="Q597" s="220" t="s">
        <v>131</v>
      </c>
      <c r="R597" s="220" t="s">
        <v>270</v>
      </c>
      <c r="S597" s="220" t="s">
        <v>258</v>
      </c>
    </row>
    <row r="598" spans="1:19" hidden="1" x14ac:dyDescent="0.25">
      <c r="A598" s="220">
        <v>86</v>
      </c>
      <c r="B598" s="220" t="s">
        <v>1161</v>
      </c>
      <c r="C598" s="220" t="s">
        <v>518</v>
      </c>
      <c r="D598" s="220" t="s">
        <v>415</v>
      </c>
      <c r="E598" s="220">
        <v>4</v>
      </c>
      <c r="F598" s="220">
        <v>203.268</v>
      </c>
      <c r="G598" s="220">
        <v>10467</v>
      </c>
      <c r="H598" s="220">
        <v>12345</v>
      </c>
      <c r="I598" s="220">
        <v>14422</v>
      </c>
      <c r="J598" s="220">
        <v>200.08099999999999</v>
      </c>
      <c r="K598" s="220">
        <v>-19.937000000000001</v>
      </c>
      <c r="L598" s="220">
        <v>24.417999999999999</v>
      </c>
      <c r="M598" s="220" t="s">
        <v>1162</v>
      </c>
      <c r="N598" s="220" t="s">
        <v>933</v>
      </c>
      <c r="O598" s="220" t="s">
        <v>1163</v>
      </c>
      <c r="P598" s="220" t="s">
        <v>1164</v>
      </c>
      <c r="Q598" s="220" t="s">
        <v>131</v>
      </c>
      <c r="R598" s="220" t="s">
        <v>270</v>
      </c>
      <c r="S598" s="220" t="s">
        <v>258</v>
      </c>
    </row>
    <row r="599" spans="1:19" hidden="1" x14ac:dyDescent="0.25">
      <c r="A599" s="220">
        <v>86</v>
      </c>
      <c r="B599" s="220" t="s">
        <v>1161</v>
      </c>
      <c r="C599" s="220" t="s">
        <v>518</v>
      </c>
      <c r="D599" s="220" t="s">
        <v>415</v>
      </c>
      <c r="E599" s="220">
        <v>5</v>
      </c>
      <c r="F599" s="220">
        <v>188.328</v>
      </c>
      <c r="G599" s="220">
        <v>14631</v>
      </c>
      <c r="H599" s="220">
        <v>17638</v>
      </c>
      <c r="I599" s="220">
        <v>20390</v>
      </c>
      <c r="J599" s="220">
        <v>185.327</v>
      </c>
      <c r="K599" s="220">
        <v>-1.175</v>
      </c>
      <c r="L599" s="220">
        <v>35.887999999999998</v>
      </c>
      <c r="M599" s="220" t="s">
        <v>1162</v>
      </c>
      <c r="N599" s="220" t="s">
        <v>933</v>
      </c>
      <c r="O599" s="220" t="s">
        <v>1163</v>
      </c>
      <c r="P599" s="220" t="s">
        <v>1164</v>
      </c>
      <c r="Q599" s="220" t="s">
        <v>164</v>
      </c>
      <c r="R599" s="220" t="s">
        <v>302</v>
      </c>
      <c r="S599" s="220" t="s">
        <v>46</v>
      </c>
    </row>
    <row r="600" spans="1:19" x14ac:dyDescent="0.25">
      <c r="A600" s="220">
        <v>86</v>
      </c>
      <c r="B600" s="220" t="s">
        <v>1161</v>
      </c>
      <c r="C600" s="220" t="s">
        <v>518</v>
      </c>
      <c r="D600" s="220" t="s">
        <v>415</v>
      </c>
      <c r="E600" s="220">
        <v>6</v>
      </c>
      <c r="F600" s="220">
        <v>167.56200000000001</v>
      </c>
      <c r="G600" s="220">
        <v>13371</v>
      </c>
      <c r="H600" s="220">
        <v>16115</v>
      </c>
      <c r="I600" s="220">
        <v>18634</v>
      </c>
      <c r="J600" s="220">
        <v>164.892</v>
      </c>
      <c r="K600" s="220">
        <v>-1.1279999999999999</v>
      </c>
      <c r="L600" s="220">
        <v>36.000999999999998</v>
      </c>
      <c r="M600" s="220" t="s">
        <v>1162</v>
      </c>
      <c r="N600" s="220" t="s">
        <v>933</v>
      </c>
      <c r="O600" s="220" t="s">
        <v>1163</v>
      </c>
      <c r="P600" s="220" t="s">
        <v>1164</v>
      </c>
      <c r="Q600" s="220" t="s">
        <v>163</v>
      </c>
      <c r="R600" s="220" t="s">
        <v>279</v>
      </c>
      <c r="S600" s="220" t="s">
        <v>261</v>
      </c>
    </row>
    <row r="601" spans="1:19" x14ac:dyDescent="0.25">
      <c r="A601" s="220">
        <v>86</v>
      </c>
      <c r="B601" s="220" t="s">
        <v>1161</v>
      </c>
      <c r="C601" s="220" t="s">
        <v>518</v>
      </c>
      <c r="D601" s="220" t="s">
        <v>415</v>
      </c>
      <c r="E601" s="220">
        <v>7</v>
      </c>
      <c r="F601" s="220">
        <v>156.82400000000001</v>
      </c>
      <c r="G601" s="220">
        <v>12608</v>
      </c>
      <c r="H601" s="220">
        <v>15191</v>
      </c>
      <c r="I601" s="220">
        <v>17576</v>
      </c>
      <c r="J601" s="220">
        <v>154.32499999999999</v>
      </c>
      <c r="K601" s="220">
        <v>-1.046</v>
      </c>
      <c r="L601" s="220">
        <v>36.039000000000001</v>
      </c>
      <c r="M601" s="220" t="s">
        <v>1162</v>
      </c>
      <c r="N601" s="220" t="s">
        <v>933</v>
      </c>
      <c r="O601" s="220" t="s">
        <v>1163</v>
      </c>
      <c r="P601" s="220" t="s">
        <v>1164</v>
      </c>
      <c r="Q601" s="220" t="s">
        <v>640</v>
      </c>
      <c r="R601" s="220" t="s">
        <v>325</v>
      </c>
      <c r="S601" s="220" t="s">
        <v>750</v>
      </c>
    </row>
    <row r="602" spans="1:19" hidden="1" x14ac:dyDescent="0.25">
      <c r="A602" s="220">
        <v>87</v>
      </c>
      <c r="B602" s="220" t="s">
        <v>1165</v>
      </c>
      <c r="C602" s="220" t="s">
        <v>269</v>
      </c>
      <c r="D602" s="220" t="s">
        <v>416</v>
      </c>
      <c r="E602" s="220">
        <v>1</v>
      </c>
      <c r="F602" s="220">
        <v>204.292</v>
      </c>
      <c r="G602" s="220">
        <v>10451</v>
      </c>
      <c r="H602" s="220">
        <v>12326</v>
      </c>
      <c r="I602" s="220">
        <v>14401</v>
      </c>
      <c r="J602" s="220">
        <v>201.089</v>
      </c>
      <c r="K602" s="220">
        <v>-19.937000000000001</v>
      </c>
      <c r="L602" s="220">
        <v>24.425000000000001</v>
      </c>
      <c r="M602" s="220" t="s">
        <v>1166</v>
      </c>
      <c r="N602" s="220" t="s">
        <v>933</v>
      </c>
      <c r="O602" s="220" t="s">
        <v>1167</v>
      </c>
      <c r="P602" s="220" t="s">
        <v>1168</v>
      </c>
      <c r="Q602" s="220" t="s">
        <v>49</v>
      </c>
      <c r="R602" s="220" t="s">
        <v>134</v>
      </c>
      <c r="S602" s="220" t="s">
        <v>262</v>
      </c>
    </row>
    <row r="603" spans="1:19" hidden="1" x14ac:dyDescent="0.25">
      <c r="A603" s="220">
        <v>87</v>
      </c>
      <c r="B603" s="220" t="s">
        <v>1165</v>
      </c>
      <c r="C603" s="220" t="s">
        <v>269</v>
      </c>
      <c r="D603" s="220" t="s">
        <v>416</v>
      </c>
      <c r="E603" s="220">
        <v>2</v>
      </c>
      <c r="F603" s="220">
        <v>201.50399999999999</v>
      </c>
      <c r="G603" s="220">
        <v>10446</v>
      </c>
      <c r="H603" s="220">
        <v>12319</v>
      </c>
      <c r="I603" s="220">
        <v>14394</v>
      </c>
      <c r="J603" s="220">
        <v>198.34399999999999</v>
      </c>
      <c r="K603" s="220">
        <v>-19.937999999999999</v>
      </c>
      <c r="L603" s="220">
        <v>24.427</v>
      </c>
      <c r="M603" s="220" t="s">
        <v>1166</v>
      </c>
      <c r="N603" s="220" t="s">
        <v>933</v>
      </c>
      <c r="O603" s="220" t="s">
        <v>1167</v>
      </c>
      <c r="P603" s="220" t="s">
        <v>1168</v>
      </c>
      <c r="Q603" s="220" t="s">
        <v>131</v>
      </c>
      <c r="R603" s="220" t="s">
        <v>270</v>
      </c>
      <c r="S603" s="220" t="s">
        <v>258</v>
      </c>
    </row>
    <row r="604" spans="1:19" hidden="1" x14ac:dyDescent="0.25">
      <c r="A604" s="220">
        <v>87</v>
      </c>
      <c r="B604" s="220" t="s">
        <v>1165</v>
      </c>
      <c r="C604" s="220" t="s">
        <v>269</v>
      </c>
      <c r="D604" s="220" t="s">
        <v>416</v>
      </c>
      <c r="E604" s="220">
        <v>3</v>
      </c>
      <c r="F604" s="220">
        <v>203.18899999999999</v>
      </c>
      <c r="G604" s="220">
        <v>10494</v>
      </c>
      <c r="H604" s="220">
        <v>12375</v>
      </c>
      <c r="I604" s="220">
        <v>14464</v>
      </c>
      <c r="J604" s="220">
        <v>200.00299999999999</v>
      </c>
      <c r="K604" s="220">
        <v>-19.943999999999999</v>
      </c>
      <c r="L604" s="220">
        <v>24.425999999999998</v>
      </c>
      <c r="M604" s="220" t="s">
        <v>1166</v>
      </c>
      <c r="N604" s="220" t="s">
        <v>933</v>
      </c>
      <c r="O604" s="220" t="s">
        <v>1167</v>
      </c>
      <c r="P604" s="220" t="s">
        <v>1168</v>
      </c>
      <c r="Q604" s="220" t="s">
        <v>237</v>
      </c>
      <c r="R604" s="220" t="s">
        <v>105</v>
      </c>
      <c r="S604" s="220" t="s">
        <v>253</v>
      </c>
    </row>
    <row r="605" spans="1:19" hidden="1" x14ac:dyDescent="0.25">
      <c r="A605" s="220">
        <v>87</v>
      </c>
      <c r="B605" s="220" t="s">
        <v>1165</v>
      </c>
      <c r="C605" s="220" t="s">
        <v>269</v>
      </c>
      <c r="D605" s="220" t="s">
        <v>416</v>
      </c>
      <c r="E605" s="220">
        <v>4</v>
      </c>
      <c r="F605" s="220">
        <v>203.05</v>
      </c>
      <c r="G605" s="220">
        <v>10449</v>
      </c>
      <c r="H605" s="220">
        <v>12322</v>
      </c>
      <c r="I605" s="220">
        <v>14397</v>
      </c>
      <c r="J605" s="220">
        <v>199.86600000000001</v>
      </c>
      <c r="K605" s="220">
        <v>-19.937000000000001</v>
      </c>
      <c r="L605" s="220">
        <v>24.417999999999999</v>
      </c>
      <c r="M605" s="220" t="s">
        <v>1166</v>
      </c>
      <c r="N605" s="220" t="s">
        <v>933</v>
      </c>
      <c r="O605" s="220" t="s">
        <v>1167</v>
      </c>
      <c r="P605" s="220" t="s">
        <v>1168</v>
      </c>
      <c r="Q605" s="220" t="s">
        <v>237</v>
      </c>
      <c r="R605" s="220" t="s">
        <v>252</v>
      </c>
      <c r="S605" s="220" t="s">
        <v>253</v>
      </c>
    </row>
    <row r="606" spans="1:19" hidden="1" x14ac:dyDescent="0.25">
      <c r="A606" s="220">
        <v>87</v>
      </c>
      <c r="B606" s="220" t="s">
        <v>1165</v>
      </c>
      <c r="C606" s="220" t="s">
        <v>269</v>
      </c>
      <c r="D606" s="220" t="s">
        <v>416</v>
      </c>
      <c r="E606" s="220">
        <v>5</v>
      </c>
      <c r="F606" s="220">
        <v>193.52799999999999</v>
      </c>
      <c r="G606" s="220">
        <v>14717</v>
      </c>
      <c r="H606" s="220">
        <v>17718</v>
      </c>
      <c r="I606" s="220">
        <v>20515</v>
      </c>
      <c r="J606" s="220">
        <v>190.44499999999999</v>
      </c>
      <c r="K606" s="220">
        <v>-1.21</v>
      </c>
      <c r="L606" s="220">
        <v>35.802</v>
      </c>
      <c r="M606" s="220" t="s">
        <v>1166</v>
      </c>
      <c r="N606" s="220" t="s">
        <v>933</v>
      </c>
      <c r="O606" s="220" t="s">
        <v>1167</v>
      </c>
      <c r="P606" s="220" t="s">
        <v>1168</v>
      </c>
      <c r="Q606" s="220" t="s">
        <v>181</v>
      </c>
      <c r="R606" s="220" t="s">
        <v>46</v>
      </c>
      <c r="S606" s="220" t="s">
        <v>77</v>
      </c>
    </row>
    <row r="607" spans="1:19" x14ac:dyDescent="0.25">
      <c r="A607" s="220">
        <v>87</v>
      </c>
      <c r="B607" s="220" t="s">
        <v>1165</v>
      </c>
      <c r="C607" s="220" t="s">
        <v>269</v>
      </c>
      <c r="D607" s="220" t="s">
        <v>416</v>
      </c>
      <c r="E607" s="220">
        <v>6</v>
      </c>
      <c r="F607" s="220">
        <v>169.25800000000001</v>
      </c>
      <c r="G607" s="220">
        <v>13071</v>
      </c>
      <c r="H607" s="220">
        <v>15735</v>
      </c>
      <c r="I607" s="220">
        <v>18224</v>
      </c>
      <c r="J607" s="220">
        <v>166.56</v>
      </c>
      <c r="K607" s="220">
        <v>-1.0429999999999999</v>
      </c>
      <c r="L607" s="220">
        <v>36.25</v>
      </c>
      <c r="M607" s="220" t="s">
        <v>1166</v>
      </c>
      <c r="N607" s="220" t="s">
        <v>933</v>
      </c>
      <c r="O607" s="220" t="s">
        <v>1167</v>
      </c>
      <c r="P607" s="220" t="s">
        <v>1168</v>
      </c>
      <c r="Q607" s="220" t="s">
        <v>105</v>
      </c>
      <c r="R607" s="220" t="s">
        <v>177</v>
      </c>
      <c r="S607" s="220" t="s">
        <v>370</v>
      </c>
    </row>
    <row r="608" spans="1:19" x14ac:dyDescent="0.25">
      <c r="A608" s="220">
        <v>87</v>
      </c>
      <c r="B608" s="220" t="s">
        <v>1165</v>
      </c>
      <c r="C608" s="220" t="s">
        <v>269</v>
      </c>
      <c r="D608" s="220" t="s">
        <v>416</v>
      </c>
      <c r="E608" s="220">
        <v>7</v>
      </c>
      <c r="F608" s="220">
        <v>157.47999999999999</v>
      </c>
      <c r="G608" s="220">
        <v>12180</v>
      </c>
      <c r="H608" s="220">
        <v>14662</v>
      </c>
      <c r="I608" s="220">
        <v>16983</v>
      </c>
      <c r="J608" s="220">
        <v>154.971</v>
      </c>
      <c r="K608" s="220">
        <v>-1.212</v>
      </c>
      <c r="L608" s="220">
        <v>35.976999999999997</v>
      </c>
      <c r="M608" s="220" t="s">
        <v>1166</v>
      </c>
      <c r="N608" s="220" t="s">
        <v>933</v>
      </c>
      <c r="O608" s="220" t="s">
        <v>1167</v>
      </c>
      <c r="P608" s="220" t="s">
        <v>1168</v>
      </c>
      <c r="Q608" s="220" t="s">
        <v>667</v>
      </c>
      <c r="R608" s="220" t="s">
        <v>1169</v>
      </c>
      <c r="S608" s="220" t="s">
        <v>560</v>
      </c>
    </row>
    <row r="609" spans="1:19" hidden="1" x14ac:dyDescent="0.25">
      <c r="A609" s="220">
        <v>88</v>
      </c>
      <c r="B609" s="220" t="s">
        <v>1170</v>
      </c>
      <c r="C609" s="220" t="s">
        <v>229</v>
      </c>
      <c r="D609" s="220" t="s">
        <v>418</v>
      </c>
      <c r="E609" s="220">
        <v>1</v>
      </c>
      <c r="F609" s="220">
        <v>204.18799999999999</v>
      </c>
      <c r="G609" s="220">
        <v>10446</v>
      </c>
      <c r="H609" s="220">
        <v>12321</v>
      </c>
      <c r="I609" s="220">
        <v>14386</v>
      </c>
      <c r="J609" s="220">
        <v>200.98699999999999</v>
      </c>
      <c r="K609" s="220">
        <v>-19.942</v>
      </c>
      <c r="L609" s="220">
        <v>24.39</v>
      </c>
      <c r="M609" s="220" t="s">
        <v>1171</v>
      </c>
      <c r="N609" s="220" t="s">
        <v>933</v>
      </c>
      <c r="O609" s="220" t="s">
        <v>1172</v>
      </c>
      <c r="P609" s="220" t="s">
        <v>1173</v>
      </c>
      <c r="Q609" s="220" t="s">
        <v>71</v>
      </c>
      <c r="R609" s="220" t="s">
        <v>109</v>
      </c>
      <c r="S609" s="220" t="s">
        <v>228</v>
      </c>
    </row>
    <row r="610" spans="1:19" hidden="1" x14ac:dyDescent="0.25">
      <c r="A610" s="220">
        <v>88</v>
      </c>
      <c r="B610" s="220" t="s">
        <v>1170</v>
      </c>
      <c r="C610" s="220" t="s">
        <v>229</v>
      </c>
      <c r="D610" s="220" t="s">
        <v>418</v>
      </c>
      <c r="E610" s="220">
        <v>2</v>
      </c>
      <c r="F610" s="220">
        <v>201.71299999999999</v>
      </c>
      <c r="G610" s="220">
        <v>10455</v>
      </c>
      <c r="H610" s="220">
        <v>12331</v>
      </c>
      <c r="I610" s="220">
        <v>14395</v>
      </c>
      <c r="J610" s="220">
        <v>198.55</v>
      </c>
      <c r="K610" s="220">
        <v>-19.940999999999999</v>
      </c>
      <c r="L610" s="220">
        <v>24.395</v>
      </c>
      <c r="M610" s="220" t="s">
        <v>1171</v>
      </c>
      <c r="N610" s="220" t="s">
        <v>933</v>
      </c>
      <c r="O610" s="220" t="s">
        <v>1172</v>
      </c>
      <c r="P610" s="220" t="s">
        <v>1173</v>
      </c>
      <c r="Q610" s="220" t="s">
        <v>131</v>
      </c>
      <c r="R610" s="220" t="s">
        <v>270</v>
      </c>
      <c r="S610" s="220" t="s">
        <v>258</v>
      </c>
    </row>
    <row r="611" spans="1:19" hidden="1" x14ac:dyDescent="0.25">
      <c r="A611" s="220">
        <v>88</v>
      </c>
      <c r="B611" s="220" t="s">
        <v>1170</v>
      </c>
      <c r="C611" s="220" t="s">
        <v>229</v>
      </c>
      <c r="D611" s="220" t="s">
        <v>418</v>
      </c>
      <c r="E611" s="220">
        <v>3</v>
      </c>
      <c r="F611" s="220">
        <v>203.34200000000001</v>
      </c>
      <c r="G611" s="220">
        <v>10500</v>
      </c>
      <c r="H611" s="220">
        <v>12384</v>
      </c>
      <c r="I611" s="220">
        <v>14456</v>
      </c>
      <c r="J611" s="220">
        <v>200.154</v>
      </c>
      <c r="K611" s="220">
        <v>-19.943999999999999</v>
      </c>
      <c r="L611" s="220">
        <v>24.401</v>
      </c>
      <c r="M611" s="220" t="s">
        <v>1171</v>
      </c>
      <c r="N611" s="220" t="s">
        <v>933</v>
      </c>
      <c r="O611" s="220" t="s">
        <v>1172</v>
      </c>
      <c r="P611" s="220" t="s">
        <v>1173</v>
      </c>
      <c r="Q611" s="220" t="s">
        <v>120</v>
      </c>
      <c r="R611" s="220" t="s">
        <v>226</v>
      </c>
      <c r="S611" s="220" t="s">
        <v>585</v>
      </c>
    </row>
    <row r="612" spans="1:19" hidden="1" x14ac:dyDescent="0.25">
      <c r="A612" s="220">
        <v>88</v>
      </c>
      <c r="B612" s="220" t="s">
        <v>1170</v>
      </c>
      <c r="C612" s="220" t="s">
        <v>229</v>
      </c>
      <c r="D612" s="220" t="s">
        <v>418</v>
      </c>
      <c r="E612" s="220">
        <v>4</v>
      </c>
      <c r="F612" s="220">
        <v>203.42099999999999</v>
      </c>
      <c r="G612" s="220">
        <v>10464</v>
      </c>
      <c r="H612" s="220">
        <v>12342</v>
      </c>
      <c r="I612" s="220">
        <v>14408</v>
      </c>
      <c r="J612" s="220">
        <v>200.23099999999999</v>
      </c>
      <c r="K612" s="220">
        <v>-19.937000000000001</v>
      </c>
      <c r="L612" s="220">
        <v>24.417999999999999</v>
      </c>
      <c r="M612" s="220" t="s">
        <v>1171</v>
      </c>
      <c r="N612" s="220" t="s">
        <v>933</v>
      </c>
      <c r="O612" s="220" t="s">
        <v>1172</v>
      </c>
      <c r="P612" s="220" t="s">
        <v>1173</v>
      </c>
      <c r="Q612" s="220" t="s">
        <v>120</v>
      </c>
      <c r="R612" s="220" t="s">
        <v>105</v>
      </c>
      <c r="S612" s="220" t="s">
        <v>585</v>
      </c>
    </row>
    <row r="613" spans="1:19" hidden="1" x14ac:dyDescent="0.25">
      <c r="A613" s="220">
        <v>88</v>
      </c>
      <c r="B613" s="220" t="s">
        <v>1170</v>
      </c>
      <c r="C613" s="220" t="s">
        <v>229</v>
      </c>
      <c r="D613" s="220" t="s">
        <v>418</v>
      </c>
      <c r="E613" s="220">
        <v>5</v>
      </c>
      <c r="F613" s="220">
        <v>219.459</v>
      </c>
      <c r="G613" s="220">
        <v>17435</v>
      </c>
      <c r="H613" s="220">
        <v>21023</v>
      </c>
      <c r="I613" s="220">
        <v>24279</v>
      </c>
      <c r="J613" s="220">
        <v>215.964</v>
      </c>
      <c r="K613" s="220">
        <v>-1.6379999999999999</v>
      </c>
      <c r="L613" s="220">
        <v>35.893000000000001</v>
      </c>
      <c r="M613" s="220" t="s">
        <v>1171</v>
      </c>
      <c r="N613" s="220" t="s">
        <v>933</v>
      </c>
      <c r="O613" s="220" t="s">
        <v>1172</v>
      </c>
      <c r="P613" s="220" t="s">
        <v>1173</v>
      </c>
      <c r="Q613" s="220" t="s">
        <v>156</v>
      </c>
      <c r="R613" s="220" t="s">
        <v>103</v>
      </c>
      <c r="S613" s="220" t="s">
        <v>582</v>
      </c>
    </row>
    <row r="614" spans="1:19" x14ac:dyDescent="0.25">
      <c r="A614" s="220">
        <v>88</v>
      </c>
      <c r="B614" s="220" t="s">
        <v>1170</v>
      </c>
      <c r="C614" s="220" t="s">
        <v>229</v>
      </c>
      <c r="D614" s="220" t="s">
        <v>418</v>
      </c>
      <c r="E614" s="220">
        <v>6</v>
      </c>
      <c r="F614" s="220">
        <v>195.85</v>
      </c>
      <c r="G614" s="220">
        <v>15838</v>
      </c>
      <c r="H614" s="220">
        <v>19087</v>
      </c>
      <c r="I614" s="220">
        <v>22064</v>
      </c>
      <c r="J614" s="220">
        <v>192.73</v>
      </c>
      <c r="K614" s="220">
        <v>-1.589</v>
      </c>
      <c r="L614" s="220">
        <v>36.112000000000002</v>
      </c>
      <c r="M614" s="220" t="s">
        <v>1171</v>
      </c>
      <c r="N614" s="220" t="s">
        <v>933</v>
      </c>
      <c r="O614" s="220" t="s">
        <v>1172</v>
      </c>
      <c r="P614" s="220" t="s">
        <v>1173</v>
      </c>
      <c r="Q614" s="220" t="s">
        <v>96</v>
      </c>
      <c r="R614" s="220" t="s">
        <v>561</v>
      </c>
      <c r="S614" s="220" t="s">
        <v>631</v>
      </c>
    </row>
    <row r="615" spans="1:19" x14ac:dyDescent="0.25">
      <c r="A615" s="220">
        <v>88</v>
      </c>
      <c r="B615" s="220" t="s">
        <v>1170</v>
      </c>
      <c r="C615" s="220" t="s">
        <v>229</v>
      </c>
      <c r="D615" s="220" t="s">
        <v>418</v>
      </c>
      <c r="E615" s="220">
        <v>7</v>
      </c>
      <c r="F615" s="220">
        <v>185.48</v>
      </c>
      <c r="G615" s="220">
        <v>14921</v>
      </c>
      <c r="H615" s="220">
        <v>17976</v>
      </c>
      <c r="I615" s="220">
        <v>20786</v>
      </c>
      <c r="J615" s="220">
        <v>182.52500000000001</v>
      </c>
      <c r="K615" s="220">
        <v>-1.6259999999999999</v>
      </c>
      <c r="L615" s="220">
        <v>36.146000000000001</v>
      </c>
      <c r="M615" s="220" t="s">
        <v>1171</v>
      </c>
      <c r="N615" s="220" t="s">
        <v>933</v>
      </c>
      <c r="O615" s="220" t="s">
        <v>1172</v>
      </c>
      <c r="P615" s="220" t="s">
        <v>1173</v>
      </c>
      <c r="Q615" s="220" t="s">
        <v>96</v>
      </c>
      <c r="R615" s="220" t="s">
        <v>561</v>
      </c>
      <c r="S615" s="220" t="s">
        <v>631</v>
      </c>
    </row>
    <row r="616" spans="1:19" hidden="1" x14ac:dyDescent="0.25">
      <c r="A616" s="220">
        <v>89</v>
      </c>
      <c r="B616" s="220" t="s">
        <v>1174</v>
      </c>
      <c r="C616" s="220" t="s">
        <v>537</v>
      </c>
      <c r="D616" s="220" t="s">
        <v>419</v>
      </c>
      <c r="E616" s="220">
        <v>1</v>
      </c>
      <c r="F616" s="220">
        <v>204.25399999999999</v>
      </c>
      <c r="G616" s="220">
        <v>10434</v>
      </c>
      <c r="H616" s="220">
        <v>12308</v>
      </c>
      <c r="I616" s="220">
        <v>14367</v>
      </c>
      <c r="J616" s="220">
        <v>201.05199999999999</v>
      </c>
      <c r="K616" s="220">
        <v>-19.917999999999999</v>
      </c>
      <c r="L616" s="220">
        <v>24.366</v>
      </c>
      <c r="M616" s="220" t="s">
        <v>1175</v>
      </c>
      <c r="N616" s="220" t="s">
        <v>933</v>
      </c>
      <c r="O616" s="220" t="s">
        <v>1176</v>
      </c>
      <c r="P616" s="220" t="s">
        <v>1177</v>
      </c>
      <c r="Q616" s="220" t="s">
        <v>84</v>
      </c>
      <c r="R616" s="220" t="s">
        <v>202</v>
      </c>
      <c r="S616" s="220" t="s">
        <v>113</v>
      </c>
    </row>
    <row r="617" spans="1:19" hidden="1" x14ac:dyDescent="0.25">
      <c r="A617" s="220">
        <v>89</v>
      </c>
      <c r="B617" s="220" t="s">
        <v>1174</v>
      </c>
      <c r="C617" s="220" t="s">
        <v>537</v>
      </c>
      <c r="D617" s="220" t="s">
        <v>419</v>
      </c>
      <c r="E617" s="220">
        <v>2</v>
      </c>
      <c r="F617" s="220">
        <v>201.785</v>
      </c>
      <c r="G617" s="220">
        <v>10450</v>
      </c>
      <c r="H617" s="220">
        <v>12326</v>
      </c>
      <c r="I617" s="220">
        <v>14388</v>
      </c>
      <c r="J617" s="220">
        <v>198.62100000000001</v>
      </c>
      <c r="K617" s="220">
        <v>-19.928999999999998</v>
      </c>
      <c r="L617" s="220">
        <v>24.373000000000001</v>
      </c>
      <c r="M617" s="220" t="s">
        <v>1175</v>
      </c>
      <c r="N617" s="220" t="s">
        <v>933</v>
      </c>
      <c r="O617" s="220" t="s">
        <v>1176</v>
      </c>
      <c r="P617" s="220" t="s">
        <v>1177</v>
      </c>
      <c r="Q617" s="220" t="s">
        <v>81</v>
      </c>
      <c r="R617" s="220" t="s">
        <v>96</v>
      </c>
      <c r="S617" s="220" t="s">
        <v>241</v>
      </c>
    </row>
    <row r="618" spans="1:19" hidden="1" x14ac:dyDescent="0.25">
      <c r="A618" s="220">
        <v>89</v>
      </c>
      <c r="B618" s="220" t="s">
        <v>1174</v>
      </c>
      <c r="C618" s="220" t="s">
        <v>537</v>
      </c>
      <c r="D618" s="220" t="s">
        <v>419</v>
      </c>
      <c r="E618" s="220">
        <v>3</v>
      </c>
      <c r="F618" s="220">
        <v>202.84899999999999</v>
      </c>
      <c r="G618" s="220">
        <v>10484</v>
      </c>
      <c r="H618" s="220">
        <v>12367</v>
      </c>
      <c r="I618" s="220">
        <v>14439</v>
      </c>
      <c r="J618" s="220">
        <v>199.66800000000001</v>
      </c>
      <c r="K618" s="220">
        <v>-19.934000000000001</v>
      </c>
      <c r="L618" s="220">
        <v>24.395</v>
      </c>
      <c r="M618" s="220" t="s">
        <v>1175</v>
      </c>
      <c r="N618" s="220" t="s">
        <v>933</v>
      </c>
      <c r="O618" s="220" t="s">
        <v>1176</v>
      </c>
      <c r="P618" s="220" t="s">
        <v>1177</v>
      </c>
      <c r="Q618" s="220" t="s">
        <v>277</v>
      </c>
      <c r="R618" s="220" t="s">
        <v>280</v>
      </c>
      <c r="S618" s="220" t="s">
        <v>200</v>
      </c>
    </row>
    <row r="619" spans="1:19" hidden="1" x14ac:dyDescent="0.25">
      <c r="A619" s="220">
        <v>89</v>
      </c>
      <c r="B619" s="220" t="s">
        <v>1174</v>
      </c>
      <c r="C619" s="220" t="s">
        <v>537</v>
      </c>
      <c r="D619" s="220" t="s">
        <v>419</v>
      </c>
      <c r="E619" s="220">
        <v>4</v>
      </c>
      <c r="F619" s="220">
        <v>202.97900000000001</v>
      </c>
      <c r="G619" s="220">
        <v>10455</v>
      </c>
      <c r="H619" s="220">
        <v>12332</v>
      </c>
      <c r="I619" s="220">
        <v>14397</v>
      </c>
      <c r="J619" s="220">
        <v>199.797</v>
      </c>
      <c r="K619" s="220">
        <v>-19.937000000000001</v>
      </c>
      <c r="L619" s="220">
        <v>24.417999999999999</v>
      </c>
      <c r="M619" s="220" t="s">
        <v>1175</v>
      </c>
      <c r="N619" s="220" t="s">
        <v>933</v>
      </c>
      <c r="O619" s="220" t="s">
        <v>1176</v>
      </c>
      <c r="P619" s="220" t="s">
        <v>1177</v>
      </c>
      <c r="Q619" s="220" t="s">
        <v>81</v>
      </c>
      <c r="R619" s="220" t="s">
        <v>214</v>
      </c>
      <c r="S619" s="220" t="s">
        <v>144</v>
      </c>
    </row>
    <row r="620" spans="1:19" hidden="1" x14ac:dyDescent="0.25">
      <c r="A620" s="220">
        <v>89</v>
      </c>
      <c r="B620" s="220" t="s">
        <v>1174</v>
      </c>
      <c r="C620" s="220" t="s">
        <v>537</v>
      </c>
      <c r="D620" s="220" t="s">
        <v>419</v>
      </c>
      <c r="E620" s="220">
        <v>5</v>
      </c>
      <c r="F620" s="220">
        <v>173.714</v>
      </c>
      <c r="G620" s="220">
        <v>13153</v>
      </c>
      <c r="H620" s="220">
        <v>15827</v>
      </c>
      <c r="I620" s="220">
        <v>18325</v>
      </c>
      <c r="J620" s="220">
        <v>170.94900000000001</v>
      </c>
      <c r="K620" s="220">
        <v>-2.0750000000000002</v>
      </c>
      <c r="L620" s="220">
        <v>35.758000000000003</v>
      </c>
      <c r="M620" s="220" t="s">
        <v>1175</v>
      </c>
      <c r="N620" s="220" t="s">
        <v>933</v>
      </c>
      <c r="O620" s="220" t="s">
        <v>1176</v>
      </c>
      <c r="P620" s="220" t="s">
        <v>1177</v>
      </c>
      <c r="Q620" s="220" t="s">
        <v>153</v>
      </c>
      <c r="R620" s="220" t="s">
        <v>601</v>
      </c>
      <c r="S620" s="220" t="s">
        <v>52</v>
      </c>
    </row>
    <row r="621" spans="1:19" x14ac:dyDescent="0.25">
      <c r="A621" s="220">
        <v>89</v>
      </c>
      <c r="B621" s="220" t="s">
        <v>1174</v>
      </c>
      <c r="C621" s="220" t="s">
        <v>537</v>
      </c>
      <c r="D621" s="220" t="s">
        <v>419</v>
      </c>
      <c r="E621" s="220">
        <v>6</v>
      </c>
      <c r="F621" s="220">
        <v>152.70500000000001</v>
      </c>
      <c r="G621" s="220">
        <v>11779</v>
      </c>
      <c r="H621" s="220">
        <v>14170</v>
      </c>
      <c r="I621" s="220">
        <v>16412</v>
      </c>
      <c r="J621" s="220">
        <v>150.273</v>
      </c>
      <c r="K621" s="220">
        <v>-2.0209999999999999</v>
      </c>
      <c r="L621" s="220">
        <v>36.331000000000003</v>
      </c>
      <c r="M621" s="220" t="s">
        <v>1175</v>
      </c>
      <c r="N621" s="220" t="s">
        <v>933</v>
      </c>
      <c r="O621" s="220" t="s">
        <v>1176</v>
      </c>
      <c r="P621" s="220" t="s">
        <v>1177</v>
      </c>
      <c r="Q621" s="220" t="s">
        <v>212</v>
      </c>
      <c r="R621" s="220" t="s">
        <v>166</v>
      </c>
      <c r="S621" s="220" t="s">
        <v>531</v>
      </c>
    </row>
    <row r="622" spans="1:19" x14ac:dyDescent="0.25">
      <c r="A622" s="220">
        <v>89</v>
      </c>
      <c r="B622" s="220" t="s">
        <v>1174</v>
      </c>
      <c r="C622" s="220" t="s">
        <v>537</v>
      </c>
      <c r="D622" s="220" t="s">
        <v>419</v>
      </c>
      <c r="E622" s="220">
        <v>7</v>
      </c>
      <c r="F622" s="220">
        <v>141.97499999999999</v>
      </c>
      <c r="G622" s="220">
        <v>10989</v>
      </c>
      <c r="H622" s="220">
        <v>13220</v>
      </c>
      <c r="I622" s="220">
        <v>15317</v>
      </c>
      <c r="J622" s="220">
        <v>139.714</v>
      </c>
      <c r="K622" s="220">
        <v>-2.0249999999999999</v>
      </c>
      <c r="L622" s="220">
        <v>36.295999999999999</v>
      </c>
      <c r="M622" s="220" t="s">
        <v>1175</v>
      </c>
      <c r="N622" s="220" t="s">
        <v>933</v>
      </c>
      <c r="O622" s="220" t="s">
        <v>1176</v>
      </c>
      <c r="P622" s="220" t="s">
        <v>1177</v>
      </c>
      <c r="Q622" s="220" t="s">
        <v>1178</v>
      </c>
      <c r="R622" s="220" t="s">
        <v>530</v>
      </c>
      <c r="S622" s="220" t="s">
        <v>472</v>
      </c>
    </row>
    <row r="623" spans="1:19" hidden="1" x14ac:dyDescent="0.25">
      <c r="A623" s="220">
        <v>90</v>
      </c>
      <c r="B623" s="220" t="s">
        <v>1179</v>
      </c>
      <c r="C623" s="220" t="s">
        <v>339</v>
      </c>
      <c r="D623" s="220" t="s">
        <v>420</v>
      </c>
      <c r="E623" s="220">
        <v>1</v>
      </c>
      <c r="F623" s="220">
        <v>205.91900000000001</v>
      </c>
      <c r="G623" s="220">
        <v>10470</v>
      </c>
      <c r="H623" s="220">
        <v>12349</v>
      </c>
      <c r="I623" s="220">
        <v>14413</v>
      </c>
      <c r="J623" s="220">
        <v>202.69</v>
      </c>
      <c r="K623" s="220">
        <v>-19.957999999999998</v>
      </c>
      <c r="L623" s="220">
        <v>24.459</v>
      </c>
      <c r="M623" s="220" t="s">
        <v>651</v>
      </c>
      <c r="N623" s="220" t="s">
        <v>933</v>
      </c>
      <c r="O623" s="220" t="s">
        <v>1180</v>
      </c>
      <c r="P623" s="220" t="s">
        <v>1181</v>
      </c>
      <c r="Q623" s="220" t="s">
        <v>67</v>
      </c>
      <c r="R623" s="220" t="s">
        <v>127</v>
      </c>
      <c r="S623" s="220" t="s">
        <v>140</v>
      </c>
    </row>
    <row r="624" spans="1:19" hidden="1" x14ac:dyDescent="0.25">
      <c r="A624" s="220">
        <v>90</v>
      </c>
      <c r="B624" s="220" t="s">
        <v>1179</v>
      </c>
      <c r="C624" s="220" t="s">
        <v>339</v>
      </c>
      <c r="D624" s="220" t="s">
        <v>420</v>
      </c>
      <c r="E624" s="220">
        <v>2</v>
      </c>
      <c r="F624" s="220">
        <v>202.529</v>
      </c>
      <c r="G624" s="220">
        <v>10480</v>
      </c>
      <c r="H624" s="220">
        <v>12362</v>
      </c>
      <c r="I624" s="220">
        <v>14434</v>
      </c>
      <c r="J624" s="220">
        <v>199.35400000000001</v>
      </c>
      <c r="K624" s="220">
        <v>-19.957000000000001</v>
      </c>
      <c r="L624" s="220">
        <v>24.457999999999998</v>
      </c>
      <c r="M624" s="220" t="s">
        <v>651</v>
      </c>
      <c r="N624" s="220" t="s">
        <v>933</v>
      </c>
      <c r="O624" s="220" t="s">
        <v>1180</v>
      </c>
      <c r="P624" s="220" t="s">
        <v>1181</v>
      </c>
      <c r="Q624" s="220" t="s">
        <v>207</v>
      </c>
      <c r="R624" s="220" t="s">
        <v>270</v>
      </c>
      <c r="S624" s="220" t="s">
        <v>172</v>
      </c>
    </row>
    <row r="625" spans="1:19" hidden="1" x14ac:dyDescent="0.25">
      <c r="A625" s="220">
        <v>90</v>
      </c>
      <c r="B625" s="220" t="s">
        <v>1179</v>
      </c>
      <c r="C625" s="220" t="s">
        <v>339</v>
      </c>
      <c r="D625" s="220" t="s">
        <v>420</v>
      </c>
      <c r="E625" s="220">
        <v>3</v>
      </c>
      <c r="F625" s="220">
        <v>203.541</v>
      </c>
      <c r="G625" s="220">
        <v>10530</v>
      </c>
      <c r="H625" s="220">
        <v>12419</v>
      </c>
      <c r="I625" s="220">
        <v>14498</v>
      </c>
      <c r="J625" s="220">
        <v>200.35</v>
      </c>
      <c r="K625" s="220">
        <v>-19.937000000000001</v>
      </c>
      <c r="L625" s="220">
        <v>24.445</v>
      </c>
      <c r="M625" s="220" t="s">
        <v>651</v>
      </c>
      <c r="N625" s="220" t="s">
        <v>933</v>
      </c>
      <c r="O625" s="220" t="s">
        <v>1180</v>
      </c>
      <c r="P625" s="220" t="s">
        <v>1181</v>
      </c>
      <c r="Q625" s="220" t="s">
        <v>236</v>
      </c>
      <c r="R625" s="220" t="s">
        <v>255</v>
      </c>
      <c r="S625" s="220" t="s">
        <v>208</v>
      </c>
    </row>
    <row r="626" spans="1:19" hidden="1" x14ac:dyDescent="0.25">
      <c r="A626" s="220">
        <v>90</v>
      </c>
      <c r="B626" s="220" t="s">
        <v>1179</v>
      </c>
      <c r="C626" s="220" t="s">
        <v>339</v>
      </c>
      <c r="D626" s="220" t="s">
        <v>420</v>
      </c>
      <c r="E626" s="220">
        <v>4</v>
      </c>
      <c r="F626" s="220">
        <v>203.626</v>
      </c>
      <c r="G626" s="220">
        <v>10473</v>
      </c>
      <c r="H626" s="220">
        <v>12354</v>
      </c>
      <c r="I626" s="220">
        <v>14422</v>
      </c>
      <c r="J626" s="220">
        <v>200.43299999999999</v>
      </c>
      <c r="K626" s="220">
        <v>-19.937000000000001</v>
      </c>
      <c r="L626" s="220">
        <v>24.417999999999999</v>
      </c>
      <c r="M626" s="220" t="s">
        <v>651</v>
      </c>
      <c r="N626" s="220" t="s">
        <v>933</v>
      </c>
      <c r="O626" s="220" t="s">
        <v>1180</v>
      </c>
      <c r="P626" s="220" t="s">
        <v>1181</v>
      </c>
      <c r="Q626" s="220" t="s">
        <v>237</v>
      </c>
      <c r="R626" s="220" t="s">
        <v>252</v>
      </c>
      <c r="S626" s="220" t="s">
        <v>585</v>
      </c>
    </row>
    <row r="627" spans="1:19" hidden="1" x14ac:dyDescent="0.25">
      <c r="A627" s="220">
        <v>90</v>
      </c>
      <c r="B627" s="220" t="s">
        <v>1179</v>
      </c>
      <c r="C627" s="220" t="s">
        <v>339</v>
      </c>
      <c r="D627" s="220" t="s">
        <v>420</v>
      </c>
      <c r="E627" s="220">
        <v>5</v>
      </c>
      <c r="F627" s="220">
        <v>214.816</v>
      </c>
      <c r="G627" s="220">
        <v>17201</v>
      </c>
      <c r="H627" s="220">
        <v>20730</v>
      </c>
      <c r="I627" s="220">
        <v>23967</v>
      </c>
      <c r="J627" s="220">
        <v>211.39500000000001</v>
      </c>
      <c r="K627" s="220">
        <v>-1.7629999999999999</v>
      </c>
      <c r="L627" s="220">
        <v>36.206000000000003</v>
      </c>
      <c r="M627" s="220" t="s">
        <v>651</v>
      </c>
      <c r="N627" s="220" t="s">
        <v>933</v>
      </c>
      <c r="O627" s="220" t="s">
        <v>1180</v>
      </c>
      <c r="P627" s="220" t="s">
        <v>1181</v>
      </c>
      <c r="Q627" s="220" t="s">
        <v>180</v>
      </c>
      <c r="R627" s="220" t="s">
        <v>107</v>
      </c>
      <c r="S627" s="220" t="s">
        <v>605</v>
      </c>
    </row>
    <row r="628" spans="1:19" x14ac:dyDescent="0.25">
      <c r="A628" s="220">
        <v>90</v>
      </c>
      <c r="B628" s="220" t="s">
        <v>1179</v>
      </c>
      <c r="C628" s="220" t="s">
        <v>339</v>
      </c>
      <c r="D628" s="220" t="s">
        <v>420</v>
      </c>
      <c r="E628" s="220">
        <v>6</v>
      </c>
      <c r="F628" s="220">
        <v>190.38800000000001</v>
      </c>
      <c r="G628" s="220">
        <v>15481</v>
      </c>
      <c r="H628" s="220">
        <v>18647</v>
      </c>
      <c r="I628" s="220">
        <v>21567</v>
      </c>
      <c r="J628" s="220">
        <v>187.35499999999999</v>
      </c>
      <c r="K628" s="220">
        <v>-1.7270000000000001</v>
      </c>
      <c r="L628" s="220">
        <v>36.423000000000002</v>
      </c>
      <c r="M628" s="220" t="s">
        <v>651</v>
      </c>
      <c r="N628" s="220" t="s">
        <v>933</v>
      </c>
      <c r="O628" s="220" t="s">
        <v>1180</v>
      </c>
      <c r="P628" s="220" t="s">
        <v>1181</v>
      </c>
      <c r="Q628" s="220" t="s">
        <v>233</v>
      </c>
      <c r="R628" s="220" t="s">
        <v>584</v>
      </c>
      <c r="S628" s="220" t="s">
        <v>1108</v>
      </c>
    </row>
    <row r="629" spans="1:19" x14ac:dyDescent="0.25">
      <c r="A629" s="220">
        <v>90</v>
      </c>
      <c r="B629" s="220" t="s">
        <v>1179</v>
      </c>
      <c r="C629" s="220" t="s">
        <v>339</v>
      </c>
      <c r="D629" s="220" t="s">
        <v>420</v>
      </c>
      <c r="E629" s="220">
        <v>7</v>
      </c>
      <c r="F629" s="220">
        <v>176.98099999999999</v>
      </c>
      <c r="G629" s="220">
        <v>14418</v>
      </c>
      <c r="H629" s="220">
        <v>17366</v>
      </c>
      <c r="I629" s="220">
        <v>20093</v>
      </c>
      <c r="J629" s="220">
        <v>174.16200000000001</v>
      </c>
      <c r="K629" s="220">
        <v>-1.679</v>
      </c>
      <c r="L629" s="220">
        <v>36.473999999999997</v>
      </c>
      <c r="M629" s="220" t="s">
        <v>651</v>
      </c>
      <c r="N629" s="220" t="s">
        <v>933</v>
      </c>
      <c r="O629" s="220" t="s">
        <v>1180</v>
      </c>
      <c r="P629" s="220" t="s">
        <v>1181</v>
      </c>
      <c r="Q629" s="220" t="s">
        <v>285</v>
      </c>
      <c r="R629" s="220" t="s">
        <v>634</v>
      </c>
      <c r="S629" s="220" t="s">
        <v>838</v>
      </c>
    </row>
    <row r="630" spans="1:19" hidden="1" x14ac:dyDescent="0.25">
      <c r="A630" s="220">
        <v>91</v>
      </c>
      <c r="B630" s="220" t="s">
        <v>1182</v>
      </c>
      <c r="C630" s="220" t="s">
        <v>296</v>
      </c>
      <c r="D630" s="220" t="s">
        <v>422</v>
      </c>
      <c r="E630" s="220">
        <v>1</v>
      </c>
      <c r="F630" s="220">
        <v>204.75800000000001</v>
      </c>
      <c r="G630" s="220">
        <v>10458</v>
      </c>
      <c r="H630" s="220">
        <v>12335</v>
      </c>
      <c r="I630" s="220">
        <v>14397</v>
      </c>
      <c r="J630" s="220">
        <v>201.547</v>
      </c>
      <c r="K630" s="220">
        <v>-19.940000000000001</v>
      </c>
      <c r="L630" s="220">
        <v>24.402000000000001</v>
      </c>
      <c r="M630" s="220" t="s">
        <v>721</v>
      </c>
      <c r="N630" s="220" t="s">
        <v>933</v>
      </c>
      <c r="O630" s="220" t="s">
        <v>1183</v>
      </c>
      <c r="P630" s="220" t="s">
        <v>1184</v>
      </c>
      <c r="Q630" s="220" t="s">
        <v>78</v>
      </c>
      <c r="R630" s="220" t="s">
        <v>145</v>
      </c>
      <c r="S630" s="220" t="s">
        <v>195</v>
      </c>
    </row>
    <row r="631" spans="1:19" hidden="1" x14ac:dyDescent="0.25">
      <c r="A631" s="220">
        <v>91</v>
      </c>
      <c r="B631" s="220" t="s">
        <v>1182</v>
      </c>
      <c r="C631" s="220" t="s">
        <v>296</v>
      </c>
      <c r="D631" s="220" t="s">
        <v>422</v>
      </c>
      <c r="E631" s="220">
        <v>2</v>
      </c>
      <c r="F631" s="220">
        <v>202.23099999999999</v>
      </c>
      <c r="G631" s="220">
        <v>10462</v>
      </c>
      <c r="H631" s="220">
        <v>12340</v>
      </c>
      <c r="I631" s="220">
        <v>14402</v>
      </c>
      <c r="J631" s="220">
        <v>199.06100000000001</v>
      </c>
      <c r="K631" s="220">
        <v>-19.93</v>
      </c>
      <c r="L631" s="220">
        <v>24.427</v>
      </c>
      <c r="M631" s="220" t="s">
        <v>721</v>
      </c>
      <c r="N631" s="220" t="s">
        <v>933</v>
      </c>
      <c r="O631" s="220" t="s">
        <v>1183</v>
      </c>
      <c r="P631" s="220" t="s">
        <v>1184</v>
      </c>
      <c r="Q631" s="220" t="s">
        <v>111</v>
      </c>
      <c r="R631" s="220" t="s">
        <v>132</v>
      </c>
      <c r="S631" s="220" t="s">
        <v>189</v>
      </c>
    </row>
    <row r="632" spans="1:19" hidden="1" x14ac:dyDescent="0.25">
      <c r="A632" s="220">
        <v>91</v>
      </c>
      <c r="B632" s="220" t="s">
        <v>1182</v>
      </c>
      <c r="C632" s="220" t="s">
        <v>296</v>
      </c>
      <c r="D632" s="220" t="s">
        <v>422</v>
      </c>
      <c r="E632" s="220">
        <v>3</v>
      </c>
      <c r="F632" s="220">
        <v>203.458</v>
      </c>
      <c r="G632" s="220">
        <v>10505</v>
      </c>
      <c r="H632" s="220">
        <v>12390</v>
      </c>
      <c r="I632" s="220">
        <v>14464</v>
      </c>
      <c r="J632" s="220">
        <v>200.268</v>
      </c>
      <c r="K632" s="220">
        <v>-19.937999999999999</v>
      </c>
      <c r="L632" s="220">
        <v>24.425000000000001</v>
      </c>
      <c r="M632" s="220" t="s">
        <v>721</v>
      </c>
      <c r="N632" s="220" t="s">
        <v>933</v>
      </c>
      <c r="O632" s="220" t="s">
        <v>1183</v>
      </c>
      <c r="P632" s="220" t="s">
        <v>1184</v>
      </c>
      <c r="Q632" s="220" t="s">
        <v>117</v>
      </c>
      <c r="R632" s="220" t="s">
        <v>119</v>
      </c>
      <c r="S632" s="220" t="s">
        <v>241</v>
      </c>
    </row>
    <row r="633" spans="1:19" hidden="1" x14ac:dyDescent="0.25">
      <c r="A633" s="220">
        <v>91</v>
      </c>
      <c r="B633" s="220" t="s">
        <v>1182</v>
      </c>
      <c r="C633" s="220" t="s">
        <v>296</v>
      </c>
      <c r="D633" s="220" t="s">
        <v>422</v>
      </c>
      <c r="E633" s="220">
        <v>4</v>
      </c>
      <c r="F633" s="220">
        <v>203.22</v>
      </c>
      <c r="G633" s="220">
        <v>10463</v>
      </c>
      <c r="H633" s="220">
        <v>12341</v>
      </c>
      <c r="I633" s="220">
        <v>14402</v>
      </c>
      <c r="J633" s="220">
        <v>200.03399999999999</v>
      </c>
      <c r="K633" s="220">
        <v>-19.937000000000001</v>
      </c>
      <c r="L633" s="220">
        <v>24.417999999999999</v>
      </c>
      <c r="M633" s="220" t="s">
        <v>721</v>
      </c>
      <c r="N633" s="220" t="s">
        <v>933</v>
      </c>
      <c r="O633" s="220" t="s">
        <v>1183</v>
      </c>
      <c r="P633" s="220" t="s">
        <v>1184</v>
      </c>
      <c r="Q633" s="220" t="s">
        <v>158</v>
      </c>
      <c r="R633" s="220" t="s">
        <v>119</v>
      </c>
      <c r="S633" s="220" t="s">
        <v>190</v>
      </c>
    </row>
    <row r="634" spans="1:19" hidden="1" x14ac:dyDescent="0.25">
      <c r="A634" s="220">
        <v>91</v>
      </c>
      <c r="B634" s="220" t="s">
        <v>1182</v>
      </c>
      <c r="C634" s="220" t="s">
        <v>296</v>
      </c>
      <c r="D634" s="220" t="s">
        <v>422</v>
      </c>
      <c r="E634" s="220">
        <v>5</v>
      </c>
      <c r="F634" s="220">
        <v>216.15700000000001</v>
      </c>
      <c r="G634" s="220">
        <v>16447</v>
      </c>
      <c r="H634" s="220">
        <v>19821</v>
      </c>
      <c r="I634" s="220">
        <v>22910</v>
      </c>
      <c r="J634" s="220">
        <v>212.71299999999999</v>
      </c>
      <c r="K634" s="220">
        <v>-1.431</v>
      </c>
      <c r="L634" s="220">
        <v>36.167999999999999</v>
      </c>
      <c r="M634" s="220" t="s">
        <v>721</v>
      </c>
      <c r="N634" s="220" t="s">
        <v>933</v>
      </c>
      <c r="O634" s="220" t="s">
        <v>1183</v>
      </c>
      <c r="P634" s="220" t="s">
        <v>1184</v>
      </c>
      <c r="Q634" s="220" t="s">
        <v>178</v>
      </c>
      <c r="R634" s="220" t="s">
        <v>603</v>
      </c>
      <c r="S634" s="220" t="s">
        <v>1023</v>
      </c>
    </row>
    <row r="635" spans="1:19" x14ac:dyDescent="0.25">
      <c r="A635" s="220">
        <v>91</v>
      </c>
      <c r="B635" s="220" t="s">
        <v>1182</v>
      </c>
      <c r="C635" s="220" t="s">
        <v>296</v>
      </c>
      <c r="D635" s="220" t="s">
        <v>422</v>
      </c>
      <c r="E635" s="220">
        <v>6</v>
      </c>
      <c r="F635" s="220">
        <v>189.46199999999999</v>
      </c>
      <c r="G635" s="220">
        <v>14670</v>
      </c>
      <c r="H635" s="220">
        <v>17675</v>
      </c>
      <c r="I635" s="220">
        <v>20443</v>
      </c>
      <c r="J635" s="220">
        <v>186.44399999999999</v>
      </c>
      <c r="K635" s="220">
        <v>-1.409</v>
      </c>
      <c r="L635" s="220">
        <v>36.438000000000002</v>
      </c>
      <c r="M635" s="220" t="s">
        <v>721</v>
      </c>
      <c r="N635" s="220" t="s">
        <v>933</v>
      </c>
      <c r="O635" s="220" t="s">
        <v>1183</v>
      </c>
      <c r="P635" s="220" t="s">
        <v>1184</v>
      </c>
      <c r="Q635" s="220" t="s">
        <v>272</v>
      </c>
      <c r="R635" s="220" t="s">
        <v>585</v>
      </c>
      <c r="S635" s="220" t="s">
        <v>940</v>
      </c>
    </row>
    <row r="636" spans="1:19" x14ac:dyDescent="0.25">
      <c r="A636" s="220">
        <v>91</v>
      </c>
      <c r="B636" s="220" t="s">
        <v>1182</v>
      </c>
      <c r="C636" s="220" t="s">
        <v>296</v>
      </c>
      <c r="D636" s="220" t="s">
        <v>422</v>
      </c>
      <c r="E636" s="220">
        <v>7</v>
      </c>
      <c r="F636" s="220">
        <v>175.75700000000001</v>
      </c>
      <c r="G636" s="220">
        <v>13675</v>
      </c>
      <c r="H636" s="220">
        <v>16473</v>
      </c>
      <c r="I636" s="220">
        <v>19052</v>
      </c>
      <c r="J636" s="220">
        <v>172.95699999999999</v>
      </c>
      <c r="K636" s="220">
        <v>-1.3819999999999999</v>
      </c>
      <c r="L636" s="220">
        <v>36.514000000000003</v>
      </c>
      <c r="M636" s="220" t="s">
        <v>721</v>
      </c>
      <c r="N636" s="220" t="s">
        <v>933</v>
      </c>
      <c r="O636" s="220" t="s">
        <v>1183</v>
      </c>
      <c r="P636" s="220" t="s">
        <v>1184</v>
      </c>
      <c r="Q636" s="220" t="s">
        <v>716</v>
      </c>
      <c r="R636" s="220" t="s">
        <v>574</v>
      </c>
      <c r="S636" s="220" t="s">
        <v>590</v>
      </c>
    </row>
    <row r="637" spans="1:19" hidden="1" x14ac:dyDescent="0.25">
      <c r="A637" s="220">
        <v>92</v>
      </c>
      <c r="B637" s="220" t="s">
        <v>1185</v>
      </c>
      <c r="C637" s="220" t="s">
        <v>229</v>
      </c>
      <c r="D637" s="220" t="s">
        <v>423</v>
      </c>
      <c r="E637" s="220">
        <v>1</v>
      </c>
      <c r="F637" s="220">
        <v>204.41</v>
      </c>
      <c r="G637" s="220">
        <v>10464</v>
      </c>
      <c r="H637" s="220">
        <v>12342</v>
      </c>
      <c r="I637" s="220">
        <v>14406</v>
      </c>
      <c r="J637" s="220">
        <v>201.20500000000001</v>
      </c>
      <c r="K637" s="220">
        <v>-19.931999999999999</v>
      </c>
      <c r="L637" s="220">
        <v>24.425000000000001</v>
      </c>
      <c r="M637" s="220" t="s">
        <v>1186</v>
      </c>
      <c r="N637" s="220" t="s">
        <v>933</v>
      </c>
      <c r="O637" s="220" t="s">
        <v>1187</v>
      </c>
      <c r="P637" s="220" t="s">
        <v>1188</v>
      </c>
      <c r="Q637" s="220" t="s">
        <v>78</v>
      </c>
      <c r="R637" s="220" t="s">
        <v>145</v>
      </c>
      <c r="S637" s="220" t="s">
        <v>195</v>
      </c>
    </row>
    <row r="638" spans="1:19" hidden="1" x14ac:dyDescent="0.25">
      <c r="A638" s="220">
        <v>92</v>
      </c>
      <c r="B638" s="220" t="s">
        <v>1185</v>
      </c>
      <c r="C638" s="220" t="s">
        <v>229</v>
      </c>
      <c r="D638" s="220" t="s">
        <v>423</v>
      </c>
      <c r="E638" s="220">
        <v>2</v>
      </c>
      <c r="F638" s="220">
        <v>202.06299999999999</v>
      </c>
      <c r="G638" s="220">
        <v>10467</v>
      </c>
      <c r="H638" s="220">
        <v>12346</v>
      </c>
      <c r="I638" s="220">
        <v>14412</v>
      </c>
      <c r="J638" s="220">
        <v>198.89500000000001</v>
      </c>
      <c r="K638" s="220">
        <v>-19.937000000000001</v>
      </c>
      <c r="L638" s="220">
        <v>24.417000000000002</v>
      </c>
      <c r="M638" s="220" t="s">
        <v>1186</v>
      </c>
      <c r="N638" s="220" t="s">
        <v>933</v>
      </c>
      <c r="O638" s="220" t="s">
        <v>1187</v>
      </c>
      <c r="P638" s="220" t="s">
        <v>1188</v>
      </c>
      <c r="Q638" s="220" t="s">
        <v>111</v>
      </c>
      <c r="R638" s="220" t="s">
        <v>132</v>
      </c>
      <c r="S638" s="220" t="s">
        <v>585</v>
      </c>
    </row>
    <row r="639" spans="1:19" hidden="1" x14ac:dyDescent="0.25">
      <c r="A639" s="220">
        <v>92</v>
      </c>
      <c r="B639" s="220" t="s">
        <v>1185</v>
      </c>
      <c r="C639" s="220" t="s">
        <v>229</v>
      </c>
      <c r="D639" s="220" t="s">
        <v>423</v>
      </c>
      <c r="E639" s="220">
        <v>3</v>
      </c>
      <c r="F639" s="220">
        <v>203.68600000000001</v>
      </c>
      <c r="G639" s="220">
        <v>10507</v>
      </c>
      <c r="H639" s="220">
        <v>12394</v>
      </c>
      <c r="I639" s="220">
        <v>14469</v>
      </c>
      <c r="J639" s="220">
        <v>200.49299999999999</v>
      </c>
      <c r="K639" s="220">
        <v>-19.945</v>
      </c>
      <c r="L639" s="220">
        <v>24.425999999999998</v>
      </c>
      <c r="M639" s="220" t="s">
        <v>1186</v>
      </c>
      <c r="N639" s="220" t="s">
        <v>933</v>
      </c>
      <c r="O639" s="220" t="s">
        <v>1187</v>
      </c>
      <c r="P639" s="220" t="s">
        <v>1188</v>
      </c>
      <c r="Q639" s="220" t="s">
        <v>117</v>
      </c>
      <c r="R639" s="220" t="s">
        <v>96</v>
      </c>
      <c r="S639" s="220" t="s">
        <v>241</v>
      </c>
    </row>
    <row r="640" spans="1:19" hidden="1" x14ac:dyDescent="0.25">
      <c r="A640" s="220">
        <v>92</v>
      </c>
      <c r="B640" s="220" t="s">
        <v>1185</v>
      </c>
      <c r="C640" s="220" t="s">
        <v>229</v>
      </c>
      <c r="D640" s="220" t="s">
        <v>423</v>
      </c>
      <c r="E640" s="220">
        <v>4</v>
      </c>
      <c r="F640" s="220">
        <v>203.232</v>
      </c>
      <c r="G640" s="220">
        <v>10458</v>
      </c>
      <c r="H640" s="220">
        <v>12335</v>
      </c>
      <c r="I640" s="220">
        <v>14398</v>
      </c>
      <c r="J640" s="220">
        <v>200.04599999999999</v>
      </c>
      <c r="K640" s="220">
        <v>-19.937000000000001</v>
      </c>
      <c r="L640" s="220">
        <v>24.417999999999999</v>
      </c>
      <c r="M640" s="220" t="s">
        <v>1186</v>
      </c>
      <c r="N640" s="220" t="s">
        <v>933</v>
      </c>
      <c r="O640" s="220" t="s">
        <v>1187</v>
      </c>
      <c r="P640" s="220" t="s">
        <v>1188</v>
      </c>
      <c r="Q640" s="220" t="s">
        <v>117</v>
      </c>
      <c r="R640" s="220" t="s">
        <v>119</v>
      </c>
      <c r="S640" s="220" t="s">
        <v>303</v>
      </c>
    </row>
    <row r="641" spans="1:19" hidden="1" x14ac:dyDescent="0.25">
      <c r="A641" s="220">
        <v>92</v>
      </c>
      <c r="B641" s="220" t="s">
        <v>1185</v>
      </c>
      <c r="C641" s="220" t="s">
        <v>229</v>
      </c>
      <c r="D641" s="220" t="s">
        <v>423</v>
      </c>
      <c r="E641" s="220">
        <v>5</v>
      </c>
      <c r="F641" s="220">
        <v>209.45400000000001</v>
      </c>
      <c r="G641" s="220">
        <v>16801</v>
      </c>
      <c r="H641" s="220">
        <v>20243</v>
      </c>
      <c r="I641" s="220">
        <v>23402</v>
      </c>
      <c r="J641" s="220">
        <v>206.11699999999999</v>
      </c>
      <c r="K641" s="220">
        <v>-1.345</v>
      </c>
      <c r="L641" s="220">
        <v>35.996000000000002</v>
      </c>
      <c r="M641" s="220" t="s">
        <v>1186</v>
      </c>
      <c r="N641" s="220" t="s">
        <v>933</v>
      </c>
      <c r="O641" s="220" t="s">
        <v>1187</v>
      </c>
      <c r="P641" s="220" t="s">
        <v>1188</v>
      </c>
      <c r="Q641" s="220" t="s">
        <v>181</v>
      </c>
      <c r="R641" s="220" t="s">
        <v>46</v>
      </c>
      <c r="S641" s="220" t="s">
        <v>1004</v>
      </c>
    </row>
    <row r="642" spans="1:19" x14ac:dyDescent="0.25">
      <c r="A642" s="220">
        <v>92</v>
      </c>
      <c r="B642" s="220" t="s">
        <v>1185</v>
      </c>
      <c r="C642" s="220" t="s">
        <v>229</v>
      </c>
      <c r="D642" s="220" t="s">
        <v>423</v>
      </c>
      <c r="E642" s="220">
        <v>6</v>
      </c>
      <c r="F642" s="220">
        <v>184.75899999999999</v>
      </c>
      <c r="G642" s="220">
        <v>14943</v>
      </c>
      <c r="H642" s="220">
        <v>17995</v>
      </c>
      <c r="I642" s="220">
        <v>20815</v>
      </c>
      <c r="J642" s="220">
        <v>181.815</v>
      </c>
      <c r="K642" s="220">
        <v>-1.2949999999999999</v>
      </c>
      <c r="L642" s="220">
        <v>36.277000000000001</v>
      </c>
      <c r="M642" s="220" t="s">
        <v>1186</v>
      </c>
      <c r="N642" s="220" t="s">
        <v>933</v>
      </c>
      <c r="O642" s="220" t="s">
        <v>1187</v>
      </c>
      <c r="P642" s="220" t="s">
        <v>1188</v>
      </c>
      <c r="Q642" s="220" t="s">
        <v>226</v>
      </c>
      <c r="R642" s="220" t="s">
        <v>201</v>
      </c>
      <c r="S642" s="220" t="s">
        <v>705</v>
      </c>
    </row>
    <row r="643" spans="1:19" x14ac:dyDescent="0.25">
      <c r="A643" s="220">
        <v>92</v>
      </c>
      <c r="B643" s="220" t="s">
        <v>1185</v>
      </c>
      <c r="C643" s="220" t="s">
        <v>229</v>
      </c>
      <c r="D643" s="220" t="s">
        <v>423</v>
      </c>
      <c r="E643" s="220">
        <v>7</v>
      </c>
      <c r="F643" s="220">
        <v>171.42599999999999</v>
      </c>
      <c r="G643" s="220">
        <v>13809</v>
      </c>
      <c r="H643" s="220">
        <v>16632</v>
      </c>
      <c r="I643" s="220">
        <v>19242</v>
      </c>
      <c r="J643" s="220">
        <v>168.69499999999999</v>
      </c>
      <c r="K643" s="220">
        <v>-1.2310000000000001</v>
      </c>
      <c r="L643" s="220">
        <v>36.326000000000001</v>
      </c>
      <c r="M643" s="220" t="s">
        <v>1186</v>
      </c>
      <c r="N643" s="220" t="s">
        <v>933</v>
      </c>
      <c r="O643" s="220" t="s">
        <v>1187</v>
      </c>
      <c r="P643" s="220" t="s">
        <v>1188</v>
      </c>
      <c r="Q643" s="220" t="s">
        <v>540</v>
      </c>
      <c r="R643" s="220" t="s">
        <v>723</v>
      </c>
      <c r="S643" s="220" t="s">
        <v>1189</v>
      </c>
    </row>
    <row r="644" spans="1:19" hidden="1" x14ac:dyDescent="0.25">
      <c r="A644" s="220">
        <v>93</v>
      </c>
      <c r="B644" s="220" t="s">
        <v>1190</v>
      </c>
      <c r="C644" s="220" t="s">
        <v>635</v>
      </c>
      <c r="D644" s="220" t="s">
        <v>424</v>
      </c>
      <c r="E644" s="220">
        <v>1</v>
      </c>
      <c r="F644" s="220">
        <v>205.554</v>
      </c>
      <c r="G644" s="220">
        <v>10459</v>
      </c>
      <c r="H644" s="220">
        <v>12336</v>
      </c>
      <c r="I644" s="220">
        <v>14414</v>
      </c>
      <c r="J644" s="220">
        <v>202.33099999999999</v>
      </c>
      <c r="K644" s="220">
        <v>-19.928000000000001</v>
      </c>
      <c r="L644" s="220">
        <v>24.449000000000002</v>
      </c>
      <c r="M644" s="220" t="s">
        <v>1191</v>
      </c>
      <c r="N644" s="220" t="s">
        <v>933</v>
      </c>
      <c r="O644" s="220" t="s">
        <v>1192</v>
      </c>
      <c r="P644" s="220" t="s">
        <v>1193</v>
      </c>
      <c r="Q644" s="220" t="s">
        <v>102</v>
      </c>
      <c r="R644" s="220" t="s">
        <v>249</v>
      </c>
      <c r="S644" s="220" t="s">
        <v>135</v>
      </c>
    </row>
    <row r="645" spans="1:19" hidden="1" x14ac:dyDescent="0.25">
      <c r="A645" s="220">
        <v>93</v>
      </c>
      <c r="B645" s="220" t="s">
        <v>1190</v>
      </c>
      <c r="C645" s="220" t="s">
        <v>635</v>
      </c>
      <c r="D645" s="220" t="s">
        <v>424</v>
      </c>
      <c r="E645" s="220">
        <v>2</v>
      </c>
      <c r="F645" s="220">
        <v>201.72800000000001</v>
      </c>
      <c r="G645" s="220">
        <v>10474</v>
      </c>
      <c r="H645" s="220">
        <v>12353</v>
      </c>
      <c r="I645" s="220">
        <v>14431</v>
      </c>
      <c r="J645" s="220">
        <v>198.565</v>
      </c>
      <c r="K645" s="220">
        <v>-19.939</v>
      </c>
      <c r="L645" s="220">
        <v>24.436</v>
      </c>
      <c r="M645" s="220" t="s">
        <v>1191</v>
      </c>
      <c r="N645" s="220" t="s">
        <v>933</v>
      </c>
      <c r="O645" s="220" t="s">
        <v>1192</v>
      </c>
      <c r="P645" s="220" t="s">
        <v>1193</v>
      </c>
      <c r="Q645" s="220" t="s">
        <v>120</v>
      </c>
      <c r="R645" s="220" t="s">
        <v>226</v>
      </c>
      <c r="S645" s="220" t="s">
        <v>585</v>
      </c>
    </row>
    <row r="646" spans="1:19" hidden="1" x14ac:dyDescent="0.25">
      <c r="A646" s="220">
        <v>93</v>
      </c>
      <c r="B646" s="220" t="s">
        <v>1190</v>
      </c>
      <c r="C646" s="220" t="s">
        <v>635</v>
      </c>
      <c r="D646" s="220" t="s">
        <v>424</v>
      </c>
      <c r="E646" s="220">
        <v>3</v>
      </c>
      <c r="F646" s="220">
        <v>203.63300000000001</v>
      </c>
      <c r="G646" s="220">
        <v>10518</v>
      </c>
      <c r="H646" s="220">
        <v>12406</v>
      </c>
      <c r="I646" s="220">
        <v>14495</v>
      </c>
      <c r="J646" s="220">
        <v>200.44</v>
      </c>
      <c r="K646" s="220">
        <v>-19.931000000000001</v>
      </c>
      <c r="L646" s="220">
        <v>24.420999999999999</v>
      </c>
      <c r="M646" s="220" t="s">
        <v>1191</v>
      </c>
      <c r="N646" s="220" t="s">
        <v>933</v>
      </c>
      <c r="O646" s="220" t="s">
        <v>1192</v>
      </c>
      <c r="P646" s="220" t="s">
        <v>1193</v>
      </c>
      <c r="Q646" s="220" t="s">
        <v>158</v>
      </c>
      <c r="R646" s="220" t="s">
        <v>119</v>
      </c>
      <c r="S646" s="220" t="s">
        <v>303</v>
      </c>
    </row>
    <row r="647" spans="1:19" hidden="1" x14ac:dyDescent="0.25">
      <c r="A647" s="220">
        <v>93</v>
      </c>
      <c r="B647" s="220" t="s">
        <v>1190</v>
      </c>
      <c r="C647" s="220" t="s">
        <v>635</v>
      </c>
      <c r="D647" s="220" t="s">
        <v>424</v>
      </c>
      <c r="E647" s="220">
        <v>4</v>
      </c>
      <c r="F647" s="220">
        <v>203.57900000000001</v>
      </c>
      <c r="G647" s="220">
        <v>10473</v>
      </c>
      <c r="H647" s="220">
        <v>12352</v>
      </c>
      <c r="I647" s="220">
        <v>14429</v>
      </c>
      <c r="J647" s="220">
        <v>200.386</v>
      </c>
      <c r="K647" s="220">
        <v>-19.937000000000001</v>
      </c>
      <c r="L647" s="220">
        <v>24.417999999999999</v>
      </c>
      <c r="M647" s="220" t="s">
        <v>1191</v>
      </c>
      <c r="N647" s="220" t="s">
        <v>933</v>
      </c>
      <c r="O647" s="220" t="s">
        <v>1192</v>
      </c>
      <c r="P647" s="220" t="s">
        <v>1193</v>
      </c>
      <c r="Q647" s="220" t="s">
        <v>158</v>
      </c>
      <c r="R647" s="220" t="s">
        <v>233</v>
      </c>
      <c r="S647" s="220" t="s">
        <v>190</v>
      </c>
    </row>
    <row r="648" spans="1:19" hidden="1" x14ac:dyDescent="0.25">
      <c r="A648" s="220">
        <v>93</v>
      </c>
      <c r="B648" s="220" t="s">
        <v>1190</v>
      </c>
      <c r="C648" s="220" t="s">
        <v>635</v>
      </c>
      <c r="D648" s="220" t="s">
        <v>424</v>
      </c>
      <c r="E648" s="220">
        <v>5</v>
      </c>
      <c r="F648" s="220">
        <v>198.20500000000001</v>
      </c>
      <c r="G648" s="220">
        <v>15090</v>
      </c>
      <c r="H648" s="220">
        <v>18184</v>
      </c>
      <c r="I648" s="220">
        <v>21033</v>
      </c>
      <c r="J648" s="220">
        <v>195.048</v>
      </c>
      <c r="K648" s="220">
        <v>-1.268</v>
      </c>
      <c r="L648" s="220">
        <v>35.677</v>
      </c>
      <c r="M648" s="220" t="s">
        <v>1191</v>
      </c>
      <c r="N648" s="220" t="s">
        <v>933</v>
      </c>
      <c r="O648" s="220" t="s">
        <v>1192</v>
      </c>
      <c r="P648" s="220" t="s">
        <v>1193</v>
      </c>
      <c r="Q648" s="220" t="s">
        <v>175</v>
      </c>
      <c r="R648" s="220" t="s">
        <v>611</v>
      </c>
      <c r="S648" s="220" t="s">
        <v>835</v>
      </c>
    </row>
    <row r="649" spans="1:19" x14ac:dyDescent="0.25">
      <c r="A649" s="220">
        <v>93</v>
      </c>
      <c r="B649" s="220" t="s">
        <v>1190</v>
      </c>
      <c r="C649" s="220" t="s">
        <v>635</v>
      </c>
      <c r="D649" s="220" t="s">
        <v>424</v>
      </c>
      <c r="E649" s="220">
        <v>6</v>
      </c>
      <c r="F649" s="220">
        <v>174.34</v>
      </c>
      <c r="G649" s="220">
        <v>13508</v>
      </c>
      <c r="H649" s="220">
        <v>16273</v>
      </c>
      <c r="I649" s="220">
        <v>18827</v>
      </c>
      <c r="J649" s="220">
        <v>171.56200000000001</v>
      </c>
      <c r="K649" s="220">
        <v>-1.1859999999999999</v>
      </c>
      <c r="L649" s="220">
        <v>36.003999999999998</v>
      </c>
      <c r="M649" s="220" t="s">
        <v>1191</v>
      </c>
      <c r="N649" s="220" t="s">
        <v>933</v>
      </c>
      <c r="O649" s="220" t="s">
        <v>1192</v>
      </c>
      <c r="P649" s="220" t="s">
        <v>1193</v>
      </c>
      <c r="Q649" s="220" t="s">
        <v>146</v>
      </c>
      <c r="R649" s="220" t="s">
        <v>215</v>
      </c>
      <c r="S649" s="220" t="s">
        <v>265</v>
      </c>
    </row>
    <row r="650" spans="1:19" x14ac:dyDescent="0.25">
      <c r="A650" s="220">
        <v>93</v>
      </c>
      <c r="B650" s="220" t="s">
        <v>1190</v>
      </c>
      <c r="C650" s="220" t="s">
        <v>635</v>
      </c>
      <c r="D650" s="220" t="s">
        <v>424</v>
      </c>
      <c r="E650" s="220">
        <v>7</v>
      </c>
      <c r="F650" s="220">
        <v>162.143</v>
      </c>
      <c r="G650" s="220">
        <v>12613</v>
      </c>
      <c r="H650" s="220">
        <v>15196</v>
      </c>
      <c r="I650" s="220">
        <v>17579</v>
      </c>
      <c r="J650" s="220">
        <v>159.559</v>
      </c>
      <c r="K650" s="220">
        <v>-1.171</v>
      </c>
      <c r="L650" s="220">
        <v>35.97</v>
      </c>
      <c r="M650" s="220" t="s">
        <v>1191</v>
      </c>
      <c r="N650" s="220" t="s">
        <v>933</v>
      </c>
      <c r="O650" s="220" t="s">
        <v>1192</v>
      </c>
      <c r="P650" s="220" t="s">
        <v>1193</v>
      </c>
      <c r="Q650" s="220" t="s">
        <v>640</v>
      </c>
      <c r="R650" s="220" t="s">
        <v>325</v>
      </c>
      <c r="S650" s="220" t="s">
        <v>750</v>
      </c>
    </row>
    <row r="651" spans="1:19" hidden="1" x14ac:dyDescent="0.25">
      <c r="A651" s="220">
        <v>94</v>
      </c>
      <c r="B651" s="220" t="s">
        <v>1194</v>
      </c>
      <c r="C651" s="220" t="s">
        <v>296</v>
      </c>
      <c r="D651" s="220" t="s">
        <v>425</v>
      </c>
      <c r="E651" s="220">
        <v>1</v>
      </c>
      <c r="F651" s="220">
        <v>204.13200000000001</v>
      </c>
      <c r="G651" s="220">
        <v>10434</v>
      </c>
      <c r="H651" s="220">
        <v>12307</v>
      </c>
      <c r="I651" s="220">
        <v>14380</v>
      </c>
      <c r="J651" s="220">
        <v>200.93100000000001</v>
      </c>
      <c r="K651" s="220">
        <v>-19.925999999999998</v>
      </c>
      <c r="L651" s="220">
        <v>24.443000000000001</v>
      </c>
      <c r="M651" s="220" t="s">
        <v>1195</v>
      </c>
      <c r="N651" s="220" t="s">
        <v>933</v>
      </c>
      <c r="O651" s="220" t="s">
        <v>1196</v>
      </c>
      <c r="P651" s="220" t="s">
        <v>1197</v>
      </c>
      <c r="Q651" s="220" t="s">
        <v>102</v>
      </c>
      <c r="R651" s="220" t="s">
        <v>249</v>
      </c>
      <c r="S651" s="220" t="s">
        <v>135</v>
      </c>
    </row>
    <row r="652" spans="1:19" hidden="1" x14ac:dyDescent="0.25">
      <c r="A652" s="220">
        <v>94</v>
      </c>
      <c r="B652" s="220" t="s">
        <v>1194</v>
      </c>
      <c r="C652" s="220" t="s">
        <v>296</v>
      </c>
      <c r="D652" s="220" t="s">
        <v>425</v>
      </c>
      <c r="E652" s="220">
        <v>2</v>
      </c>
      <c r="F652" s="220">
        <v>201.614</v>
      </c>
      <c r="G652" s="220">
        <v>10439</v>
      </c>
      <c r="H652" s="220">
        <v>12312</v>
      </c>
      <c r="I652" s="220">
        <v>14386</v>
      </c>
      <c r="J652" s="220">
        <v>198.453</v>
      </c>
      <c r="K652" s="220">
        <v>-19.956</v>
      </c>
      <c r="L652" s="220">
        <v>24.445</v>
      </c>
      <c r="M652" s="220" t="s">
        <v>1195</v>
      </c>
      <c r="N652" s="220" t="s">
        <v>933</v>
      </c>
      <c r="O652" s="220" t="s">
        <v>1196</v>
      </c>
      <c r="P652" s="220" t="s">
        <v>1197</v>
      </c>
      <c r="Q652" s="220" t="s">
        <v>120</v>
      </c>
      <c r="R652" s="220" t="s">
        <v>226</v>
      </c>
      <c r="S652" s="220" t="s">
        <v>177</v>
      </c>
    </row>
    <row r="653" spans="1:19" hidden="1" x14ac:dyDescent="0.25">
      <c r="A653" s="220">
        <v>94</v>
      </c>
      <c r="B653" s="220" t="s">
        <v>1194</v>
      </c>
      <c r="C653" s="220" t="s">
        <v>296</v>
      </c>
      <c r="D653" s="220" t="s">
        <v>425</v>
      </c>
      <c r="E653" s="220">
        <v>3</v>
      </c>
      <c r="F653" s="220">
        <v>203.25800000000001</v>
      </c>
      <c r="G653" s="220">
        <v>10492</v>
      </c>
      <c r="H653" s="220">
        <v>12375</v>
      </c>
      <c r="I653" s="220">
        <v>14456</v>
      </c>
      <c r="J653" s="220">
        <v>200.071</v>
      </c>
      <c r="K653" s="220">
        <v>-19.939</v>
      </c>
      <c r="L653" s="220">
        <v>24.42</v>
      </c>
      <c r="M653" s="220" t="s">
        <v>1195</v>
      </c>
      <c r="N653" s="220" t="s">
        <v>933</v>
      </c>
      <c r="O653" s="220" t="s">
        <v>1196</v>
      </c>
      <c r="P653" s="220" t="s">
        <v>1197</v>
      </c>
      <c r="Q653" s="220" t="s">
        <v>117</v>
      </c>
      <c r="R653" s="220" t="s">
        <v>119</v>
      </c>
      <c r="S653" s="220" t="s">
        <v>303</v>
      </c>
    </row>
    <row r="654" spans="1:19" hidden="1" x14ac:dyDescent="0.25">
      <c r="A654" s="220">
        <v>94</v>
      </c>
      <c r="B654" s="220" t="s">
        <v>1194</v>
      </c>
      <c r="C654" s="220" t="s">
        <v>296</v>
      </c>
      <c r="D654" s="220" t="s">
        <v>425</v>
      </c>
      <c r="E654" s="220">
        <v>4</v>
      </c>
      <c r="F654" s="220">
        <v>203.05500000000001</v>
      </c>
      <c r="G654" s="220">
        <v>10440</v>
      </c>
      <c r="H654" s="220">
        <v>12314</v>
      </c>
      <c r="I654" s="220">
        <v>14386</v>
      </c>
      <c r="J654" s="220">
        <v>199.87100000000001</v>
      </c>
      <c r="K654" s="220">
        <v>-19.937000000000001</v>
      </c>
      <c r="L654" s="220">
        <v>24.417999999999999</v>
      </c>
      <c r="M654" s="220" t="s">
        <v>1195</v>
      </c>
      <c r="N654" s="220" t="s">
        <v>933</v>
      </c>
      <c r="O654" s="220" t="s">
        <v>1196</v>
      </c>
      <c r="P654" s="220" t="s">
        <v>1197</v>
      </c>
      <c r="Q654" s="220" t="s">
        <v>158</v>
      </c>
      <c r="R654" s="220" t="s">
        <v>233</v>
      </c>
      <c r="S654" s="220" t="s">
        <v>303</v>
      </c>
    </row>
    <row r="655" spans="1:19" hidden="1" x14ac:dyDescent="0.25">
      <c r="A655" s="220">
        <v>94</v>
      </c>
      <c r="B655" s="220" t="s">
        <v>1194</v>
      </c>
      <c r="C655" s="220" t="s">
        <v>296</v>
      </c>
      <c r="D655" s="220" t="s">
        <v>425</v>
      </c>
      <c r="E655" s="220">
        <v>5</v>
      </c>
      <c r="F655" s="220">
        <v>216.83699999999999</v>
      </c>
      <c r="G655" s="220">
        <v>17152</v>
      </c>
      <c r="H655" s="220">
        <v>20665</v>
      </c>
      <c r="I655" s="220">
        <v>23908</v>
      </c>
      <c r="J655" s="220">
        <v>213.38300000000001</v>
      </c>
      <c r="K655" s="220">
        <v>-1.37</v>
      </c>
      <c r="L655" s="220">
        <v>35.71</v>
      </c>
      <c r="M655" s="220" t="s">
        <v>1195</v>
      </c>
      <c r="N655" s="220" t="s">
        <v>933</v>
      </c>
      <c r="O655" s="220" t="s">
        <v>1196</v>
      </c>
      <c r="P655" s="220" t="s">
        <v>1197</v>
      </c>
      <c r="Q655" s="220" t="s">
        <v>114</v>
      </c>
      <c r="R655" s="220" t="s">
        <v>47</v>
      </c>
      <c r="S655" s="220" t="s">
        <v>77</v>
      </c>
    </row>
    <row r="656" spans="1:19" x14ac:dyDescent="0.25">
      <c r="A656" s="220">
        <v>94</v>
      </c>
      <c r="B656" s="220" t="s">
        <v>1194</v>
      </c>
      <c r="C656" s="220" t="s">
        <v>296</v>
      </c>
      <c r="D656" s="220" t="s">
        <v>425</v>
      </c>
      <c r="E656" s="220">
        <v>6</v>
      </c>
      <c r="F656" s="220">
        <v>189.96600000000001</v>
      </c>
      <c r="G656" s="220">
        <v>15123</v>
      </c>
      <c r="H656" s="220">
        <v>18211</v>
      </c>
      <c r="I656" s="220">
        <v>21078</v>
      </c>
      <c r="J656" s="220">
        <v>186.93899999999999</v>
      </c>
      <c r="K656" s="220">
        <v>-1.1859999999999999</v>
      </c>
      <c r="L656" s="220">
        <v>36.183999999999997</v>
      </c>
      <c r="M656" s="220" t="s">
        <v>1195</v>
      </c>
      <c r="N656" s="220" t="s">
        <v>933</v>
      </c>
      <c r="O656" s="220" t="s">
        <v>1196</v>
      </c>
      <c r="P656" s="220" t="s">
        <v>1197</v>
      </c>
      <c r="Q656" s="220" t="s">
        <v>234</v>
      </c>
      <c r="R656" s="220" t="s">
        <v>298</v>
      </c>
      <c r="S656" s="220" t="s">
        <v>1198</v>
      </c>
    </row>
    <row r="657" spans="1:19" x14ac:dyDescent="0.25">
      <c r="A657" s="220">
        <v>94</v>
      </c>
      <c r="B657" s="220" t="s">
        <v>1194</v>
      </c>
      <c r="C657" s="220" t="s">
        <v>296</v>
      </c>
      <c r="D657" s="220" t="s">
        <v>425</v>
      </c>
      <c r="E657" s="220">
        <v>7</v>
      </c>
      <c r="F657" s="220">
        <v>176.233</v>
      </c>
      <c r="G657" s="220">
        <v>13957</v>
      </c>
      <c r="H657" s="220">
        <v>16802</v>
      </c>
      <c r="I657" s="220">
        <v>19453</v>
      </c>
      <c r="J657" s="220">
        <v>173.42500000000001</v>
      </c>
      <c r="K657" s="220">
        <v>-1.357</v>
      </c>
      <c r="L657" s="220">
        <v>35.884</v>
      </c>
      <c r="M657" s="220" t="s">
        <v>1195</v>
      </c>
      <c r="N657" s="220" t="s">
        <v>933</v>
      </c>
      <c r="O657" s="220" t="s">
        <v>1196</v>
      </c>
      <c r="P657" s="220" t="s">
        <v>1197</v>
      </c>
      <c r="Q657" s="220" t="s">
        <v>1028</v>
      </c>
      <c r="R657" s="220" t="s">
        <v>722</v>
      </c>
      <c r="S657" s="220" t="s">
        <v>1029</v>
      </c>
    </row>
    <row r="658" spans="1:19" hidden="1" x14ac:dyDescent="0.25">
      <c r="A658" s="220">
        <v>95</v>
      </c>
      <c r="B658" s="220" t="s">
        <v>0</v>
      </c>
      <c r="C658" s="220" t="s">
        <v>513</v>
      </c>
      <c r="D658" s="220" t="s">
        <v>426</v>
      </c>
      <c r="E658" s="220">
        <v>1</v>
      </c>
      <c r="F658" s="220">
        <v>203.95</v>
      </c>
      <c r="G658" s="220">
        <v>10425</v>
      </c>
      <c r="H658" s="220">
        <v>12296</v>
      </c>
      <c r="I658" s="220">
        <v>14364</v>
      </c>
      <c r="J658" s="220">
        <v>200.75200000000001</v>
      </c>
      <c r="K658" s="220">
        <v>-19.920999999999999</v>
      </c>
      <c r="L658" s="220">
        <v>24.416</v>
      </c>
      <c r="M658" s="220" t="s">
        <v>1199</v>
      </c>
      <c r="N658" s="220" t="s">
        <v>933</v>
      </c>
      <c r="O658" s="220" t="s">
        <v>1200</v>
      </c>
      <c r="P658" s="220" t="s">
        <v>1201</v>
      </c>
      <c r="Q658" s="220" t="s">
        <v>85</v>
      </c>
      <c r="R658" s="220" t="s">
        <v>133</v>
      </c>
      <c r="S658" s="220" t="s">
        <v>139</v>
      </c>
    </row>
    <row r="659" spans="1:19" hidden="1" x14ac:dyDescent="0.25">
      <c r="A659" s="220">
        <v>95</v>
      </c>
      <c r="B659" s="220" t="s">
        <v>0</v>
      </c>
      <c r="C659" s="220" t="s">
        <v>513</v>
      </c>
      <c r="D659" s="220" t="s">
        <v>426</v>
      </c>
      <c r="E659" s="220">
        <v>2</v>
      </c>
      <c r="F659" s="220">
        <v>201.04300000000001</v>
      </c>
      <c r="G659" s="220">
        <v>10427</v>
      </c>
      <c r="H659" s="220">
        <v>12298</v>
      </c>
      <c r="I659" s="220">
        <v>14364</v>
      </c>
      <c r="J659" s="220">
        <v>197.89099999999999</v>
      </c>
      <c r="K659" s="220">
        <v>-19.931000000000001</v>
      </c>
      <c r="L659" s="220">
        <v>24.395</v>
      </c>
      <c r="M659" s="220" t="s">
        <v>1199</v>
      </c>
      <c r="N659" s="220" t="s">
        <v>933</v>
      </c>
      <c r="O659" s="220" t="s">
        <v>1200</v>
      </c>
      <c r="P659" s="220" t="s">
        <v>1201</v>
      </c>
      <c r="Q659" s="220" t="s">
        <v>120</v>
      </c>
      <c r="R659" s="220" t="s">
        <v>132</v>
      </c>
      <c r="S659" s="220" t="s">
        <v>189</v>
      </c>
    </row>
    <row r="660" spans="1:19" hidden="1" x14ac:dyDescent="0.25">
      <c r="A660" s="220">
        <v>95</v>
      </c>
      <c r="B660" s="220" t="s">
        <v>0</v>
      </c>
      <c r="C660" s="220" t="s">
        <v>513</v>
      </c>
      <c r="D660" s="220" t="s">
        <v>426</v>
      </c>
      <c r="E660" s="220">
        <v>3</v>
      </c>
      <c r="F660" s="220">
        <v>203.09200000000001</v>
      </c>
      <c r="G660" s="220">
        <v>10487</v>
      </c>
      <c r="H660" s="220">
        <v>12368</v>
      </c>
      <c r="I660" s="220">
        <v>14449</v>
      </c>
      <c r="J660" s="220">
        <v>199.90700000000001</v>
      </c>
      <c r="K660" s="220">
        <v>-19.925000000000001</v>
      </c>
      <c r="L660" s="220">
        <v>24.416</v>
      </c>
      <c r="M660" s="220" t="s">
        <v>1199</v>
      </c>
      <c r="N660" s="220" t="s">
        <v>933</v>
      </c>
      <c r="O660" s="220" t="s">
        <v>1200</v>
      </c>
      <c r="P660" s="220" t="s">
        <v>1201</v>
      </c>
      <c r="Q660" s="220" t="s">
        <v>117</v>
      </c>
      <c r="R660" s="220" t="s">
        <v>119</v>
      </c>
      <c r="S660" s="220" t="s">
        <v>303</v>
      </c>
    </row>
    <row r="661" spans="1:19" hidden="1" x14ac:dyDescent="0.25">
      <c r="A661" s="220">
        <v>95</v>
      </c>
      <c r="B661" s="220" t="s">
        <v>0</v>
      </c>
      <c r="C661" s="220" t="s">
        <v>513</v>
      </c>
      <c r="D661" s="220" t="s">
        <v>426</v>
      </c>
      <c r="E661" s="220">
        <v>4</v>
      </c>
      <c r="F661" s="220">
        <v>202.77600000000001</v>
      </c>
      <c r="G661" s="220">
        <v>10439</v>
      </c>
      <c r="H661" s="220">
        <v>12313</v>
      </c>
      <c r="I661" s="220">
        <v>14383</v>
      </c>
      <c r="J661" s="220">
        <v>199.59700000000001</v>
      </c>
      <c r="K661" s="220">
        <v>-19.937000000000001</v>
      </c>
      <c r="L661" s="220">
        <v>24.417999999999999</v>
      </c>
      <c r="M661" s="220" t="s">
        <v>1199</v>
      </c>
      <c r="N661" s="220" t="s">
        <v>933</v>
      </c>
      <c r="O661" s="220" t="s">
        <v>1200</v>
      </c>
      <c r="P661" s="220" t="s">
        <v>1201</v>
      </c>
      <c r="Q661" s="220" t="s">
        <v>158</v>
      </c>
      <c r="R661" s="220" t="s">
        <v>119</v>
      </c>
      <c r="S661" s="220" t="s">
        <v>303</v>
      </c>
    </row>
    <row r="662" spans="1:19" hidden="1" x14ac:dyDescent="0.25">
      <c r="A662" s="220">
        <v>95</v>
      </c>
      <c r="B662" s="220" t="s">
        <v>0</v>
      </c>
      <c r="C662" s="220" t="s">
        <v>513</v>
      </c>
      <c r="D662" s="220" t="s">
        <v>426</v>
      </c>
      <c r="E662" s="220">
        <v>5</v>
      </c>
      <c r="F662" s="220">
        <v>176.749</v>
      </c>
      <c r="G662" s="220">
        <v>13511</v>
      </c>
      <c r="H662" s="220">
        <v>16370</v>
      </c>
      <c r="I662" s="220">
        <v>18849</v>
      </c>
      <c r="J662" s="220">
        <v>173.92099999999999</v>
      </c>
      <c r="K662" s="220">
        <v>4.6340000000000003</v>
      </c>
      <c r="L662" s="220">
        <v>36.749000000000002</v>
      </c>
      <c r="M662" s="220" t="s">
        <v>1199</v>
      </c>
      <c r="N662" s="220" t="s">
        <v>933</v>
      </c>
      <c r="O662" s="220" t="s">
        <v>1200</v>
      </c>
      <c r="P662" s="220" t="s">
        <v>1201</v>
      </c>
      <c r="Q662" s="220" t="s">
        <v>167</v>
      </c>
      <c r="R662" s="220" t="s">
        <v>88</v>
      </c>
      <c r="S662" s="220" t="s">
        <v>565</v>
      </c>
    </row>
    <row r="663" spans="1:19" x14ac:dyDescent="0.25">
      <c r="A663" s="220">
        <v>95</v>
      </c>
      <c r="B663" s="220" t="s">
        <v>0</v>
      </c>
      <c r="C663" s="220" t="s">
        <v>513</v>
      </c>
      <c r="D663" s="220" t="s">
        <v>426</v>
      </c>
      <c r="E663" s="220">
        <v>6</v>
      </c>
      <c r="F663" s="220">
        <v>155.72999999999999</v>
      </c>
      <c r="G663" s="220">
        <v>12129</v>
      </c>
      <c r="H663" s="220">
        <v>14696</v>
      </c>
      <c r="I663" s="220">
        <v>16923</v>
      </c>
      <c r="J663" s="220">
        <v>153.238</v>
      </c>
      <c r="K663" s="220">
        <v>4.6479999999999997</v>
      </c>
      <c r="L663" s="220">
        <v>36.911000000000001</v>
      </c>
      <c r="M663" s="220" t="s">
        <v>1199</v>
      </c>
      <c r="N663" s="220" t="s">
        <v>933</v>
      </c>
      <c r="O663" s="220" t="s">
        <v>1200</v>
      </c>
      <c r="P663" s="220" t="s">
        <v>1201</v>
      </c>
      <c r="Q663" s="220" t="s">
        <v>246</v>
      </c>
      <c r="R663" s="220" t="s">
        <v>166</v>
      </c>
      <c r="S663" s="220" t="s">
        <v>531</v>
      </c>
    </row>
    <row r="664" spans="1:19" x14ac:dyDescent="0.25">
      <c r="A664" s="220">
        <v>95</v>
      </c>
      <c r="B664" s="220" t="s">
        <v>0</v>
      </c>
      <c r="C664" s="220" t="s">
        <v>513</v>
      </c>
      <c r="D664" s="220" t="s">
        <v>426</v>
      </c>
      <c r="E664" s="220">
        <v>7</v>
      </c>
      <c r="F664" s="220">
        <v>144.994</v>
      </c>
      <c r="G664" s="220">
        <v>11396</v>
      </c>
      <c r="H664" s="220">
        <v>13805</v>
      </c>
      <c r="I664" s="220">
        <v>15896</v>
      </c>
      <c r="J664" s="220">
        <v>142.67400000000001</v>
      </c>
      <c r="K664" s="220">
        <v>4.7300000000000004</v>
      </c>
      <c r="L664" s="220">
        <v>36.923000000000002</v>
      </c>
      <c r="M664" s="220" t="s">
        <v>1199</v>
      </c>
      <c r="N664" s="220" t="s">
        <v>933</v>
      </c>
      <c r="O664" s="220" t="s">
        <v>1200</v>
      </c>
      <c r="P664" s="220" t="s">
        <v>1201</v>
      </c>
      <c r="Q664" s="220" t="s">
        <v>432</v>
      </c>
      <c r="R664" s="220" t="s">
        <v>256</v>
      </c>
      <c r="S664" s="220" t="s">
        <v>541</v>
      </c>
    </row>
    <row r="665" spans="1:19" hidden="1" x14ac:dyDescent="0.25">
      <c r="A665" s="220">
        <v>96</v>
      </c>
      <c r="B665" s="220" t="s">
        <v>0</v>
      </c>
      <c r="C665" s="220" t="s">
        <v>1202</v>
      </c>
      <c r="D665" s="220" t="s">
        <v>427</v>
      </c>
      <c r="E665" s="220">
        <v>1</v>
      </c>
      <c r="F665" s="220">
        <v>204.8</v>
      </c>
      <c r="G665" s="220">
        <v>10472</v>
      </c>
      <c r="H665" s="220">
        <v>12351</v>
      </c>
      <c r="I665" s="220">
        <v>14428</v>
      </c>
      <c r="J665" s="220">
        <v>201.589</v>
      </c>
      <c r="K665" s="220">
        <v>-19.940999999999999</v>
      </c>
      <c r="L665" s="220">
        <v>24.416</v>
      </c>
      <c r="M665" s="220" t="s">
        <v>1203</v>
      </c>
      <c r="N665" s="220" t="s">
        <v>933</v>
      </c>
      <c r="O665" s="220" t="s">
        <v>1204</v>
      </c>
      <c r="P665" s="220" t="s">
        <v>1205</v>
      </c>
      <c r="Q665" s="220" t="s">
        <v>49</v>
      </c>
      <c r="R665" s="220" t="s">
        <v>130</v>
      </c>
      <c r="S665" s="220" t="s">
        <v>163</v>
      </c>
    </row>
    <row r="666" spans="1:19" hidden="1" x14ac:dyDescent="0.25">
      <c r="A666" s="220">
        <v>96</v>
      </c>
      <c r="B666" s="220" t="s">
        <v>0</v>
      </c>
      <c r="C666" s="220" t="s">
        <v>1202</v>
      </c>
      <c r="D666" s="220" t="s">
        <v>427</v>
      </c>
      <c r="E666" s="220">
        <v>2</v>
      </c>
      <c r="F666" s="220">
        <v>202.614</v>
      </c>
      <c r="G666" s="220">
        <v>10485</v>
      </c>
      <c r="H666" s="220">
        <v>12366</v>
      </c>
      <c r="I666" s="220">
        <v>14445</v>
      </c>
      <c r="J666" s="220">
        <v>199.43700000000001</v>
      </c>
      <c r="K666" s="220">
        <v>-19.939</v>
      </c>
      <c r="L666" s="220">
        <v>24.395</v>
      </c>
      <c r="M666" s="220" t="s">
        <v>1203</v>
      </c>
      <c r="N666" s="220" t="s">
        <v>933</v>
      </c>
      <c r="O666" s="220" t="s">
        <v>1204</v>
      </c>
      <c r="P666" s="220" t="s">
        <v>1205</v>
      </c>
      <c r="Q666" s="220" t="s">
        <v>202</v>
      </c>
      <c r="R666" s="220" t="s">
        <v>255</v>
      </c>
      <c r="S666" s="220" t="s">
        <v>250</v>
      </c>
    </row>
    <row r="667" spans="1:19" hidden="1" x14ac:dyDescent="0.25">
      <c r="A667" s="220">
        <v>96</v>
      </c>
      <c r="B667" s="220" t="s">
        <v>0</v>
      </c>
      <c r="C667" s="220" t="s">
        <v>1202</v>
      </c>
      <c r="D667" s="220" t="s">
        <v>427</v>
      </c>
      <c r="E667" s="220">
        <v>3</v>
      </c>
      <c r="F667" s="220">
        <v>203.61699999999999</v>
      </c>
      <c r="G667" s="220">
        <v>10517</v>
      </c>
      <c r="H667" s="220">
        <v>12405</v>
      </c>
      <c r="I667" s="220">
        <v>14494</v>
      </c>
      <c r="J667" s="220">
        <v>200.42400000000001</v>
      </c>
      <c r="K667" s="220">
        <v>-19.942</v>
      </c>
      <c r="L667" s="220">
        <v>24.401</v>
      </c>
      <c r="M667" s="220" t="s">
        <v>1203</v>
      </c>
      <c r="N667" s="220" t="s">
        <v>933</v>
      </c>
      <c r="O667" s="220" t="s">
        <v>1204</v>
      </c>
      <c r="P667" s="220" t="s">
        <v>1205</v>
      </c>
      <c r="Q667" s="220" t="s">
        <v>120</v>
      </c>
      <c r="R667" s="220" t="s">
        <v>226</v>
      </c>
      <c r="S667" s="220" t="s">
        <v>189</v>
      </c>
    </row>
    <row r="668" spans="1:19" hidden="1" x14ac:dyDescent="0.25">
      <c r="A668" s="220">
        <v>96</v>
      </c>
      <c r="B668" s="220" t="s">
        <v>0</v>
      </c>
      <c r="C668" s="220" t="s">
        <v>1202</v>
      </c>
      <c r="D668" s="220" t="s">
        <v>427</v>
      </c>
      <c r="E668" s="220">
        <v>4</v>
      </c>
      <c r="F668" s="220">
        <v>203.69800000000001</v>
      </c>
      <c r="G668" s="220">
        <v>10487</v>
      </c>
      <c r="H668" s="220">
        <v>12369</v>
      </c>
      <c r="I668" s="220">
        <v>14448</v>
      </c>
      <c r="J668" s="220">
        <v>200.50399999999999</v>
      </c>
      <c r="K668" s="220">
        <v>-19.937000000000001</v>
      </c>
      <c r="L668" s="220">
        <v>24.417999999999999</v>
      </c>
      <c r="M668" s="220" t="s">
        <v>1203</v>
      </c>
      <c r="N668" s="220" t="s">
        <v>933</v>
      </c>
      <c r="O668" s="220" t="s">
        <v>1204</v>
      </c>
      <c r="P668" s="220" t="s">
        <v>1205</v>
      </c>
      <c r="Q668" s="220" t="s">
        <v>111</v>
      </c>
      <c r="R668" s="220" t="s">
        <v>226</v>
      </c>
      <c r="S668" s="220" t="s">
        <v>189</v>
      </c>
    </row>
    <row r="669" spans="1:19" hidden="1" x14ac:dyDescent="0.25">
      <c r="A669" s="220">
        <v>96</v>
      </c>
      <c r="B669" s="220" t="s">
        <v>0</v>
      </c>
      <c r="C669" s="220" t="s">
        <v>1202</v>
      </c>
      <c r="D669" s="220" t="s">
        <v>427</v>
      </c>
      <c r="E669" s="220">
        <v>5</v>
      </c>
      <c r="F669" s="220">
        <v>242.78899999999999</v>
      </c>
      <c r="G669" s="220">
        <v>18905</v>
      </c>
      <c r="H669" s="220">
        <v>22911</v>
      </c>
      <c r="I669" s="220">
        <v>26379</v>
      </c>
      <c r="J669" s="220">
        <v>238.904</v>
      </c>
      <c r="K669" s="220">
        <v>4.7699999999999996</v>
      </c>
      <c r="L669" s="220">
        <v>36.887</v>
      </c>
      <c r="M669" s="220" t="s">
        <v>1203</v>
      </c>
      <c r="N669" s="220" t="s">
        <v>933</v>
      </c>
      <c r="O669" s="220" t="s">
        <v>1204</v>
      </c>
      <c r="P669" s="220" t="s">
        <v>1205</v>
      </c>
      <c r="Q669" s="220" t="s">
        <v>168</v>
      </c>
      <c r="R669" s="220" t="s">
        <v>571</v>
      </c>
      <c r="S669" s="220" t="s">
        <v>664</v>
      </c>
    </row>
    <row r="670" spans="1:19" x14ac:dyDescent="0.25">
      <c r="A670" s="220">
        <v>96</v>
      </c>
      <c r="B670" s="220" t="s">
        <v>0</v>
      </c>
      <c r="C670" s="220" t="s">
        <v>1202</v>
      </c>
      <c r="D670" s="220" t="s">
        <v>427</v>
      </c>
      <c r="E670" s="220">
        <v>6</v>
      </c>
      <c r="F670" s="220">
        <v>212.19</v>
      </c>
      <c r="G670" s="220">
        <v>16636</v>
      </c>
      <c r="H670" s="220">
        <v>20155</v>
      </c>
      <c r="I670" s="220">
        <v>23215</v>
      </c>
      <c r="J670" s="220">
        <v>208.79400000000001</v>
      </c>
      <c r="K670" s="220">
        <v>4.7670000000000003</v>
      </c>
      <c r="L670" s="220">
        <v>37.091999999999999</v>
      </c>
      <c r="M670" s="220" t="s">
        <v>1203</v>
      </c>
      <c r="N670" s="220" t="s">
        <v>933</v>
      </c>
      <c r="O670" s="220" t="s">
        <v>1204</v>
      </c>
      <c r="P670" s="220" t="s">
        <v>1205</v>
      </c>
      <c r="Q670" s="220" t="s">
        <v>170</v>
      </c>
      <c r="R670" s="220" t="s">
        <v>205</v>
      </c>
      <c r="S670" s="220" t="s">
        <v>1198</v>
      </c>
    </row>
    <row r="671" spans="1:19" x14ac:dyDescent="0.25">
      <c r="A671" s="220">
        <v>96</v>
      </c>
      <c r="B671" s="220" t="s">
        <v>0</v>
      </c>
      <c r="C671" s="220" t="s">
        <v>1202</v>
      </c>
      <c r="D671" s="220" t="s">
        <v>427</v>
      </c>
      <c r="E671" s="220">
        <v>7</v>
      </c>
      <c r="F671" s="220">
        <v>197.33099999999999</v>
      </c>
      <c r="G671" s="220">
        <v>15435</v>
      </c>
      <c r="H671" s="220">
        <v>18693</v>
      </c>
      <c r="I671" s="220">
        <v>21541</v>
      </c>
      <c r="J671" s="220">
        <v>194.173</v>
      </c>
      <c r="K671" s="220">
        <v>4.8099999999999996</v>
      </c>
      <c r="L671" s="220">
        <v>37.109000000000002</v>
      </c>
      <c r="M671" s="220" t="s">
        <v>1203</v>
      </c>
      <c r="N671" s="220" t="s">
        <v>933</v>
      </c>
      <c r="O671" s="220" t="s">
        <v>1204</v>
      </c>
      <c r="P671" s="220" t="s">
        <v>1205</v>
      </c>
      <c r="Q671" s="220" t="s">
        <v>1206</v>
      </c>
      <c r="R671" s="220" t="s">
        <v>1207</v>
      </c>
      <c r="S671" s="220" t="s">
        <v>1208</v>
      </c>
    </row>
    <row r="672" spans="1:19" hidden="1" x14ac:dyDescent="0.25">
      <c r="A672" s="220">
        <v>97</v>
      </c>
      <c r="B672" s="220" t="s">
        <v>223</v>
      </c>
      <c r="C672" s="220" t="s">
        <v>199</v>
      </c>
      <c r="D672" s="220" t="s">
        <v>618</v>
      </c>
      <c r="E672" s="220">
        <v>1</v>
      </c>
      <c r="F672" s="220">
        <v>203.35900000000001</v>
      </c>
      <c r="G672" s="220">
        <v>10401</v>
      </c>
      <c r="H672" s="220">
        <v>12267</v>
      </c>
      <c r="I672" s="220">
        <v>14330</v>
      </c>
      <c r="J672" s="220">
        <v>200.17</v>
      </c>
      <c r="K672" s="220">
        <v>-19.928000000000001</v>
      </c>
      <c r="L672" s="220">
        <v>24.434999999999999</v>
      </c>
      <c r="M672" s="220" t="s">
        <v>761</v>
      </c>
      <c r="N672" s="220" t="s">
        <v>933</v>
      </c>
      <c r="O672" s="220" t="s">
        <v>1209</v>
      </c>
      <c r="P672" s="220" t="s">
        <v>1210</v>
      </c>
      <c r="Q672" s="220" t="s">
        <v>55</v>
      </c>
      <c r="R672" s="220" t="s">
        <v>68</v>
      </c>
      <c r="S672" s="220" t="s">
        <v>116</v>
      </c>
    </row>
    <row r="673" spans="1:19" hidden="1" x14ac:dyDescent="0.25">
      <c r="A673" s="220">
        <v>97</v>
      </c>
      <c r="B673" s="220" t="s">
        <v>223</v>
      </c>
      <c r="C673" s="220" t="s">
        <v>199</v>
      </c>
      <c r="D673" s="220" t="s">
        <v>618</v>
      </c>
      <c r="E673" s="220">
        <v>2</v>
      </c>
      <c r="F673" s="220">
        <v>201.38</v>
      </c>
      <c r="G673" s="220">
        <v>10428</v>
      </c>
      <c r="H673" s="220">
        <v>12299</v>
      </c>
      <c r="I673" s="220">
        <v>14368</v>
      </c>
      <c r="J673" s="220">
        <v>198.22200000000001</v>
      </c>
      <c r="K673" s="220">
        <v>-19.925999999999998</v>
      </c>
      <c r="L673" s="220">
        <v>24.402999999999999</v>
      </c>
      <c r="M673" s="220" t="s">
        <v>761</v>
      </c>
      <c r="N673" s="220" t="s">
        <v>933</v>
      </c>
      <c r="O673" s="220" t="s">
        <v>1209</v>
      </c>
      <c r="P673" s="220" t="s">
        <v>1210</v>
      </c>
      <c r="Q673" s="220" t="s">
        <v>182</v>
      </c>
      <c r="R673" s="220" t="s">
        <v>203</v>
      </c>
      <c r="S673" s="220" t="s">
        <v>119</v>
      </c>
    </row>
    <row r="674" spans="1:19" hidden="1" x14ac:dyDescent="0.25">
      <c r="A674" s="220">
        <v>97</v>
      </c>
      <c r="B674" s="220" t="s">
        <v>223</v>
      </c>
      <c r="C674" s="220" t="s">
        <v>199</v>
      </c>
      <c r="D674" s="220" t="s">
        <v>618</v>
      </c>
      <c r="E674" s="220">
        <v>3</v>
      </c>
      <c r="F674" s="220">
        <v>202.946</v>
      </c>
      <c r="G674" s="220">
        <v>10469</v>
      </c>
      <c r="H674" s="220">
        <v>12349</v>
      </c>
      <c r="I674" s="220">
        <v>14424</v>
      </c>
      <c r="J674" s="220">
        <v>199.76400000000001</v>
      </c>
      <c r="K674" s="220">
        <v>-19.931000000000001</v>
      </c>
      <c r="L674" s="220">
        <v>24.416</v>
      </c>
      <c r="M674" s="220" t="s">
        <v>761</v>
      </c>
      <c r="N674" s="220" t="s">
        <v>933</v>
      </c>
      <c r="O674" s="220" t="s">
        <v>1209</v>
      </c>
      <c r="P674" s="220" t="s">
        <v>1210</v>
      </c>
      <c r="Q674" s="220" t="s">
        <v>116</v>
      </c>
      <c r="R674" s="220" t="s">
        <v>125</v>
      </c>
      <c r="S674" s="220" t="s">
        <v>224</v>
      </c>
    </row>
    <row r="675" spans="1:19" hidden="1" x14ac:dyDescent="0.25">
      <c r="A675" s="220">
        <v>97</v>
      </c>
      <c r="B675" s="220" t="s">
        <v>223</v>
      </c>
      <c r="C675" s="220" t="s">
        <v>199</v>
      </c>
      <c r="D675" s="220" t="s">
        <v>618</v>
      </c>
      <c r="E675" s="220">
        <v>4</v>
      </c>
      <c r="F675" s="220">
        <v>202.702</v>
      </c>
      <c r="G675" s="220">
        <v>10433</v>
      </c>
      <c r="H675" s="220">
        <v>12305</v>
      </c>
      <c r="I675" s="220">
        <v>14376</v>
      </c>
      <c r="J675" s="220">
        <v>199.524</v>
      </c>
      <c r="K675" s="220">
        <v>-19.937000000000001</v>
      </c>
      <c r="L675" s="220">
        <v>24.417999999999999</v>
      </c>
      <c r="M675" s="220" t="s">
        <v>761</v>
      </c>
      <c r="N675" s="220" t="s">
        <v>933</v>
      </c>
      <c r="O675" s="220" t="s">
        <v>1209</v>
      </c>
      <c r="P675" s="220" t="s">
        <v>1210</v>
      </c>
      <c r="Q675" s="220" t="s">
        <v>128</v>
      </c>
      <c r="R675" s="220" t="s">
        <v>244</v>
      </c>
      <c r="S675" s="220" t="s">
        <v>170</v>
      </c>
    </row>
    <row r="676" spans="1:19" hidden="1" x14ac:dyDescent="0.25">
      <c r="A676" s="220">
        <v>98</v>
      </c>
      <c r="B676" s="220" t="s">
        <v>0</v>
      </c>
      <c r="C676" s="220" t="s">
        <v>299</v>
      </c>
      <c r="D676" s="220" t="s">
        <v>428</v>
      </c>
      <c r="E676" s="220">
        <v>1</v>
      </c>
      <c r="F676" s="220">
        <v>203.52</v>
      </c>
      <c r="G676" s="220">
        <v>10403</v>
      </c>
      <c r="H676" s="220">
        <v>12271</v>
      </c>
      <c r="I676" s="220">
        <v>14325</v>
      </c>
      <c r="J676" s="220">
        <v>200.32900000000001</v>
      </c>
      <c r="K676" s="220">
        <v>-19.937999999999999</v>
      </c>
      <c r="L676" s="220">
        <v>24.43</v>
      </c>
      <c r="M676" s="220" t="s">
        <v>717</v>
      </c>
      <c r="N676" s="220" t="s">
        <v>933</v>
      </c>
      <c r="O676" s="220" t="s">
        <v>1211</v>
      </c>
      <c r="P676" s="220" t="s">
        <v>1212</v>
      </c>
      <c r="Q676" s="220" t="s">
        <v>582</v>
      </c>
      <c r="R676" s="220" t="s">
        <v>66</v>
      </c>
      <c r="S676" s="220" t="s">
        <v>63</v>
      </c>
    </row>
    <row r="677" spans="1:19" hidden="1" x14ac:dyDescent="0.25">
      <c r="A677" s="220">
        <v>98</v>
      </c>
      <c r="B677" s="220" t="s">
        <v>0</v>
      </c>
      <c r="C677" s="220" t="s">
        <v>299</v>
      </c>
      <c r="D677" s="220" t="s">
        <v>428</v>
      </c>
      <c r="E677" s="220">
        <v>2</v>
      </c>
      <c r="F677" s="220">
        <v>200.90799999999999</v>
      </c>
      <c r="G677" s="220">
        <v>10411</v>
      </c>
      <c r="H677" s="220">
        <v>12281</v>
      </c>
      <c r="I677" s="220">
        <v>14337</v>
      </c>
      <c r="J677" s="220">
        <v>197.75800000000001</v>
      </c>
      <c r="K677" s="220">
        <v>-19.934999999999999</v>
      </c>
      <c r="L677" s="220">
        <v>24.414999999999999</v>
      </c>
      <c r="M677" s="220" t="s">
        <v>717</v>
      </c>
      <c r="N677" s="220" t="s">
        <v>933</v>
      </c>
      <c r="O677" s="220" t="s">
        <v>1211</v>
      </c>
      <c r="P677" s="220" t="s">
        <v>1212</v>
      </c>
      <c r="Q677" s="220" t="s">
        <v>68</v>
      </c>
      <c r="R677" s="220" t="s">
        <v>136</v>
      </c>
      <c r="S677" s="220" t="s">
        <v>125</v>
      </c>
    </row>
    <row r="678" spans="1:19" hidden="1" x14ac:dyDescent="0.25">
      <c r="A678" s="220">
        <v>98</v>
      </c>
      <c r="B678" s="220" t="s">
        <v>0</v>
      </c>
      <c r="C678" s="220" t="s">
        <v>299</v>
      </c>
      <c r="D678" s="220" t="s">
        <v>428</v>
      </c>
      <c r="E678" s="220">
        <v>3</v>
      </c>
      <c r="F678" s="220">
        <v>202.58199999999999</v>
      </c>
      <c r="G678" s="220">
        <v>10457</v>
      </c>
      <c r="H678" s="220">
        <v>12335</v>
      </c>
      <c r="I678" s="220">
        <v>14404</v>
      </c>
      <c r="J678" s="220">
        <v>199.40600000000001</v>
      </c>
      <c r="K678" s="220">
        <v>-19.946999999999999</v>
      </c>
      <c r="L678" s="220">
        <v>24.399000000000001</v>
      </c>
      <c r="M678" s="220" t="s">
        <v>717</v>
      </c>
      <c r="N678" s="220" t="s">
        <v>933</v>
      </c>
      <c r="O678" s="220" t="s">
        <v>1211</v>
      </c>
      <c r="P678" s="220" t="s">
        <v>1212</v>
      </c>
      <c r="Q678" s="220" t="s">
        <v>76</v>
      </c>
      <c r="R678" s="220" t="s">
        <v>202</v>
      </c>
      <c r="S678" s="220" t="s">
        <v>124</v>
      </c>
    </row>
    <row r="679" spans="1:19" hidden="1" x14ac:dyDescent="0.25">
      <c r="A679" s="220">
        <v>98</v>
      </c>
      <c r="B679" s="220" t="s">
        <v>0</v>
      </c>
      <c r="C679" s="220" t="s">
        <v>299</v>
      </c>
      <c r="D679" s="220" t="s">
        <v>428</v>
      </c>
      <c r="E679" s="220">
        <v>4</v>
      </c>
      <c r="F679" s="220">
        <v>202.48400000000001</v>
      </c>
      <c r="G679" s="220">
        <v>10429</v>
      </c>
      <c r="H679" s="220">
        <v>12301</v>
      </c>
      <c r="I679" s="220">
        <v>14358</v>
      </c>
      <c r="J679" s="220">
        <v>199.309</v>
      </c>
      <c r="K679" s="220">
        <v>-19.937000000000001</v>
      </c>
      <c r="L679" s="220">
        <v>24.417999999999999</v>
      </c>
      <c r="M679" s="220" t="s">
        <v>717</v>
      </c>
      <c r="N679" s="220" t="s">
        <v>933</v>
      </c>
      <c r="O679" s="220" t="s">
        <v>1211</v>
      </c>
      <c r="P679" s="220" t="s">
        <v>1212</v>
      </c>
      <c r="Q679" s="220" t="s">
        <v>141</v>
      </c>
      <c r="R679" s="220" t="s">
        <v>81</v>
      </c>
      <c r="S679" s="220" t="s">
        <v>255</v>
      </c>
    </row>
    <row r="680" spans="1:19" hidden="1" x14ac:dyDescent="0.25">
      <c r="A680" s="220">
        <v>98</v>
      </c>
      <c r="B680" s="220" t="s">
        <v>0</v>
      </c>
      <c r="C680" s="220" t="s">
        <v>299</v>
      </c>
      <c r="D680" s="220" t="s">
        <v>428</v>
      </c>
      <c r="E680" s="220">
        <v>5</v>
      </c>
      <c r="F680" s="220">
        <v>217.48599999999999</v>
      </c>
      <c r="G680" s="220">
        <v>16595</v>
      </c>
      <c r="H680" s="220">
        <v>20103</v>
      </c>
      <c r="I680" s="220">
        <v>23135</v>
      </c>
      <c r="J680" s="220">
        <v>214.006</v>
      </c>
      <c r="K680" s="220">
        <v>4.7450000000000001</v>
      </c>
      <c r="L680" s="220">
        <v>36.776000000000003</v>
      </c>
      <c r="M680" s="220" t="s">
        <v>717</v>
      </c>
      <c r="N680" s="220" t="s">
        <v>933</v>
      </c>
      <c r="O680" s="220" t="s">
        <v>1211</v>
      </c>
      <c r="P680" s="220" t="s">
        <v>1212</v>
      </c>
      <c r="Q680" s="220" t="s">
        <v>161</v>
      </c>
      <c r="R680" s="220" t="s">
        <v>174</v>
      </c>
      <c r="S680" s="220" t="s">
        <v>101</v>
      </c>
    </row>
    <row r="681" spans="1:19" x14ac:dyDescent="0.25">
      <c r="A681" s="220">
        <v>98</v>
      </c>
      <c r="B681" s="220" t="s">
        <v>0</v>
      </c>
      <c r="C681" s="220" t="s">
        <v>299</v>
      </c>
      <c r="D681" s="220" t="s">
        <v>428</v>
      </c>
      <c r="E681" s="220">
        <v>6</v>
      </c>
      <c r="F681" s="220">
        <v>190.173</v>
      </c>
      <c r="G681" s="220">
        <v>14717</v>
      </c>
      <c r="H681" s="220">
        <v>17829</v>
      </c>
      <c r="I681" s="220">
        <v>20520</v>
      </c>
      <c r="J681" s="220">
        <v>187.13</v>
      </c>
      <c r="K681" s="220">
        <v>4.774</v>
      </c>
      <c r="L681" s="220">
        <v>37.034999999999997</v>
      </c>
      <c r="M681" s="220" t="s">
        <v>717</v>
      </c>
      <c r="N681" s="220" t="s">
        <v>933</v>
      </c>
      <c r="O681" s="220" t="s">
        <v>1211</v>
      </c>
      <c r="P681" s="220" t="s">
        <v>1212</v>
      </c>
      <c r="Q681" s="220" t="s">
        <v>245</v>
      </c>
      <c r="R681" s="220" t="s">
        <v>198</v>
      </c>
      <c r="S681" s="220" t="s">
        <v>586</v>
      </c>
    </row>
    <row r="682" spans="1:19" x14ac:dyDescent="0.25">
      <c r="A682" s="220">
        <v>98</v>
      </c>
      <c r="B682" s="220" t="s">
        <v>0</v>
      </c>
      <c r="C682" s="220" t="s">
        <v>299</v>
      </c>
      <c r="D682" s="220" t="s">
        <v>428</v>
      </c>
      <c r="E682" s="220">
        <v>7</v>
      </c>
      <c r="F682" s="220">
        <v>176.666</v>
      </c>
      <c r="G682" s="220">
        <v>13705</v>
      </c>
      <c r="H682" s="220">
        <v>16599</v>
      </c>
      <c r="I682" s="220">
        <v>19109</v>
      </c>
      <c r="J682" s="220">
        <v>173.839</v>
      </c>
      <c r="K682" s="220">
        <v>4.8230000000000004</v>
      </c>
      <c r="L682" s="220">
        <v>37.082000000000001</v>
      </c>
      <c r="M682" s="220" t="s">
        <v>717</v>
      </c>
      <c r="N682" s="220" t="s">
        <v>933</v>
      </c>
      <c r="O682" s="220" t="s">
        <v>1211</v>
      </c>
      <c r="P682" s="220" t="s">
        <v>1212</v>
      </c>
      <c r="Q682" s="220" t="s">
        <v>741</v>
      </c>
      <c r="R682" s="220" t="s">
        <v>317</v>
      </c>
      <c r="S682" s="220" t="s">
        <v>921</v>
      </c>
    </row>
    <row r="683" spans="1:19" hidden="1" x14ac:dyDescent="0.25">
      <c r="A683" s="220">
        <v>99</v>
      </c>
      <c r="B683" s="220" t="s">
        <v>0</v>
      </c>
      <c r="C683" s="220" t="s">
        <v>286</v>
      </c>
      <c r="D683" s="220" t="s">
        <v>429</v>
      </c>
      <c r="E683" s="220">
        <v>1</v>
      </c>
      <c r="F683" s="220">
        <v>203.16300000000001</v>
      </c>
      <c r="G683" s="220">
        <v>10391</v>
      </c>
      <c r="H683" s="220">
        <v>12255</v>
      </c>
      <c r="I683" s="220">
        <v>14314</v>
      </c>
      <c r="J683" s="220">
        <v>199.977</v>
      </c>
      <c r="K683" s="220">
        <v>-19.927</v>
      </c>
      <c r="L683" s="220">
        <v>24.446000000000002</v>
      </c>
      <c r="M683" s="220" t="s">
        <v>769</v>
      </c>
      <c r="N683" s="220" t="s">
        <v>933</v>
      </c>
      <c r="O683" s="220" t="s">
        <v>1213</v>
      </c>
      <c r="P683" s="220" t="s">
        <v>1214</v>
      </c>
      <c r="Q683" s="220" t="s">
        <v>67</v>
      </c>
      <c r="R683" s="220" t="s">
        <v>108</v>
      </c>
      <c r="S683" s="220" t="s">
        <v>212</v>
      </c>
    </row>
    <row r="684" spans="1:19" hidden="1" x14ac:dyDescent="0.25">
      <c r="A684" s="220">
        <v>99</v>
      </c>
      <c r="B684" s="220" t="s">
        <v>0</v>
      </c>
      <c r="C684" s="220" t="s">
        <v>286</v>
      </c>
      <c r="D684" s="220" t="s">
        <v>429</v>
      </c>
      <c r="E684" s="220">
        <v>2</v>
      </c>
      <c r="F684" s="220">
        <v>200.87299999999999</v>
      </c>
      <c r="G684" s="220">
        <v>10399</v>
      </c>
      <c r="H684" s="220">
        <v>12266</v>
      </c>
      <c r="I684" s="220">
        <v>14328</v>
      </c>
      <c r="J684" s="220">
        <v>197.72300000000001</v>
      </c>
      <c r="K684" s="220">
        <v>-19.937000000000001</v>
      </c>
      <c r="L684" s="220">
        <v>24.419</v>
      </c>
      <c r="M684" s="220" t="s">
        <v>769</v>
      </c>
      <c r="N684" s="220" t="s">
        <v>933</v>
      </c>
      <c r="O684" s="220" t="s">
        <v>1213</v>
      </c>
      <c r="P684" s="220" t="s">
        <v>1214</v>
      </c>
      <c r="Q684" s="220" t="s">
        <v>249</v>
      </c>
      <c r="R684" s="220" t="s">
        <v>106</v>
      </c>
      <c r="S684" s="220" t="s">
        <v>193</v>
      </c>
    </row>
    <row r="685" spans="1:19" hidden="1" x14ac:dyDescent="0.25">
      <c r="A685" s="220">
        <v>99</v>
      </c>
      <c r="B685" s="220" t="s">
        <v>0</v>
      </c>
      <c r="C685" s="220" t="s">
        <v>286</v>
      </c>
      <c r="D685" s="220" t="s">
        <v>429</v>
      </c>
      <c r="E685" s="220">
        <v>3</v>
      </c>
      <c r="F685" s="220">
        <v>202.42099999999999</v>
      </c>
      <c r="G685" s="220">
        <v>10440</v>
      </c>
      <c r="H685" s="220">
        <v>12314</v>
      </c>
      <c r="I685" s="220">
        <v>14387</v>
      </c>
      <c r="J685" s="220">
        <v>199.24700000000001</v>
      </c>
      <c r="K685" s="220">
        <v>-19.940000000000001</v>
      </c>
      <c r="L685" s="220">
        <v>24.43</v>
      </c>
      <c r="M685" s="220" t="s">
        <v>769</v>
      </c>
      <c r="N685" s="220" t="s">
        <v>933</v>
      </c>
      <c r="O685" s="220" t="s">
        <v>1213</v>
      </c>
      <c r="P685" s="220" t="s">
        <v>1214</v>
      </c>
      <c r="Q685" s="220" t="s">
        <v>126</v>
      </c>
      <c r="R685" s="220" t="s">
        <v>272</v>
      </c>
      <c r="S685" s="220" t="s">
        <v>198</v>
      </c>
    </row>
    <row r="686" spans="1:19" hidden="1" x14ac:dyDescent="0.25">
      <c r="A686" s="220">
        <v>99</v>
      </c>
      <c r="B686" s="220" t="s">
        <v>0</v>
      </c>
      <c r="C686" s="220" t="s">
        <v>286</v>
      </c>
      <c r="D686" s="220" t="s">
        <v>429</v>
      </c>
      <c r="E686" s="220">
        <v>4</v>
      </c>
      <c r="F686" s="220">
        <v>202.392</v>
      </c>
      <c r="G686" s="220">
        <v>10413</v>
      </c>
      <c r="H686" s="220">
        <v>12282</v>
      </c>
      <c r="I686" s="220">
        <v>14347</v>
      </c>
      <c r="J686" s="220">
        <v>199.21899999999999</v>
      </c>
      <c r="K686" s="220">
        <v>-19.937000000000001</v>
      </c>
      <c r="L686" s="220">
        <v>24.417999999999999</v>
      </c>
      <c r="M686" s="220" t="s">
        <v>769</v>
      </c>
      <c r="N686" s="220" t="s">
        <v>933</v>
      </c>
      <c r="O686" s="220" t="s">
        <v>1213</v>
      </c>
      <c r="P686" s="220" t="s">
        <v>1214</v>
      </c>
      <c r="Q686" s="220" t="s">
        <v>126</v>
      </c>
      <c r="R686" s="220" t="s">
        <v>272</v>
      </c>
      <c r="S686" s="220" t="s">
        <v>379</v>
      </c>
    </row>
    <row r="687" spans="1:19" hidden="1" x14ac:dyDescent="0.25">
      <c r="A687" s="220">
        <v>99</v>
      </c>
      <c r="B687" s="220" t="s">
        <v>0</v>
      </c>
      <c r="C687" s="220" t="s">
        <v>286</v>
      </c>
      <c r="D687" s="220" t="s">
        <v>429</v>
      </c>
      <c r="E687" s="220">
        <v>5</v>
      </c>
      <c r="F687" s="220">
        <v>205.99600000000001</v>
      </c>
      <c r="G687" s="220">
        <v>16361</v>
      </c>
      <c r="H687" s="220">
        <v>19837</v>
      </c>
      <c r="I687" s="220">
        <v>22827</v>
      </c>
      <c r="J687" s="220">
        <v>202.7</v>
      </c>
      <c r="K687" s="220">
        <v>4.6459999999999999</v>
      </c>
      <c r="L687" s="220">
        <v>36.889000000000003</v>
      </c>
      <c r="M687" s="220" t="s">
        <v>769</v>
      </c>
      <c r="N687" s="220" t="s">
        <v>933</v>
      </c>
      <c r="O687" s="220" t="s">
        <v>1213</v>
      </c>
      <c r="P687" s="220" t="s">
        <v>1214</v>
      </c>
      <c r="Q687" s="220" t="s">
        <v>152</v>
      </c>
      <c r="R687" s="220" t="s">
        <v>302</v>
      </c>
      <c r="S687" s="220" t="s">
        <v>603</v>
      </c>
    </row>
    <row r="688" spans="1:19" x14ac:dyDescent="0.25">
      <c r="A688" s="220">
        <v>99</v>
      </c>
      <c r="B688" s="220" t="s">
        <v>0</v>
      </c>
      <c r="C688" s="220" t="s">
        <v>286</v>
      </c>
      <c r="D688" s="220" t="s">
        <v>429</v>
      </c>
      <c r="E688" s="220">
        <v>6</v>
      </c>
      <c r="F688" s="220">
        <v>183.083</v>
      </c>
      <c r="G688" s="220">
        <v>14843</v>
      </c>
      <c r="H688" s="220">
        <v>17991</v>
      </c>
      <c r="I688" s="220">
        <v>20712</v>
      </c>
      <c r="J688" s="220">
        <v>180.15299999999999</v>
      </c>
      <c r="K688" s="220">
        <v>4.6929999999999996</v>
      </c>
      <c r="L688" s="220">
        <v>37.020000000000003</v>
      </c>
      <c r="M688" s="220" t="s">
        <v>769</v>
      </c>
      <c r="N688" s="220" t="s">
        <v>933</v>
      </c>
      <c r="O688" s="220" t="s">
        <v>1213</v>
      </c>
      <c r="P688" s="220" t="s">
        <v>1214</v>
      </c>
      <c r="Q688" s="220" t="s">
        <v>124</v>
      </c>
      <c r="R688" s="220" t="s">
        <v>208</v>
      </c>
      <c r="S688" s="220" t="s">
        <v>595</v>
      </c>
    </row>
    <row r="689" spans="1:19" x14ac:dyDescent="0.25">
      <c r="A689" s="220">
        <v>99</v>
      </c>
      <c r="B689" s="220" t="s">
        <v>0</v>
      </c>
      <c r="C689" s="220" t="s">
        <v>286</v>
      </c>
      <c r="D689" s="220" t="s">
        <v>429</v>
      </c>
      <c r="E689" s="220">
        <v>7</v>
      </c>
      <c r="F689" s="220">
        <v>173.69900000000001</v>
      </c>
      <c r="G689" s="220">
        <v>13984</v>
      </c>
      <c r="H689" s="220">
        <v>16945</v>
      </c>
      <c r="I689" s="220">
        <v>19514</v>
      </c>
      <c r="J689" s="220">
        <v>170.92</v>
      </c>
      <c r="K689" s="220">
        <v>4.681</v>
      </c>
      <c r="L689" s="220">
        <v>37.064</v>
      </c>
      <c r="M689" s="220" t="s">
        <v>769</v>
      </c>
      <c r="N689" s="220" t="s">
        <v>933</v>
      </c>
      <c r="O689" s="220" t="s">
        <v>1213</v>
      </c>
      <c r="P689" s="220" t="s">
        <v>1214</v>
      </c>
      <c r="Q689" s="220" t="s">
        <v>124</v>
      </c>
      <c r="R689" s="220" t="s">
        <v>208</v>
      </c>
      <c r="S689" s="220" t="s">
        <v>595</v>
      </c>
    </row>
    <row r="690" spans="1:19" hidden="1" x14ac:dyDescent="0.25">
      <c r="A690" s="220">
        <v>100</v>
      </c>
      <c r="B690" s="220" t="s">
        <v>1215</v>
      </c>
      <c r="C690" s="220" t="s">
        <v>537</v>
      </c>
      <c r="D690" s="220" t="s">
        <v>430</v>
      </c>
      <c r="E690" s="220">
        <v>1</v>
      </c>
      <c r="F690" s="220">
        <v>203.47300000000001</v>
      </c>
      <c r="G690" s="220">
        <v>10398</v>
      </c>
      <c r="H690" s="220">
        <v>12265</v>
      </c>
      <c r="I690" s="220">
        <v>14328</v>
      </c>
      <c r="J690" s="220">
        <v>200.28200000000001</v>
      </c>
      <c r="K690" s="220">
        <v>-19.936</v>
      </c>
      <c r="L690" s="220">
        <v>24.433</v>
      </c>
      <c r="M690" s="220" t="s">
        <v>773</v>
      </c>
      <c r="N690" s="220" t="s">
        <v>933</v>
      </c>
      <c r="O690" s="220" t="s">
        <v>1216</v>
      </c>
      <c r="P690" s="220" t="s">
        <v>1217</v>
      </c>
      <c r="Q690" s="220" t="s">
        <v>73</v>
      </c>
      <c r="R690" s="220" t="s">
        <v>122</v>
      </c>
      <c r="S690" s="220" t="s">
        <v>192</v>
      </c>
    </row>
    <row r="691" spans="1:19" hidden="1" x14ac:dyDescent="0.25">
      <c r="A691" s="220">
        <v>100</v>
      </c>
      <c r="B691" s="220" t="s">
        <v>1215</v>
      </c>
      <c r="C691" s="220" t="s">
        <v>537</v>
      </c>
      <c r="D691" s="220" t="s">
        <v>430</v>
      </c>
      <c r="E691" s="220">
        <v>2</v>
      </c>
      <c r="F691" s="220">
        <v>201.37299999999999</v>
      </c>
      <c r="G691" s="220">
        <v>10433</v>
      </c>
      <c r="H691" s="220">
        <v>12305</v>
      </c>
      <c r="I691" s="220">
        <v>14372</v>
      </c>
      <c r="J691" s="220">
        <v>198.215</v>
      </c>
      <c r="K691" s="220">
        <v>-19.940000000000001</v>
      </c>
      <c r="L691" s="220">
        <v>24.437999999999999</v>
      </c>
      <c r="M691" s="220" t="s">
        <v>773</v>
      </c>
      <c r="N691" s="220" t="s">
        <v>933</v>
      </c>
      <c r="O691" s="220" t="s">
        <v>1216</v>
      </c>
      <c r="P691" s="220" t="s">
        <v>1217</v>
      </c>
      <c r="Q691" s="220" t="s">
        <v>131</v>
      </c>
      <c r="R691" s="220" t="s">
        <v>216</v>
      </c>
      <c r="S691" s="220" t="s">
        <v>258</v>
      </c>
    </row>
    <row r="692" spans="1:19" hidden="1" x14ac:dyDescent="0.25">
      <c r="A692" s="220">
        <v>100</v>
      </c>
      <c r="B692" s="220" t="s">
        <v>1215</v>
      </c>
      <c r="C692" s="220" t="s">
        <v>537</v>
      </c>
      <c r="D692" s="220" t="s">
        <v>430</v>
      </c>
      <c r="E692" s="220">
        <v>3</v>
      </c>
      <c r="F692" s="220">
        <v>202.86699999999999</v>
      </c>
      <c r="G692" s="220">
        <v>10480</v>
      </c>
      <c r="H692" s="220">
        <v>12362</v>
      </c>
      <c r="I692" s="220">
        <v>14442</v>
      </c>
      <c r="J692" s="220">
        <v>199.68600000000001</v>
      </c>
      <c r="K692" s="220">
        <v>-19.951000000000001</v>
      </c>
      <c r="L692" s="220">
        <v>24.437000000000001</v>
      </c>
      <c r="M692" s="220" t="s">
        <v>773</v>
      </c>
      <c r="N692" s="220" t="s">
        <v>933</v>
      </c>
      <c r="O692" s="220" t="s">
        <v>1216</v>
      </c>
      <c r="P692" s="220" t="s">
        <v>1217</v>
      </c>
      <c r="Q692" s="220" t="s">
        <v>237</v>
      </c>
      <c r="R692" s="220" t="s">
        <v>105</v>
      </c>
      <c r="S692" s="220" t="s">
        <v>208</v>
      </c>
    </row>
    <row r="693" spans="1:19" hidden="1" x14ac:dyDescent="0.25">
      <c r="A693" s="220">
        <v>100</v>
      </c>
      <c r="B693" s="220" t="s">
        <v>1215</v>
      </c>
      <c r="C693" s="220" t="s">
        <v>537</v>
      </c>
      <c r="D693" s="220" t="s">
        <v>430</v>
      </c>
      <c r="E693" s="220">
        <v>4</v>
      </c>
      <c r="F693" s="220">
        <v>202.828</v>
      </c>
      <c r="G693" s="220">
        <v>10437</v>
      </c>
      <c r="H693" s="220">
        <v>12310</v>
      </c>
      <c r="I693" s="220">
        <v>14378</v>
      </c>
      <c r="J693" s="220">
        <v>199.64699999999999</v>
      </c>
      <c r="K693" s="220">
        <v>-19.937000000000001</v>
      </c>
      <c r="L693" s="220">
        <v>24.417999999999999</v>
      </c>
      <c r="M693" s="220" t="s">
        <v>773</v>
      </c>
      <c r="N693" s="220" t="s">
        <v>933</v>
      </c>
      <c r="O693" s="220" t="s">
        <v>1216</v>
      </c>
      <c r="P693" s="220" t="s">
        <v>1217</v>
      </c>
      <c r="Q693" s="220" t="s">
        <v>236</v>
      </c>
      <c r="R693" s="220" t="s">
        <v>252</v>
      </c>
      <c r="S693" s="220" t="s">
        <v>208</v>
      </c>
    </row>
    <row r="694" spans="1:19" hidden="1" x14ac:dyDescent="0.25">
      <c r="A694" s="220">
        <v>100</v>
      </c>
      <c r="B694" s="220" t="s">
        <v>1215</v>
      </c>
      <c r="C694" s="220" t="s">
        <v>537</v>
      </c>
      <c r="D694" s="220" t="s">
        <v>430</v>
      </c>
      <c r="E694" s="220">
        <v>5</v>
      </c>
      <c r="F694" s="220">
        <v>180.98</v>
      </c>
      <c r="G694" s="220">
        <v>13716</v>
      </c>
      <c r="H694" s="220">
        <v>16522</v>
      </c>
      <c r="I694" s="220">
        <v>19121</v>
      </c>
      <c r="J694" s="220">
        <v>178.09700000000001</v>
      </c>
      <c r="K694" s="220">
        <v>-1.171</v>
      </c>
      <c r="L694" s="220">
        <v>35.767000000000003</v>
      </c>
      <c r="M694" s="220" t="s">
        <v>773</v>
      </c>
      <c r="N694" s="220" t="s">
        <v>933</v>
      </c>
      <c r="O694" s="220" t="s">
        <v>1216</v>
      </c>
      <c r="P694" s="220" t="s">
        <v>1217</v>
      </c>
      <c r="Q694" s="220" t="s">
        <v>175</v>
      </c>
      <c r="R694" s="220" t="s">
        <v>611</v>
      </c>
      <c r="S694" s="220" t="s">
        <v>1023</v>
      </c>
    </row>
    <row r="695" spans="1:19" x14ac:dyDescent="0.25">
      <c r="A695" s="220">
        <v>100</v>
      </c>
      <c r="B695" s="220" t="s">
        <v>1215</v>
      </c>
      <c r="C695" s="220" t="s">
        <v>537</v>
      </c>
      <c r="D695" s="220" t="s">
        <v>430</v>
      </c>
      <c r="E695" s="220">
        <v>6</v>
      </c>
      <c r="F695" s="220">
        <v>158.971</v>
      </c>
      <c r="G695" s="220">
        <v>12272</v>
      </c>
      <c r="H695" s="220">
        <v>14778</v>
      </c>
      <c r="I695" s="220">
        <v>17108</v>
      </c>
      <c r="J695" s="220">
        <v>156.43700000000001</v>
      </c>
      <c r="K695" s="220">
        <v>-1.113</v>
      </c>
      <c r="L695" s="220">
        <v>36.112000000000002</v>
      </c>
      <c r="M695" s="220" t="s">
        <v>773</v>
      </c>
      <c r="N695" s="220" t="s">
        <v>933</v>
      </c>
      <c r="O695" s="220" t="s">
        <v>1216</v>
      </c>
      <c r="P695" s="220" t="s">
        <v>1217</v>
      </c>
      <c r="Q695" s="220" t="s">
        <v>142</v>
      </c>
      <c r="R695" s="220" t="s">
        <v>166</v>
      </c>
      <c r="S695" s="220" t="s">
        <v>528</v>
      </c>
    </row>
    <row r="696" spans="1:19" x14ac:dyDescent="0.25">
      <c r="A696" s="220">
        <v>100</v>
      </c>
      <c r="B696" s="220" t="s">
        <v>1215</v>
      </c>
      <c r="C696" s="220" t="s">
        <v>537</v>
      </c>
      <c r="D696" s="220" t="s">
        <v>430</v>
      </c>
      <c r="E696" s="220">
        <v>7</v>
      </c>
      <c r="F696" s="220">
        <v>147.84</v>
      </c>
      <c r="G696" s="220">
        <v>11454</v>
      </c>
      <c r="H696" s="220">
        <v>13794</v>
      </c>
      <c r="I696" s="220">
        <v>15968</v>
      </c>
      <c r="J696" s="220">
        <v>145.48400000000001</v>
      </c>
      <c r="K696" s="220">
        <v>-1.0960000000000001</v>
      </c>
      <c r="L696" s="220">
        <v>36.085999999999999</v>
      </c>
      <c r="M696" s="220" t="s">
        <v>773</v>
      </c>
      <c r="N696" s="220" t="s">
        <v>933</v>
      </c>
      <c r="O696" s="220" t="s">
        <v>1216</v>
      </c>
      <c r="P696" s="220" t="s">
        <v>1217</v>
      </c>
      <c r="Q696" s="220" t="s">
        <v>552</v>
      </c>
      <c r="R696" s="220" t="s">
        <v>1218</v>
      </c>
      <c r="S696" s="220" t="s">
        <v>421</v>
      </c>
    </row>
    <row r="697" spans="1:19" hidden="1" x14ac:dyDescent="0.25">
      <c r="A697" s="220">
        <v>101</v>
      </c>
      <c r="B697" s="220" t="s">
        <v>1219</v>
      </c>
      <c r="C697" s="220" t="s">
        <v>297</v>
      </c>
      <c r="D697" s="220" t="s">
        <v>431</v>
      </c>
      <c r="E697" s="220">
        <v>1</v>
      </c>
      <c r="F697" s="220">
        <v>204.58</v>
      </c>
      <c r="G697" s="220">
        <v>10419</v>
      </c>
      <c r="H697" s="220">
        <v>12290</v>
      </c>
      <c r="I697" s="220">
        <v>14323</v>
      </c>
      <c r="J697" s="220">
        <v>201.374</v>
      </c>
      <c r="K697" s="220">
        <v>-19.933</v>
      </c>
      <c r="L697" s="220">
        <v>24.443000000000001</v>
      </c>
      <c r="M697" s="220" t="s">
        <v>1220</v>
      </c>
      <c r="N697" s="220" t="s">
        <v>933</v>
      </c>
      <c r="O697" s="220" t="s">
        <v>1221</v>
      </c>
      <c r="P697" s="220" t="s">
        <v>1222</v>
      </c>
      <c r="Q697" s="220" t="s">
        <v>570</v>
      </c>
      <c r="R697" s="220" t="s">
        <v>206</v>
      </c>
      <c r="S697" s="220" t="s">
        <v>246</v>
      </c>
    </row>
    <row r="698" spans="1:19" hidden="1" x14ac:dyDescent="0.25">
      <c r="A698" s="220">
        <v>101</v>
      </c>
      <c r="B698" s="220" t="s">
        <v>1219</v>
      </c>
      <c r="C698" s="220" t="s">
        <v>297</v>
      </c>
      <c r="D698" s="220" t="s">
        <v>431</v>
      </c>
      <c r="E698" s="220">
        <v>2</v>
      </c>
      <c r="F698" s="220">
        <v>201.03800000000001</v>
      </c>
      <c r="G698" s="220">
        <v>10436</v>
      </c>
      <c r="H698" s="220">
        <v>12310</v>
      </c>
      <c r="I698" s="220">
        <v>14348</v>
      </c>
      <c r="J698" s="220">
        <v>197.887</v>
      </c>
      <c r="K698" s="220">
        <v>-19.937999999999999</v>
      </c>
      <c r="L698" s="220">
        <v>24.475999999999999</v>
      </c>
      <c r="M698" s="220" t="s">
        <v>1220</v>
      </c>
      <c r="N698" s="220" t="s">
        <v>933</v>
      </c>
      <c r="O698" s="220" t="s">
        <v>1221</v>
      </c>
      <c r="P698" s="220" t="s">
        <v>1222</v>
      </c>
      <c r="Q698" s="220" t="s">
        <v>133</v>
      </c>
      <c r="R698" s="220" t="s">
        <v>106</v>
      </c>
      <c r="S698" s="220" t="s">
        <v>263</v>
      </c>
    </row>
    <row r="699" spans="1:19" hidden="1" x14ac:dyDescent="0.25">
      <c r="A699" s="220">
        <v>101</v>
      </c>
      <c r="B699" s="220" t="s">
        <v>1219</v>
      </c>
      <c r="C699" s="220" t="s">
        <v>297</v>
      </c>
      <c r="D699" s="220" t="s">
        <v>431</v>
      </c>
      <c r="E699" s="220">
        <v>3</v>
      </c>
      <c r="F699" s="220">
        <v>202.81299999999999</v>
      </c>
      <c r="G699" s="220">
        <v>10485</v>
      </c>
      <c r="H699" s="220">
        <v>12367</v>
      </c>
      <c r="I699" s="220">
        <v>14416</v>
      </c>
      <c r="J699" s="220">
        <v>199.63399999999999</v>
      </c>
      <c r="K699" s="220">
        <v>-19.937000000000001</v>
      </c>
      <c r="L699" s="220">
        <v>24.501999999999999</v>
      </c>
      <c r="M699" s="220" t="s">
        <v>1220</v>
      </c>
      <c r="N699" s="220" t="s">
        <v>933</v>
      </c>
      <c r="O699" s="220" t="s">
        <v>1221</v>
      </c>
      <c r="P699" s="220" t="s">
        <v>1222</v>
      </c>
      <c r="Q699" s="220" t="s">
        <v>207</v>
      </c>
      <c r="R699" s="220" t="s">
        <v>274</v>
      </c>
      <c r="S699" s="220" t="s">
        <v>379</v>
      </c>
    </row>
    <row r="700" spans="1:19" hidden="1" x14ac:dyDescent="0.25">
      <c r="A700" s="220">
        <v>101</v>
      </c>
      <c r="B700" s="220" t="s">
        <v>1219</v>
      </c>
      <c r="C700" s="220" t="s">
        <v>297</v>
      </c>
      <c r="D700" s="220" t="s">
        <v>431</v>
      </c>
      <c r="E700" s="220">
        <v>4</v>
      </c>
      <c r="F700" s="220">
        <v>203.05500000000001</v>
      </c>
      <c r="G700" s="220">
        <v>10450</v>
      </c>
      <c r="H700" s="220">
        <v>12327</v>
      </c>
      <c r="I700" s="220">
        <v>14368</v>
      </c>
      <c r="J700" s="220">
        <v>199.87200000000001</v>
      </c>
      <c r="K700" s="220">
        <v>-19.937000000000001</v>
      </c>
      <c r="L700" s="220">
        <v>24.417999999999999</v>
      </c>
      <c r="M700" s="220" t="s">
        <v>1220</v>
      </c>
      <c r="N700" s="220" t="s">
        <v>933</v>
      </c>
      <c r="O700" s="220" t="s">
        <v>1221</v>
      </c>
      <c r="P700" s="220" t="s">
        <v>1222</v>
      </c>
      <c r="Q700" s="220" t="s">
        <v>131</v>
      </c>
      <c r="R700" s="220" t="s">
        <v>270</v>
      </c>
      <c r="S700" s="220" t="s">
        <v>172</v>
      </c>
    </row>
    <row r="701" spans="1:19" hidden="1" x14ac:dyDescent="0.25">
      <c r="A701" s="220">
        <v>101</v>
      </c>
      <c r="B701" s="220" t="s">
        <v>1219</v>
      </c>
      <c r="C701" s="220" t="s">
        <v>297</v>
      </c>
      <c r="D701" s="220" t="s">
        <v>431</v>
      </c>
      <c r="E701" s="220">
        <v>5</v>
      </c>
      <c r="F701" s="220">
        <v>219.42599999999999</v>
      </c>
      <c r="G701" s="220">
        <v>17623</v>
      </c>
      <c r="H701" s="220">
        <v>21246</v>
      </c>
      <c r="I701" s="220">
        <v>24502</v>
      </c>
      <c r="J701" s="220">
        <v>215.93199999999999</v>
      </c>
      <c r="K701" s="220">
        <v>-1.6060000000000001</v>
      </c>
      <c r="L701" s="220">
        <v>35.720999999999997</v>
      </c>
      <c r="M701" s="220" t="s">
        <v>1220</v>
      </c>
      <c r="N701" s="220" t="s">
        <v>933</v>
      </c>
      <c r="O701" s="220" t="s">
        <v>1221</v>
      </c>
      <c r="P701" s="220" t="s">
        <v>1222</v>
      </c>
      <c r="Q701" s="220" t="s">
        <v>167</v>
      </c>
      <c r="R701" s="220" t="s">
        <v>88</v>
      </c>
      <c r="S701" s="220" t="s">
        <v>565</v>
      </c>
    </row>
    <row r="702" spans="1:19" x14ac:dyDescent="0.25">
      <c r="A702" s="220">
        <v>101</v>
      </c>
      <c r="B702" s="220" t="s">
        <v>1219</v>
      </c>
      <c r="C702" s="220" t="s">
        <v>297</v>
      </c>
      <c r="D702" s="220" t="s">
        <v>431</v>
      </c>
      <c r="E702" s="220">
        <v>6</v>
      </c>
      <c r="F702" s="220">
        <v>194.07900000000001</v>
      </c>
      <c r="G702" s="220">
        <v>15789</v>
      </c>
      <c r="H702" s="220">
        <v>19025</v>
      </c>
      <c r="I702" s="220">
        <v>21956</v>
      </c>
      <c r="J702" s="220">
        <v>190.989</v>
      </c>
      <c r="K702" s="220">
        <v>-1.5580000000000001</v>
      </c>
      <c r="L702" s="220">
        <v>35.966999999999999</v>
      </c>
      <c r="M702" s="220" t="s">
        <v>1220</v>
      </c>
      <c r="N702" s="220" t="s">
        <v>933</v>
      </c>
      <c r="O702" s="220" t="s">
        <v>1221</v>
      </c>
      <c r="P702" s="220" t="s">
        <v>1222</v>
      </c>
      <c r="Q702" s="220" t="s">
        <v>96</v>
      </c>
      <c r="R702" s="220" t="s">
        <v>138</v>
      </c>
      <c r="S702" s="220" t="s">
        <v>631</v>
      </c>
    </row>
    <row r="703" spans="1:19" x14ac:dyDescent="0.25">
      <c r="A703" s="220">
        <v>101</v>
      </c>
      <c r="B703" s="220" t="s">
        <v>1219</v>
      </c>
      <c r="C703" s="220" t="s">
        <v>297</v>
      </c>
      <c r="D703" s="220" t="s">
        <v>431</v>
      </c>
      <c r="E703" s="220">
        <v>7</v>
      </c>
      <c r="F703" s="220">
        <v>182.95</v>
      </c>
      <c r="G703" s="220">
        <v>14726</v>
      </c>
      <c r="H703" s="220">
        <v>17732</v>
      </c>
      <c r="I703" s="220">
        <v>20474</v>
      </c>
      <c r="J703" s="220">
        <v>180.03700000000001</v>
      </c>
      <c r="K703" s="220">
        <v>-1.5740000000000001</v>
      </c>
      <c r="L703" s="220">
        <v>36.048000000000002</v>
      </c>
      <c r="M703" s="220" t="s">
        <v>1220</v>
      </c>
      <c r="N703" s="220" t="s">
        <v>933</v>
      </c>
      <c r="O703" s="220" t="s">
        <v>1221</v>
      </c>
      <c r="P703" s="220" t="s">
        <v>1222</v>
      </c>
      <c r="Q703" s="220" t="s">
        <v>96</v>
      </c>
      <c r="R703" s="220" t="s">
        <v>138</v>
      </c>
      <c r="S703" s="220" t="s">
        <v>631</v>
      </c>
    </row>
    <row r="704" spans="1:19" hidden="1" x14ac:dyDescent="0.25">
      <c r="A704" s="220">
        <v>102</v>
      </c>
      <c r="B704" s="220" t="s">
        <v>1223</v>
      </c>
      <c r="C704" s="220" t="s">
        <v>752</v>
      </c>
      <c r="D704" s="220" t="s">
        <v>433</v>
      </c>
      <c r="E704" s="220">
        <v>1</v>
      </c>
      <c r="F704" s="220">
        <v>204.357</v>
      </c>
      <c r="G704" s="220">
        <v>10450</v>
      </c>
      <c r="H704" s="220">
        <v>12324</v>
      </c>
      <c r="I704" s="220">
        <v>14396</v>
      </c>
      <c r="J704" s="220">
        <v>201.15199999999999</v>
      </c>
      <c r="K704" s="220">
        <v>-19.93</v>
      </c>
      <c r="L704" s="220">
        <v>24.434000000000001</v>
      </c>
      <c r="M704" s="220" t="s">
        <v>1224</v>
      </c>
      <c r="N704" s="220" t="s">
        <v>933</v>
      </c>
      <c r="O704" s="220" t="s">
        <v>1225</v>
      </c>
      <c r="P704" s="220" t="s">
        <v>1226</v>
      </c>
      <c r="Q704" s="220" t="s">
        <v>85</v>
      </c>
      <c r="R704" s="220" t="s">
        <v>133</v>
      </c>
      <c r="S704" s="220" t="s">
        <v>135</v>
      </c>
    </row>
    <row r="705" spans="1:19" hidden="1" x14ac:dyDescent="0.25">
      <c r="A705" s="220">
        <v>102</v>
      </c>
      <c r="B705" s="220" t="s">
        <v>1223</v>
      </c>
      <c r="C705" s="220" t="s">
        <v>752</v>
      </c>
      <c r="D705" s="220" t="s">
        <v>433</v>
      </c>
      <c r="E705" s="220">
        <v>2</v>
      </c>
      <c r="F705" s="220">
        <v>201.91</v>
      </c>
      <c r="G705" s="220">
        <v>10458</v>
      </c>
      <c r="H705" s="220">
        <v>12335</v>
      </c>
      <c r="I705" s="220">
        <v>14408</v>
      </c>
      <c r="J705" s="220">
        <v>198.744</v>
      </c>
      <c r="K705" s="220">
        <v>-19.931999999999999</v>
      </c>
      <c r="L705" s="220">
        <v>24.431999999999999</v>
      </c>
      <c r="M705" s="220" t="s">
        <v>1224</v>
      </c>
      <c r="N705" s="220" t="s">
        <v>933</v>
      </c>
      <c r="O705" s="220" t="s">
        <v>1225</v>
      </c>
      <c r="P705" s="220" t="s">
        <v>1226</v>
      </c>
      <c r="Q705" s="220" t="s">
        <v>237</v>
      </c>
      <c r="R705" s="220" t="s">
        <v>105</v>
      </c>
      <c r="S705" s="220" t="s">
        <v>208</v>
      </c>
    </row>
    <row r="706" spans="1:19" hidden="1" x14ac:dyDescent="0.25">
      <c r="A706" s="220">
        <v>102</v>
      </c>
      <c r="B706" s="220" t="s">
        <v>1223</v>
      </c>
      <c r="C706" s="220" t="s">
        <v>752</v>
      </c>
      <c r="D706" s="220" t="s">
        <v>433</v>
      </c>
      <c r="E706" s="220">
        <v>3</v>
      </c>
      <c r="F706" s="220">
        <v>203.63800000000001</v>
      </c>
      <c r="G706" s="220">
        <v>10504</v>
      </c>
      <c r="H706" s="220">
        <v>12389</v>
      </c>
      <c r="I706" s="220">
        <v>14476</v>
      </c>
      <c r="J706" s="220">
        <v>200.44499999999999</v>
      </c>
      <c r="K706" s="220">
        <v>-19.939</v>
      </c>
      <c r="L706" s="220">
        <v>24.431999999999999</v>
      </c>
      <c r="M706" s="220" t="s">
        <v>1224</v>
      </c>
      <c r="N706" s="220" t="s">
        <v>933</v>
      </c>
      <c r="O706" s="220" t="s">
        <v>1225</v>
      </c>
      <c r="P706" s="220" t="s">
        <v>1226</v>
      </c>
      <c r="Q706" s="220" t="s">
        <v>111</v>
      </c>
      <c r="R706" s="220" t="s">
        <v>233</v>
      </c>
      <c r="S706" s="220" t="s">
        <v>189</v>
      </c>
    </row>
    <row r="707" spans="1:19" hidden="1" x14ac:dyDescent="0.25">
      <c r="A707" s="220">
        <v>102</v>
      </c>
      <c r="B707" s="220" t="s">
        <v>1223</v>
      </c>
      <c r="C707" s="220" t="s">
        <v>752</v>
      </c>
      <c r="D707" s="220" t="s">
        <v>433</v>
      </c>
      <c r="E707" s="220">
        <v>4</v>
      </c>
      <c r="F707" s="220">
        <v>203.59200000000001</v>
      </c>
      <c r="G707" s="220">
        <v>10476</v>
      </c>
      <c r="H707" s="220">
        <v>12356</v>
      </c>
      <c r="I707" s="220">
        <v>14433</v>
      </c>
      <c r="J707" s="220">
        <v>200.4</v>
      </c>
      <c r="K707" s="220">
        <v>-19.937000000000001</v>
      </c>
      <c r="L707" s="220">
        <v>24.417999999999999</v>
      </c>
      <c r="M707" s="220" t="s">
        <v>1224</v>
      </c>
      <c r="N707" s="220" t="s">
        <v>933</v>
      </c>
      <c r="O707" s="220" t="s">
        <v>1225</v>
      </c>
      <c r="P707" s="220" t="s">
        <v>1226</v>
      </c>
      <c r="Q707" s="220" t="s">
        <v>111</v>
      </c>
      <c r="R707" s="220" t="s">
        <v>132</v>
      </c>
      <c r="S707" s="220" t="s">
        <v>189</v>
      </c>
    </row>
    <row r="708" spans="1:19" hidden="1" x14ac:dyDescent="0.25">
      <c r="A708" s="220">
        <v>102</v>
      </c>
      <c r="B708" s="220" t="s">
        <v>1223</v>
      </c>
      <c r="C708" s="220" t="s">
        <v>752</v>
      </c>
      <c r="D708" s="220" t="s">
        <v>433</v>
      </c>
      <c r="E708" s="220">
        <v>5</v>
      </c>
      <c r="F708" s="220">
        <v>244.547</v>
      </c>
      <c r="G708" s="220">
        <v>18697</v>
      </c>
      <c r="H708" s="220">
        <v>22541</v>
      </c>
      <c r="I708" s="220">
        <v>26059</v>
      </c>
      <c r="J708" s="220">
        <v>240.65100000000001</v>
      </c>
      <c r="K708" s="220">
        <v>-1.4219999999999999</v>
      </c>
      <c r="L708" s="220">
        <v>35.911999999999999</v>
      </c>
      <c r="M708" s="220" t="s">
        <v>1224</v>
      </c>
      <c r="N708" s="220" t="s">
        <v>933</v>
      </c>
      <c r="O708" s="220" t="s">
        <v>1225</v>
      </c>
      <c r="P708" s="220" t="s">
        <v>1226</v>
      </c>
      <c r="Q708" s="220" t="s">
        <v>169</v>
      </c>
      <c r="R708" s="220" t="s">
        <v>44</v>
      </c>
      <c r="S708" s="220" t="s">
        <v>565</v>
      </c>
    </row>
    <row r="709" spans="1:19" x14ac:dyDescent="0.25">
      <c r="A709" s="220">
        <v>102</v>
      </c>
      <c r="B709" s="220" t="s">
        <v>1223</v>
      </c>
      <c r="C709" s="220" t="s">
        <v>752</v>
      </c>
      <c r="D709" s="220" t="s">
        <v>433</v>
      </c>
      <c r="E709" s="220">
        <v>6</v>
      </c>
      <c r="F709" s="220">
        <v>214.56700000000001</v>
      </c>
      <c r="G709" s="220">
        <v>16691</v>
      </c>
      <c r="H709" s="220">
        <v>20119</v>
      </c>
      <c r="I709" s="220">
        <v>23266</v>
      </c>
      <c r="J709" s="220">
        <v>211.148</v>
      </c>
      <c r="K709" s="220">
        <v>-1.38</v>
      </c>
      <c r="L709" s="220">
        <v>36.078000000000003</v>
      </c>
      <c r="M709" s="220" t="s">
        <v>1224</v>
      </c>
      <c r="N709" s="220" t="s">
        <v>933</v>
      </c>
      <c r="O709" s="220" t="s">
        <v>1225</v>
      </c>
      <c r="P709" s="220" t="s">
        <v>1226</v>
      </c>
      <c r="Q709" s="220" t="s">
        <v>112</v>
      </c>
      <c r="R709" s="220" t="s">
        <v>150</v>
      </c>
      <c r="S709" s="220" t="s">
        <v>624</v>
      </c>
    </row>
    <row r="710" spans="1:19" x14ac:dyDescent="0.25">
      <c r="A710" s="220">
        <v>102</v>
      </c>
      <c r="B710" s="220" t="s">
        <v>1223</v>
      </c>
      <c r="C710" s="220" t="s">
        <v>752</v>
      </c>
      <c r="D710" s="220" t="s">
        <v>433</v>
      </c>
      <c r="E710" s="220">
        <v>7</v>
      </c>
      <c r="F710" s="220">
        <v>199.39500000000001</v>
      </c>
      <c r="G710" s="220">
        <v>15545</v>
      </c>
      <c r="H710" s="220">
        <v>18736</v>
      </c>
      <c r="I710" s="220">
        <v>21673</v>
      </c>
      <c r="J710" s="220">
        <v>196.21899999999999</v>
      </c>
      <c r="K710" s="220">
        <v>-1.33</v>
      </c>
      <c r="L710" s="220">
        <v>36.122</v>
      </c>
      <c r="M710" s="220" t="s">
        <v>1224</v>
      </c>
      <c r="N710" s="220" t="s">
        <v>933</v>
      </c>
      <c r="O710" s="220" t="s">
        <v>1225</v>
      </c>
      <c r="P710" s="220" t="s">
        <v>1226</v>
      </c>
      <c r="Q710" s="220" t="s">
        <v>593</v>
      </c>
      <c r="R710" s="220" t="s">
        <v>727</v>
      </c>
      <c r="S710" s="220" t="s">
        <v>1227</v>
      </c>
    </row>
    <row r="711" spans="1:19" hidden="1" x14ac:dyDescent="0.25">
      <c r="A711" s="220">
        <v>103</v>
      </c>
      <c r="B711" s="220" t="s">
        <v>1228</v>
      </c>
      <c r="C711" s="220" t="s">
        <v>254</v>
      </c>
      <c r="D711" s="220" t="s">
        <v>434</v>
      </c>
      <c r="E711" s="220">
        <v>1</v>
      </c>
      <c r="F711" s="220">
        <v>204.08600000000001</v>
      </c>
      <c r="G711" s="220">
        <v>10440</v>
      </c>
      <c r="H711" s="220">
        <v>12314</v>
      </c>
      <c r="I711" s="220">
        <v>14374</v>
      </c>
      <c r="J711" s="220">
        <v>200.886</v>
      </c>
      <c r="K711" s="220">
        <v>-19.948</v>
      </c>
      <c r="L711" s="220">
        <v>24.359000000000002</v>
      </c>
      <c r="M711" s="220" t="s">
        <v>713</v>
      </c>
      <c r="N711" s="220" t="s">
        <v>933</v>
      </c>
      <c r="O711" s="220" t="s">
        <v>1229</v>
      </c>
      <c r="P711" s="220" t="s">
        <v>1230</v>
      </c>
      <c r="Q711" s="220" t="s">
        <v>90</v>
      </c>
      <c r="R711" s="220" t="s">
        <v>111</v>
      </c>
      <c r="S711" s="220" t="s">
        <v>147</v>
      </c>
    </row>
    <row r="712" spans="1:19" hidden="1" x14ac:dyDescent="0.25">
      <c r="A712" s="220">
        <v>103</v>
      </c>
      <c r="B712" s="220" t="s">
        <v>1228</v>
      </c>
      <c r="C712" s="220" t="s">
        <v>254</v>
      </c>
      <c r="D712" s="220" t="s">
        <v>434</v>
      </c>
      <c r="E712" s="220">
        <v>2</v>
      </c>
      <c r="F712" s="220">
        <v>201.905</v>
      </c>
      <c r="G712" s="220">
        <v>10441</v>
      </c>
      <c r="H712" s="220">
        <v>12316</v>
      </c>
      <c r="I712" s="220">
        <v>14376</v>
      </c>
      <c r="J712" s="220">
        <v>198.739</v>
      </c>
      <c r="K712" s="220">
        <v>-19.945</v>
      </c>
      <c r="L712" s="220">
        <v>24.379000000000001</v>
      </c>
      <c r="M712" s="220" t="s">
        <v>713</v>
      </c>
      <c r="N712" s="220" t="s">
        <v>933</v>
      </c>
      <c r="O712" s="220" t="s">
        <v>1229</v>
      </c>
      <c r="P712" s="220" t="s">
        <v>1230</v>
      </c>
      <c r="Q712" s="220" t="s">
        <v>277</v>
      </c>
      <c r="R712" s="220" t="s">
        <v>280</v>
      </c>
      <c r="S712" s="220" t="s">
        <v>144</v>
      </c>
    </row>
    <row r="713" spans="1:19" hidden="1" x14ac:dyDescent="0.25">
      <c r="A713" s="220">
        <v>103</v>
      </c>
      <c r="B713" s="220" t="s">
        <v>1228</v>
      </c>
      <c r="C713" s="220" t="s">
        <v>254</v>
      </c>
      <c r="D713" s="220" t="s">
        <v>434</v>
      </c>
      <c r="E713" s="220">
        <v>3</v>
      </c>
      <c r="F713" s="220">
        <v>203.08799999999999</v>
      </c>
      <c r="G713" s="220">
        <v>10479</v>
      </c>
      <c r="H713" s="220">
        <v>12361</v>
      </c>
      <c r="I713" s="220">
        <v>14432</v>
      </c>
      <c r="J713" s="220">
        <v>199.904</v>
      </c>
      <c r="K713" s="220">
        <v>-19.957999999999998</v>
      </c>
      <c r="L713" s="220">
        <v>24.388999999999999</v>
      </c>
      <c r="M713" s="220" t="s">
        <v>713</v>
      </c>
      <c r="N713" s="220" t="s">
        <v>933</v>
      </c>
      <c r="O713" s="220" t="s">
        <v>1229</v>
      </c>
      <c r="P713" s="220" t="s">
        <v>1230</v>
      </c>
      <c r="Q713" s="220" t="s">
        <v>79</v>
      </c>
      <c r="R713" s="220" t="s">
        <v>149</v>
      </c>
      <c r="S713" s="220" t="s">
        <v>201</v>
      </c>
    </row>
    <row r="714" spans="1:19" hidden="1" x14ac:dyDescent="0.25">
      <c r="A714" s="220">
        <v>103</v>
      </c>
      <c r="B714" s="220" t="s">
        <v>1228</v>
      </c>
      <c r="C714" s="220" t="s">
        <v>254</v>
      </c>
      <c r="D714" s="220" t="s">
        <v>434</v>
      </c>
      <c r="E714" s="220">
        <v>4</v>
      </c>
      <c r="F714" s="220">
        <v>202.79599999999999</v>
      </c>
      <c r="G714" s="220">
        <v>10453</v>
      </c>
      <c r="H714" s="220">
        <v>12330</v>
      </c>
      <c r="I714" s="220">
        <v>14391</v>
      </c>
      <c r="J714" s="220">
        <v>199.61699999999999</v>
      </c>
      <c r="K714" s="220">
        <v>-19.937000000000001</v>
      </c>
      <c r="L714" s="220">
        <v>24.417999999999999</v>
      </c>
      <c r="M714" s="220" t="s">
        <v>713</v>
      </c>
      <c r="N714" s="220" t="s">
        <v>933</v>
      </c>
      <c r="O714" s="220" t="s">
        <v>1229</v>
      </c>
      <c r="P714" s="220" t="s">
        <v>1230</v>
      </c>
      <c r="Q714" s="220" t="s">
        <v>277</v>
      </c>
      <c r="R714" s="220" t="s">
        <v>280</v>
      </c>
      <c r="S714" s="220" t="s">
        <v>144</v>
      </c>
    </row>
    <row r="715" spans="1:19" hidden="1" x14ac:dyDescent="0.25">
      <c r="A715" s="220">
        <v>103</v>
      </c>
      <c r="B715" s="220" t="s">
        <v>1228</v>
      </c>
      <c r="C715" s="220" t="s">
        <v>254</v>
      </c>
      <c r="D715" s="220" t="s">
        <v>434</v>
      </c>
      <c r="E715" s="220">
        <v>5</v>
      </c>
      <c r="F715" s="220">
        <v>212.505</v>
      </c>
      <c r="G715" s="220">
        <v>16925</v>
      </c>
      <c r="H715" s="220">
        <v>20397</v>
      </c>
      <c r="I715" s="220">
        <v>23575</v>
      </c>
      <c r="J715" s="220">
        <v>209.12</v>
      </c>
      <c r="K715" s="220">
        <v>-1.2989999999999999</v>
      </c>
      <c r="L715" s="220">
        <v>35.677999999999997</v>
      </c>
      <c r="M715" s="220" t="s">
        <v>713</v>
      </c>
      <c r="N715" s="220" t="s">
        <v>933</v>
      </c>
      <c r="O715" s="220" t="s">
        <v>1229</v>
      </c>
      <c r="P715" s="220" t="s">
        <v>1230</v>
      </c>
      <c r="Q715" s="220" t="s">
        <v>399</v>
      </c>
      <c r="R715" s="220" t="s">
        <v>56</v>
      </c>
      <c r="S715" s="220" t="s">
        <v>1157</v>
      </c>
    </row>
    <row r="716" spans="1:19" x14ac:dyDescent="0.25">
      <c r="A716" s="220">
        <v>103</v>
      </c>
      <c r="B716" s="220" t="s">
        <v>1228</v>
      </c>
      <c r="C716" s="220" t="s">
        <v>254</v>
      </c>
      <c r="D716" s="220" t="s">
        <v>434</v>
      </c>
      <c r="E716" s="220">
        <v>6</v>
      </c>
      <c r="F716" s="220">
        <v>186.84200000000001</v>
      </c>
      <c r="G716" s="220">
        <v>14966</v>
      </c>
      <c r="H716" s="220">
        <v>18024</v>
      </c>
      <c r="I716" s="220">
        <v>20845</v>
      </c>
      <c r="J716" s="220">
        <v>183.86600000000001</v>
      </c>
      <c r="K716" s="220">
        <v>-1.2749999999999999</v>
      </c>
      <c r="L716" s="220">
        <v>35.936</v>
      </c>
      <c r="M716" s="220" t="s">
        <v>713</v>
      </c>
      <c r="N716" s="220" t="s">
        <v>933</v>
      </c>
      <c r="O716" s="220" t="s">
        <v>1229</v>
      </c>
      <c r="P716" s="220" t="s">
        <v>1230</v>
      </c>
      <c r="Q716" s="220" t="s">
        <v>226</v>
      </c>
      <c r="R716" s="220" t="s">
        <v>528</v>
      </c>
      <c r="S716" s="220" t="s">
        <v>705</v>
      </c>
    </row>
    <row r="717" spans="1:19" x14ac:dyDescent="0.25">
      <c r="A717" s="220">
        <v>103</v>
      </c>
      <c r="B717" s="220" t="s">
        <v>1228</v>
      </c>
      <c r="C717" s="220" t="s">
        <v>254</v>
      </c>
      <c r="D717" s="220" t="s">
        <v>434</v>
      </c>
      <c r="E717" s="220">
        <v>7</v>
      </c>
      <c r="F717" s="220">
        <v>173.49</v>
      </c>
      <c r="G717" s="220">
        <v>13823</v>
      </c>
      <c r="H717" s="220">
        <v>16647</v>
      </c>
      <c r="I717" s="220">
        <v>19253</v>
      </c>
      <c r="J717" s="220">
        <v>170.726</v>
      </c>
      <c r="K717" s="220">
        <v>-1.2070000000000001</v>
      </c>
      <c r="L717" s="220">
        <v>35.979999999999997</v>
      </c>
      <c r="M717" s="220" t="s">
        <v>713</v>
      </c>
      <c r="N717" s="220" t="s">
        <v>933</v>
      </c>
      <c r="O717" s="220" t="s">
        <v>1229</v>
      </c>
      <c r="P717" s="220" t="s">
        <v>1230</v>
      </c>
      <c r="Q717" s="220" t="s">
        <v>268</v>
      </c>
      <c r="R717" s="220" t="s">
        <v>680</v>
      </c>
      <c r="S717" s="220" t="s">
        <v>647</v>
      </c>
    </row>
    <row r="718" spans="1:19" hidden="1" x14ac:dyDescent="0.25">
      <c r="A718" s="220">
        <v>104</v>
      </c>
      <c r="B718" s="220" t="s">
        <v>1231</v>
      </c>
      <c r="C718" s="220" t="s">
        <v>227</v>
      </c>
      <c r="D718" s="220" t="s">
        <v>435</v>
      </c>
      <c r="E718" s="220">
        <v>1</v>
      </c>
      <c r="F718" s="220">
        <v>204.31800000000001</v>
      </c>
      <c r="G718" s="220">
        <v>10438</v>
      </c>
      <c r="H718" s="220">
        <v>12312</v>
      </c>
      <c r="I718" s="220">
        <v>14382</v>
      </c>
      <c r="J718" s="220">
        <v>201.114</v>
      </c>
      <c r="K718" s="220">
        <v>-19.933</v>
      </c>
      <c r="L718" s="220">
        <v>24.405000000000001</v>
      </c>
      <c r="M718" s="220" t="s">
        <v>790</v>
      </c>
      <c r="N718" s="220" t="s">
        <v>933</v>
      </c>
      <c r="O718" s="220" t="s">
        <v>1232</v>
      </c>
      <c r="P718" s="220" t="s">
        <v>1233</v>
      </c>
      <c r="Q718" s="220" t="s">
        <v>102</v>
      </c>
      <c r="R718" s="220" t="s">
        <v>249</v>
      </c>
      <c r="S718" s="220" t="s">
        <v>148</v>
      </c>
    </row>
    <row r="719" spans="1:19" hidden="1" x14ac:dyDescent="0.25">
      <c r="A719" s="220">
        <v>104</v>
      </c>
      <c r="B719" s="220" t="s">
        <v>1231</v>
      </c>
      <c r="C719" s="220" t="s">
        <v>227</v>
      </c>
      <c r="D719" s="220" t="s">
        <v>435</v>
      </c>
      <c r="E719" s="220">
        <v>2</v>
      </c>
      <c r="F719" s="220">
        <v>201.898</v>
      </c>
      <c r="G719" s="220">
        <v>10434</v>
      </c>
      <c r="H719" s="220">
        <v>12306</v>
      </c>
      <c r="I719" s="220">
        <v>14375</v>
      </c>
      <c r="J719" s="220">
        <v>198.732</v>
      </c>
      <c r="K719" s="220">
        <v>-19.942</v>
      </c>
      <c r="L719" s="220">
        <v>24.391999999999999</v>
      </c>
      <c r="M719" s="220" t="s">
        <v>790</v>
      </c>
      <c r="N719" s="220" t="s">
        <v>933</v>
      </c>
      <c r="O719" s="220" t="s">
        <v>1232</v>
      </c>
      <c r="P719" s="220" t="s">
        <v>1233</v>
      </c>
      <c r="Q719" s="220" t="s">
        <v>237</v>
      </c>
      <c r="R719" s="220" t="s">
        <v>105</v>
      </c>
      <c r="S719" s="220" t="s">
        <v>208</v>
      </c>
    </row>
    <row r="720" spans="1:19" hidden="1" x14ac:dyDescent="0.25">
      <c r="A720" s="220">
        <v>104</v>
      </c>
      <c r="B720" s="220" t="s">
        <v>1231</v>
      </c>
      <c r="C720" s="220" t="s">
        <v>227</v>
      </c>
      <c r="D720" s="220" t="s">
        <v>435</v>
      </c>
      <c r="E720" s="220">
        <v>3</v>
      </c>
      <c r="F720" s="220">
        <v>203.20599999999999</v>
      </c>
      <c r="G720" s="220">
        <v>10482</v>
      </c>
      <c r="H720" s="220">
        <v>12364</v>
      </c>
      <c r="I720" s="220">
        <v>14445</v>
      </c>
      <c r="J720" s="220">
        <v>200.02</v>
      </c>
      <c r="K720" s="220">
        <v>-19.937999999999999</v>
      </c>
      <c r="L720" s="220">
        <v>24.425000000000001</v>
      </c>
      <c r="M720" s="220" t="s">
        <v>790</v>
      </c>
      <c r="N720" s="220" t="s">
        <v>933</v>
      </c>
      <c r="O720" s="220" t="s">
        <v>1232</v>
      </c>
      <c r="P720" s="220" t="s">
        <v>1233</v>
      </c>
      <c r="Q720" s="220" t="s">
        <v>158</v>
      </c>
      <c r="R720" s="220" t="s">
        <v>233</v>
      </c>
      <c r="S720" s="220" t="s">
        <v>189</v>
      </c>
    </row>
    <row r="721" spans="1:19" hidden="1" x14ac:dyDescent="0.25">
      <c r="A721" s="220">
        <v>104</v>
      </c>
      <c r="B721" s="220" t="s">
        <v>1231</v>
      </c>
      <c r="C721" s="220" t="s">
        <v>227</v>
      </c>
      <c r="D721" s="220" t="s">
        <v>435</v>
      </c>
      <c r="E721" s="220">
        <v>4</v>
      </c>
      <c r="F721" s="220">
        <v>203.14400000000001</v>
      </c>
      <c r="G721" s="220">
        <v>10455</v>
      </c>
      <c r="H721" s="220">
        <v>12331</v>
      </c>
      <c r="I721" s="220">
        <v>14406</v>
      </c>
      <c r="J721" s="220">
        <v>199.958</v>
      </c>
      <c r="K721" s="220">
        <v>-19.937000000000001</v>
      </c>
      <c r="L721" s="220">
        <v>24.417999999999999</v>
      </c>
      <c r="M721" s="220" t="s">
        <v>790</v>
      </c>
      <c r="N721" s="220" t="s">
        <v>933</v>
      </c>
      <c r="O721" s="220" t="s">
        <v>1232</v>
      </c>
      <c r="P721" s="220" t="s">
        <v>1233</v>
      </c>
      <c r="Q721" s="220" t="s">
        <v>158</v>
      </c>
      <c r="R721" s="220" t="s">
        <v>233</v>
      </c>
      <c r="S721" s="220" t="s">
        <v>189</v>
      </c>
    </row>
    <row r="722" spans="1:19" hidden="1" x14ac:dyDescent="0.25">
      <c r="A722" s="220">
        <v>104</v>
      </c>
      <c r="B722" s="220" t="s">
        <v>1231</v>
      </c>
      <c r="C722" s="220" t="s">
        <v>227</v>
      </c>
      <c r="D722" s="220" t="s">
        <v>435</v>
      </c>
      <c r="E722" s="220">
        <v>5</v>
      </c>
      <c r="F722" s="220">
        <v>185.88</v>
      </c>
      <c r="G722" s="220">
        <v>14188</v>
      </c>
      <c r="H722" s="220">
        <v>17103</v>
      </c>
      <c r="I722" s="220">
        <v>19777</v>
      </c>
      <c r="J722" s="220">
        <v>182.91800000000001</v>
      </c>
      <c r="K722" s="220">
        <v>-1.2629999999999999</v>
      </c>
      <c r="L722" s="220">
        <v>35.637</v>
      </c>
      <c r="M722" s="220" t="s">
        <v>790</v>
      </c>
      <c r="N722" s="220" t="s">
        <v>933</v>
      </c>
      <c r="O722" s="220" t="s">
        <v>1232</v>
      </c>
      <c r="P722" s="220" t="s">
        <v>1233</v>
      </c>
      <c r="Q722" s="220" t="s">
        <v>167</v>
      </c>
      <c r="R722" s="220" t="s">
        <v>88</v>
      </c>
      <c r="S722" s="220" t="s">
        <v>565</v>
      </c>
    </row>
    <row r="723" spans="1:19" x14ac:dyDescent="0.25">
      <c r="A723" s="220">
        <v>104</v>
      </c>
      <c r="B723" s="220" t="s">
        <v>1231</v>
      </c>
      <c r="C723" s="220" t="s">
        <v>227</v>
      </c>
      <c r="D723" s="220" t="s">
        <v>435</v>
      </c>
      <c r="E723" s="220">
        <v>6</v>
      </c>
      <c r="F723" s="220">
        <v>163.00700000000001</v>
      </c>
      <c r="G723" s="220">
        <v>12688</v>
      </c>
      <c r="H723" s="220">
        <v>15288</v>
      </c>
      <c r="I723" s="220">
        <v>17680</v>
      </c>
      <c r="J723" s="220">
        <v>160.41</v>
      </c>
      <c r="K723" s="220">
        <v>-1.2250000000000001</v>
      </c>
      <c r="L723" s="220">
        <v>35.859000000000002</v>
      </c>
      <c r="M723" s="220" t="s">
        <v>790</v>
      </c>
      <c r="N723" s="220" t="s">
        <v>933</v>
      </c>
      <c r="O723" s="220" t="s">
        <v>1232</v>
      </c>
      <c r="P723" s="220" t="s">
        <v>1233</v>
      </c>
      <c r="Q723" s="220" t="s">
        <v>217</v>
      </c>
      <c r="R723" s="220" t="s">
        <v>239</v>
      </c>
      <c r="S723" s="220" t="s">
        <v>355</v>
      </c>
    </row>
    <row r="724" spans="1:19" x14ac:dyDescent="0.25">
      <c r="A724" s="220">
        <v>104</v>
      </c>
      <c r="B724" s="220" t="s">
        <v>1231</v>
      </c>
      <c r="C724" s="220" t="s">
        <v>227</v>
      </c>
      <c r="D724" s="220" t="s">
        <v>435</v>
      </c>
      <c r="E724" s="220">
        <v>7</v>
      </c>
      <c r="F724" s="220">
        <v>151.608</v>
      </c>
      <c r="G724" s="220">
        <v>11897</v>
      </c>
      <c r="H724" s="220">
        <v>14333</v>
      </c>
      <c r="I724" s="220">
        <v>16579</v>
      </c>
      <c r="J724" s="220">
        <v>149.19300000000001</v>
      </c>
      <c r="K724" s="220">
        <v>-1.175</v>
      </c>
      <c r="L724" s="220">
        <v>35.883000000000003</v>
      </c>
      <c r="M724" s="220" t="s">
        <v>790</v>
      </c>
      <c r="N724" s="220" t="s">
        <v>933</v>
      </c>
      <c r="O724" s="220" t="s">
        <v>1232</v>
      </c>
      <c r="P724" s="220" t="s">
        <v>1233</v>
      </c>
      <c r="Q724" s="220" t="s">
        <v>553</v>
      </c>
      <c r="R724" s="220" t="s">
        <v>349</v>
      </c>
      <c r="S724" s="220" t="s">
        <v>609</v>
      </c>
    </row>
    <row r="725" spans="1:19" hidden="1" x14ac:dyDescent="0.25">
      <c r="A725" s="220">
        <v>105</v>
      </c>
      <c r="B725" s="220" t="s">
        <v>1234</v>
      </c>
      <c r="C725" s="220" t="s">
        <v>286</v>
      </c>
      <c r="D725" s="220" t="s">
        <v>437</v>
      </c>
      <c r="E725" s="220">
        <v>1</v>
      </c>
      <c r="F725" s="220">
        <v>204.398</v>
      </c>
      <c r="G725" s="220">
        <v>10447</v>
      </c>
      <c r="H725" s="220">
        <v>12322</v>
      </c>
      <c r="I725" s="220">
        <v>14394</v>
      </c>
      <c r="J725" s="220">
        <v>201.19300000000001</v>
      </c>
      <c r="K725" s="220">
        <v>-19.936</v>
      </c>
      <c r="L725" s="220">
        <v>24.388999999999999</v>
      </c>
      <c r="M725" s="220" t="s">
        <v>1235</v>
      </c>
      <c r="N725" s="220" t="s">
        <v>933</v>
      </c>
      <c r="O725" s="220" t="s">
        <v>1236</v>
      </c>
      <c r="P725" s="220" t="s">
        <v>1237</v>
      </c>
      <c r="Q725" s="220" t="s">
        <v>73</v>
      </c>
      <c r="R725" s="220" t="s">
        <v>129</v>
      </c>
      <c r="S725" s="220" t="s">
        <v>262</v>
      </c>
    </row>
    <row r="726" spans="1:19" hidden="1" x14ac:dyDescent="0.25">
      <c r="A726" s="220">
        <v>105</v>
      </c>
      <c r="B726" s="220" t="s">
        <v>1234</v>
      </c>
      <c r="C726" s="220" t="s">
        <v>286</v>
      </c>
      <c r="D726" s="220" t="s">
        <v>437</v>
      </c>
      <c r="E726" s="220">
        <v>2</v>
      </c>
      <c r="F726" s="220">
        <v>202.14099999999999</v>
      </c>
      <c r="G726" s="220">
        <v>10468</v>
      </c>
      <c r="H726" s="220">
        <v>12346</v>
      </c>
      <c r="I726" s="220">
        <v>14423</v>
      </c>
      <c r="J726" s="220">
        <v>198.97200000000001</v>
      </c>
      <c r="K726" s="220">
        <v>-19.945</v>
      </c>
      <c r="L726" s="220">
        <v>24.428000000000001</v>
      </c>
      <c r="M726" s="220" t="s">
        <v>1235</v>
      </c>
      <c r="N726" s="220" t="s">
        <v>933</v>
      </c>
      <c r="O726" s="220" t="s">
        <v>1236</v>
      </c>
      <c r="P726" s="220" t="s">
        <v>1237</v>
      </c>
      <c r="Q726" s="220" t="s">
        <v>202</v>
      </c>
      <c r="R726" s="220" t="s">
        <v>255</v>
      </c>
      <c r="S726" s="220" t="s">
        <v>243</v>
      </c>
    </row>
    <row r="727" spans="1:19" hidden="1" x14ac:dyDescent="0.25">
      <c r="A727" s="220">
        <v>105</v>
      </c>
      <c r="B727" s="220" t="s">
        <v>1234</v>
      </c>
      <c r="C727" s="220" t="s">
        <v>286</v>
      </c>
      <c r="D727" s="220" t="s">
        <v>437</v>
      </c>
      <c r="E727" s="220">
        <v>3</v>
      </c>
      <c r="F727" s="220">
        <v>203.46299999999999</v>
      </c>
      <c r="G727" s="220">
        <v>10507</v>
      </c>
      <c r="H727" s="220">
        <v>12393</v>
      </c>
      <c r="I727" s="220">
        <v>14479</v>
      </c>
      <c r="J727" s="220">
        <v>200.273</v>
      </c>
      <c r="K727" s="220">
        <v>-19.927</v>
      </c>
      <c r="L727" s="220">
        <v>24.407</v>
      </c>
      <c r="M727" s="220" t="s">
        <v>1235</v>
      </c>
      <c r="N727" s="220" t="s">
        <v>933</v>
      </c>
      <c r="O727" s="220" t="s">
        <v>1236</v>
      </c>
      <c r="P727" s="220" t="s">
        <v>1237</v>
      </c>
      <c r="Q727" s="220" t="s">
        <v>111</v>
      </c>
      <c r="R727" s="220" t="s">
        <v>226</v>
      </c>
      <c r="S727" s="220" t="s">
        <v>585</v>
      </c>
    </row>
    <row r="728" spans="1:19" hidden="1" x14ac:dyDescent="0.25">
      <c r="A728" s="220">
        <v>105</v>
      </c>
      <c r="B728" s="220" t="s">
        <v>1234</v>
      </c>
      <c r="C728" s="220" t="s">
        <v>286</v>
      </c>
      <c r="D728" s="220" t="s">
        <v>437</v>
      </c>
      <c r="E728" s="220">
        <v>4</v>
      </c>
      <c r="F728" s="220">
        <v>203.48</v>
      </c>
      <c r="G728" s="220">
        <v>10469</v>
      </c>
      <c r="H728" s="220">
        <v>12347</v>
      </c>
      <c r="I728" s="220">
        <v>14422</v>
      </c>
      <c r="J728" s="220">
        <v>200.28899999999999</v>
      </c>
      <c r="K728" s="220">
        <v>-19.937000000000001</v>
      </c>
      <c r="L728" s="220">
        <v>24.417999999999999</v>
      </c>
      <c r="M728" s="220" t="s">
        <v>1235</v>
      </c>
      <c r="N728" s="220" t="s">
        <v>933</v>
      </c>
      <c r="O728" s="220" t="s">
        <v>1236</v>
      </c>
      <c r="P728" s="220" t="s">
        <v>1237</v>
      </c>
      <c r="Q728" s="220" t="s">
        <v>111</v>
      </c>
      <c r="R728" s="220" t="s">
        <v>226</v>
      </c>
      <c r="S728" s="220" t="s">
        <v>585</v>
      </c>
    </row>
    <row r="729" spans="1:19" hidden="1" x14ac:dyDescent="0.25">
      <c r="A729" s="220">
        <v>105</v>
      </c>
      <c r="B729" s="220" t="s">
        <v>1234</v>
      </c>
      <c r="C729" s="220" t="s">
        <v>286</v>
      </c>
      <c r="D729" s="220" t="s">
        <v>437</v>
      </c>
      <c r="E729" s="220">
        <v>5</v>
      </c>
      <c r="F729" s="220">
        <v>204.07300000000001</v>
      </c>
      <c r="G729" s="220">
        <v>15843</v>
      </c>
      <c r="H729" s="220">
        <v>19080</v>
      </c>
      <c r="I729" s="220">
        <v>22083</v>
      </c>
      <c r="J729" s="220">
        <v>200.822</v>
      </c>
      <c r="K729" s="220">
        <v>-1.393</v>
      </c>
      <c r="L729" s="220">
        <v>35.720999999999997</v>
      </c>
      <c r="M729" s="220" t="s">
        <v>1235</v>
      </c>
      <c r="N729" s="220" t="s">
        <v>933</v>
      </c>
      <c r="O729" s="220" t="s">
        <v>1236</v>
      </c>
      <c r="P729" s="220" t="s">
        <v>1237</v>
      </c>
      <c r="Q729" s="220" t="s">
        <v>180</v>
      </c>
      <c r="R729" s="220" t="s">
        <v>44</v>
      </c>
      <c r="S729" s="220" t="s">
        <v>605</v>
      </c>
    </row>
    <row r="730" spans="1:19" x14ac:dyDescent="0.25">
      <c r="A730" s="220">
        <v>105</v>
      </c>
      <c r="B730" s="220" t="s">
        <v>1234</v>
      </c>
      <c r="C730" s="220" t="s">
        <v>286</v>
      </c>
      <c r="D730" s="220" t="s">
        <v>437</v>
      </c>
      <c r="E730" s="220">
        <v>6</v>
      </c>
      <c r="F730" s="220">
        <v>178.48</v>
      </c>
      <c r="G730" s="220">
        <v>13966</v>
      </c>
      <c r="H730" s="220">
        <v>16810</v>
      </c>
      <c r="I730" s="220">
        <v>19464</v>
      </c>
      <c r="J730" s="220">
        <v>175.637</v>
      </c>
      <c r="K730" s="220">
        <v>-1.3680000000000001</v>
      </c>
      <c r="L730" s="220">
        <v>35.915999999999997</v>
      </c>
      <c r="M730" s="220" t="s">
        <v>1235</v>
      </c>
      <c r="N730" s="220" t="s">
        <v>933</v>
      </c>
      <c r="O730" s="220" t="s">
        <v>1236</v>
      </c>
      <c r="P730" s="220" t="s">
        <v>1237</v>
      </c>
      <c r="Q730" s="220" t="s">
        <v>209</v>
      </c>
      <c r="R730" s="220" t="s">
        <v>253</v>
      </c>
      <c r="S730" s="220" t="s">
        <v>598</v>
      </c>
    </row>
    <row r="731" spans="1:19" x14ac:dyDescent="0.25">
      <c r="A731" s="220">
        <v>105</v>
      </c>
      <c r="B731" s="220" t="s">
        <v>1234</v>
      </c>
      <c r="C731" s="220" t="s">
        <v>286</v>
      </c>
      <c r="D731" s="220" t="s">
        <v>437</v>
      </c>
      <c r="E731" s="220">
        <v>7</v>
      </c>
      <c r="F731" s="220">
        <v>165.57900000000001</v>
      </c>
      <c r="G731" s="220">
        <v>12932</v>
      </c>
      <c r="H731" s="220">
        <v>15564</v>
      </c>
      <c r="I731" s="220">
        <v>18022</v>
      </c>
      <c r="J731" s="220">
        <v>162.941</v>
      </c>
      <c r="K731" s="220">
        <v>-1.3089999999999999</v>
      </c>
      <c r="L731" s="220">
        <v>35.918999999999997</v>
      </c>
      <c r="M731" s="220" t="s">
        <v>1235</v>
      </c>
      <c r="N731" s="220" t="s">
        <v>933</v>
      </c>
      <c r="O731" s="220" t="s">
        <v>1236</v>
      </c>
      <c r="P731" s="220" t="s">
        <v>1237</v>
      </c>
      <c r="Q731" s="220" t="s">
        <v>653</v>
      </c>
      <c r="R731" s="220" t="s">
        <v>579</v>
      </c>
      <c r="S731" s="220" t="s">
        <v>1238</v>
      </c>
    </row>
    <row r="732" spans="1:19" hidden="1" x14ac:dyDescent="0.25">
      <c r="A732" s="220">
        <v>106</v>
      </c>
      <c r="B732" s="220" t="s">
        <v>1239</v>
      </c>
      <c r="C732" s="220" t="s">
        <v>635</v>
      </c>
      <c r="D732" s="220" t="s">
        <v>438</v>
      </c>
      <c r="E732" s="220">
        <v>1</v>
      </c>
      <c r="F732" s="220">
        <v>203.87799999999999</v>
      </c>
      <c r="G732" s="220">
        <v>10443</v>
      </c>
      <c r="H732" s="220">
        <v>12317</v>
      </c>
      <c r="I732" s="220">
        <v>14378</v>
      </c>
      <c r="J732" s="220">
        <v>200.68100000000001</v>
      </c>
      <c r="K732" s="220">
        <v>-19.939</v>
      </c>
      <c r="L732" s="220">
        <v>24.402999999999999</v>
      </c>
      <c r="M732" s="220" t="s">
        <v>712</v>
      </c>
      <c r="N732" s="220" t="s">
        <v>933</v>
      </c>
      <c r="O732" s="220" t="s">
        <v>1240</v>
      </c>
      <c r="P732" s="220" t="s">
        <v>1241</v>
      </c>
      <c r="Q732" s="220" t="s">
        <v>49</v>
      </c>
      <c r="R732" s="220" t="s">
        <v>134</v>
      </c>
      <c r="S732" s="220" t="s">
        <v>244</v>
      </c>
    </row>
    <row r="733" spans="1:19" hidden="1" x14ac:dyDescent="0.25">
      <c r="A733" s="220">
        <v>106</v>
      </c>
      <c r="B733" s="220" t="s">
        <v>1239</v>
      </c>
      <c r="C733" s="220" t="s">
        <v>635</v>
      </c>
      <c r="D733" s="220" t="s">
        <v>438</v>
      </c>
      <c r="E733" s="220">
        <v>2</v>
      </c>
      <c r="F733" s="220">
        <v>201.78</v>
      </c>
      <c r="G733" s="220">
        <v>10449</v>
      </c>
      <c r="H733" s="220">
        <v>12325</v>
      </c>
      <c r="I733" s="220">
        <v>14388</v>
      </c>
      <c r="J733" s="220">
        <v>198.61699999999999</v>
      </c>
      <c r="K733" s="220">
        <v>-19.945</v>
      </c>
      <c r="L733" s="220">
        <v>24.422000000000001</v>
      </c>
      <c r="M733" s="220" t="s">
        <v>712</v>
      </c>
      <c r="N733" s="220" t="s">
        <v>933</v>
      </c>
      <c r="O733" s="220" t="s">
        <v>1240</v>
      </c>
      <c r="P733" s="220" t="s">
        <v>1241</v>
      </c>
      <c r="Q733" s="220" t="s">
        <v>202</v>
      </c>
      <c r="R733" s="220" t="s">
        <v>255</v>
      </c>
      <c r="S733" s="220" t="s">
        <v>258</v>
      </c>
    </row>
    <row r="734" spans="1:19" hidden="1" x14ac:dyDescent="0.25">
      <c r="A734" s="220">
        <v>106</v>
      </c>
      <c r="B734" s="220" t="s">
        <v>1239</v>
      </c>
      <c r="C734" s="220" t="s">
        <v>635</v>
      </c>
      <c r="D734" s="220" t="s">
        <v>438</v>
      </c>
      <c r="E734" s="220">
        <v>3</v>
      </c>
      <c r="F734" s="220">
        <v>203.01300000000001</v>
      </c>
      <c r="G734" s="220">
        <v>10486</v>
      </c>
      <c r="H734" s="220">
        <v>12369</v>
      </c>
      <c r="I734" s="220">
        <v>14443</v>
      </c>
      <c r="J734" s="220">
        <v>199.83</v>
      </c>
      <c r="K734" s="220">
        <v>-19.948</v>
      </c>
      <c r="L734" s="220">
        <v>24.443000000000001</v>
      </c>
      <c r="M734" s="220" t="s">
        <v>712</v>
      </c>
      <c r="N734" s="220" t="s">
        <v>933</v>
      </c>
      <c r="O734" s="220" t="s">
        <v>1240</v>
      </c>
      <c r="P734" s="220" t="s">
        <v>1241</v>
      </c>
      <c r="Q734" s="220" t="s">
        <v>120</v>
      </c>
      <c r="R734" s="220" t="s">
        <v>226</v>
      </c>
      <c r="S734" s="220" t="s">
        <v>177</v>
      </c>
    </row>
    <row r="735" spans="1:19" hidden="1" x14ac:dyDescent="0.25">
      <c r="A735" s="220">
        <v>106</v>
      </c>
      <c r="B735" s="220" t="s">
        <v>1239</v>
      </c>
      <c r="C735" s="220" t="s">
        <v>635</v>
      </c>
      <c r="D735" s="220" t="s">
        <v>438</v>
      </c>
      <c r="E735" s="220">
        <v>4</v>
      </c>
      <c r="F735" s="220">
        <v>203.096</v>
      </c>
      <c r="G735" s="220">
        <v>10447</v>
      </c>
      <c r="H735" s="220">
        <v>12322</v>
      </c>
      <c r="I735" s="220">
        <v>14384</v>
      </c>
      <c r="J735" s="220">
        <v>199.91200000000001</v>
      </c>
      <c r="K735" s="220">
        <v>-19.937000000000001</v>
      </c>
      <c r="L735" s="220">
        <v>24.417999999999999</v>
      </c>
      <c r="M735" s="220" t="s">
        <v>712</v>
      </c>
      <c r="N735" s="220" t="s">
        <v>933</v>
      </c>
      <c r="O735" s="220" t="s">
        <v>1240</v>
      </c>
      <c r="P735" s="220" t="s">
        <v>1241</v>
      </c>
      <c r="Q735" s="220" t="s">
        <v>111</v>
      </c>
      <c r="R735" s="220" t="s">
        <v>132</v>
      </c>
      <c r="S735" s="220" t="s">
        <v>585</v>
      </c>
    </row>
    <row r="736" spans="1:19" hidden="1" x14ac:dyDescent="0.25">
      <c r="A736" s="220">
        <v>106</v>
      </c>
      <c r="B736" s="220" t="s">
        <v>1239</v>
      </c>
      <c r="C736" s="220" t="s">
        <v>635</v>
      </c>
      <c r="D736" s="220" t="s">
        <v>438</v>
      </c>
      <c r="E736" s="220">
        <v>5</v>
      </c>
      <c r="F736" s="220">
        <v>222.964</v>
      </c>
      <c r="G736" s="220">
        <v>17202</v>
      </c>
      <c r="H736" s="220">
        <v>20747</v>
      </c>
      <c r="I736" s="220">
        <v>23954</v>
      </c>
      <c r="J736" s="220">
        <v>219.41200000000001</v>
      </c>
      <c r="K736" s="220">
        <v>-1.323</v>
      </c>
      <c r="L736" s="220">
        <v>35.707999999999998</v>
      </c>
      <c r="M736" s="220" t="s">
        <v>712</v>
      </c>
      <c r="N736" s="220" t="s">
        <v>933</v>
      </c>
      <c r="O736" s="220" t="s">
        <v>1240</v>
      </c>
      <c r="P736" s="220" t="s">
        <v>1241</v>
      </c>
      <c r="Q736" s="220" t="s">
        <v>156</v>
      </c>
      <c r="R736" s="220" t="s">
        <v>160</v>
      </c>
      <c r="S736" s="220" t="s">
        <v>697</v>
      </c>
    </row>
    <row r="737" spans="1:19" x14ac:dyDescent="0.25">
      <c r="A737" s="220">
        <v>106</v>
      </c>
      <c r="B737" s="220" t="s">
        <v>1239</v>
      </c>
      <c r="C737" s="220" t="s">
        <v>635</v>
      </c>
      <c r="D737" s="220" t="s">
        <v>438</v>
      </c>
      <c r="E737" s="220">
        <v>6</v>
      </c>
      <c r="F737" s="220">
        <v>196.72499999999999</v>
      </c>
      <c r="G737" s="220">
        <v>15574</v>
      </c>
      <c r="H737" s="220">
        <v>18779</v>
      </c>
      <c r="I737" s="220">
        <v>21692</v>
      </c>
      <c r="J737" s="220">
        <v>193.59100000000001</v>
      </c>
      <c r="K737" s="220">
        <v>-1.302</v>
      </c>
      <c r="L737" s="220">
        <v>35.868000000000002</v>
      </c>
      <c r="M737" s="220" t="s">
        <v>712</v>
      </c>
      <c r="N737" s="220" t="s">
        <v>933</v>
      </c>
      <c r="O737" s="220" t="s">
        <v>1240</v>
      </c>
      <c r="P737" s="220" t="s">
        <v>1241</v>
      </c>
      <c r="Q737" s="220" t="s">
        <v>252</v>
      </c>
      <c r="R737" s="220" t="s">
        <v>200</v>
      </c>
      <c r="S737" s="220" t="s">
        <v>685</v>
      </c>
    </row>
    <row r="738" spans="1:19" x14ac:dyDescent="0.25">
      <c r="A738" s="220">
        <v>106</v>
      </c>
      <c r="B738" s="220" t="s">
        <v>1239</v>
      </c>
      <c r="C738" s="220" t="s">
        <v>635</v>
      </c>
      <c r="D738" s="220" t="s">
        <v>438</v>
      </c>
      <c r="E738" s="220">
        <v>7</v>
      </c>
      <c r="F738" s="220">
        <v>183.66499999999999</v>
      </c>
      <c r="G738" s="220">
        <v>14677</v>
      </c>
      <c r="H738" s="220">
        <v>17695</v>
      </c>
      <c r="I738" s="220">
        <v>20440</v>
      </c>
      <c r="J738" s="220">
        <v>180.739</v>
      </c>
      <c r="K738" s="220">
        <v>-1.266</v>
      </c>
      <c r="L738" s="220">
        <v>35.926000000000002</v>
      </c>
      <c r="M738" s="220" t="s">
        <v>712</v>
      </c>
      <c r="N738" s="220" t="s">
        <v>933</v>
      </c>
      <c r="O738" s="220" t="s">
        <v>1240</v>
      </c>
      <c r="P738" s="220" t="s">
        <v>1241</v>
      </c>
      <c r="Q738" s="220" t="s">
        <v>1218</v>
      </c>
      <c r="R738" s="220" t="s">
        <v>534</v>
      </c>
      <c r="S738" s="220" t="s">
        <v>1242</v>
      </c>
    </row>
    <row r="739" spans="1:19" hidden="1" x14ac:dyDescent="0.25">
      <c r="A739" s="220">
        <v>107</v>
      </c>
      <c r="B739" s="220" t="s">
        <v>0</v>
      </c>
      <c r="C739" s="220" t="s">
        <v>737</v>
      </c>
      <c r="D739" s="220" t="s">
        <v>439</v>
      </c>
      <c r="E739" s="220">
        <v>1</v>
      </c>
      <c r="F739" s="220">
        <v>204.50800000000001</v>
      </c>
      <c r="G739" s="220">
        <v>10461</v>
      </c>
      <c r="H739" s="220">
        <v>12338</v>
      </c>
      <c r="I739" s="220">
        <v>14402</v>
      </c>
      <c r="J739" s="220">
        <v>201.30199999999999</v>
      </c>
      <c r="K739" s="220">
        <v>-19.928999999999998</v>
      </c>
      <c r="L739" s="220">
        <v>24.417000000000002</v>
      </c>
      <c r="M739" s="220" t="s">
        <v>711</v>
      </c>
      <c r="N739" s="220" t="s">
        <v>933</v>
      </c>
      <c r="O739" s="220" t="s">
        <v>1243</v>
      </c>
      <c r="P739" s="220" t="s">
        <v>1244</v>
      </c>
      <c r="Q739" s="220" t="s">
        <v>213</v>
      </c>
      <c r="R739" s="220" t="s">
        <v>237</v>
      </c>
      <c r="S739" s="220" t="s">
        <v>124</v>
      </c>
    </row>
    <row r="740" spans="1:19" hidden="1" x14ac:dyDescent="0.25">
      <c r="A740" s="220">
        <v>107</v>
      </c>
      <c r="B740" s="220" t="s">
        <v>0</v>
      </c>
      <c r="C740" s="220" t="s">
        <v>737</v>
      </c>
      <c r="D740" s="220" t="s">
        <v>439</v>
      </c>
      <c r="E740" s="220">
        <v>2</v>
      </c>
      <c r="F740" s="220">
        <v>202.20400000000001</v>
      </c>
      <c r="G740" s="220">
        <v>10479</v>
      </c>
      <c r="H740" s="220">
        <v>12360</v>
      </c>
      <c r="I740" s="220">
        <v>14428</v>
      </c>
      <c r="J740" s="220">
        <v>199.03399999999999</v>
      </c>
      <c r="K740" s="220">
        <v>-19.933</v>
      </c>
      <c r="L740" s="220">
        <v>24.405999999999999</v>
      </c>
      <c r="M740" s="220" t="s">
        <v>711</v>
      </c>
      <c r="N740" s="220" t="s">
        <v>933</v>
      </c>
      <c r="O740" s="220" t="s">
        <v>1243</v>
      </c>
      <c r="P740" s="220" t="s">
        <v>1244</v>
      </c>
      <c r="Q740" s="220" t="s">
        <v>81</v>
      </c>
      <c r="R740" s="220" t="s">
        <v>214</v>
      </c>
      <c r="S740" s="220" t="s">
        <v>303</v>
      </c>
    </row>
    <row r="741" spans="1:19" hidden="1" x14ac:dyDescent="0.25">
      <c r="A741" s="220">
        <v>107</v>
      </c>
      <c r="B741" s="220" t="s">
        <v>0</v>
      </c>
      <c r="C741" s="220" t="s">
        <v>737</v>
      </c>
      <c r="D741" s="220" t="s">
        <v>439</v>
      </c>
      <c r="E741" s="220">
        <v>3</v>
      </c>
      <c r="F741" s="220">
        <v>203.881</v>
      </c>
      <c r="G741" s="220">
        <v>10515</v>
      </c>
      <c r="H741" s="220">
        <v>12403</v>
      </c>
      <c r="I741" s="220">
        <v>14479</v>
      </c>
      <c r="J741" s="220">
        <v>200.684</v>
      </c>
      <c r="K741" s="220">
        <v>-19.927</v>
      </c>
      <c r="L741" s="220">
        <v>24.402999999999999</v>
      </c>
      <c r="M741" s="220" t="s">
        <v>711</v>
      </c>
      <c r="N741" s="220" t="s">
        <v>933</v>
      </c>
      <c r="O741" s="220" t="s">
        <v>1243</v>
      </c>
      <c r="P741" s="220" t="s">
        <v>1244</v>
      </c>
      <c r="Q741" s="220" t="s">
        <v>79</v>
      </c>
      <c r="R741" s="220" t="s">
        <v>149</v>
      </c>
      <c r="S741" s="220" t="s">
        <v>201</v>
      </c>
    </row>
    <row r="742" spans="1:19" hidden="1" x14ac:dyDescent="0.25">
      <c r="A742" s="220">
        <v>107</v>
      </c>
      <c r="B742" s="220" t="s">
        <v>0</v>
      </c>
      <c r="C742" s="220" t="s">
        <v>737</v>
      </c>
      <c r="D742" s="220" t="s">
        <v>439</v>
      </c>
      <c r="E742" s="220">
        <v>4</v>
      </c>
      <c r="F742" s="220">
        <v>203.80799999999999</v>
      </c>
      <c r="G742" s="220">
        <v>10476</v>
      </c>
      <c r="H742" s="220">
        <v>12357</v>
      </c>
      <c r="I742" s="220">
        <v>14429</v>
      </c>
      <c r="J742" s="220">
        <v>200.613</v>
      </c>
      <c r="K742" s="220">
        <v>-19.937000000000001</v>
      </c>
      <c r="L742" s="220">
        <v>24.417999999999999</v>
      </c>
      <c r="M742" s="220" t="s">
        <v>711</v>
      </c>
      <c r="N742" s="220" t="s">
        <v>933</v>
      </c>
      <c r="O742" s="220" t="s">
        <v>1243</v>
      </c>
      <c r="P742" s="220" t="s">
        <v>1244</v>
      </c>
      <c r="Q742" s="220" t="s">
        <v>277</v>
      </c>
      <c r="R742" s="220" t="s">
        <v>280</v>
      </c>
      <c r="S742" s="220" t="s">
        <v>144</v>
      </c>
    </row>
    <row r="743" spans="1:19" hidden="1" x14ac:dyDescent="0.25">
      <c r="A743" s="220">
        <v>107</v>
      </c>
      <c r="B743" s="220" t="s">
        <v>0</v>
      </c>
      <c r="C743" s="220" t="s">
        <v>737</v>
      </c>
      <c r="D743" s="220" t="s">
        <v>439</v>
      </c>
      <c r="E743" s="220">
        <v>5</v>
      </c>
      <c r="F743" s="220">
        <v>222.43600000000001</v>
      </c>
      <c r="G743" s="220">
        <v>17077</v>
      </c>
      <c r="H743" s="220">
        <v>20685</v>
      </c>
      <c r="I743" s="220">
        <v>23803</v>
      </c>
      <c r="J743" s="220">
        <v>218.87700000000001</v>
      </c>
      <c r="K743" s="220">
        <v>4.7229999999999999</v>
      </c>
      <c r="L743" s="220">
        <v>36.732999999999997</v>
      </c>
      <c r="M743" s="220" t="s">
        <v>711</v>
      </c>
      <c r="N743" s="220" t="s">
        <v>933</v>
      </c>
      <c r="O743" s="220" t="s">
        <v>1243</v>
      </c>
      <c r="P743" s="220" t="s">
        <v>1244</v>
      </c>
      <c r="Q743" s="220" t="s">
        <v>168</v>
      </c>
      <c r="R743" s="220" t="s">
        <v>571</v>
      </c>
      <c r="S743" s="220" t="s">
        <v>51</v>
      </c>
    </row>
    <row r="744" spans="1:19" x14ac:dyDescent="0.25">
      <c r="A744" s="220">
        <v>107</v>
      </c>
      <c r="B744" s="220" t="s">
        <v>0</v>
      </c>
      <c r="C744" s="220" t="s">
        <v>737</v>
      </c>
      <c r="D744" s="220" t="s">
        <v>439</v>
      </c>
      <c r="E744" s="220">
        <v>6</v>
      </c>
      <c r="F744" s="220">
        <v>194.44200000000001</v>
      </c>
      <c r="G744" s="220">
        <v>15094</v>
      </c>
      <c r="H744" s="220">
        <v>18284</v>
      </c>
      <c r="I744" s="220">
        <v>21047</v>
      </c>
      <c r="J744" s="220">
        <v>191.33099999999999</v>
      </c>
      <c r="K744" s="220">
        <v>4.75</v>
      </c>
      <c r="L744" s="220">
        <v>36.966999999999999</v>
      </c>
      <c r="M744" s="220" t="s">
        <v>711</v>
      </c>
      <c r="N744" s="220" t="s">
        <v>933</v>
      </c>
      <c r="O744" s="220" t="s">
        <v>1243</v>
      </c>
      <c r="P744" s="220" t="s">
        <v>1244</v>
      </c>
      <c r="Q744" s="220" t="s">
        <v>214</v>
      </c>
      <c r="R744" s="220" t="s">
        <v>282</v>
      </c>
      <c r="S744" s="220" t="s">
        <v>613</v>
      </c>
    </row>
    <row r="745" spans="1:19" x14ac:dyDescent="0.25">
      <c r="A745" s="220">
        <v>107</v>
      </c>
      <c r="B745" s="220" t="s">
        <v>0</v>
      </c>
      <c r="C745" s="220" t="s">
        <v>737</v>
      </c>
      <c r="D745" s="220" t="s">
        <v>439</v>
      </c>
      <c r="E745" s="220">
        <v>7</v>
      </c>
      <c r="F745" s="220">
        <v>180.666</v>
      </c>
      <c r="G745" s="220">
        <v>14029</v>
      </c>
      <c r="H745" s="220">
        <v>16988</v>
      </c>
      <c r="I745" s="220">
        <v>19559</v>
      </c>
      <c r="J745" s="220">
        <v>177.77500000000001</v>
      </c>
      <c r="K745" s="220">
        <v>4.7750000000000004</v>
      </c>
      <c r="L745" s="220">
        <v>36.991999999999997</v>
      </c>
      <c r="M745" s="220" t="s">
        <v>711</v>
      </c>
      <c r="N745" s="220" t="s">
        <v>933</v>
      </c>
      <c r="O745" s="220" t="s">
        <v>1243</v>
      </c>
      <c r="P745" s="220" t="s">
        <v>1244</v>
      </c>
      <c r="Q745" s="220" t="s">
        <v>734</v>
      </c>
      <c r="R745" s="220" t="s">
        <v>723</v>
      </c>
      <c r="S745" s="220" t="s">
        <v>660</v>
      </c>
    </row>
    <row r="746" spans="1:19" hidden="1" x14ac:dyDescent="0.25">
      <c r="A746" s="220">
        <v>108</v>
      </c>
      <c r="B746" s="220" t="s">
        <v>0</v>
      </c>
      <c r="C746" s="220" t="s">
        <v>229</v>
      </c>
      <c r="D746" s="220" t="s">
        <v>440</v>
      </c>
      <c r="E746" s="220">
        <v>1</v>
      </c>
      <c r="F746" s="220">
        <v>204.13300000000001</v>
      </c>
      <c r="G746" s="220">
        <v>10447</v>
      </c>
      <c r="H746" s="220">
        <v>12322</v>
      </c>
      <c r="I746" s="220">
        <v>14384</v>
      </c>
      <c r="J746" s="220">
        <v>200.93199999999999</v>
      </c>
      <c r="K746" s="220">
        <v>-19.928000000000001</v>
      </c>
      <c r="L746" s="220">
        <v>24.407</v>
      </c>
      <c r="M746" s="220" t="s">
        <v>806</v>
      </c>
      <c r="N746" s="220" t="s">
        <v>933</v>
      </c>
      <c r="O746" s="220" t="s">
        <v>1245</v>
      </c>
      <c r="P746" s="220" t="s">
        <v>1246</v>
      </c>
      <c r="Q746" s="220" t="s">
        <v>78</v>
      </c>
      <c r="R746" s="220" t="s">
        <v>207</v>
      </c>
      <c r="S746" s="220" t="s">
        <v>195</v>
      </c>
    </row>
    <row r="747" spans="1:19" hidden="1" x14ac:dyDescent="0.25">
      <c r="A747" s="220">
        <v>108</v>
      </c>
      <c r="B747" s="220" t="s">
        <v>0</v>
      </c>
      <c r="C747" s="220" t="s">
        <v>229</v>
      </c>
      <c r="D747" s="220" t="s">
        <v>440</v>
      </c>
      <c r="E747" s="220">
        <v>2</v>
      </c>
      <c r="F747" s="220">
        <v>201.94300000000001</v>
      </c>
      <c r="G747" s="220">
        <v>10455</v>
      </c>
      <c r="H747" s="220">
        <v>12332</v>
      </c>
      <c r="I747" s="220">
        <v>14395</v>
      </c>
      <c r="J747" s="220">
        <v>198.77699999999999</v>
      </c>
      <c r="K747" s="220">
        <v>-19.934000000000001</v>
      </c>
      <c r="L747" s="220">
        <v>24.407</v>
      </c>
      <c r="M747" s="220" t="s">
        <v>806</v>
      </c>
      <c r="N747" s="220" t="s">
        <v>933</v>
      </c>
      <c r="O747" s="220" t="s">
        <v>1245</v>
      </c>
      <c r="P747" s="220" t="s">
        <v>1246</v>
      </c>
      <c r="Q747" s="220" t="s">
        <v>111</v>
      </c>
      <c r="R747" s="220" t="s">
        <v>132</v>
      </c>
      <c r="S747" s="220" t="s">
        <v>585</v>
      </c>
    </row>
    <row r="748" spans="1:19" hidden="1" x14ac:dyDescent="0.25">
      <c r="A748" s="220">
        <v>108</v>
      </c>
      <c r="B748" s="220" t="s">
        <v>0</v>
      </c>
      <c r="C748" s="220" t="s">
        <v>229</v>
      </c>
      <c r="D748" s="220" t="s">
        <v>440</v>
      </c>
      <c r="E748" s="220">
        <v>3</v>
      </c>
      <c r="F748" s="220">
        <v>203.46899999999999</v>
      </c>
      <c r="G748" s="220">
        <v>10507</v>
      </c>
      <c r="H748" s="220">
        <v>12394</v>
      </c>
      <c r="I748" s="220">
        <v>14469</v>
      </c>
      <c r="J748" s="220">
        <v>200.279</v>
      </c>
      <c r="K748" s="220">
        <v>-19.93</v>
      </c>
      <c r="L748" s="220">
        <v>24.433</v>
      </c>
      <c r="M748" s="220" t="s">
        <v>806</v>
      </c>
      <c r="N748" s="220" t="s">
        <v>933</v>
      </c>
      <c r="O748" s="220" t="s">
        <v>1245</v>
      </c>
      <c r="P748" s="220" t="s">
        <v>1246</v>
      </c>
      <c r="Q748" s="220" t="s">
        <v>81</v>
      </c>
      <c r="R748" s="220" t="s">
        <v>96</v>
      </c>
      <c r="S748" s="220" t="s">
        <v>190</v>
      </c>
    </row>
    <row r="749" spans="1:19" hidden="1" x14ac:dyDescent="0.25">
      <c r="A749" s="220">
        <v>108</v>
      </c>
      <c r="B749" s="220" t="s">
        <v>0</v>
      </c>
      <c r="C749" s="220" t="s">
        <v>229</v>
      </c>
      <c r="D749" s="220" t="s">
        <v>440</v>
      </c>
      <c r="E749" s="220">
        <v>4</v>
      </c>
      <c r="F749" s="220">
        <v>203.48699999999999</v>
      </c>
      <c r="G749" s="220">
        <v>10471</v>
      </c>
      <c r="H749" s="220">
        <v>12350</v>
      </c>
      <c r="I749" s="220">
        <v>14416</v>
      </c>
      <c r="J749" s="220">
        <v>200.297</v>
      </c>
      <c r="K749" s="220">
        <v>-19.937000000000001</v>
      </c>
      <c r="L749" s="220">
        <v>24.417999999999999</v>
      </c>
      <c r="M749" s="220" t="s">
        <v>806</v>
      </c>
      <c r="N749" s="220" t="s">
        <v>933</v>
      </c>
      <c r="O749" s="220" t="s">
        <v>1245</v>
      </c>
      <c r="P749" s="220" t="s">
        <v>1246</v>
      </c>
      <c r="Q749" s="220" t="s">
        <v>117</v>
      </c>
      <c r="R749" s="220" t="s">
        <v>96</v>
      </c>
      <c r="S749" s="220" t="s">
        <v>190</v>
      </c>
    </row>
    <row r="750" spans="1:19" hidden="1" x14ac:dyDescent="0.25">
      <c r="A750" s="220">
        <v>108</v>
      </c>
      <c r="B750" s="220" t="s">
        <v>0</v>
      </c>
      <c r="C750" s="220" t="s">
        <v>229</v>
      </c>
      <c r="D750" s="220" t="s">
        <v>440</v>
      </c>
      <c r="E750" s="220">
        <v>5</v>
      </c>
      <c r="F750" s="220">
        <v>195.90100000000001</v>
      </c>
      <c r="G750" s="220">
        <v>15352</v>
      </c>
      <c r="H750" s="220">
        <v>18612</v>
      </c>
      <c r="I750" s="220">
        <v>21401</v>
      </c>
      <c r="J750" s="220">
        <v>192.767</v>
      </c>
      <c r="K750" s="220">
        <v>4.6349999999999998</v>
      </c>
      <c r="L750" s="220">
        <v>36.881</v>
      </c>
      <c r="M750" s="220" t="s">
        <v>806</v>
      </c>
      <c r="N750" s="220" t="s">
        <v>933</v>
      </c>
      <c r="O750" s="220" t="s">
        <v>1245</v>
      </c>
      <c r="P750" s="220" t="s">
        <v>1246</v>
      </c>
      <c r="Q750" s="220" t="s">
        <v>171</v>
      </c>
      <c r="R750" s="220" t="s">
        <v>160</v>
      </c>
      <c r="S750" s="220" t="s">
        <v>91</v>
      </c>
    </row>
    <row r="751" spans="1:19" x14ac:dyDescent="0.25">
      <c r="A751" s="220">
        <v>108</v>
      </c>
      <c r="B751" s="220" t="s">
        <v>0</v>
      </c>
      <c r="C751" s="220" t="s">
        <v>229</v>
      </c>
      <c r="D751" s="220" t="s">
        <v>440</v>
      </c>
      <c r="E751" s="220">
        <v>6</v>
      </c>
      <c r="F751" s="220">
        <v>174.14599999999999</v>
      </c>
      <c r="G751" s="220">
        <v>13925</v>
      </c>
      <c r="H751" s="220">
        <v>16876</v>
      </c>
      <c r="I751" s="220">
        <v>19415</v>
      </c>
      <c r="J751" s="220">
        <v>171.35900000000001</v>
      </c>
      <c r="K751" s="220">
        <v>4.6779999999999999</v>
      </c>
      <c r="L751" s="220">
        <v>37.01</v>
      </c>
      <c r="M751" s="220" t="s">
        <v>806</v>
      </c>
      <c r="N751" s="220" t="s">
        <v>933</v>
      </c>
      <c r="O751" s="220" t="s">
        <v>1245</v>
      </c>
      <c r="P751" s="220" t="s">
        <v>1246</v>
      </c>
      <c r="Q751" s="220" t="s">
        <v>245</v>
      </c>
      <c r="R751" s="220" t="s">
        <v>198</v>
      </c>
      <c r="S751" s="220" t="s">
        <v>586</v>
      </c>
    </row>
    <row r="752" spans="1:19" x14ac:dyDescent="0.25">
      <c r="A752" s="220">
        <v>108</v>
      </c>
      <c r="B752" s="220" t="s">
        <v>0</v>
      </c>
      <c r="C752" s="220" t="s">
        <v>229</v>
      </c>
      <c r="D752" s="220" t="s">
        <v>440</v>
      </c>
      <c r="E752" s="220">
        <v>7</v>
      </c>
      <c r="F752" s="220">
        <v>162.887</v>
      </c>
      <c r="G752" s="220">
        <v>13110</v>
      </c>
      <c r="H752" s="220">
        <v>15886</v>
      </c>
      <c r="I752" s="220">
        <v>18280</v>
      </c>
      <c r="J752" s="220">
        <v>160.28</v>
      </c>
      <c r="K752" s="220">
        <v>4.7169999999999996</v>
      </c>
      <c r="L752" s="220">
        <v>37.064999999999998</v>
      </c>
      <c r="M752" s="220" t="s">
        <v>806</v>
      </c>
      <c r="N752" s="220" t="s">
        <v>933</v>
      </c>
      <c r="O752" s="220" t="s">
        <v>1245</v>
      </c>
      <c r="P752" s="220" t="s">
        <v>1246</v>
      </c>
      <c r="Q752" s="220" t="s">
        <v>597</v>
      </c>
      <c r="R752" s="220" t="s">
        <v>382</v>
      </c>
      <c r="S752" s="220" t="s">
        <v>1247</v>
      </c>
    </row>
    <row r="753" spans="1:19" hidden="1" x14ac:dyDescent="0.25">
      <c r="A753" s="220">
        <v>109</v>
      </c>
      <c r="B753" s="220" t="s">
        <v>1248</v>
      </c>
      <c r="C753" s="220" t="s">
        <v>513</v>
      </c>
      <c r="D753" s="220" t="s">
        <v>442</v>
      </c>
      <c r="E753" s="220">
        <v>1</v>
      </c>
      <c r="F753" s="220">
        <v>204.89</v>
      </c>
      <c r="G753" s="220">
        <v>10467</v>
      </c>
      <c r="H753" s="220">
        <v>12347</v>
      </c>
      <c r="I753" s="220">
        <v>14389</v>
      </c>
      <c r="J753" s="220">
        <v>201.679</v>
      </c>
      <c r="K753" s="220">
        <v>-19.934999999999999</v>
      </c>
      <c r="L753" s="220">
        <v>24.370999999999999</v>
      </c>
      <c r="M753" s="220" t="s">
        <v>1249</v>
      </c>
      <c r="N753" s="220" t="s">
        <v>933</v>
      </c>
      <c r="O753" s="220" t="s">
        <v>1250</v>
      </c>
      <c r="P753" s="220" t="s">
        <v>1251</v>
      </c>
      <c r="Q753" s="220" t="s">
        <v>78</v>
      </c>
      <c r="R753" s="220" t="s">
        <v>126</v>
      </c>
      <c r="S753" s="220" t="s">
        <v>139</v>
      </c>
    </row>
    <row r="754" spans="1:19" hidden="1" x14ac:dyDescent="0.25">
      <c r="A754" s="220">
        <v>109</v>
      </c>
      <c r="B754" s="220" t="s">
        <v>1248</v>
      </c>
      <c r="C754" s="220" t="s">
        <v>513</v>
      </c>
      <c r="D754" s="220" t="s">
        <v>442</v>
      </c>
      <c r="E754" s="220">
        <v>2</v>
      </c>
      <c r="F754" s="220">
        <v>202.08699999999999</v>
      </c>
      <c r="G754" s="220">
        <v>10463</v>
      </c>
      <c r="H754" s="220">
        <v>12341</v>
      </c>
      <c r="I754" s="220">
        <v>14385</v>
      </c>
      <c r="J754" s="220">
        <v>198.92</v>
      </c>
      <c r="K754" s="220">
        <v>-19.943000000000001</v>
      </c>
      <c r="L754" s="220">
        <v>24.416</v>
      </c>
      <c r="M754" s="220" t="s">
        <v>1249</v>
      </c>
      <c r="N754" s="220" t="s">
        <v>933</v>
      </c>
      <c r="O754" s="220" t="s">
        <v>1250</v>
      </c>
      <c r="P754" s="220" t="s">
        <v>1251</v>
      </c>
      <c r="Q754" s="220" t="s">
        <v>120</v>
      </c>
      <c r="R754" s="220" t="s">
        <v>132</v>
      </c>
      <c r="S754" s="220" t="s">
        <v>253</v>
      </c>
    </row>
    <row r="755" spans="1:19" hidden="1" x14ac:dyDescent="0.25">
      <c r="A755" s="220">
        <v>109</v>
      </c>
      <c r="B755" s="220" t="s">
        <v>1248</v>
      </c>
      <c r="C755" s="220" t="s">
        <v>513</v>
      </c>
      <c r="D755" s="220" t="s">
        <v>442</v>
      </c>
      <c r="E755" s="220">
        <v>3</v>
      </c>
      <c r="F755" s="220">
        <v>203.453</v>
      </c>
      <c r="G755" s="220">
        <v>10509</v>
      </c>
      <c r="H755" s="220">
        <v>12397</v>
      </c>
      <c r="I755" s="220">
        <v>14449</v>
      </c>
      <c r="J755" s="220">
        <v>200.26400000000001</v>
      </c>
      <c r="K755" s="220">
        <v>-19.93</v>
      </c>
      <c r="L755" s="220">
        <v>24.367999999999999</v>
      </c>
      <c r="M755" s="220" t="s">
        <v>1249</v>
      </c>
      <c r="N755" s="220" t="s">
        <v>933</v>
      </c>
      <c r="O755" s="220" t="s">
        <v>1250</v>
      </c>
      <c r="P755" s="220" t="s">
        <v>1251</v>
      </c>
      <c r="Q755" s="220" t="s">
        <v>117</v>
      </c>
      <c r="R755" s="220" t="s">
        <v>119</v>
      </c>
      <c r="S755" s="220" t="s">
        <v>235</v>
      </c>
    </row>
    <row r="756" spans="1:19" hidden="1" x14ac:dyDescent="0.25">
      <c r="A756" s="220">
        <v>109</v>
      </c>
      <c r="B756" s="220" t="s">
        <v>1248</v>
      </c>
      <c r="C756" s="220" t="s">
        <v>513</v>
      </c>
      <c r="D756" s="220" t="s">
        <v>442</v>
      </c>
      <c r="E756" s="220">
        <v>4</v>
      </c>
      <c r="F756" s="220">
        <v>203.43</v>
      </c>
      <c r="G756" s="220">
        <v>10461</v>
      </c>
      <c r="H756" s="220">
        <v>12339</v>
      </c>
      <c r="I756" s="220">
        <v>14384</v>
      </c>
      <c r="J756" s="220">
        <v>200.24100000000001</v>
      </c>
      <c r="K756" s="220">
        <v>-19.937000000000001</v>
      </c>
      <c r="L756" s="220">
        <v>24.417999999999999</v>
      </c>
      <c r="M756" s="220" t="s">
        <v>1249</v>
      </c>
      <c r="N756" s="220" t="s">
        <v>933</v>
      </c>
      <c r="O756" s="220" t="s">
        <v>1250</v>
      </c>
      <c r="P756" s="220" t="s">
        <v>1251</v>
      </c>
      <c r="Q756" s="220" t="s">
        <v>158</v>
      </c>
      <c r="R756" s="220" t="s">
        <v>119</v>
      </c>
      <c r="S756" s="220" t="s">
        <v>235</v>
      </c>
    </row>
    <row r="757" spans="1:19" hidden="1" x14ac:dyDescent="0.25">
      <c r="A757" s="220">
        <v>109</v>
      </c>
      <c r="B757" s="220" t="s">
        <v>1248</v>
      </c>
      <c r="C757" s="220" t="s">
        <v>513</v>
      </c>
      <c r="D757" s="220" t="s">
        <v>442</v>
      </c>
      <c r="E757" s="220">
        <v>5</v>
      </c>
      <c r="F757" s="220">
        <v>213.619</v>
      </c>
      <c r="G757" s="220">
        <v>16232</v>
      </c>
      <c r="H757" s="220">
        <v>19548</v>
      </c>
      <c r="I757" s="220">
        <v>22565</v>
      </c>
      <c r="J757" s="220">
        <v>210.21799999999999</v>
      </c>
      <c r="K757" s="220">
        <v>-1.663</v>
      </c>
      <c r="L757" s="220">
        <v>35.536999999999999</v>
      </c>
      <c r="M757" s="220" t="s">
        <v>1249</v>
      </c>
      <c r="N757" s="220" t="s">
        <v>933</v>
      </c>
      <c r="O757" s="220" t="s">
        <v>1250</v>
      </c>
      <c r="P757" s="220" t="s">
        <v>1251</v>
      </c>
      <c r="Q757" s="220" t="s">
        <v>174</v>
      </c>
      <c r="R757" s="220" t="s">
        <v>611</v>
      </c>
      <c r="S757" s="220" t="s">
        <v>83</v>
      </c>
    </row>
    <row r="758" spans="1:19" x14ac:dyDescent="0.25">
      <c r="A758" s="220">
        <v>109</v>
      </c>
      <c r="B758" s="220" t="s">
        <v>1248</v>
      </c>
      <c r="C758" s="220" t="s">
        <v>513</v>
      </c>
      <c r="D758" s="220" t="s">
        <v>442</v>
      </c>
      <c r="E758" s="220">
        <v>6</v>
      </c>
      <c r="F758" s="220">
        <v>186.364</v>
      </c>
      <c r="G758" s="220">
        <v>14391</v>
      </c>
      <c r="H758" s="220">
        <v>17329</v>
      </c>
      <c r="I758" s="220">
        <v>20014</v>
      </c>
      <c r="J758" s="220">
        <v>183.39699999999999</v>
      </c>
      <c r="K758" s="220">
        <v>-1.637</v>
      </c>
      <c r="L758" s="220">
        <v>35.865000000000002</v>
      </c>
      <c r="M758" s="220" t="s">
        <v>1249</v>
      </c>
      <c r="N758" s="220" t="s">
        <v>933</v>
      </c>
      <c r="O758" s="220" t="s">
        <v>1250</v>
      </c>
      <c r="P758" s="220" t="s">
        <v>1251</v>
      </c>
      <c r="Q758" s="220" t="s">
        <v>270</v>
      </c>
      <c r="R758" s="220" t="s">
        <v>190</v>
      </c>
      <c r="S758" s="220" t="s">
        <v>940</v>
      </c>
    </row>
    <row r="759" spans="1:19" x14ac:dyDescent="0.25">
      <c r="A759" s="220">
        <v>109</v>
      </c>
      <c r="B759" s="220" t="s">
        <v>1248</v>
      </c>
      <c r="C759" s="220" t="s">
        <v>513</v>
      </c>
      <c r="D759" s="220" t="s">
        <v>442</v>
      </c>
      <c r="E759" s="220">
        <v>7</v>
      </c>
      <c r="F759" s="220">
        <v>175.113</v>
      </c>
      <c r="G759" s="220">
        <v>13436</v>
      </c>
      <c r="H759" s="220">
        <v>16174</v>
      </c>
      <c r="I759" s="220">
        <v>18681</v>
      </c>
      <c r="J759" s="220">
        <v>172.32499999999999</v>
      </c>
      <c r="K759" s="220">
        <v>-1.661</v>
      </c>
      <c r="L759" s="220">
        <v>35.898000000000003</v>
      </c>
      <c r="M759" s="220" t="s">
        <v>1249</v>
      </c>
      <c r="N759" s="220" t="s">
        <v>933</v>
      </c>
      <c r="O759" s="220" t="s">
        <v>1250</v>
      </c>
      <c r="P759" s="220" t="s">
        <v>1251</v>
      </c>
      <c r="Q759" s="220" t="s">
        <v>270</v>
      </c>
      <c r="R759" s="220" t="s">
        <v>190</v>
      </c>
      <c r="S759" s="220" t="s">
        <v>940</v>
      </c>
    </row>
    <row r="760" spans="1:19" hidden="1" x14ac:dyDescent="0.25">
      <c r="A760" s="220">
        <v>110</v>
      </c>
      <c r="B760" s="220" t="s">
        <v>1252</v>
      </c>
      <c r="C760" s="220" t="s">
        <v>551</v>
      </c>
      <c r="D760" s="220" t="s">
        <v>443</v>
      </c>
      <c r="E760" s="220">
        <v>1</v>
      </c>
      <c r="F760" s="220">
        <v>204.07900000000001</v>
      </c>
      <c r="G760" s="220">
        <v>10430</v>
      </c>
      <c r="H760" s="220">
        <v>12301</v>
      </c>
      <c r="I760" s="220">
        <v>14368</v>
      </c>
      <c r="J760" s="220">
        <v>200.87899999999999</v>
      </c>
      <c r="K760" s="220">
        <v>-19.937999999999999</v>
      </c>
      <c r="L760" s="220">
        <v>24.445</v>
      </c>
      <c r="M760" s="220" t="s">
        <v>815</v>
      </c>
      <c r="N760" s="220" t="s">
        <v>933</v>
      </c>
      <c r="O760" s="220" t="s">
        <v>1253</v>
      </c>
      <c r="P760" s="220" t="s">
        <v>1254</v>
      </c>
      <c r="Q760" s="220" t="s">
        <v>102</v>
      </c>
      <c r="R760" s="220" t="s">
        <v>133</v>
      </c>
      <c r="S760" s="220" t="s">
        <v>159</v>
      </c>
    </row>
    <row r="761" spans="1:19" hidden="1" x14ac:dyDescent="0.25">
      <c r="A761" s="220">
        <v>110</v>
      </c>
      <c r="B761" s="220" t="s">
        <v>1252</v>
      </c>
      <c r="C761" s="220" t="s">
        <v>551</v>
      </c>
      <c r="D761" s="220" t="s">
        <v>443</v>
      </c>
      <c r="E761" s="220">
        <v>2</v>
      </c>
      <c r="F761" s="220">
        <v>201.65199999999999</v>
      </c>
      <c r="G761" s="220">
        <v>10437</v>
      </c>
      <c r="H761" s="220">
        <v>12310</v>
      </c>
      <c r="I761" s="220">
        <v>14378</v>
      </c>
      <c r="J761" s="220">
        <v>198.49</v>
      </c>
      <c r="K761" s="220">
        <v>-19.942</v>
      </c>
      <c r="L761" s="220">
        <v>24.42</v>
      </c>
      <c r="M761" s="220" t="s">
        <v>815</v>
      </c>
      <c r="N761" s="220" t="s">
        <v>933</v>
      </c>
      <c r="O761" s="220" t="s">
        <v>1253</v>
      </c>
      <c r="P761" s="220" t="s">
        <v>1254</v>
      </c>
      <c r="Q761" s="220" t="s">
        <v>237</v>
      </c>
      <c r="R761" s="220" t="s">
        <v>105</v>
      </c>
      <c r="S761" s="220" t="s">
        <v>177</v>
      </c>
    </row>
    <row r="762" spans="1:19" hidden="1" x14ac:dyDescent="0.25">
      <c r="A762" s="220">
        <v>110</v>
      </c>
      <c r="B762" s="220" t="s">
        <v>1252</v>
      </c>
      <c r="C762" s="220" t="s">
        <v>551</v>
      </c>
      <c r="D762" s="220" t="s">
        <v>443</v>
      </c>
      <c r="E762" s="220">
        <v>3</v>
      </c>
      <c r="F762" s="220">
        <v>202.96199999999999</v>
      </c>
      <c r="G762" s="220">
        <v>10479</v>
      </c>
      <c r="H762" s="220">
        <v>12360</v>
      </c>
      <c r="I762" s="220">
        <v>14441</v>
      </c>
      <c r="J762" s="220">
        <v>199.779</v>
      </c>
      <c r="K762" s="220">
        <v>-19.936</v>
      </c>
      <c r="L762" s="220">
        <v>24.417000000000002</v>
      </c>
      <c r="M762" s="220" t="s">
        <v>815</v>
      </c>
      <c r="N762" s="220" t="s">
        <v>933</v>
      </c>
      <c r="O762" s="220" t="s">
        <v>1253</v>
      </c>
      <c r="P762" s="220" t="s">
        <v>1254</v>
      </c>
      <c r="Q762" s="220" t="s">
        <v>158</v>
      </c>
      <c r="R762" s="220" t="s">
        <v>233</v>
      </c>
      <c r="S762" s="220" t="s">
        <v>235</v>
      </c>
    </row>
    <row r="763" spans="1:19" hidden="1" x14ac:dyDescent="0.25">
      <c r="A763" s="220">
        <v>110</v>
      </c>
      <c r="B763" s="220" t="s">
        <v>1252</v>
      </c>
      <c r="C763" s="220" t="s">
        <v>551</v>
      </c>
      <c r="D763" s="220" t="s">
        <v>443</v>
      </c>
      <c r="E763" s="220">
        <v>4</v>
      </c>
      <c r="F763" s="220">
        <v>202.98699999999999</v>
      </c>
      <c r="G763" s="220">
        <v>10454</v>
      </c>
      <c r="H763" s="220">
        <v>12329</v>
      </c>
      <c r="I763" s="220">
        <v>14403</v>
      </c>
      <c r="J763" s="220">
        <v>199.804</v>
      </c>
      <c r="K763" s="220">
        <v>-19.937000000000001</v>
      </c>
      <c r="L763" s="220">
        <v>24.417999999999999</v>
      </c>
      <c r="M763" s="220" t="s">
        <v>815</v>
      </c>
      <c r="N763" s="220" t="s">
        <v>933</v>
      </c>
      <c r="O763" s="220" t="s">
        <v>1253</v>
      </c>
      <c r="P763" s="220" t="s">
        <v>1254</v>
      </c>
      <c r="Q763" s="220" t="s">
        <v>158</v>
      </c>
      <c r="R763" s="220" t="s">
        <v>233</v>
      </c>
      <c r="S763" s="220" t="s">
        <v>235</v>
      </c>
    </row>
    <row r="764" spans="1:19" hidden="1" x14ac:dyDescent="0.25">
      <c r="A764" s="220">
        <v>110</v>
      </c>
      <c r="B764" s="220" t="s">
        <v>1252</v>
      </c>
      <c r="C764" s="220" t="s">
        <v>551</v>
      </c>
      <c r="D764" s="220" t="s">
        <v>443</v>
      </c>
      <c r="E764" s="220">
        <v>5</v>
      </c>
      <c r="F764" s="220">
        <v>167.27</v>
      </c>
      <c r="G764" s="220">
        <v>13238</v>
      </c>
      <c r="H764" s="220">
        <v>15945</v>
      </c>
      <c r="I764" s="220">
        <v>18454</v>
      </c>
      <c r="J764" s="220">
        <v>164.60599999999999</v>
      </c>
      <c r="K764" s="220">
        <v>-1.772</v>
      </c>
      <c r="L764" s="220">
        <v>35.950000000000003</v>
      </c>
      <c r="M764" s="220" t="s">
        <v>815</v>
      </c>
      <c r="N764" s="220" t="s">
        <v>933</v>
      </c>
      <c r="O764" s="220" t="s">
        <v>1253</v>
      </c>
      <c r="P764" s="220" t="s">
        <v>1254</v>
      </c>
      <c r="Q764" s="220" t="s">
        <v>156</v>
      </c>
      <c r="R764" s="220" t="s">
        <v>160</v>
      </c>
      <c r="S764" s="220" t="s">
        <v>91</v>
      </c>
    </row>
    <row r="765" spans="1:19" x14ac:dyDescent="0.25">
      <c r="A765" s="220">
        <v>110</v>
      </c>
      <c r="B765" s="220" t="s">
        <v>1252</v>
      </c>
      <c r="C765" s="220" t="s">
        <v>551</v>
      </c>
      <c r="D765" s="220" t="s">
        <v>443</v>
      </c>
      <c r="E765" s="220">
        <v>6</v>
      </c>
      <c r="F765" s="220">
        <v>149.50700000000001</v>
      </c>
      <c r="G765" s="220">
        <v>12043</v>
      </c>
      <c r="H765" s="220">
        <v>14501</v>
      </c>
      <c r="I765" s="220">
        <v>16786</v>
      </c>
      <c r="J765" s="220">
        <v>147.126</v>
      </c>
      <c r="K765" s="220">
        <v>-1.718</v>
      </c>
      <c r="L765" s="220">
        <v>36.084000000000003</v>
      </c>
      <c r="M765" s="220" t="s">
        <v>815</v>
      </c>
      <c r="N765" s="220" t="s">
        <v>933</v>
      </c>
      <c r="O765" s="220" t="s">
        <v>1253</v>
      </c>
      <c r="P765" s="220" t="s">
        <v>1254</v>
      </c>
      <c r="Q765" s="220" t="s">
        <v>123</v>
      </c>
      <c r="R765" s="220" t="s">
        <v>224</v>
      </c>
      <c r="S765" s="220" t="s">
        <v>528</v>
      </c>
    </row>
    <row r="766" spans="1:19" x14ac:dyDescent="0.25">
      <c r="A766" s="220">
        <v>110</v>
      </c>
      <c r="B766" s="220" t="s">
        <v>1252</v>
      </c>
      <c r="C766" s="220" t="s">
        <v>551</v>
      </c>
      <c r="D766" s="220" t="s">
        <v>443</v>
      </c>
      <c r="E766" s="220">
        <v>7</v>
      </c>
      <c r="F766" s="220">
        <v>139.93199999999999</v>
      </c>
      <c r="G766" s="220">
        <v>11335</v>
      </c>
      <c r="H766" s="220">
        <v>13649</v>
      </c>
      <c r="I766" s="220">
        <v>15800</v>
      </c>
      <c r="J766" s="220">
        <v>137.703</v>
      </c>
      <c r="K766" s="220">
        <v>-1.64</v>
      </c>
      <c r="L766" s="220">
        <v>36.095999999999997</v>
      </c>
      <c r="M766" s="220" t="s">
        <v>815</v>
      </c>
      <c r="N766" s="220" t="s">
        <v>933</v>
      </c>
      <c r="O766" s="220" t="s">
        <v>1253</v>
      </c>
      <c r="P766" s="220" t="s">
        <v>1254</v>
      </c>
      <c r="Q766" s="220" t="s">
        <v>1255</v>
      </c>
      <c r="R766" s="220" t="s">
        <v>364</v>
      </c>
      <c r="S766" s="220" t="s">
        <v>1256</v>
      </c>
    </row>
    <row r="767" spans="1:19" hidden="1" x14ac:dyDescent="0.25">
      <c r="A767" s="220">
        <v>111</v>
      </c>
      <c r="B767" s="220" t="s">
        <v>1257</v>
      </c>
      <c r="C767" s="220" t="s">
        <v>518</v>
      </c>
      <c r="D767" s="220" t="s">
        <v>444</v>
      </c>
      <c r="E767" s="220">
        <v>1</v>
      </c>
      <c r="F767" s="220">
        <v>204.941</v>
      </c>
      <c r="G767" s="220">
        <v>10454</v>
      </c>
      <c r="H767" s="220">
        <v>12330</v>
      </c>
      <c r="I767" s="220">
        <v>14403</v>
      </c>
      <c r="J767" s="220">
        <v>201.72800000000001</v>
      </c>
      <c r="K767" s="220">
        <v>-19.943000000000001</v>
      </c>
      <c r="L767" s="220">
        <v>24.427</v>
      </c>
      <c r="M767" s="220" t="s">
        <v>756</v>
      </c>
      <c r="N767" s="220" t="s">
        <v>933</v>
      </c>
      <c r="O767" s="220" t="s">
        <v>1258</v>
      </c>
      <c r="P767" s="220" t="s">
        <v>1259</v>
      </c>
      <c r="Q767" s="220" t="s">
        <v>68</v>
      </c>
      <c r="R767" s="220" t="s">
        <v>136</v>
      </c>
      <c r="S767" s="220" t="s">
        <v>217</v>
      </c>
    </row>
    <row r="768" spans="1:19" hidden="1" x14ac:dyDescent="0.25">
      <c r="A768" s="220">
        <v>111</v>
      </c>
      <c r="B768" s="220" t="s">
        <v>1257</v>
      </c>
      <c r="C768" s="220" t="s">
        <v>518</v>
      </c>
      <c r="D768" s="220" t="s">
        <v>444</v>
      </c>
      <c r="E768" s="220">
        <v>2</v>
      </c>
      <c r="F768" s="220">
        <v>202.16</v>
      </c>
      <c r="G768" s="220">
        <v>10465</v>
      </c>
      <c r="H768" s="220">
        <v>12344</v>
      </c>
      <c r="I768" s="220">
        <v>14418</v>
      </c>
      <c r="J768" s="220">
        <v>198.99</v>
      </c>
      <c r="K768" s="220">
        <v>-19.939</v>
      </c>
      <c r="L768" s="220">
        <v>24.419</v>
      </c>
      <c r="M768" s="220" t="s">
        <v>756</v>
      </c>
      <c r="N768" s="220" t="s">
        <v>933</v>
      </c>
      <c r="O768" s="220" t="s">
        <v>1258</v>
      </c>
      <c r="P768" s="220" t="s">
        <v>1259</v>
      </c>
      <c r="Q768" s="220" t="s">
        <v>207</v>
      </c>
      <c r="R768" s="220" t="s">
        <v>270</v>
      </c>
      <c r="S768" s="220" t="s">
        <v>379</v>
      </c>
    </row>
    <row r="769" spans="1:19" hidden="1" x14ac:dyDescent="0.25">
      <c r="A769" s="220">
        <v>111</v>
      </c>
      <c r="B769" s="220" t="s">
        <v>1257</v>
      </c>
      <c r="C769" s="220" t="s">
        <v>518</v>
      </c>
      <c r="D769" s="220" t="s">
        <v>444</v>
      </c>
      <c r="E769" s="220">
        <v>3</v>
      </c>
      <c r="F769" s="220">
        <v>203.33099999999999</v>
      </c>
      <c r="G769" s="220">
        <v>10516</v>
      </c>
      <c r="H769" s="220">
        <v>12404</v>
      </c>
      <c r="I769" s="220">
        <v>14491</v>
      </c>
      <c r="J769" s="220">
        <v>200.143</v>
      </c>
      <c r="K769" s="220">
        <v>-19.940000000000001</v>
      </c>
      <c r="L769" s="220">
        <v>24.391999999999999</v>
      </c>
      <c r="M769" s="220" t="s">
        <v>756</v>
      </c>
      <c r="N769" s="220" t="s">
        <v>933</v>
      </c>
      <c r="O769" s="220" t="s">
        <v>1258</v>
      </c>
      <c r="P769" s="220" t="s">
        <v>1259</v>
      </c>
      <c r="Q769" s="220" t="s">
        <v>237</v>
      </c>
      <c r="R769" s="220" t="s">
        <v>252</v>
      </c>
      <c r="S769" s="220" t="s">
        <v>253</v>
      </c>
    </row>
    <row r="770" spans="1:19" hidden="1" x14ac:dyDescent="0.25">
      <c r="A770" s="220">
        <v>111</v>
      </c>
      <c r="B770" s="220" t="s">
        <v>1257</v>
      </c>
      <c r="C770" s="220" t="s">
        <v>518</v>
      </c>
      <c r="D770" s="220" t="s">
        <v>444</v>
      </c>
      <c r="E770" s="220">
        <v>4</v>
      </c>
      <c r="F770" s="220">
        <v>203.43299999999999</v>
      </c>
      <c r="G770" s="220">
        <v>10466</v>
      </c>
      <c r="H770" s="220">
        <v>12344</v>
      </c>
      <c r="I770" s="220">
        <v>14419</v>
      </c>
      <c r="J770" s="220">
        <v>200.24299999999999</v>
      </c>
      <c r="K770" s="220">
        <v>-19.937000000000001</v>
      </c>
      <c r="L770" s="220">
        <v>24.417999999999999</v>
      </c>
      <c r="M770" s="220" t="s">
        <v>756</v>
      </c>
      <c r="N770" s="220" t="s">
        <v>933</v>
      </c>
      <c r="O770" s="220" t="s">
        <v>1258</v>
      </c>
      <c r="P770" s="220" t="s">
        <v>1259</v>
      </c>
      <c r="Q770" s="220" t="s">
        <v>237</v>
      </c>
      <c r="R770" s="220" t="s">
        <v>105</v>
      </c>
      <c r="S770" s="220" t="s">
        <v>253</v>
      </c>
    </row>
    <row r="771" spans="1:19" hidden="1" x14ac:dyDescent="0.25">
      <c r="A771" s="220">
        <v>111</v>
      </c>
      <c r="B771" s="220" t="s">
        <v>1257</v>
      </c>
      <c r="C771" s="220" t="s">
        <v>518</v>
      </c>
      <c r="D771" s="220" t="s">
        <v>444</v>
      </c>
      <c r="E771" s="220">
        <v>5</v>
      </c>
      <c r="F771" s="220">
        <v>187.994</v>
      </c>
      <c r="G771" s="220">
        <v>14221</v>
      </c>
      <c r="H771" s="220">
        <v>17129</v>
      </c>
      <c r="I771" s="220">
        <v>19824</v>
      </c>
      <c r="J771" s="220">
        <v>184.999</v>
      </c>
      <c r="K771" s="220">
        <v>-1.24</v>
      </c>
      <c r="L771" s="220">
        <v>35.853999999999999</v>
      </c>
      <c r="M771" s="220" t="s">
        <v>756</v>
      </c>
      <c r="N771" s="220" t="s">
        <v>933</v>
      </c>
      <c r="O771" s="220" t="s">
        <v>1258</v>
      </c>
      <c r="P771" s="220" t="s">
        <v>1259</v>
      </c>
      <c r="Q771" s="220" t="s">
        <v>151</v>
      </c>
      <c r="R771" s="220" t="s">
        <v>89</v>
      </c>
      <c r="S771" s="220" t="s">
        <v>1023</v>
      </c>
    </row>
    <row r="772" spans="1:19" x14ac:dyDescent="0.25">
      <c r="A772" s="220">
        <v>111</v>
      </c>
      <c r="B772" s="220" t="s">
        <v>1257</v>
      </c>
      <c r="C772" s="220" t="s">
        <v>518</v>
      </c>
      <c r="D772" s="220" t="s">
        <v>444</v>
      </c>
      <c r="E772" s="220">
        <v>6</v>
      </c>
      <c r="F772" s="220">
        <v>164.50399999999999</v>
      </c>
      <c r="G772" s="220">
        <v>12680</v>
      </c>
      <c r="H772" s="220">
        <v>15269</v>
      </c>
      <c r="I772" s="220">
        <v>17673</v>
      </c>
      <c r="J772" s="220">
        <v>161.88200000000001</v>
      </c>
      <c r="K772" s="220">
        <v>-1.22</v>
      </c>
      <c r="L772" s="220">
        <v>36.142000000000003</v>
      </c>
      <c r="M772" s="220" t="s">
        <v>756</v>
      </c>
      <c r="N772" s="220" t="s">
        <v>933</v>
      </c>
      <c r="O772" s="220" t="s">
        <v>1258</v>
      </c>
      <c r="P772" s="220" t="s">
        <v>1259</v>
      </c>
      <c r="Q772" s="220" t="s">
        <v>228</v>
      </c>
      <c r="R772" s="220" t="s">
        <v>196</v>
      </c>
      <c r="S772" s="220" t="s">
        <v>218</v>
      </c>
    </row>
    <row r="773" spans="1:19" x14ac:dyDescent="0.25">
      <c r="A773" s="220">
        <v>111</v>
      </c>
      <c r="B773" s="220" t="s">
        <v>1257</v>
      </c>
      <c r="C773" s="220" t="s">
        <v>518</v>
      </c>
      <c r="D773" s="220" t="s">
        <v>444</v>
      </c>
      <c r="E773" s="220">
        <v>7</v>
      </c>
      <c r="F773" s="220">
        <v>152.86600000000001</v>
      </c>
      <c r="G773" s="220">
        <v>11824</v>
      </c>
      <c r="H773" s="220">
        <v>14237</v>
      </c>
      <c r="I773" s="220">
        <v>16484</v>
      </c>
      <c r="J773" s="220">
        <v>150.43</v>
      </c>
      <c r="K773" s="220">
        <v>-1.1499999999999999</v>
      </c>
      <c r="L773" s="220">
        <v>36.134</v>
      </c>
      <c r="M773" s="220" t="s">
        <v>756</v>
      </c>
      <c r="N773" s="220" t="s">
        <v>933</v>
      </c>
      <c r="O773" s="220" t="s">
        <v>1258</v>
      </c>
      <c r="P773" s="220" t="s">
        <v>1259</v>
      </c>
      <c r="Q773" s="220" t="s">
        <v>657</v>
      </c>
      <c r="R773" s="220" t="s">
        <v>583</v>
      </c>
      <c r="S773" s="220" t="s">
        <v>1260</v>
      </c>
    </row>
    <row r="774" spans="1:19" hidden="1" x14ac:dyDescent="0.25">
      <c r="A774" s="220">
        <v>112</v>
      </c>
      <c r="B774" s="220" t="s">
        <v>1261</v>
      </c>
      <c r="C774" s="220" t="s">
        <v>783</v>
      </c>
      <c r="D774" s="220" t="s">
        <v>446</v>
      </c>
      <c r="E774" s="220">
        <v>1</v>
      </c>
      <c r="F774" s="220">
        <v>203.69800000000001</v>
      </c>
      <c r="G774" s="220">
        <v>10429</v>
      </c>
      <c r="H774" s="220">
        <v>12301</v>
      </c>
      <c r="I774" s="220">
        <v>14360</v>
      </c>
      <c r="J774" s="220">
        <v>200.50399999999999</v>
      </c>
      <c r="K774" s="220">
        <v>-19.945</v>
      </c>
      <c r="L774" s="220">
        <v>24.414999999999999</v>
      </c>
      <c r="M774" s="220" t="s">
        <v>754</v>
      </c>
      <c r="N774" s="220" t="s">
        <v>933</v>
      </c>
      <c r="O774" s="220" t="s">
        <v>1262</v>
      </c>
      <c r="P774" s="220" t="s">
        <v>1263</v>
      </c>
      <c r="Q774" s="220" t="s">
        <v>71</v>
      </c>
      <c r="R774" s="220" t="s">
        <v>115</v>
      </c>
      <c r="S774" s="220" t="s">
        <v>217</v>
      </c>
    </row>
    <row r="775" spans="1:19" hidden="1" x14ac:dyDescent="0.25">
      <c r="A775" s="220">
        <v>112</v>
      </c>
      <c r="B775" s="220" t="s">
        <v>1261</v>
      </c>
      <c r="C775" s="220" t="s">
        <v>783</v>
      </c>
      <c r="D775" s="220" t="s">
        <v>446</v>
      </c>
      <c r="E775" s="220">
        <v>2</v>
      </c>
      <c r="F775" s="220">
        <v>201.667</v>
      </c>
      <c r="G775" s="220">
        <v>10442</v>
      </c>
      <c r="H775" s="220">
        <v>12316</v>
      </c>
      <c r="I775" s="220">
        <v>14376</v>
      </c>
      <c r="J775" s="220">
        <v>198.505</v>
      </c>
      <c r="K775" s="220">
        <v>-19.939</v>
      </c>
      <c r="L775" s="220">
        <v>24.393999999999998</v>
      </c>
      <c r="M775" s="220" t="s">
        <v>754</v>
      </c>
      <c r="N775" s="220" t="s">
        <v>933</v>
      </c>
      <c r="O775" s="220" t="s">
        <v>1262</v>
      </c>
      <c r="P775" s="220" t="s">
        <v>1263</v>
      </c>
      <c r="Q775" s="220" t="s">
        <v>131</v>
      </c>
      <c r="R775" s="220" t="s">
        <v>270</v>
      </c>
      <c r="S775" s="220" t="s">
        <v>379</v>
      </c>
    </row>
    <row r="776" spans="1:19" hidden="1" x14ac:dyDescent="0.25">
      <c r="A776" s="220">
        <v>112</v>
      </c>
      <c r="B776" s="220" t="s">
        <v>1261</v>
      </c>
      <c r="C776" s="220" t="s">
        <v>783</v>
      </c>
      <c r="D776" s="220" t="s">
        <v>446</v>
      </c>
      <c r="E776" s="220">
        <v>3</v>
      </c>
      <c r="F776" s="220">
        <v>203.23599999999999</v>
      </c>
      <c r="G776" s="220">
        <v>10485</v>
      </c>
      <c r="H776" s="220">
        <v>12367</v>
      </c>
      <c r="I776" s="220">
        <v>14440</v>
      </c>
      <c r="J776" s="220">
        <v>200.04900000000001</v>
      </c>
      <c r="K776" s="220">
        <v>-19.946999999999999</v>
      </c>
      <c r="L776" s="220">
        <v>24.414999999999999</v>
      </c>
      <c r="M776" s="220" t="s">
        <v>754</v>
      </c>
      <c r="N776" s="220" t="s">
        <v>933</v>
      </c>
      <c r="O776" s="220" t="s">
        <v>1262</v>
      </c>
      <c r="P776" s="220" t="s">
        <v>1263</v>
      </c>
      <c r="Q776" s="220" t="s">
        <v>237</v>
      </c>
      <c r="R776" s="220" t="s">
        <v>105</v>
      </c>
      <c r="S776" s="220" t="s">
        <v>253</v>
      </c>
    </row>
    <row r="777" spans="1:19" hidden="1" x14ac:dyDescent="0.25">
      <c r="A777" s="220">
        <v>112</v>
      </c>
      <c r="B777" s="220" t="s">
        <v>1261</v>
      </c>
      <c r="C777" s="220" t="s">
        <v>783</v>
      </c>
      <c r="D777" s="220" t="s">
        <v>446</v>
      </c>
      <c r="E777" s="220">
        <v>4</v>
      </c>
      <c r="F777" s="220">
        <v>202.797</v>
      </c>
      <c r="G777" s="220">
        <v>10450</v>
      </c>
      <c r="H777" s="220">
        <v>12326</v>
      </c>
      <c r="I777" s="220">
        <v>14388</v>
      </c>
      <c r="J777" s="220">
        <v>199.61699999999999</v>
      </c>
      <c r="K777" s="220">
        <v>-19.937000000000001</v>
      </c>
      <c r="L777" s="220">
        <v>24.417999999999999</v>
      </c>
      <c r="M777" s="220" t="s">
        <v>754</v>
      </c>
      <c r="N777" s="220" t="s">
        <v>933</v>
      </c>
      <c r="O777" s="220" t="s">
        <v>1262</v>
      </c>
      <c r="P777" s="220" t="s">
        <v>1263</v>
      </c>
      <c r="Q777" s="220" t="s">
        <v>237</v>
      </c>
      <c r="R777" s="220" t="s">
        <v>105</v>
      </c>
      <c r="S777" s="220" t="s">
        <v>253</v>
      </c>
    </row>
    <row r="778" spans="1:19" hidden="1" x14ac:dyDescent="0.25">
      <c r="A778" s="220">
        <v>112</v>
      </c>
      <c r="B778" s="220" t="s">
        <v>1261</v>
      </c>
      <c r="C778" s="220" t="s">
        <v>783</v>
      </c>
      <c r="D778" s="220" t="s">
        <v>446</v>
      </c>
      <c r="E778" s="220">
        <v>5</v>
      </c>
      <c r="F778" s="220">
        <v>237.24700000000001</v>
      </c>
      <c r="G778" s="220">
        <v>19030</v>
      </c>
      <c r="H778" s="220">
        <v>22957</v>
      </c>
      <c r="I778" s="220">
        <v>26511</v>
      </c>
      <c r="J778" s="220">
        <v>233.46799999999999</v>
      </c>
      <c r="K778" s="220">
        <v>-1.323</v>
      </c>
      <c r="L778" s="220">
        <v>35.893000000000001</v>
      </c>
      <c r="M778" s="220" t="s">
        <v>754</v>
      </c>
      <c r="N778" s="220" t="s">
        <v>933</v>
      </c>
      <c r="O778" s="220" t="s">
        <v>1262</v>
      </c>
      <c r="P778" s="220" t="s">
        <v>1263</v>
      </c>
      <c r="Q778" s="220" t="s">
        <v>171</v>
      </c>
      <c r="R778" s="220" t="s">
        <v>185</v>
      </c>
      <c r="S778" s="220" t="s">
        <v>601</v>
      </c>
    </row>
    <row r="779" spans="1:19" x14ac:dyDescent="0.25">
      <c r="A779" s="220">
        <v>112</v>
      </c>
      <c r="B779" s="220" t="s">
        <v>1261</v>
      </c>
      <c r="C779" s="220" t="s">
        <v>783</v>
      </c>
      <c r="D779" s="220" t="s">
        <v>446</v>
      </c>
      <c r="E779" s="220">
        <v>6</v>
      </c>
      <c r="F779" s="220">
        <v>210.626</v>
      </c>
      <c r="G779" s="220">
        <v>17155</v>
      </c>
      <c r="H779" s="220">
        <v>20680</v>
      </c>
      <c r="I779" s="220">
        <v>23893</v>
      </c>
      <c r="J779" s="220">
        <v>207.27</v>
      </c>
      <c r="K779" s="220">
        <v>-1.264</v>
      </c>
      <c r="L779" s="220">
        <v>36.093000000000004</v>
      </c>
      <c r="M779" s="220" t="s">
        <v>754</v>
      </c>
      <c r="N779" s="220" t="s">
        <v>933</v>
      </c>
      <c r="O779" s="220" t="s">
        <v>1262</v>
      </c>
      <c r="P779" s="220" t="s">
        <v>1263</v>
      </c>
      <c r="Q779" s="220" t="s">
        <v>170</v>
      </c>
      <c r="R779" s="220" t="s">
        <v>300</v>
      </c>
      <c r="S779" s="220" t="s">
        <v>726</v>
      </c>
    </row>
    <row r="780" spans="1:19" x14ac:dyDescent="0.25">
      <c r="A780" s="220">
        <v>112</v>
      </c>
      <c r="B780" s="220" t="s">
        <v>1261</v>
      </c>
      <c r="C780" s="220" t="s">
        <v>783</v>
      </c>
      <c r="D780" s="220" t="s">
        <v>446</v>
      </c>
      <c r="E780" s="220">
        <v>7</v>
      </c>
      <c r="F780" s="220">
        <v>198.84700000000001</v>
      </c>
      <c r="G780" s="220">
        <v>16081</v>
      </c>
      <c r="H780" s="220">
        <v>19381</v>
      </c>
      <c r="I780" s="220">
        <v>22397</v>
      </c>
      <c r="J780" s="220">
        <v>195.679</v>
      </c>
      <c r="K780" s="220">
        <v>-1.2709999999999999</v>
      </c>
      <c r="L780" s="220">
        <v>36.103000000000002</v>
      </c>
      <c r="M780" s="220" t="s">
        <v>754</v>
      </c>
      <c r="N780" s="220" t="s">
        <v>933</v>
      </c>
      <c r="O780" s="220" t="s">
        <v>1262</v>
      </c>
      <c r="P780" s="220" t="s">
        <v>1263</v>
      </c>
      <c r="Q780" s="220" t="s">
        <v>170</v>
      </c>
      <c r="R780" s="220" t="s">
        <v>300</v>
      </c>
      <c r="S780" s="220" t="s">
        <v>726</v>
      </c>
    </row>
    <row r="781" spans="1:19" hidden="1" x14ac:dyDescent="0.25">
      <c r="A781" s="220">
        <v>113</v>
      </c>
      <c r="B781" s="220" t="s">
        <v>1264</v>
      </c>
      <c r="C781" s="220" t="s">
        <v>227</v>
      </c>
      <c r="D781" s="220" t="s">
        <v>448</v>
      </c>
      <c r="E781" s="220">
        <v>1</v>
      </c>
      <c r="F781" s="220">
        <v>205.06200000000001</v>
      </c>
      <c r="G781" s="220">
        <v>10468</v>
      </c>
      <c r="H781" s="220">
        <v>12347</v>
      </c>
      <c r="I781" s="220">
        <v>14391</v>
      </c>
      <c r="J781" s="220">
        <v>201.84800000000001</v>
      </c>
      <c r="K781" s="220">
        <v>-19.940000000000001</v>
      </c>
      <c r="L781" s="220">
        <v>24.335000000000001</v>
      </c>
      <c r="M781" s="220" t="s">
        <v>1265</v>
      </c>
      <c r="N781" s="220" t="s">
        <v>933</v>
      </c>
      <c r="O781" s="220" t="s">
        <v>1266</v>
      </c>
      <c r="P781" s="220" t="s">
        <v>1267</v>
      </c>
      <c r="Q781" s="220" t="s">
        <v>213</v>
      </c>
      <c r="R781" s="220" t="s">
        <v>120</v>
      </c>
      <c r="S781" s="220" t="s">
        <v>106</v>
      </c>
    </row>
    <row r="782" spans="1:19" hidden="1" x14ac:dyDescent="0.25">
      <c r="A782" s="220">
        <v>113</v>
      </c>
      <c r="B782" s="220" t="s">
        <v>1264</v>
      </c>
      <c r="C782" s="220" t="s">
        <v>227</v>
      </c>
      <c r="D782" s="220" t="s">
        <v>448</v>
      </c>
      <c r="E782" s="220">
        <v>2</v>
      </c>
      <c r="F782" s="220">
        <v>202.28800000000001</v>
      </c>
      <c r="G782" s="220">
        <v>10476</v>
      </c>
      <c r="H782" s="220">
        <v>12357</v>
      </c>
      <c r="I782" s="220">
        <v>14404</v>
      </c>
      <c r="J782" s="220">
        <v>199.11699999999999</v>
      </c>
      <c r="K782" s="220">
        <v>-19.937999999999999</v>
      </c>
      <c r="L782" s="220">
        <v>24.332000000000001</v>
      </c>
      <c r="M782" s="220" t="s">
        <v>1265</v>
      </c>
      <c r="N782" s="220" t="s">
        <v>933</v>
      </c>
      <c r="O782" s="220" t="s">
        <v>1266</v>
      </c>
      <c r="P782" s="220" t="s">
        <v>1267</v>
      </c>
      <c r="Q782" s="220" t="s">
        <v>277</v>
      </c>
      <c r="R782" s="220" t="s">
        <v>280</v>
      </c>
      <c r="S782" s="220" t="s">
        <v>144</v>
      </c>
    </row>
    <row r="783" spans="1:19" hidden="1" x14ac:dyDescent="0.25">
      <c r="A783" s="220">
        <v>113</v>
      </c>
      <c r="B783" s="220" t="s">
        <v>1264</v>
      </c>
      <c r="C783" s="220" t="s">
        <v>227</v>
      </c>
      <c r="D783" s="220" t="s">
        <v>448</v>
      </c>
      <c r="E783" s="220">
        <v>3</v>
      </c>
      <c r="F783" s="220">
        <v>203.976</v>
      </c>
      <c r="G783" s="220">
        <v>10530</v>
      </c>
      <c r="H783" s="220">
        <v>12422</v>
      </c>
      <c r="I783" s="220">
        <v>14481</v>
      </c>
      <c r="J783" s="220">
        <v>200.779</v>
      </c>
      <c r="K783" s="220">
        <v>-19.937999999999999</v>
      </c>
      <c r="L783" s="220">
        <v>24.366</v>
      </c>
      <c r="M783" s="220" t="s">
        <v>1265</v>
      </c>
      <c r="N783" s="220" t="s">
        <v>933</v>
      </c>
      <c r="O783" s="220" t="s">
        <v>1266</v>
      </c>
      <c r="P783" s="220" t="s">
        <v>1267</v>
      </c>
      <c r="Q783" s="220" t="s">
        <v>203</v>
      </c>
      <c r="R783" s="220" t="s">
        <v>242</v>
      </c>
      <c r="S783" s="220" t="s">
        <v>201</v>
      </c>
    </row>
    <row r="784" spans="1:19" hidden="1" x14ac:dyDescent="0.25">
      <c r="A784" s="220">
        <v>113</v>
      </c>
      <c r="B784" s="220" t="s">
        <v>1264</v>
      </c>
      <c r="C784" s="220" t="s">
        <v>227</v>
      </c>
      <c r="D784" s="220" t="s">
        <v>448</v>
      </c>
      <c r="E784" s="220">
        <v>4</v>
      </c>
      <c r="F784" s="220">
        <v>203.55099999999999</v>
      </c>
      <c r="G784" s="220">
        <v>10493</v>
      </c>
      <c r="H784" s="220">
        <v>12377</v>
      </c>
      <c r="I784" s="220">
        <v>14427</v>
      </c>
      <c r="J784" s="220">
        <v>200.36099999999999</v>
      </c>
      <c r="K784" s="220">
        <v>-19.937000000000001</v>
      </c>
      <c r="L784" s="220">
        <v>24.417999999999999</v>
      </c>
      <c r="M784" s="220" t="s">
        <v>1265</v>
      </c>
      <c r="N784" s="220" t="s">
        <v>933</v>
      </c>
      <c r="O784" s="220" t="s">
        <v>1266</v>
      </c>
      <c r="P784" s="220" t="s">
        <v>1267</v>
      </c>
      <c r="Q784" s="220" t="s">
        <v>79</v>
      </c>
      <c r="R784" s="220" t="s">
        <v>149</v>
      </c>
      <c r="S784" s="220" t="s">
        <v>200</v>
      </c>
    </row>
    <row r="785" spans="1:19" hidden="1" x14ac:dyDescent="0.25">
      <c r="A785" s="220">
        <v>113</v>
      </c>
      <c r="B785" s="220" t="s">
        <v>1264</v>
      </c>
      <c r="C785" s="220" t="s">
        <v>227</v>
      </c>
      <c r="D785" s="220" t="s">
        <v>448</v>
      </c>
      <c r="E785" s="220">
        <v>5</v>
      </c>
      <c r="F785" s="220">
        <v>179.46100000000001</v>
      </c>
      <c r="G785" s="220">
        <v>13599</v>
      </c>
      <c r="H785" s="220">
        <v>16383</v>
      </c>
      <c r="I785" s="220">
        <v>18911</v>
      </c>
      <c r="J785" s="220">
        <v>176.60300000000001</v>
      </c>
      <c r="K785" s="220">
        <v>-1.1599999999999999</v>
      </c>
      <c r="L785" s="220">
        <v>35.531999999999996</v>
      </c>
      <c r="M785" s="220" t="s">
        <v>1265</v>
      </c>
      <c r="N785" s="220" t="s">
        <v>933</v>
      </c>
      <c r="O785" s="220" t="s">
        <v>1266</v>
      </c>
      <c r="P785" s="220" t="s">
        <v>1267</v>
      </c>
      <c r="Q785" s="220" t="s">
        <v>178</v>
      </c>
      <c r="R785" s="220" t="s">
        <v>603</v>
      </c>
      <c r="S785" s="220" t="s">
        <v>45</v>
      </c>
    </row>
    <row r="786" spans="1:19" x14ac:dyDescent="0.25">
      <c r="A786" s="220">
        <v>113</v>
      </c>
      <c r="B786" s="220" t="s">
        <v>1264</v>
      </c>
      <c r="C786" s="220" t="s">
        <v>227</v>
      </c>
      <c r="D786" s="220" t="s">
        <v>448</v>
      </c>
      <c r="E786" s="220">
        <v>6</v>
      </c>
      <c r="F786" s="220">
        <v>157.96600000000001</v>
      </c>
      <c r="G786" s="220">
        <v>12200</v>
      </c>
      <c r="H786" s="220">
        <v>14694</v>
      </c>
      <c r="I786" s="220">
        <v>16964</v>
      </c>
      <c r="J786" s="220">
        <v>155.44999999999999</v>
      </c>
      <c r="K786" s="220">
        <v>-1.101</v>
      </c>
      <c r="L786" s="220">
        <v>35.853999999999999</v>
      </c>
      <c r="M786" s="220" t="s">
        <v>1265</v>
      </c>
      <c r="N786" s="220" t="s">
        <v>933</v>
      </c>
      <c r="O786" s="220" t="s">
        <v>1266</v>
      </c>
      <c r="P786" s="220" t="s">
        <v>1267</v>
      </c>
      <c r="Q786" s="220" t="s">
        <v>142</v>
      </c>
      <c r="R786" s="220" t="s">
        <v>247</v>
      </c>
      <c r="S786" s="220" t="s">
        <v>584</v>
      </c>
    </row>
    <row r="787" spans="1:19" x14ac:dyDescent="0.25">
      <c r="A787" s="220">
        <v>113</v>
      </c>
      <c r="B787" s="220" t="s">
        <v>1264</v>
      </c>
      <c r="C787" s="220" t="s">
        <v>227</v>
      </c>
      <c r="D787" s="220" t="s">
        <v>448</v>
      </c>
      <c r="E787" s="220">
        <v>7</v>
      </c>
      <c r="F787" s="220">
        <v>146.923</v>
      </c>
      <c r="G787" s="220">
        <v>11384</v>
      </c>
      <c r="H787" s="220">
        <v>13712</v>
      </c>
      <c r="I787" s="220">
        <v>15834</v>
      </c>
      <c r="J787" s="220">
        <v>144.583</v>
      </c>
      <c r="K787" s="220">
        <v>-1.0669999999999999</v>
      </c>
      <c r="L787" s="220">
        <v>35.871000000000002</v>
      </c>
      <c r="M787" s="220" t="s">
        <v>1265</v>
      </c>
      <c r="N787" s="220" t="s">
        <v>933</v>
      </c>
      <c r="O787" s="220" t="s">
        <v>1266</v>
      </c>
      <c r="P787" s="220" t="s">
        <v>1267</v>
      </c>
      <c r="Q787" s="220" t="s">
        <v>432</v>
      </c>
      <c r="R787" s="220" t="s">
        <v>612</v>
      </c>
      <c r="S787" s="220" t="s">
        <v>798</v>
      </c>
    </row>
    <row r="788" spans="1:19" hidden="1" x14ac:dyDescent="0.25">
      <c r="A788" s="220">
        <v>114</v>
      </c>
      <c r="B788" s="220" t="s">
        <v>1268</v>
      </c>
      <c r="C788" s="220" t="s">
        <v>328</v>
      </c>
      <c r="D788" s="220" t="s">
        <v>449</v>
      </c>
      <c r="E788" s="220">
        <v>1</v>
      </c>
      <c r="F788" s="220">
        <v>204.72399999999999</v>
      </c>
      <c r="G788" s="220">
        <v>10475</v>
      </c>
      <c r="H788" s="220">
        <v>12355</v>
      </c>
      <c r="I788" s="220">
        <v>14425</v>
      </c>
      <c r="J788" s="220">
        <v>201.51400000000001</v>
      </c>
      <c r="K788" s="220">
        <v>-19.911999999999999</v>
      </c>
      <c r="L788" s="220">
        <v>24.449000000000002</v>
      </c>
      <c r="M788" s="220" t="s">
        <v>706</v>
      </c>
      <c r="N788" s="220" t="s">
        <v>933</v>
      </c>
      <c r="O788" s="220" t="s">
        <v>1269</v>
      </c>
      <c r="P788" s="220" t="s">
        <v>1270</v>
      </c>
      <c r="Q788" s="220" t="s">
        <v>71</v>
      </c>
      <c r="R788" s="220" t="s">
        <v>115</v>
      </c>
      <c r="S788" s="220" t="s">
        <v>125</v>
      </c>
    </row>
    <row r="789" spans="1:19" hidden="1" x14ac:dyDescent="0.25">
      <c r="A789" s="220">
        <v>114</v>
      </c>
      <c r="B789" s="220" t="s">
        <v>1268</v>
      </c>
      <c r="C789" s="220" t="s">
        <v>328</v>
      </c>
      <c r="D789" s="220" t="s">
        <v>449</v>
      </c>
      <c r="E789" s="220">
        <v>2</v>
      </c>
      <c r="F789" s="220">
        <v>202.62899999999999</v>
      </c>
      <c r="G789" s="220">
        <v>10477</v>
      </c>
      <c r="H789" s="220">
        <v>12359</v>
      </c>
      <c r="I789" s="220">
        <v>14427</v>
      </c>
      <c r="J789" s="220">
        <v>199.452</v>
      </c>
      <c r="K789" s="220">
        <v>-19.931000000000001</v>
      </c>
      <c r="L789" s="220">
        <v>24.439</v>
      </c>
      <c r="M789" s="220" t="s">
        <v>706</v>
      </c>
      <c r="N789" s="220" t="s">
        <v>933</v>
      </c>
      <c r="O789" s="220" t="s">
        <v>1269</v>
      </c>
      <c r="P789" s="220" t="s">
        <v>1270</v>
      </c>
      <c r="Q789" s="220" t="s">
        <v>131</v>
      </c>
      <c r="R789" s="220" t="s">
        <v>216</v>
      </c>
      <c r="S789" s="220" t="s">
        <v>172</v>
      </c>
    </row>
    <row r="790" spans="1:19" hidden="1" x14ac:dyDescent="0.25">
      <c r="A790" s="220">
        <v>114</v>
      </c>
      <c r="B790" s="220" t="s">
        <v>1268</v>
      </c>
      <c r="C790" s="220" t="s">
        <v>328</v>
      </c>
      <c r="D790" s="220" t="s">
        <v>449</v>
      </c>
      <c r="E790" s="220">
        <v>3</v>
      </c>
      <c r="F790" s="220">
        <v>203.82</v>
      </c>
      <c r="G790" s="220">
        <v>10518</v>
      </c>
      <c r="H790" s="220">
        <v>12405</v>
      </c>
      <c r="I790" s="220">
        <v>14483</v>
      </c>
      <c r="J790" s="220">
        <v>200.624</v>
      </c>
      <c r="K790" s="220">
        <v>-19.931000000000001</v>
      </c>
      <c r="L790" s="220">
        <v>24.463000000000001</v>
      </c>
      <c r="M790" s="220" t="s">
        <v>706</v>
      </c>
      <c r="N790" s="220" t="s">
        <v>933</v>
      </c>
      <c r="O790" s="220" t="s">
        <v>1269</v>
      </c>
      <c r="P790" s="220" t="s">
        <v>1270</v>
      </c>
      <c r="Q790" s="220" t="s">
        <v>237</v>
      </c>
      <c r="R790" s="220" t="s">
        <v>105</v>
      </c>
      <c r="S790" s="220" t="s">
        <v>253</v>
      </c>
    </row>
    <row r="791" spans="1:19" hidden="1" x14ac:dyDescent="0.25">
      <c r="A791" s="220">
        <v>114</v>
      </c>
      <c r="B791" s="220" t="s">
        <v>1268</v>
      </c>
      <c r="C791" s="220" t="s">
        <v>328</v>
      </c>
      <c r="D791" s="220" t="s">
        <v>449</v>
      </c>
      <c r="E791" s="220">
        <v>4</v>
      </c>
      <c r="F791" s="220">
        <v>203.62100000000001</v>
      </c>
      <c r="G791" s="220">
        <v>10477</v>
      </c>
      <c r="H791" s="220">
        <v>12357</v>
      </c>
      <c r="I791" s="220">
        <v>14425</v>
      </c>
      <c r="J791" s="220">
        <v>200.428</v>
      </c>
      <c r="K791" s="220">
        <v>-19.937000000000001</v>
      </c>
      <c r="L791" s="220">
        <v>24.417999999999999</v>
      </c>
      <c r="M791" s="220" t="s">
        <v>706</v>
      </c>
      <c r="N791" s="220" t="s">
        <v>933</v>
      </c>
      <c r="O791" s="220" t="s">
        <v>1269</v>
      </c>
      <c r="P791" s="220" t="s">
        <v>1270</v>
      </c>
      <c r="Q791" s="220" t="s">
        <v>120</v>
      </c>
      <c r="R791" s="220" t="s">
        <v>132</v>
      </c>
      <c r="S791" s="220" t="s">
        <v>585</v>
      </c>
    </row>
    <row r="792" spans="1:19" hidden="1" x14ac:dyDescent="0.25">
      <c r="A792" s="220">
        <v>114</v>
      </c>
      <c r="B792" s="220" t="s">
        <v>1268</v>
      </c>
      <c r="C792" s="220" t="s">
        <v>328</v>
      </c>
      <c r="D792" s="220" t="s">
        <v>449</v>
      </c>
      <c r="E792" s="220">
        <v>5</v>
      </c>
      <c r="F792" s="220">
        <v>260.73500000000001</v>
      </c>
      <c r="G792" s="220">
        <v>20941</v>
      </c>
      <c r="H792" s="220">
        <v>25258</v>
      </c>
      <c r="I792" s="220">
        <v>29158</v>
      </c>
      <c r="J792" s="220">
        <v>256.58100000000002</v>
      </c>
      <c r="K792" s="220">
        <v>-1.25</v>
      </c>
      <c r="L792" s="220">
        <v>35.627000000000002</v>
      </c>
      <c r="M792" s="220" t="s">
        <v>706</v>
      </c>
      <c r="N792" s="220" t="s">
        <v>933</v>
      </c>
      <c r="O792" s="220" t="s">
        <v>1269</v>
      </c>
      <c r="P792" s="220" t="s">
        <v>1270</v>
      </c>
      <c r="Q792" s="220" t="s">
        <v>175</v>
      </c>
      <c r="R792" s="220" t="s">
        <v>101</v>
      </c>
      <c r="S792" s="220" t="s">
        <v>45</v>
      </c>
    </row>
    <row r="793" spans="1:19" x14ac:dyDescent="0.25">
      <c r="A793" s="220">
        <v>114</v>
      </c>
      <c r="B793" s="220" t="s">
        <v>1268</v>
      </c>
      <c r="C793" s="220" t="s">
        <v>328</v>
      </c>
      <c r="D793" s="220" t="s">
        <v>449</v>
      </c>
      <c r="E793" s="220">
        <v>6</v>
      </c>
      <c r="F793" s="220">
        <v>228.28</v>
      </c>
      <c r="G793" s="220">
        <v>18483</v>
      </c>
      <c r="H793" s="220">
        <v>22278</v>
      </c>
      <c r="I793" s="220">
        <v>25739</v>
      </c>
      <c r="J793" s="220">
        <v>224.643</v>
      </c>
      <c r="K793" s="220">
        <v>-1.216</v>
      </c>
      <c r="L793" s="220">
        <v>35.863</v>
      </c>
      <c r="M793" s="220" t="s">
        <v>706</v>
      </c>
      <c r="N793" s="220" t="s">
        <v>933</v>
      </c>
      <c r="O793" s="220" t="s">
        <v>1269</v>
      </c>
      <c r="P793" s="220" t="s">
        <v>1270</v>
      </c>
      <c r="Q793" s="220" t="s">
        <v>215</v>
      </c>
      <c r="R793" s="220" t="s">
        <v>983</v>
      </c>
      <c r="S793" s="220" t="s">
        <v>755</v>
      </c>
    </row>
    <row r="794" spans="1:19" x14ac:dyDescent="0.25">
      <c r="A794" s="220">
        <v>114</v>
      </c>
      <c r="B794" s="220" t="s">
        <v>1268</v>
      </c>
      <c r="C794" s="220" t="s">
        <v>328</v>
      </c>
      <c r="D794" s="220" t="s">
        <v>449</v>
      </c>
      <c r="E794" s="220">
        <v>7</v>
      </c>
      <c r="F794" s="220">
        <v>211.40199999999999</v>
      </c>
      <c r="G794" s="220">
        <v>17056</v>
      </c>
      <c r="H794" s="220">
        <v>20553</v>
      </c>
      <c r="I794" s="220">
        <v>23757</v>
      </c>
      <c r="J794" s="220">
        <v>208.03399999999999</v>
      </c>
      <c r="K794" s="220">
        <v>-1.1499999999999999</v>
      </c>
      <c r="L794" s="220">
        <v>35.93</v>
      </c>
      <c r="M794" s="220" t="s">
        <v>706</v>
      </c>
      <c r="N794" s="220" t="s">
        <v>933</v>
      </c>
      <c r="O794" s="220" t="s">
        <v>1269</v>
      </c>
      <c r="P794" s="220" t="s">
        <v>1270</v>
      </c>
      <c r="Q794" s="220" t="s">
        <v>845</v>
      </c>
      <c r="R794" s="220" t="s">
        <v>632</v>
      </c>
      <c r="S794" s="220" t="s">
        <v>1271</v>
      </c>
    </row>
    <row r="795" spans="1:19" hidden="1" x14ac:dyDescent="0.25">
      <c r="A795" s="220">
        <v>115</v>
      </c>
      <c r="B795" s="220" t="s">
        <v>1272</v>
      </c>
      <c r="C795" s="220" t="s">
        <v>518</v>
      </c>
      <c r="D795" s="220" t="s">
        <v>450</v>
      </c>
      <c r="E795" s="220">
        <v>1</v>
      </c>
      <c r="F795" s="220">
        <v>204.49799999999999</v>
      </c>
      <c r="G795" s="220">
        <v>10449</v>
      </c>
      <c r="H795" s="220">
        <v>12326</v>
      </c>
      <c r="I795" s="220">
        <v>14386</v>
      </c>
      <c r="J795" s="220">
        <v>201.292</v>
      </c>
      <c r="K795" s="220">
        <v>-19.928000000000001</v>
      </c>
      <c r="L795" s="220">
        <v>24.439</v>
      </c>
      <c r="M795" s="220" t="s">
        <v>1273</v>
      </c>
      <c r="N795" s="220" t="s">
        <v>933</v>
      </c>
      <c r="O795" s="220" t="s">
        <v>1274</v>
      </c>
      <c r="P795" s="220" t="s">
        <v>1275</v>
      </c>
      <c r="Q795" s="220" t="s">
        <v>82</v>
      </c>
      <c r="R795" s="220" t="s">
        <v>158</v>
      </c>
      <c r="S795" s="220" t="s">
        <v>147</v>
      </c>
    </row>
    <row r="796" spans="1:19" hidden="1" x14ac:dyDescent="0.25">
      <c r="A796" s="220">
        <v>115</v>
      </c>
      <c r="B796" s="220" t="s">
        <v>1272</v>
      </c>
      <c r="C796" s="220" t="s">
        <v>518</v>
      </c>
      <c r="D796" s="220" t="s">
        <v>450</v>
      </c>
      <c r="E796" s="220">
        <v>2</v>
      </c>
      <c r="F796" s="220">
        <v>201.34</v>
      </c>
      <c r="G796" s="220">
        <v>10471</v>
      </c>
      <c r="H796" s="220">
        <v>12351</v>
      </c>
      <c r="I796" s="220">
        <v>14415</v>
      </c>
      <c r="J796" s="220">
        <v>198.184</v>
      </c>
      <c r="K796" s="220">
        <v>-19.93</v>
      </c>
      <c r="L796" s="220">
        <v>24.408999999999999</v>
      </c>
      <c r="M796" s="220" t="s">
        <v>1273</v>
      </c>
      <c r="N796" s="220" t="s">
        <v>933</v>
      </c>
      <c r="O796" s="220" t="s">
        <v>1274</v>
      </c>
      <c r="P796" s="220" t="s">
        <v>1275</v>
      </c>
      <c r="Q796" s="220" t="s">
        <v>203</v>
      </c>
      <c r="R796" s="220" t="s">
        <v>242</v>
      </c>
      <c r="S796" s="220" t="s">
        <v>201</v>
      </c>
    </row>
    <row r="797" spans="1:19" hidden="1" x14ac:dyDescent="0.25">
      <c r="A797" s="220">
        <v>115</v>
      </c>
      <c r="B797" s="220" t="s">
        <v>1272</v>
      </c>
      <c r="C797" s="220" t="s">
        <v>518</v>
      </c>
      <c r="D797" s="220" t="s">
        <v>450</v>
      </c>
      <c r="E797" s="220">
        <v>3</v>
      </c>
      <c r="F797" s="220">
        <v>203.208</v>
      </c>
      <c r="G797" s="220">
        <v>10517</v>
      </c>
      <c r="H797" s="220">
        <v>12405</v>
      </c>
      <c r="I797" s="220">
        <v>14480</v>
      </c>
      <c r="J797" s="220">
        <v>200.02199999999999</v>
      </c>
      <c r="K797" s="220">
        <v>-19.943999999999999</v>
      </c>
      <c r="L797" s="220">
        <v>24.422000000000001</v>
      </c>
      <c r="M797" s="220" t="s">
        <v>1273</v>
      </c>
      <c r="N797" s="220" t="s">
        <v>933</v>
      </c>
      <c r="O797" s="220" t="s">
        <v>1274</v>
      </c>
      <c r="P797" s="220" t="s">
        <v>1275</v>
      </c>
      <c r="Q797" s="220" t="s">
        <v>110</v>
      </c>
      <c r="R797" s="220" t="s">
        <v>281</v>
      </c>
      <c r="S797" s="220" t="s">
        <v>528</v>
      </c>
    </row>
    <row r="798" spans="1:19" hidden="1" x14ac:dyDescent="0.25">
      <c r="A798" s="220">
        <v>115</v>
      </c>
      <c r="B798" s="220" t="s">
        <v>1272</v>
      </c>
      <c r="C798" s="220" t="s">
        <v>518</v>
      </c>
      <c r="D798" s="220" t="s">
        <v>450</v>
      </c>
      <c r="E798" s="220">
        <v>4</v>
      </c>
      <c r="F798" s="220">
        <v>203.571</v>
      </c>
      <c r="G798" s="220">
        <v>10472</v>
      </c>
      <c r="H798" s="220">
        <v>12352</v>
      </c>
      <c r="I798" s="220">
        <v>14422</v>
      </c>
      <c r="J798" s="220">
        <v>200.37899999999999</v>
      </c>
      <c r="K798" s="220">
        <v>-19.937000000000001</v>
      </c>
      <c r="L798" s="220">
        <v>24.417999999999999</v>
      </c>
      <c r="M798" s="220" t="s">
        <v>1273</v>
      </c>
      <c r="N798" s="220" t="s">
        <v>933</v>
      </c>
      <c r="O798" s="220" t="s">
        <v>1274</v>
      </c>
      <c r="P798" s="220" t="s">
        <v>1275</v>
      </c>
      <c r="Q798" s="220" t="s">
        <v>203</v>
      </c>
      <c r="R798" s="220" t="s">
        <v>242</v>
      </c>
      <c r="S798" s="220" t="s">
        <v>519</v>
      </c>
    </row>
    <row r="799" spans="1:19" hidden="1" x14ac:dyDescent="0.25">
      <c r="A799" s="220">
        <v>115</v>
      </c>
      <c r="B799" s="220" t="s">
        <v>1272</v>
      </c>
      <c r="C799" s="220" t="s">
        <v>518</v>
      </c>
      <c r="D799" s="220" t="s">
        <v>450</v>
      </c>
      <c r="E799" s="220">
        <v>5</v>
      </c>
      <c r="F799" s="220">
        <v>215.08500000000001</v>
      </c>
      <c r="G799" s="220">
        <v>16457</v>
      </c>
      <c r="H799" s="220">
        <v>19832</v>
      </c>
      <c r="I799" s="220">
        <v>22915</v>
      </c>
      <c r="J799" s="220">
        <v>211.66</v>
      </c>
      <c r="K799" s="220">
        <v>-1.76</v>
      </c>
      <c r="L799" s="220">
        <v>35.643000000000001</v>
      </c>
      <c r="M799" s="220" t="s">
        <v>1273</v>
      </c>
      <c r="N799" s="220" t="s">
        <v>933</v>
      </c>
      <c r="O799" s="220" t="s">
        <v>1274</v>
      </c>
      <c r="P799" s="220" t="s">
        <v>1275</v>
      </c>
      <c r="Q799" s="220" t="s">
        <v>169</v>
      </c>
      <c r="R799" s="220" t="s">
        <v>594</v>
      </c>
      <c r="S799" s="220" t="s">
        <v>565</v>
      </c>
    </row>
    <row r="800" spans="1:19" x14ac:dyDescent="0.25">
      <c r="A800" s="220">
        <v>115</v>
      </c>
      <c r="B800" s="220" t="s">
        <v>1272</v>
      </c>
      <c r="C800" s="220" t="s">
        <v>518</v>
      </c>
      <c r="D800" s="220" t="s">
        <v>450</v>
      </c>
      <c r="E800" s="220">
        <v>6</v>
      </c>
      <c r="F800" s="220">
        <v>188.52500000000001</v>
      </c>
      <c r="G800" s="220">
        <v>14660</v>
      </c>
      <c r="H800" s="220">
        <v>17660</v>
      </c>
      <c r="I800" s="220">
        <v>20416</v>
      </c>
      <c r="J800" s="220">
        <v>185.523</v>
      </c>
      <c r="K800" s="220">
        <v>-1.7170000000000001</v>
      </c>
      <c r="L800" s="220">
        <v>35.749000000000002</v>
      </c>
      <c r="M800" s="220" t="s">
        <v>1273</v>
      </c>
      <c r="N800" s="220" t="s">
        <v>933</v>
      </c>
      <c r="O800" s="220" t="s">
        <v>1274</v>
      </c>
      <c r="P800" s="220" t="s">
        <v>1275</v>
      </c>
      <c r="Q800" s="220" t="s">
        <v>147</v>
      </c>
      <c r="R800" s="220" t="s">
        <v>585</v>
      </c>
      <c r="S800" s="220" t="s">
        <v>598</v>
      </c>
    </row>
    <row r="801" spans="1:19" x14ac:dyDescent="0.25">
      <c r="A801" s="220">
        <v>115</v>
      </c>
      <c r="B801" s="220" t="s">
        <v>1272</v>
      </c>
      <c r="C801" s="220" t="s">
        <v>518</v>
      </c>
      <c r="D801" s="220" t="s">
        <v>450</v>
      </c>
      <c r="E801" s="220">
        <v>7</v>
      </c>
      <c r="F801" s="220">
        <v>174.98699999999999</v>
      </c>
      <c r="G801" s="220">
        <v>13663</v>
      </c>
      <c r="H801" s="220">
        <v>16459</v>
      </c>
      <c r="I801" s="220">
        <v>19028</v>
      </c>
      <c r="J801" s="220">
        <v>172.2</v>
      </c>
      <c r="K801" s="220">
        <v>-1.6559999999999999</v>
      </c>
      <c r="L801" s="220">
        <v>35.819000000000003</v>
      </c>
      <c r="M801" s="220" t="s">
        <v>1273</v>
      </c>
      <c r="N801" s="220" t="s">
        <v>933</v>
      </c>
      <c r="O801" s="220" t="s">
        <v>1274</v>
      </c>
      <c r="P801" s="220" t="s">
        <v>1275</v>
      </c>
      <c r="Q801" s="220" t="s">
        <v>352</v>
      </c>
      <c r="R801" s="220" t="s">
        <v>555</v>
      </c>
      <c r="S801" s="220" t="s">
        <v>1276</v>
      </c>
    </row>
    <row r="802" spans="1:19" hidden="1" x14ac:dyDescent="0.25">
      <c r="A802" s="220">
        <v>116</v>
      </c>
      <c r="B802" s="220" t="s">
        <v>1277</v>
      </c>
      <c r="C802" s="220" t="s">
        <v>229</v>
      </c>
      <c r="D802" s="220" t="s">
        <v>451</v>
      </c>
      <c r="E802" s="220">
        <v>1</v>
      </c>
      <c r="F802" s="220">
        <v>205.14099999999999</v>
      </c>
      <c r="G802" s="220">
        <v>10491</v>
      </c>
      <c r="H802" s="220">
        <v>12373</v>
      </c>
      <c r="I802" s="220">
        <v>14454</v>
      </c>
      <c r="J802" s="220">
        <v>201.92400000000001</v>
      </c>
      <c r="K802" s="220">
        <v>-19.931000000000001</v>
      </c>
      <c r="L802" s="220">
        <v>24.387</v>
      </c>
      <c r="M802" s="220" t="s">
        <v>853</v>
      </c>
      <c r="N802" s="220" t="s">
        <v>933</v>
      </c>
      <c r="O802" s="220" t="s">
        <v>1278</v>
      </c>
      <c r="P802" s="220" t="s">
        <v>1279</v>
      </c>
      <c r="Q802" s="220" t="s">
        <v>84</v>
      </c>
      <c r="R802" s="220" t="s">
        <v>202</v>
      </c>
      <c r="S802" s="220" t="s">
        <v>194</v>
      </c>
    </row>
    <row r="803" spans="1:19" hidden="1" x14ac:dyDescent="0.25">
      <c r="A803" s="220">
        <v>116</v>
      </c>
      <c r="B803" s="220" t="s">
        <v>1277</v>
      </c>
      <c r="C803" s="220" t="s">
        <v>229</v>
      </c>
      <c r="D803" s="220" t="s">
        <v>451</v>
      </c>
      <c r="E803" s="220">
        <v>2</v>
      </c>
      <c r="F803" s="220">
        <v>202.58500000000001</v>
      </c>
      <c r="G803" s="220">
        <v>10496</v>
      </c>
      <c r="H803" s="220">
        <v>12380</v>
      </c>
      <c r="I803" s="220">
        <v>14460</v>
      </c>
      <c r="J803" s="220">
        <v>199.40899999999999</v>
      </c>
      <c r="K803" s="220">
        <v>-19.925999999999998</v>
      </c>
      <c r="L803" s="220">
        <v>24.387</v>
      </c>
      <c r="M803" s="220" t="s">
        <v>853</v>
      </c>
      <c r="N803" s="220" t="s">
        <v>933</v>
      </c>
      <c r="O803" s="220" t="s">
        <v>1278</v>
      </c>
      <c r="P803" s="220" t="s">
        <v>1279</v>
      </c>
      <c r="Q803" s="220" t="s">
        <v>81</v>
      </c>
      <c r="R803" s="220" t="s">
        <v>214</v>
      </c>
      <c r="S803" s="220" t="s">
        <v>303</v>
      </c>
    </row>
    <row r="804" spans="1:19" hidden="1" x14ac:dyDescent="0.25">
      <c r="A804" s="220">
        <v>116</v>
      </c>
      <c r="B804" s="220" t="s">
        <v>1277</v>
      </c>
      <c r="C804" s="220" t="s">
        <v>229</v>
      </c>
      <c r="D804" s="220" t="s">
        <v>451</v>
      </c>
      <c r="E804" s="220">
        <v>3</v>
      </c>
      <c r="F804" s="220">
        <v>204.03</v>
      </c>
      <c r="G804" s="220">
        <v>10540</v>
      </c>
      <c r="H804" s="220">
        <v>12431</v>
      </c>
      <c r="I804" s="220">
        <v>14523</v>
      </c>
      <c r="J804" s="220">
        <v>200.83099999999999</v>
      </c>
      <c r="K804" s="220">
        <v>-19.934999999999999</v>
      </c>
      <c r="L804" s="220">
        <v>24.4</v>
      </c>
      <c r="M804" s="220" t="s">
        <v>853</v>
      </c>
      <c r="N804" s="220" t="s">
        <v>933</v>
      </c>
      <c r="O804" s="220" t="s">
        <v>1278</v>
      </c>
      <c r="P804" s="220" t="s">
        <v>1279</v>
      </c>
      <c r="Q804" s="220" t="s">
        <v>79</v>
      </c>
      <c r="R804" s="220" t="s">
        <v>149</v>
      </c>
      <c r="S804" s="220" t="s">
        <v>200</v>
      </c>
    </row>
    <row r="805" spans="1:19" hidden="1" x14ac:dyDescent="0.25">
      <c r="A805" s="220">
        <v>116</v>
      </c>
      <c r="B805" s="220" t="s">
        <v>1277</v>
      </c>
      <c r="C805" s="220" t="s">
        <v>229</v>
      </c>
      <c r="D805" s="220" t="s">
        <v>451</v>
      </c>
      <c r="E805" s="220">
        <v>4</v>
      </c>
      <c r="F805" s="220">
        <v>204.04900000000001</v>
      </c>
      <c r="G805" s="220">
        <v>10488</v>
      </c>
      <c r="H805" s="220">
        <v>12370</v>
      </c>
      <c r="I805" s="220">
        <v>14450</v>
      </c>
      <c r="J805" s="220">
        <v>200.84899999999999</v>
      </c>
      <c r="K805" s="220">
        <v>-19.937000000000001</v>
      </c>
      <c r="L805" s="220">
        <v>24.417999999999999</v>
      </c>
      <c r="M805" s="220" t="s">
        <v>853</v>
      </c>
      <c r="N805" s="220" t="s">
        <v>933</v>
      </c>
      <c r="O805" s="220" t="s">
        <v>1278</v>
      </c>
      <c r="P805" s="220" t="s">
        <v>1279</v>
      </c>
      <c r="Q805" s="220" t="s">
        <v>79</v>
      </c>
      <c r="R805" s="220" t="s">
        <v>149</v>
      </c>
      <c r="S805" s="220" t="s">
        <v>200</v>
      </c>
    </row>
    <row r="806" spans="1:19" hidden="1" x14ac:dyDescent="0.25">
      <c r="A806" s="220">
        <v>116</v>
      </c>
      <c r="B806" s="220" t="s">
        <v>1277</v>
      </c>
      <c r="C806" s="220" t="s">
        <v>229</v>
      </c>
      <c r="D806" s="220" t="s">
        <v>451</v>
      </c>
      <c r="E806" s="220">
        <v>5</v>
      </c>
      <c r="F806" s="220">
        <v>213.04300000000001</v>
      </c>
      <c r="G806" s="220">
        <v>16678</v>
      </c>
      <c r="H806" s="220">
        <v>20080</v>
      </c>
      <c r="I806" s="220">
        <v>23246</v>
      </c>
      <c r="J806" s="220">
        <v>209.65</v>
      </c>
      <c r="K806" s="220">
        <v>-1.968</v>
      </c>
      <c r="L806" s="220">
        <v>35.72</v>
      </c>
      <c r="M806" s="220" t="s">
        <v>853</v>
      </c>
      <c r="N806" s="220" t="s">
        <v>933</v>
      </c>
      <c r="O806" s="220" t="s">
        <v>1278</v>
      </c>
      <c r="P806" s="220" t="s">
        <v>1279</v>
      </c>
      <c r="Q806" s="220" t="s">
        <v>174</v>
      </c>
      <c r="R806" s="220" t="s">
        <v>611</v>
      </c>
      <c r="S806" s="220" t="s">
        <v>83</v>
      </c>
    </row>
    <row r="807" spans="1:19" x14ac:dyDescent="0.25">
      <c r="A807" s="220">
        <v>116</v>
      </c>
      <c r="B807" s="220" t="s">
        <v>1277</v>
      </c>
      <c r="C807" s="220" t="s">
        <v>229</v>
      </c>
      <c r="D807" s="220" t="s">
        <v>451</v>
      </c>
      <c r="E807" s="220">
        <v>6</v>
      </c>
      <c r="F807" s="220">
        <v>186.357</v>
      </c>
      <c r="G807" s="220">
        <v>14689</v>
      </c>
      <c r="H807" s="220">
        <v>17680</v>
      </c>
      <c r="I807" s="220">
        <v>20476</v>
      </c>
      <c r="J807" s="220">
        <v>183.39</v>
      </c>
      <c r="K807" s="220">
        <v>-1.9470000000000001</v>
      </c>
      <c r="L807" s="220">
        <v>35.942999999999998</v>
      </c>
      <c r="M807" s="220" t="s">
        <v>853</v>
      </c>
      <c r="N807" s="220" t="s">
        <v>933</v>
      </c>
      <c r="O807" s="220" t="s">
        <v>1278</v>
      </c>
      <c r="P807" s="220" t="s">
        <v>1279</v>
      </c>
      <c r="Q807" s="220" t="s">
        <v>132</v>
      </c>
      <c r="R807" s="220" t="s">
        <v>528</v>
      </c>
      <c r="S807" s="220" t="s">
        <v>591</v>
      </c>
    </row>
    <row r="808" spans="1:19" x14ac:dyDescent="0.25">
      <c r="A808" s="220">
        <v>116</v>
      </c>
      <c r="B808" s="220" t="s">
        <v>1277</v>
      </c>
      <c r="C808" s="220" t="s">
        <v>229</v>
      </c>
      <c r="D808" s="220" t="s">
        <v>451</v>
      </c>
      <c r="E808" s="220">
        <v>7</v>
      </c>
      <c r="F808" s="220">
        <v>172.98599999999999</v>
      </c>
      <c r="G808" s="220">
        <v>13582</v>
      </c>
      <c r="H808" s="220">
        <v>16342</v>
      </c>
      <c r="I808" s="220">
        <v>18931</v>
      </c>
      <c r="J808" s="220">
        <v>170.23099999999999</v>
      </c>
      <c r="K808" s="220">
        <v>-1.885</v>
      </c>
      <c r="L808" s="220">
        <v>35.984999999999999</v>
      </c>
      <c r="M808" s="220" t="s">
        <v>853</v>
      </c>
      <c r="N808" s="220" t="s">
        <v>933</v>
      </c>
      <c r="O808" s="220" t="s">
        <v>1278</v>
      </c>
      <c r="P808" s="220" t="s">
        <v>1279</v>
      </c>
      <c r="Q808" s="220" t="s">
        <v>744</v>
      </c>
      <c r="R808" s="220" t="s">
        <v>558</v>
      </c>
      <c r="S808" s="220" t="s">
        <v>776</v>
      </c>
    </row>
    <row r="809" spans="1:19" hidden="1" x14ac:dyDescent="0.25">
      <c r="A809" s="220">
        <v>117</v>
      </c>
      <c r="B809" s="220" t="s">
        <v>1280</v>
      </c>
      <c r="C809" s="220" t="s">
        <v>286</v>
      </c>
      <c r="D809" s="220" t="s">
        <v>452</v>
      </c>
      <c r="E809" s="220">
        <v>1</v>
      </c>
      <c r="F809" s="220">
        <v>204.59399999999999</v>
      </c>
      <c r="G809" s="220">
        <v>10451</v>
      </c>
      <c r="H809" s="220">
        <v>12325</v>
      </c>
      <c r="I809" s="220">
        <v>14397</v>
      </c>
      <c r="J809" s="220">
        <v>201.386</v>
      </c>
      <c r="K809" s="220">
        <v>-19.939</v>
      </c>
      <c r="L809" s="220">
        <v>24.408000000000001</v>
      </c>
      <c r="M809" s="220" t="s">
        <v>751</v>
      </c>
      <c r="N809" s="220" t="s">
        <v>933</v>
      </c>
      <c r="O809" s="220" t="s">
        <v>1281</v>
      </c>
      <c r="P809" s="220" t="s">
        <v>1282</v>
      </c>
      <c r="Q809" s="220" t="s">
        <v>85</v>
      </c>
      <c r="R809" s="220" t="s">
        <v>133</v>
      </c>
      <c r="S809" s="220" t="s">
        <v>135</v>
      </c>
    </row>
    <row r="810" spans="1:19" hidden="1" x14ac:dyDescent="0.25">
      <c r="A810" s="220">
        <v>117</v>
      </c>
      <c r="B810" s="220" t="s">
        <v>1280</v>
      </c>
      <c r="C810" s="220" t="s">
        <v>286</v>
      </c>
      <c r="D810" s="220" t="s">
        <v>452</v>
      </c>
      <c r="E810" s="220">
        <v>2</v>
      </c>
      <c r="F810" s="220">
        <v>202.126</v>
      </c>
      <c r="G810" s="220">
        <v>10471</v>
      </c>
      <c r="H810" s="220">
        <v>12350</v>
      </c>
      <c r="I810" s="220">
        <v>14427</v>
      </c>
      <c r="J810" s="220">
        <v>198.95699999999999</v>
      </c>
      <c r="K810" s="220">
        <v>-19.940000000000001</v>
      </c>
      <c r="L810" s="220">
        <v>24.404</v>
      </c>
      <c r="M810" s="220" t="s">
        <v>751</v>
      </c>
      <c r="N810" s="220" t="s">
        <v>933</v>
      </c>
      <c r="O810" s="220" t="s">
        <v>1281</v>
      </c>
      <c r="P810" s="220" t="s">
        <v>1282</v>
      </c>
      <c r="Q810" s="220" t="s">
        <v>120</v>
      </c>
      <c r="R810" s="220" t="s">
        <v>226</v>
      </c>
      <c r="S810" s="220" t="s">
        <v>177</v>
      </c>
    </row>
    <row r="811" spans="1:19" hidden="1" x14ac:dyDescent="0.25">
      <c r="A811" s="220">
        <v>117</v>
      </c>
      <c r="B811" s="220" t="s">
        <v>1280</v>
      </c>
      <c r="C811" s="220" t="s">
        <v>286</v>
      </c>
      <c r="D811" s="220" t="s">
        <v>452</v>
      </c>
      <c r="E811" s="220">
        <v>3</v>
      </c>
      <c r="F811" s="220">
        <v>203.297</v>
      </c>
      <c r="G811" s="220">
        <v>10510</v>
      </c>
      <c r="H811" s="220">
        <v>12398</v>
      </c>
      <c r="I811" s="220">
        <v>14486</v>
      </c>
      <c r="J811" s="220">
        <v>200.10900000000001</v>
      </c>
      <c r="K811" s="220">
        <v>-19.943999999999999</v>
      </c>
      <c r="L811" s="220">
        <v>24.390999999999998</v>
      </c>
      <c r="M811" s="220" t="s">
        <v>751</v>
      </c>
      <c r="N811" s="220" t="s">
        <v>933</v>
      </c>
      <c r="O811" s="220" t="s">
        <v>1281</v>
      </c>
      <c r="P811" s="220" t="s">
        <v>1282</v>
      </c>
      <c r="Q811" s="220" t="s">
        <v>117</v>
      </c>
      <c r="R811" s="220" t="s">
        <v>96</v>
      </c>
      <c r="S811" s="220" t="s">
        <v>241</v>
      </c>
    </row>
    <row r="812" spans="1:19" hidden="1" x14ac:dyDescent="0.25">
      <c r="A812" s="220">
        <v>117</v>
      </c>
      <c r="B812" s="220" t="s">
        <v>1280</v>
      </c>
      <c r="C812" s="220" t="s">
        <v>286</v>
      </c>
      <c r="D812" s="220" t="s">
        <v>452</v>
      </c>
      <c r="E812" s="220">
        <v>4</v>
      </c>
      <c r="F812" s="220">
        <v>203.434</v>
      </c>
      <c r="G812" s="220">
        <v>10474</v>
      </c>
      <c r="H812" s="220">
        <v>12354</v>
      </c>
      <c r="I812" s="220">
        <v>14431</v>
      </c>
      <c r="J812" s="220">
        <v>200.244</v>
      </c>
      <c r="K812" s="220">
        <v>-19.937000000000001</v>
      </c>
      <c r="L812" s="220">
        <v>24.417999999999999</v>
      </c>
      <c r="M812" s="220" t="s">
        <v>751</v>
      </c>
      <c r="N812" s="220" t="s">
        <v>933</v>
      </c>
      <c r="O812" s="220" t="s">
        <v>1281</v>
      </c>
      <c r="P812" s="220" t="s">
        <v>1282</v>
      </c>
      <c r="Q812" s="220" t="s">
        <v>117</v>
      </c>
      <c r="R812" s="220" t="s">
        <v>119</v>
      </c>
      <c r="S812" s="220" t="s">
        <v>303</v>
      </c>
    </row>
    <row r="813" spans="1:19" hidden="1" x14ac:dyDescent="0.25">
      <c r="A813" s="220">
        <v>117</v>
      </c>
      <c r="B813" s="220" t="s">
        <v>1280</v>
      </c>
      <c r="C813" s="220" t="s">
        <v>286</v>
      </c>
      <c r="D813" s="220" t="s">
        <v>452</v>
      </c>
      <c r="E813" s="220">
        <v>5</v>
      </c>
      <c r="F813" s="220">
        <v>219.25399999999999</v>
      </c>
      <c r="G813" s="220">
        <v>16844</v>
      </c>
      <c r="H813" s="220">
        <v>20301</v>
      </c>
      <c r="I813" s="220">
        <v>23482</v>
      </c>
      <c r="J813" s="220">
        <v>215.76300000000001</v>
      </c>
      <c r="K813" s="220">
        <v>-2.0150000000000001</v>
      </c>
      <c r="L813" s="220">
        <v>35.991</v>
      </c>
      <c r="M813" s="220" t="s">
        <v>751</v>
      </c>
      <c r="N813" s="220" t="s">
        <v>933</v>
      </c>
      <c r="O813" s="220" t="s">
        <v>1281</v>
      </c>
      <c r="P813" s="220" t="s">
        <v>1282</v>
      </c>
      <c r="Q813" s="220" t="s">
        <v>171</v>
      </c>
      <c r="R813" s="220" t="s">
        <v>185</v>
      </c>
      <c r="S813" s="220" t="s">
        <v>601</v>
      </c>
    </row>
    <row r="814" spans="1:19" x14ac:dyDescent="0.25">
      <c r="A814" s="220">
        <v>117</v>
      </c>
      <c r="B814" s="220" t="s">
        <v>1280</v>
      </c>
      <c r="C814" s="220" t="s">
        <v>286</v>
      </c>
      <c r="D814" s="220" t="s">
        <v>452</v>
      </c>
      <c r="E814" s="220">
        <v>6</v>
      </c>
      <c r="F814" s="220">
        <v>192.833</v>
      </c>
      <c r="G814" s="220">
        <v>15153</v>
      </c>
      <c r="H814" s="220">
        <v>18259</v>
      </c>
      <c r="I814" s="220">
        <v>21120</v>
      </c>
      <c r="J814" s="220">
        <v>189.762</v>
      </c>
      <c r="K814" s="220">
        <v>-1.966</v>
      </c>
      <c r="L814" s="220">
        <v>36.101999999999997</v>
      </c>
      <c r="M814" s="220" t="s">
        <v>751</v>
      </c>
      <c r="N814" s="220" t="s">
        <v>933</v>
      </c>
      <c r="O814" s="220" t="s">
        <v>1281</v>
      </c>
      <c r="P814" s="220" t="s">
        <v>1282</v>
      </c>
      <c r="Q814" s="220" t="s">
        <v>270</v>
      </c>
      <c r="R814" s="220" t="s">
        <v>190</v>
      </c>
      <c r="S814" s="220" t="s">
        <v>983</v>
      </c>
    </row>
    <row r="815" spans="1:19" x14ac:dyDescent="0.25">
      <c r="A815" s="220">
        <v>117</v>
      </c>
      <c r="B815" s="220" t="s">
        <v>1280</v>
      </c>
      <c r="C815" s="220" t="s">
        <v>286</v>
      </c>
      <c r="D815" s="220" t="s">
        <v>452</v>
      </c>
      <c r="E815" s="220">
        <v>7</v>
      </c>
      <c r="F815" s="220">
        <v>179.75399999999999</v>
      </c>
      <c r="G815" s="220">
        <v>14261</v>
      </c>
      <c r="H815" s="220">
        <v>17177</v>
      </c>
      <c r="I815" s="220">
        <v>19882</v>
      </c>
      <c r="J815" s="220">
        <v>176.89099999999999</v>
      </c>
      <c r="K815" s="220">
        <v>-1.9359999999999999</v>
      </c>
      <c r="L815" s="220">
        <v>36.134999999999998</v>
      </c>
      <c r="M815" s="220" t="s">
        <v>751</v>
      </c>
      <c r="N815" s="220" t="s">
        <v>933</v>
      </c>
      <c r="O815" s="220" t="s">
        <v>1281</v>
      </c>
      <c r="P815" s="220" t="s">
        <v>1282</v>
      </c>
      <c r="Q815" s="220" t="s">
        <v>646</v>
      </c>
      <c r="R815" s="220" t="s">
        <v>621</v>
      </c>
      <c r="S815" s="220" t="s">
        <v>813</v>
      </c>
    </row>
    <row r="816" spans="1:19" hidden="1" x14ac:dyDescent="0.25">
      <c r="A816" s="220">
        <v>118</v>
      </c>
      <c r="B816" s="220" t="s">
        <v>1283</v>
      </c>
      <c r="C816" s="220" t="s">
        <v>296</v>
      </c>
      <c r="D816" s="220" t="s">
        <v>453</v>
      </c>
      <c r="E816" s="220">
        <v>1</v>
      </c>
      <c r="F816" s="220">
        <v>205.17099999999999</v>
      </c>
      <c r="G816" s="220">
        <v>10498</v>
      </c>
      <c r="H816" s="220">
        <v>12382</v>
      </c>
      <c r="I816" s="220">
        <v>14463</v>
      </c>
      <c r="J816" s="220">
        <v>201.95400000000001</v>
      </c>
      <c r="K816" s="220">
        <v>-19.931000000000001</v>
      </c>
      <c r="L816" s="220">
        <v>24.42</v>
      </c>
      <c r="M816" s="220" t="s">
        <v>1284</v>
      </c>
      <c r="N816" s="220" t="s">
        <v>933</v>
      </c>
      <c r="O816" s="220" t="s">
        <v>1285</v>
      </c>
      <c r="P816" s="220" t="s">
        <v>1286</v>
      </c>
      <c r="Q816" s="220" t="s">
        <v>213</v>
      </c>
      <c r="R816" s="220" t="s">
        <v>237</v>
      </c>
      <c r="S816" s="220" t="s">
        <v>106</v>
      </c>
    </row>
    <row r="817" spans="1:19" hidden="1" x14ac:dyDescent="0.25">
      <c r="A817" s="220">
        <v>118</v>
      </c>
      <c r="B817" s="220" t="s">
        <v>1283</v>
      </c>
      <c r="C817" s="220" t="s">
        <v>296</v>
      </c>
      <c r="D817" s="220" t="s">
        <v>453</v>
      </c>
      <c r="E817" s="220">
        <v>2</v>
      </c>
      <c r="F817" s="220">
        <v>202.54499999999999</v>
      </c>
      <c r="G817" s="220">
        <v>10515</v>
      </c>
      <c r="H817" s="220">
        <v>12402</v>
      </c>
      <c r="I817" s="220">
        <v>14486</v>
      </c>
      <c r="J817" s="220">
        <v>199.369</v>
      </c>
      <c r="K817" s="220">
        <v>-19.928999999999998</v>
      </c>
      <c r="L817" s="220">
        <v>24.41</v>
      </c>
      <c r="M817" s="220" t="s">
        <v>1284</v>
      </c>
      <c r="N817" s="220" t="s">
        <v>933</v>
      </c>
      <c r="O817" s="220" t="s">
        <v>1285</v>
      </c>
      <c r="P817" s="220" t="s">
        <v>1286</v>
      </c>
      <c r="Q817" s="220" t="s">
        <v>277</v>
      </c>
      <c r="R817" s="220" t="s">
        <v>280</v>
      </c>
      <c r="S817" s="220" t="s">
        <v>144</v>
      </c>
    </row>
    <row r="818" spans="1:19" hidden="1" x14ac:dyDescent="0.25">
      <c r="A818" s="220">
        <v>118</v>
      </c>
      <c r="B818" s="220" t="s">
        <v>1283</v>
      </c>
      <c r="C818" s="220" t="s">
        <v>296</v>
      </c>
      <c r="D818" s="220" t="s">
        <v>453</v>
      </c>
      <c r="E818" s="220">
        <v>3</v>
      </c>
      <c r="F818" s="220">
        <v>203.98</v>
      </c>
      <c r="G818" s="220">
        <v>10539</v>
      </c>
      <c r="H818" s="220">
        <v>12431</v>
      </c>
      <c r="I818" s="220">
        <v>14524</v>
      </c>
      <c r="J818" s="220">
        <v>200.78200000000001</v>
      </c>
      <c r="K818" s="220">
        <v>-19.942</v>
      </c>
      <c r="L818" s="220">
        <v>24.413</v>
      </c>
      <c r="M818" s="220" t="s">
        <v>1284</v>
      </c>
      <c r="N818" s="220" t="s">
        <v>933</v>
      </c>
      <c r="O818" s="220" t="s">
        <v>1285</v>
      </c>
      <c r="P818" s="220" t="s">
        <v>1286</v>
      </c>
      <c r="Q818" s="220" t="s">
        <v>203</v>
      </c>
      <c r="R818" s="220" t="s">
        <v>242</v>
      </c>
      <c r="S818" s="220" t="s">
        <v>519</v>
      </c>
    </row>
    <row r="819" spans="1:19" hidden="1" x14ac:dyDescent="0.25">
      <c r="A819" s="220">
        <v>118</v>
      </c>
      <c r="B819" s="220" t="s">
        <v>1283</v>
      </c>
      <c r="C819" s="220" t="s">
        <v>296</v>
      </c>
      <c r="D819" s="220" t="s">
        <v>453</v>
      </c>
      <c r="E819" s="220">
        <v>4</v>
      </c>
      <c r="F819" s="220">
        <v>204.821</v>
      </c>
      <c r="G819" s="220">
        <v>10514</v>
      </c>
      <c r="H819" s="220">
        <v>12401</v>
      </c>
      <c r="I819" s="220">
        <v>14490</v>
      </c>
      <c r="J819" s="220">
        <v>201.61</v>
      </c>
      <c r="K819" s="220">
        <v>-19.937000000000001</v>
      </c>
      <c r="L819" s="220">
        <v>24.417999999999999</v>
      </c>
      <c r="M819" s="220" t="s">
        <v>1284</v>
      </c>
      <c r="N819" s="220" t="s">
        <v>933</v>
      </c>
      <c r="O819" s="220" t="s">
        <v>1285</v>
      </c>
      <c r="P819" s="220" t="s">
        <v>1286</v>
      </c>
      <c r="Q819" s="220" t="s">
        <v>79</v>
      </c>
      <c r="R819" s="220" t="s">
        <v>242</v>
      </c>
      <c r="S819" s="220" t="s">
        <v>519</v>
      </c>
    </row>
    <row r="820" spans="1:19" hidden="1" x14ac:dyDescent="0.25">
      <c r="A820" s="220">
        <v>118</v>
      </c>
      <c r="B820" s="220" t="s">
        <v>1283</v>
      </c>
      <c r="C820" s="220" t="s">
        <v>296</v>
      </c>
      <c r="D820" s="220" t="s">
        <v>453</v>
      </c>
      <c r="E820" s="220">
        <v>5</v>
      </c>
      <c r="F820" s="220">
        <v>213.13200000000001</v>
      </c>
      <c r="G820" s="220">
        <v>16431</v>
      </c>
      <c r="H820" s="220">
        <v>19788</v>
      </c>
      <c r="I820" s="220">
        <v>22899</v>
      </c>
      <c r="J820" s="220">
        <v>209.73699999999999</v>
      </c>
      <c r="K820" s="220">
        <v>-1.337</v>
      </c>
      <c r="L820" s="220">
        <v>35.854999999999997</v>
      </c>
      <c r="M820" s="220" t="s">
        <v>1284</v>
      </c>
      <c r="N820" s="220" t="s">
        <v>933</v>
      </c>
      <c r="O820" s="220" t="s">
        <v>1285</v>
      </c>
      <c r="P820" s="220" t="s">
        <v>1286</v>
      </c>
      <c r="Q820" s="220" t="s">
        <v>168</v>
      </c>
      <c r="R820" s="220" t="s">
        <v>571</v>
      </c>
      <c r="S820" s="220" t="s">
        <v>51</v>
      </c>
    </row>
    <row r="821" spans="1:19" x14ac:dyDescent="0.25">
      <c r="A821" s="220">
        <v>118</v>
      </c>
      <c r="B821" s="220" t="s">
        <v>1283</v>
      </c>
      <c r="C821" s="220" t="s">
        <v>296</v>
      </c>
      <c r="D821" s="220" t="s">
        <v>453</v>
      </c>
      <c r="E821" s="220">
        <v>6</v>
      </c>
      <c r="F821" s="220">
        <v>185.928</v>
      </c>
      <c r="G821" s="220">
        <v>14482</v>
      </c>
      <c r="H821" s="220">
        <v>17435</v>
      </c>
      <c r="I821" s="220">
        <v>20187</v>
      </c>
      <c r="J821" s="220">
        <v>182.965</v>
      </c>
      <c r="K821" s="220">
        <v>-1.321</v>
      </c>
      <c r="L821" s="220">
        <v>36.04</v>
      </c>
      <c r="M821" s="220" t="s">
        <v>1284</v>
      </c>
      <c r="N821" s="220" t="s">
        <v>933</v>
      </c>
      <c r="O821" s="220" t="s">
        <v>1285</v>
      </c>
      <c r="P821" s="220" t="s">
        <v>1286</v>
      </c>
      <c r="Q821" s="220" t="s">
        <v>252</v>
      </c>
      <c r="R821" s="220" t="s">
        <v>200</v>
      </c>
      <c r="S821" s="220" t="s">
        <v>685</v>
      </c>
    </row>
    <row r="822" spans="1:19" x14ac:dyDescent="0.25">
      <c r="A822" s="220">
        <v>118</v>
      </c>
      <c r="B822" s="220" t="s">
        <v>1283</v>
      </c>
      <c r="C822" s="220" t="s">
        <v>296</v>
      </c>
      <c r="D822" s="220" t="s">
        <v>453</v>
      </c>
      <c r="E822" s="220">
        <v>7</v>
      </c>
      <c r="F822" s="220">
        <v>172.56700000000001</v>
      </c>
      <c r="G822" s="220">
        <v>13419</v>
      </c>
      <c r="H822" s="220">
        <v>16155</v>
      </c>
      <c r="I822" s="220">
        <v>18709</v>
      </c>
      <c r="J822" s="220">
        <v>169.81700000000001</v>
      </c>
      <c r="K822" s="220">
        <v>-1.2709999999999999</v>
      </c>
      <c r="L822" s="220">
        <v>36.061999999999998</v>
      </c>
      <c r="M822" s="220" t="s">
        <v>1284</v>
      </c>
      <c r="N822" s="220" t="s">
        <v>933</v>
      </c>
      <c r="O822" s="220" t="s">
        <v>1285</v>
      </c>
      <c r="P822" s="220" t="s">
        <v>1286</v>
      </c>
      <c r="Q822" s="220" t="s">
        <v>696</v>
      </c>
      <c r="R822" s="220" t="s">
        <v>872</v>
      </c>
      <c r="S822" s="220" t="s">
        <v>1287</v>
      </c>
    </row>
    <row r="823" spans="1:19" hidden="1" x14ac:dyDescent="0.25">
      <c r="A823" s="220">
        <v>119</v>
      </c>
      <c r="B823" s="220" t="s">
        <v>0</v>
      </c>
      <c r="C823"/>
      <c r="D823" s="220" t="s">
        <v>455</v>
      </c>
      <c r="E823" s="220">
        <v>1</v>
      </c>
      <c r="F823" s="220">
        <v>204.74199999999999</v>
      </c>
      <c r="G823" s="220">
        <v>10484</v>
      </c>
      <c r="H823" s="220">
        <v>12365</v>
      </c>
      <c r="I823" s="220">
        <v>14444</v>
      </c>
      <c r="J823" s="220">
        <v>201.53200000000001</v>
      </c>
      <c r="K823" s="220">
        <v>-19.940000000000001</v>
      </c>
      <c r="L823" s="220">
        <v>24.405999999999999</v>
      </c>
      <c r="M823" s="220" t="s">
        <v>869</v>
      </c>
      <c r="N823" s="220" t="s">
        <v>933</v>
      </c>
      <c r="O823" s="220" t="s">
        <v>1288</v>
      </c>
      <c r="P823" s="220" t="s">
        <v>1289</v>
      </c>
      <c r="Q823" s="220" t="s">
        <v>85</v>
      </c>
      <c r="R823" s="220" t="s">
        <v>145</v>
      </c>
      <c r="S823" s="220" t="s">
        <v>135</v>
      </c>
    </row>
    <row r="824" spans="1:19" hidden="1" x14ac:dyDescent="0.25">
      <c r="A824" s="220">
        <v>119</v>
      </c>
      <c r="B824" s="220" t="s">
        <v>0</v>
      </c>
      <c r="C824"/>
      <c r="D824" s="220" t="s">
        <v>455</v>
      </c>
      <c r="E824" s="220">
        <v>2</v>
      </c>
      <c r="F824" s="220">
        <v>202.40199999999999</v>
      </c>
      <c r="G824" s="220">
        <v>10482</v>
      </c>
      <c r="H824" s="220">
        <v>12362</v>
      </c>
      <c r="I824" s="220">
        <v>14442</v>
      </c>
      <c r="J824" s="220">
        <v>199.22800000000001</v>
      </c>
      <c r="K824" s="220">
        <v>-19.93</v>
      </c>
      <c r="L824" s="220">
        <v>24.414000000000001</v>
      </c>
      <c r="M824" s="220" t="s">
        <v>869</v>
      </c>
      <c r="N824" s="220" t="s">
        <v>933</v>
      </c>
      <c r="O824" s="220" t="s">
        <v>1288</v>
      </c>
      <c r="P824" s="220" t="s">
        <v>1289</v>
      </c>
      <c r="Q824" s="220" t="s">
        <v>111</v>
      </c>
      <c r="R824" s="220" t="s">
        <v>132</v>
      </c>
      <c r="S824" s="220" t="s">
        <v>585</v>
      </c>
    </row>
    <row r="825" spans="1:19" hidden="1" x14ac:dyDescent="0.25">
      <c r="A825" s="220">
        <v>119</v>
      </c>
      <c r="B825" s="220" t="s">
        <v>0</v>
      </c>
      <c r="C825"/>
      <c r="D825" s="220" t="s">
        <v>455</v>
      </c>
      <c r="E825" s="220">
        <v>3</v>
      </c>
      <c r="F825" s="220">
        <v>203.76599999999999</v>
      </c>
      <c r="G825" s="220">
        <v>10519</v>
      </c>
      <c r="H825" s="220">
        <v>12408</v>
      </c>
      <c r="I825" s="220">
        <v>14498</v>
      </c>
      <c r="J825" s="220">
        <v>200.571</v>
      </c>
      <c r="K825" s="220">
        <v>-19.928000000000001</v>
      </c>
      <c r="L825" s="220">
        <v>24.425000000000001</v>
      </c>
      <c r="M825" s="220" t="s">
        <v>869</v>
      </c>
      <c r="N825" s="220" t="s">
        <v>933</v>
      </c>
      <c r="O825" s="220" t="s">
        <v>1288</v>
      </c>
      <c r="P825" s="220" t="s">
        <v>1289</v>
      </c>
      <c r="Q825" s="220" t="s">
        <v>117</v>
      </c>
      <c r="R825" s="220" t="s">
        <v>96</v>
      </c>
      <c r="S825" s="220" t="s">
        <v>241</v>
      </c>
    </row>
    <row r="826" spans="1:19" hidden="1" x14ac:dyDescent="0.25">
      <c r="A826" s="220">
        <v>119</v>
      </c>
      <c r="B826" s="220" t="s">
        <v>0</v>
      </c>
      <c r="C826"/>
      <c r="D826" s="220" t="s">
        <v>455</v>
      </c>
      <c r="E826" s="220">
        <v>4</v>
      </c>
      <c r="F826" s="220">
        <v>203.732</v>
      </c>
      <c r="G826" s="220">
        <v>10494</v>
      </c>
      <c r="H826" s="220">
        <v>12378</v>
      </c>
      <c r="I826" s="220">
        <v>14458</v>
      </c>
      <c r="J826" s="220">
        <v>200.53700000000001</v>
      </c>
      <c r="K826" s="220">
        <v>-19.937000000000001</v>
      </c>
      <c r="L826" s="220">
        <v>24.417999999999999</v>
      </c>
      <c r="M826" s="220" t="s">
        <v>869</v>
      </c>
      <c r="N826" s="220" t="s">
        <v>933</v>
      </c>
      <c r="O826" s="220" t="s">
        <v>1288</v>
      </c>
      <c r="P826" s="220" t="s">
        <v>1289</v>
      </c>
      <c r="Q826" s="220" t="s">
        <v>81</v>
      </c>
      <c r="R826" s="220" t="s">
        <v>96</v>
      </c>
      <c r="S826" s="220" t="s">
        <v>241</v>
      </c>
    </row>
    <row r="827" spans="1:19" hidden="1" x14ac:dyDescent="0.25">
      <c r="A827" s="220">
        <v>119</v>
      </c>
      <c r="B827" s="220" t="s">
        <v>0</v>
      </c>
      <c r="C827"/>
      <c r="D827" s="220" t="s">
        <v>455</v>
      </c>
      <c r="E827" s="220">
        <v>5</v>
      </c>
      <c r="F827" s="220">
        <v>212.84100000000001</v>
      </c>
      <c r="G827" s="220">
        <v>16490</v>
      </c>
      <c r="H827" s="220">
        <v>19994</v>
      </c>
      <c r="I827" s="220">
        <v>23003</v>
      </c>
      <c r="J827" s="220">
        <v>209.43600000000001</v>
      </c>
      <c r="K827" s="220">
        <v>4.6790000000000003</v>
      </c>
      <c r="L827" s="220">
        <v>36.732999999999997</v>
      </c>
      <c r="M827" s="220" t="s">
        <v>869</v>
      </c>
      <c r="N827" s="220" t="s">
        <v>933</v>
      </c>
      <c r="O827" s="220" t="s">
        <v>1288</v>
      </c>
      <c r="P827" s="220" t="s">
        <v>1289</v>
      </c>
      <c r="Q827" s="220" t="s">
        <v>171</v>
      </c>
      <c r="R827" s="220" t="s">
        <v>185</v>
      </c>
      <c r="S827" s="220" t="s">
        <v>601</v>
      </c>
    </row>
    <row r="828" spans="1:19" x14ac:dyDescent="0.25">
      <c r="A828" s="220">
        <v>119</v>
      </c>
      <c r="B828" s="220" t="s">
        <v>0</v>
      </c>
      <c r="C828"/>
      <c r="D828" s="220" t="s">
        <v>455</v>
      </c>
      <c r="E828" s="220">
        <v>6</v>
      </c>
      <c r="F828" s="220">
        <v>187.74600000000001</v>
      </c>
      <c r="G828" s="220">
        <v>14949</v>
      </c>
      <c r="H828" s="220">
        <v>18123</v>
      </c>
      <c r="I828" s="220">
        <v>20858</v>
      </c>
      <c r="J828" s="220">
        <v>184.74199999999999</v>
      </c>
      <c r="K828" s="220">
        <v>4.7370000000000001</v>
      </c>
      <c r="L828" s="220">
        <v>36.844999999999999</v>
      </c>
      <c r="M828" s="220" t="s">
        <v>869</v>
      </c>
      <c r="N828" s="220" t="s">
        <v>933</v>
      </c>
      <c r="O828" s="220" t="s">
        <v>1288</v>
      </c>
      <c r="P828" s="220" t="s">
        <v>1289</v>
      </c>
      <c r="Q828" s="220" t="s">
        <v>272</v>
      </c>
      <c r="R828" s="220" t="s">
        <v>235</v>
      </c>
      <c r="S828" s="220" t="s">
        <v>940</v>
      </c>
    </row>
    <row r="829" spans="1:19" x14ac:dyDescent="0.25">
      <c r="A829" s="220">
        <v>119</v>
      </c>
      <c r="B829" s="220" t="s">
        <v>0</v>
      </c>
      <c r="C829"/>
      <c r="D829" s="220" t="s">
        <v>455</v>
      </c>
      <c r="E829" s="220">
        <v>7</v>
      </c>
      <c r="F829" s="220">
        <v>175.45699999999999</v>
      </c>
      <c r="G829" s="220">
        <v>14087</v>
      </c>
      <c r="H829" s="220">
        <v>17072</v>
      </c>
      <c r="I829" s="220">
        <v>19653</v>
      </c>
      <c r="J829" s="220">
        <v>172.649</v>
      </c>
      <c r="K829" s="220">
        <v>4.8049999999999997</v>
      </c>
      <c r="L829" s="220">
        <v>36.915999999999997</v>
      </c>
      <c r="M829" s="220" t="s">
        <v>869</v>
      </c>
      <c r="N829" s="220" t="s">
        <v>933</v>
      </c>
      <c r="O829" s="220" t="s">
        <v>1288</v>
      </c>
      <c r="P829" s="220" t="s">
        <v>1289</v>
      </c>
      <c r="Q829" s="220" t="s">
        <v>1010</v>
      </c>
      <c r="R829" s="220" t="s">
        <v>682</v>
      </c>
      <c r="S829" s="220" t="s">
        <v>1290</v>
      </c>
    </row>
    <row r="830" spans="1:19" hidden="1" x14ac:dyDescent="0.25">
      <c r="A830" s="220">
        <v>120</v>
      </c>
      <c r="B830" s="220" t="s">
        <v>0</v>
      </c>
      <c r="C830"/>
      <c r="D830" s="220" t="s">
        <v>456</v>
      </c>
      <c r="E830" s="220">
        <v>1</v>
      </c>
      <c r="F830" s="220">
        <v>205.66499999999999</v>
      </c>
      <c r="G830" s="220">
        <v>10508</v>
      </c>
      <c r="H830" s="220">
        <v>12394</v>
      </c>
      <c r="I830" s="220">
        <v>14476</v>
      </c>
      <c r="J830" s="220">
        <v>202.44</v>
      </c>
      <c r="K830" s="220">
        <v>-19.928999999999998</v>
      </c>
      <c r="L830" s="220">
        <v>24.411999999999999</v>
      </c>
      <c r="M830" s="220" t="s">
        <v>873</v>
      </c>
      <c r="N830" s="220" t="s">
        <v>933</v>
      </c>
      <c r="O830" s="220" t="s">
        <v>1291</v>
      </c>
      <c r="P830" s="220" t="s">
        <v>1292</v>
      </c>
      <c r="Q830" s="220" t="s">
        <v>76</v>
      </c>
      <c r="R830" s="220" t="s">
        <v>236</v>
      </c>
      <c r="S830" s="220" t="s">
        <v>113</v>
      </c>
    </row>
    <row r="831" spans="1:19" hidden="1" x14ac:dyDescent="0.25">
      <c r="A831" s="220">
        <v>120</v>
      </c>
      <c r="B831" s="220" t="s">
        <v>0</v>
      </c>
      <c r="C831"/>
      <c r="D831" s="220" t="s">
        <v>456</v>
      </c>
      <c r="E831" s="220">
        <v>2</v>
      </c>
      <c r="F831" s="220">
        <v>203.08500000000001</v>
      </c>
      <c r="G831" s="220">
        <v>10520</v>
      </c>
      <c r="H831" s="220">
        <v>12408</v>
      </c>
      <c r="I831" s="220">
        <v>14494</v>
      </c>
      <c r="J831" s="220">
        <v>199.90100000000001</v>
      </c>
      <c r="K831" s="220">
        <v>-19.939</v>
      </c>
      <c r="L831" s="220">
        <v>24.408999999999999</v>
      </c>
      <c r="M831" s="220" t="s">
        <v>873</v>
      </c>
      <c r="N831" s="220" t="s">
        <v>933</v>
      </c>
      <c r="O831" s="220" t="s">
        <v>1291</v>
      </c>
      <c r="P831" s="220" t="s">
        <v>1292</v>
      </c>
      <c r="Q831" s="220" t="s">
        <v>81</v>
      </c>
      <c r="R831" s="220" t="s">
        <v>214</v>
      </c>
      <c r="S831" s="220" t="s">
        <v>241</v>
      </c>
    </row>
    <row r="832" spans="1:19" hidden="1" x14ac:dyDescent="0.25">
      <c r="A832" s="220">
        <v>120</v>
      </c>
      <c r="B832" s="220" t="s">
        <v>0</v>
      </c>
      <c r="C832"/>
      <c r="D832" s="220" t="s">
        <v>456</v>
      </c>
      <c r="E832" s="220">
        <v>3</v>
      </c>
      <c r="F832" s="220">
        <v>204.518</v>
      </c>
      <c r="G832" s="220">
        <v>10562</v>
      </c>
      <c r="H832" s="220">
        <v>12457</v>
      </c>
      <c r="I832" s="220">
        <v>14554</v>
      </c>
      <c r="J832" s="220">
        <v>201.31100000000001</v>
      </c>
      <c r="K832" s="220">
        <v>-19.942</v>
      </c>
      <c r="L832" s="220">
        <v>24.43</v>
      </c>
      <c r="M832" s="220" t="s">
        <v>873</v>
      </c>
      <c r="N832" s="220" t="s">
        <v>933</v>
      </c>
      <c r="O832" s="220" t="s">
        <v>1291</v>
      </c>
      <c r="P832" s="220" t="s">
        <v>1292</v>
      </c>
      <c r="Q832" s="220" t="s">
        <v>79</v>
      </c>
      <c r="R832" s="220" t="s">
        <v>242</v>
      </c>
      <c r="S832" s="220" t="s">
        <v>201</v>
      </c>
    </row>
    <row r="833" spans="1:19" hidden="1" x14ac:dyDescent="0.25">
      <c r="A833" s="220">
        <v>120</v>
      </c>
      <c r="B833" s="220" t="s">
        <v>0</v>
      </c>
      <c r="C833"/>
      <c r="D833" s="220" t="s">
        <v>456</v>
      </c>
      <c r="E833" s="220">
        <v>4</v>
      </c>
      <c r="F833" s="220">
        <v>204.55099999999999</v>
      </c>
      <c r="G833" s="220">
        <v>10526</v>
      </c>
      <c r="H833" s="220">
        <v>12415</v>
      </c>
      <c r="I833" s="220">
        <v>14502</v>
      </c>
      <c r="J833" s="220">
        <v>201.34299999999999</v>
      </c>
      <c r="K833" s="220">
        <v>-19.937000000000001</v>
      </c>
      <c r="L833" s="220">
        <v>24.417999999999999</v>
      </c>
      <c r="M833" s="220" t="s">
        <v>873</v>
      </c>
      <c r="N833" s="220" t="s">
        <v>933</v>
      </c>
      <c r="O833" s="220" t="s">
        <v>1291</v>
      </c>
      <c r="P833" s="220" t="s">
        <v>1292</v>
      </c>
      <c r="Q833" s="220" t="s">
        <v>277</v>
      </c>
      <c r="R833" s="220" t="s">
        <v>280</v>
      </c>
      <c r="S833" s="220" t="s">
        <v>201</v>
      </c>
    </row>
    <row r="834" spans="1:19" hidden="1" x14ac:dyDescent="0.25">
      <c r="A834" s="220">
        <v>120</v>
      </c>
      <c r="B834" s="220" t="s">
        <v>0</v>
      </c>
      <c r="C834"/>
      <c r="D834" s="220" t="s">
        <v>456</v>
      </c>
      <c r="E834" s="220">
        <v>5</v>
      </c>
      <c r="F834" s="220">
        <v>224.48599999999999</v>
      </c>
      <c r="G834" s="220">
        <v>17178</v>
      </c>
      <c r="H834" s="220">
        <v>20808</v>
      </c>
      <c r="I834" s="220">
        <v>23964</v>
      </c>
      <c r="J834" s="220">
        <v>220.89400000000001</v>
      </c>
      <c r="K834" s="220">
        <v>4.7960000000000003</v>
      </c>
      <c r="L834" s="220">
        <v>36.796999999999997</v>
      </c>
      <c r="M834" s="220" t="s">
        <v>873</v>
      </c>
      <c r="N834" s="220" t="s">
        <v>933</v>
      </c>
      <c r="O834" s="220" t="s">
        <v>1291</v>
      </c>
      <c r="P834" s="220" t="s">
        <v>1292</v>
      </c>
      <c r="Q834" s="220" t="s">
        <v>168</v>
      </c>
      <c r="R834" s="220" t="s">
        <v>571</v>
      </c>
      <c r="S834" s="220" t="s">
        <v>620</v>
      </c>
    </row>
    <row r="835" spans="1:19" x14ac:dyDescent="0.25">
      <c r="A835" s="220">
        <v>120</v>
      </c>
      <c r="B835" s="220" t="s">
        <v>0</v>
      </c>
      <c r="C835"/>
      <c r="D835" s="220" t="s">
        <v>456</v>
      </c>
      <c r="E835" s="220">
        <v>6</v>
      </c>
      <c r="F835" s="220">
        <v>195.952</v>
      </c>
      <c r="G835" s="220">
        <v>15186</v>
      </c>
      <c r="H835" s="220">
        <v>18391</v>
      </c>
      <c r="I835" s="220">
        <v>21183</v>
      </c>
      <c r="J835" s="220">
        <v>192.816</v>
      </c>
      <c r="K835" s="220">
        <v>4.78</v>
      </c>
      <c r="L835" s="220">
        <v>36.984999999999999</v>
      </c>
      <c r="M835" s="220" t="s">
        <v>873</v>
      </c>
      <c r="N835" s="220" t="s">
        <v>933</v>
      </c>
      <c r="O835" s="220" t="s">
        <v>1291</v>
      </c>
      <c r="P835" s="220" t="s">
        <v>1292</v>
      </c>
      <c r="Q835" s="220" t="s">
        <v>119</v>
      </c>
      <c r="R835" s="220" t="s">
        <v>561</v>
      </c>
      <c r="S835" s="220" t="s">
        <v>1108</v>
      </c>
    </row>
    <row r="836" spans="1:19" x14ac:dyDescent="0.25">
      <c r="A836" s="220">
        <v>120</v>
      </c>
      <c r="B836" s="220" t="s">
        <v>0</v>
      </c>
      <c r="C836"/>
      <c r="D836" s="220" t="s">
        <v>456</v>
      </c>
      <c r="E836" s="220">
        <v>7</v>
      </c>
      <c r="F836" s="220">
        <v>181.88300000000001</v>
      </c>
      <c r="G836" s="220">
        <v>14089</v>
      </c>
      <c r="H836" s="220">
        <v>17061</v>
      </c>
      <c r="I836" s="220">
        <v>19661</v>
      </c>
      <c r="J836" s="220">
        <v>178.97200000000001</v>
      </c>
      <c r="K836" s="220">
        <v>4.8460000000000001</v>
      </c>
      <c r="L836" s="220">
        <v>37.046999999999997</v>
      </c>
      <c r="M836" s="220" t="s">
        <v>873</v>
      </c>
      <c r="N836" s="220" t="s">
        <v>933</v>
      </c>
      <c r="O836" s="220" t="s">
        <v>1291</v>
      </c>
      <c r="P836" s="220" t="s">
        <v>1292</v>
      </c>
      <c r="Q836" s="220" t="s">
        <v>371</v>
      </c>
      <c r="R836" s="220" t="s">
        <v>676</v>
      </c>
      <c r="S836" s="220" t="s">
        <v>1293</v>
      </c>
    </row>
    <row r="837" spans="1:19" hidden="1" x14ac:dyDescent="0.25">
      <c r="A837" s="220">
        <v>121</v>
      </c>
      <c r="B837" s="220" t="s">
        <v>1294</v>
      </c>
      <c r="C837" s="220" t="s">
        <v>513</v>
      </c>
      <c r="D837" s="220" t="s">
        <v>457</v>
      </c>
      <c r="E837" s="220">
        <v>1</v>
      </c>
      <c r="F837" s="220">
        <v>204.852</v>
      </c>
      <c r="G837" s="220">
        <v>10476</v>
      </c>
      <c r="H837" s="220">
        <v>12356</v>
      </c>
      <c r="I837" s="220">
        <v>14433</v>
      </c>
      <c r="J837" s="220">
        <v>201.64</v>
      </c>
      <c r="K837" s="220">
        <v>-19.951000000000001</v>
      </c>
      <c r="L837" s="220">
        <v>24.422000000000001</v>
      </c>
      <c r="M837" s="220" t="s">
        <v>878</v>
      </c>
      <c r="N837" s="220" t="s">
        <v>933</v>
      </c>
      <c r="O837" s="220" t="s">
        <v>1295</v>
      </c>
      <c r="P837" s="220" t="s">
        <v>1296</v>
      </c>
      <c r="Q837" s="220" t="s">
        <v>62</v>
      </c>
      <c r="R837" s="220" t="s">
        <v>207</v>
      </c>
      <c r="S837" s="220" t="s">
        <v>146</v>
      </c>
    </row>
    <row r="838" spans="1:19" hidden="1" x14ac:dyDescent="0.25">
      <c r="A838" s="220">
        <v>121</v>
      </c>
      <c r="B838" s="220" t="s">
        <v>1294</v>
      </c>
      <c r="C838" s="220" t="s">
        <v>513</v>
      </c>
      <c r="D838" s="220" t="s">
        <v>457</v>
      </c>
      <c r="E838" s="220">
        <v>2</v>
      </c>
      <c r="F838" s="220">
        <v>202.48699999999999</v>
      </c>
      <c r="G838" s="220">
        <v>10479</v>
      </c>
      <c r="H838" s="220">
        <v>12360</v>
      </c>
      <c r="I838" s="220">
        <v>14437</v>
      </c>
      <c r="J838" s="220">
        <v>199.31200000000001</v>
      </c>
      <c r="K838" s="220">
        <v>-19.951000000000001</v>
      </c>
      <c r="L838" s="220">
        <v>24.422999999999998</v>
      </c>
      <c r="M838" s="220" t="s">
        <v>878</v>
      </c>
      <c r="N838" s="220" t="s">
        <v>933</v>
      </c>
      <c r="O838" s="220" t="s">
        <v>1295</v>
      </c>
      <c r="P838" s="220" t="s">
        <v>1296</v>
      </c>
      <c r="Q838" s="220" t="s">
        <v>158</v>
      </c>
      <c r="R838" s="220" t="s">
        <v>119</v>
      </c>
      <c r="S838" s="220" t="s">
        <v>235</v>
      </c>
    </row>
    <row r="839" spans="1:19" hidden="1" x14ac:dyDescent="0.25">
      <c r="A839" s="220">
        <v>121</v>
      </c>
      <c r="B839" s="220" t="s">
        <v>1294</v>
      </c>
      <c r="C839" s="220" t="s">
        <v>513</v>
      </c>
      <c r="D839" s="220" t="s">
        <v>457</v>
      </c>
      <c r="E839" s="220">
        <v>3</v>
      </c>
      <c r="F839" s="220">
        <v>203.80600000000001</v>
      </c>
      <c r="G839" s="220">
        <v>10523</v>
      </c>
      <c r="H839" s="220">
        <v>12412</v>
      </c>
      <c r="I839" s="220">
        <v>14502</v>
      </c>
      <c r="J839" s="220">
        <v>200.61</v>
      </c>
      <c r="K839" s="220">
        <v>-19.966000000000001</v>
      </c>
      <c r="L839" s="220">
        <v>24.434999999999999</v>
      </c>
      <c r="M839" s="220" t="s">
        <v>878</v>
      </c>
      <c r="N839" s="220" t="s">
        <v>933</v>
      </c>
      <c r="O839" s="220" t="s">
        <v>1295</v>
      </c>
      <c r="P839" s="220" t="s">
        <v>1296</v>
      </c>
      <c r="Q839" s="220" t="s">
        <v>81</v>
      </c>
      <c r="R839" s="220" t="s">
        <v>280</v>
      </c>
      <c r="S839" s="220" t="s">
        <v>241</v>
      </c>
    </row>
    <row r="840" spans="1:19" hidden="1" x14ac:dyDescent="0.25">
      <c r="A840" s="220">
        <v>121</v>
      </c>
      <c r="B840" s="220" t="s">
        <v>1294</v>
      </c>
      <c r="C840" s="220" t="s">
        <v>513</v>
      </c>
      <c r="D840" s="220" t="s">
        <v>457</v>
      </c>
      <c r="E840" s="220">
        <v>4</v>
      </c>
      <c r="F840" s="220">
        <v>203.59899999999999</v>
      </c>
      <c r="G840" s="220">
        <v>10481</v>
      </c>
      <c r="H840" s="220">
        <v>12361</v>
      </c>
      <c r="I840" s="220">
        <v>14439</v>
      </c>
      <c r="J840" s="220">
        <v>200.40600000000001</v>
      </c>
      <c r="K840" s="220">
        <v>-19.937000000000001</v>
      </c>
      <c r="L840" s="220">
        <v>24.417999999999999</v>
      </c>
      <c r="M840" s="220" t="s">
        <v>878</v>
      </c>
      <c r="N840" s="220" t="s">
        <v>933</v>
      </c>
      <c r="O840" s="220" t="s">
        <v>1295</v>
      </c>
      <c r="P840" s="220" t="s">
        <v>1296</v>
      </c>
      <c r="Q840" s="220" t="s">
        <v>81</v>
      </c>
      <c r="R840" s="220" t="s">
        <v>214</v>
      </c>
      <c r="S840" s="220" t="s">
        <v>241</v>
      </c>
    </row>
    <row r="841" spans="1:19" hidden="1" x14ac:dyDescent="0.25">
      <c r="A841" s="220">
        <v>121</v>
      </c>
      <c r="B841" s="220" t="s">
        <v>1294</v>
      </c>
      <c r="C841" s="220" t="s">
        <v>513</v>
      </c>
      <c r="D841" s="220" t="s">
        <v>457</v>
      </c>
      <c r="E841" s="220">
        <v>5</v>
      </c>
      <c r="F841" s="220">
        <v>199.32900000000001</v>
      </c>
      <c r="G841" s="220">
        <v>15660</v>
      </c>
      <c r="H841" s="220">
        <v>18876</v>
      </c>
      <c r="I841" s="220">
        <v>21821</v>
      </c>
      <c r="J841" s="220">
        <v>196.154</v>
      </c>
      <c r="K841" s="220">
        <v>-1.5309999999999999</v>
      </c>
      <c r="L841" s="220">
        <v>35.799999999999997</v>
      </c>
      <c r="M841" s="220" t="s">
        <v>878</v>
      </c>
      <c r="N841" s="220" t="s">
        <v>933</v>
      </c>
      <c r="O841" s="220" t="s">
        <v>1295</v>
      </c>
      <c r="P841" s="220" t="s">
        <v>1296</v>
      </c>
      <c r="Q841" s="220" t="s">
        <v>171</v>
      </c>
      <c r="R841" s="220" t="s">
        <v>185</v>
      </c>
      <c r="S841" s="220" t="s">
        <v>91</v>
      </c>
    </row>
    <row r="842" spans="1:19" x14ac:dyDescent="0.25">
      <c r="A842" s="220">
        <v>121</v>
      </c>
      <c r="B842" s="220" t="s">
        <v>1294</v>
      </c>
      <c r="C842" s="220" t="s">
        <v>513</v>
      </c>
      <c r="D842" s="220" t="s">
        <v>457</v>
      </c>
      <c r="E842" s="220">
        <v>6</v>
      </c>
      <c r="F842" s="220">
        <v>177.249</v>
      </c>
      <c r="G842" s="220">
        <v>14255</v>
      </c>
      <c r="H842" s="220">
        <v>17178</v>
      </c>
      <c r="I842" s="220">
        <v>19866</v>
      </c>
      <c r="J842" s="220">
        <v>174.42599999999999</v>
      </c>
      <c r="K842" s="220">
        <v>-1.532</v>
      </c>
      <c r="L842" s="220">
        <v>35.9</v>
      </c>
      <c r="M842" s="220" t="s">
        <v>878</v>
      </c>
      <c r="N842" s="220" t="s">
        <v>933</v>
      </c>
      <c r="O842" s="220" t="s">
        <v>1295</v>
      </c>
      <c r="P842" s="220" t="s">
        <v>1296</v>
      </c>
      <c r="Q842" s="220" t="s">
        <v>113</v>
      </c>
      <c r="R842" s="220" t="s">
        <v>243</v>
      </c>
      <c r="S842" s="220" t="s">
        <v>183</v>
      </c>
    </row>
    <row r="843" spans="1:19" x14ac:dyDescent="0.25">
      <c r="A843" s="220">
        <v>121</v>
      </c>
      <c r="B843" s="220" t="s">
        <v>1294</v>
      </c>
      <c r="C843" s="220" t="s">
        <v>513</v>
      </c>
      <c r="D843" s="220" t="s">
        <v>457</v>
      </c>
      <c r="E843" s="220">
        <v>7</v>
      </c>
      <c r="F843" s="220">
        <v>165.857</v>
      </c>
      <c r="G843" s="220">
        <v>13433</v>
      </c>
      <c r="H843" s="220">
        <v>16185</v>
      </c>
      <c r="I843" s="220">
        <v>18720</v>
      </c>
      <c r="J843" s="220">
        <v>163.215</v>
      </c>
      <c r="K843" s="220">
        <v>-1.4550000000000001</v>
      </c>
      <c r="L843" s="220">
        <v>35.912999999999997</v>
      </c>
      <c r="M843" s="220" t="s">
        <v>878</v>
      </c>
      <c r="N843" s="220" t="s">
        <v>933</v>
      </c>
      <c r="O843" s="220" t="s">
        <v>1295</v>
      </c>
      <c r="P843" s="220" t="s">
        <v>1296</v>
      </c>
      <c r="Q843" s="220" t="s">
        <v>728</v>
      </c>
      <c r="R843" s="220" t="s">
        <v>1297</v>
      </c>
      <c r="S843" s="220" t="s">
        <v>575</v>
      </c>
    </row>
    <row r="844" spans="1:19" hidden="1" x14ac:dyDescent="0.25">
      <c r="A844" s="220">
        <v>122</v>
      </c>
      <c r="B844" s="220" t="s">
        <v>1298</v>
      </c>
      <c r="C844" s="220" t="s">
        <v>260</v>
      </c>
      <c r="D844" s="220" t="s">
        <v>458</v>
      </c>
      <c r="E844" s="220">
        <v>1</v>
      </c>
      <c r="F844" s="220">
        <v>205.02600000000001</v>
      </c>
      <c r="G844" s="220">
        <v>10494</v>
      </c>
      <c r="H844" s="220">
        <v>12377</v>
      </c>
      <c r="I844" s="220">
        <v>14450</v>
      </c>
      <c r="J844" s="220">
        <v>201.81100000000001</v>
      </c>
      <c r="K844" s="220">
        <v>-19.925000000000001</v>
      </c>
      <c r="L844" s="220">
        <v>24.407</v>
      </c>
      <c r="M844" s="220" t="s">
        <v>702</v>
      </c>
      <c r="N844" s="220" t="s">
        <v>933</v>
      </c>
      <c r="O844" s="220" t="s">
        <v>1299</v>
      </c>
      <c r="P844" s="220" t="s">
        <v>1300</v>
      </c>
      <c r="Q844" s="220" t="s">
        <v>62</v>
      </c>
      <c r="R844" s="220" t="s">
        <v>126</v>
      </c>
      <c r="S844" s="220" t="s">
        <v>245</v>
      </c>
    </row>
    <row r="845" spans="1:19" hidden="1" x14ac:dyDescent="0.25">
      <c r="A845" s="220">
        <v>122</v>
      </c>
      <c r="B845" s="220" t="s">
        <v>1298</v>
      </c>
      <c r="C845" s="220" t="s">
        <v>260</v>
      </c>
      <c r="D845" s="220" t="s">
        <v>458</v>
      </c>
      <c r="E845" s="220">
        <v>2</v>
      </c>
      <c r="F845" s="220">
        <v>202.846</v>
      </c>
      <c r="G845" s="220">
        <v>10494</v>
      </c>
      <c r="H845" s="220">
        <v>12377</v>
      </c>
      <c r="I845" s="220">
        <v>14449</v>
      </c>
      <c r="J845" s="220">
        <v>199.666</v>
      </c>
      <c r="K845" s="220">
        <v>-19.942</v>
      </c>
      <c r="L845" s="220">
        <v>24.41</v>
      </c>
      <c r="M845" s="220" t="s">
        <v>702</v>
      </c>
      <c r="N845" s="220" t="s">
        <v>933</v>
      </c>
      <c r="O845" s="220" t="s">
        <v>1299</v>
      </c>
      <c r="P845" s="220" t="s">
        <v>1300</v>
      </c>
      <c r="Q845" s="220" t="s">
        <v>111</v>
      </c>
      <c r="R845" s="220" t="s">
        <v>233</v>
      </c>
      <c r="S845" s="220" t="s">
        <v>585</v>
      </c>
    </row>
    <row r="846" spans="1:19" hidden="1" x14ac:dyDescent="0.25">
      <c r="A846" s="220">
        <v>122</v>
      </c>
      <c r="B846" s="220" t="s">
        <v>1298</v>
      </c>
      <c r="C846" s="220" t="s">
        <v>260</v>
      </c>
      <c r="D846" s="220" t="s">
        <v>458</v>
      </c>
      <c r="E846" s="220">
        <v>3</v>
      </c>
      <c r="F846" s="220">
        <v>204.16499999999999</v>
      </c>
      <c r="G846" s="220">
        <v>10539</v>
      </c>
      <c r="H846" s="220">
        <v>12431</v>
      </c>
      <c r="I846" s="220">
        <v>14513</v>
      </c>
      <c r="J846" s="220">
        <v>200.964</v>
      </c>
      <c r="K846" s="220">
        <v>-19.945</v>
      </c>
      <c r="L846" s="220">
        <v>24.422000000000001</v>
      </c>
      <c r="M846" s="220" t="s">
        <v>702</v>
      </c>
      <c r="N846" s="220" t="s">
        <v>933</v>
      </c>
      <c r="O846" s="220" t="s">
        <v>1299</v>
      </c>
      <c r="P846" s="220" t="s">
        <v>1300</v>
      </c>
      <c r="Q846" s="220" t="s">
        <v>81</v>
      </c>
      <c r="R846" s="220" t="s">
        <v>214</v>
      </c>
      <c r="S846" s="220" t="s">
        <v>241</v>
      </c>
    </row>
    <row r="847" spans="1:19" hidden="1" x14ac:dyDescent="0.25">
      <c r="A847" s="220">
        <v>122</v>
      </c>
      <c r="B847" s="220" t="s">
        <v>1298</v>
      </c>
      <c r="C847" s="220" t="s">
        <v>260</v>
      </c>
      <c r="D847" s="220" t="s">
        <v>458</v>
      </c>
      <c r="E847" s="220">
        <v>4</v>
      </c>
      <c r="F847" s="220">
        <v>204.21199999999999</v>
      </c>
      <c r="G847" s="220">
        <v>10506</v>
      </c>
      <c r="H847" s="220">
        <v>12392</v>
      </c>
      <c r="I847" s="220">
        <v>14466</v>
      </c>
      <c r="J847" s="220">
        <v>201.01</v>
      </c>
      <c r="K847" s="220">
        <v>-19.937000000000001</v>
      </c>
      <c r="L847" s="220">
        <v>24.417999999999999</v>
      </c>
      <c r="M847" s="220" t="s">
        <v>702</v>
      </c>
      <c r="N847" s="220" t="s">
        <v>933</v>
      </c>
      <c r="O847" s="220" t="s">
        <v>1299</v>
      </c>
      <c r="P847" s="220" t="s">
        <v>1300</v>
      </c>
      <c r="Q847" s="220" t="s">
        <v>81</v>
      </c>
      <c r="R847" s="220" t="s">
        <v>96</v>
      </c>
      <c r="S847" s="220" t="s">
        <v>241</v>
      </c>
    </row>
    <row r="848" spans="1:19" hidden="1" x14ac:dyDescent="0.25">
      <c r="A848" s="220">
        <v>122</v>
      </c>
      <c r="B848" s="220" t="s">
        <v>1298</v>
      </c>
      <c r="C848" s="220" t="s">
        <v>260</v>
      </c>
      <c r="D848" s="220" t="s">
        <v>458</v>
      </c>
      <c r="E848" s="220">
        <v>5</v>
      </c>
      <c r="F848" s="220">
        <v>203.62</v>
      </c>
      <c r="G848" s="220">
        <v>15441</v>
      </c>
      <c r="H848" s="220">
        <v>18588</v>
      </c>
      <c r="I848" s="220">
        <v>21497</v>
      </c>
      <c r="J848" s="220">
        <v>200.37700000000001</v>
      </c>
      <c r="K848" s="220">
        <v>-1.6970000000000001</v>
      </c>
      <c r="L848" s="220">
        <v>35.459000000000003</v>
      </c>
      <c r="M848" s="220" t="s">
        <v>702</v>
      </c>
      <c r="N848" s="220" t="s">
        <v>933</v>
      </c>
      <c r="O848" s="220" t="s">
        <v>1299</v>
      </c>
      <c r="P848" s="220" t="s">
        <v>1300</v>
      </c>
      <c r="Q848" s="220" t="s">
        <v>178</v>
      </c>
      <c r="R848" s="220" t="s">
        <v>89</v>
      </c>
      <c r="S848" s="220" t="s">
        <v>1004</v>
      </c>
    </row>
    <row r="849" spans="1:19" x14ac:dyDescent="0.25">
      <c r="A849" s="220">
        <v>122</v>
      </c>
      <c r="B849" s="220" t="s">
        <v>1298</v>
      </c>
      <c r="C849" s="220" t="s">
        <v>260</v>
      </c>
      <c r="D849" s="220" t="s">
        <v>458</v>
      </c>
      <c r="E849" s="220">
        <v>6</v>
      </c>
      <c r="F849" s="220">
        <v>178.315</v>
      </c>
      <c r="G849" s="220">
        <v>13764</v>
      </c>
      <c r="H849" s="220">
        <v>16570</v>
      </c>
      <c r="I849" s="220">
        <v>19169</v>
      </c>
      <c r="J849" s="220">
        <v>175.476</v>
      </c>
      <c r="K849" s="220">
        <v>-1.6870000000000001</v>
      </c>
      <c r="L849" s="220">
        <v>35.796999999999997</v>
      </c>
      <c r="M849" s="220" t="s">
        <v>702</v>
      </c>
      <c r="N849" s="220" t="s">
        <v>933</v>
      </c>
      <c r="O849" s="220" t="s">
        <v>1299</v>
      </c>
      <c r="P849" s="220" t="s">
        <v>1300</v>
      </c>
      <c r="Q849" s="220" t="s">
        <v>219</v>
      </c>
      <c r="R849" s="220" t="s">
        <v>172</v>
      </c>
      <c r="S849" s="220" t="s">
        <v>539</v>
      </c>
    </row>
    <row r="850" spans="1:19" x14ac:dyDescent="0.25">
      <c r="A850" s="220">
        <v>122</v>
      </c>
      <c r="B850" s="220" t="s">
        <v>1298</v>
      </c>
      <c r="C850" s="220" t="s">
        <v>260</v>
      </c>
      <c r="D850" s="220" t="s">
        <v>458</v>
      </c>
      <c r="E850" s="220">
        <v>7</v>
      </c>
      <c r="F850" s="220">
        <v>165.77199999999999</v>
      </c>
      <c r="G850" s="220">
        <v>12830</v>
      </c>
      <c r="H850" s="220">
        <v>15444</v>
      </c>
      <c r="I850" s="220">
        <v>17868</v>
      </c>
      <c r="J850" s="220">
        <v>163.13200000000001</v>
      </c>
      <c r="K850" s="220">
        <v>-1.627</v>
      </c>
      <c r="L850" s="220">
        <v>35.844000000000001</v>
      </c>
      <c r="M850" s="220" t="s">
        <v>702</v>
      </c>
      <c r="N850" s="220" t="s">
        <v>933</v>
      </c>
      <c r="O850" s="220" t="s">
        <v>1299</v>
      </c>
      <c r="P850" s="220" t="s">
        <v>1300</v>
      </c>
      <c r="Q850" s="220" t="s">
        <v>544</v>
      </c>
      <c r="R850" s="220" t="s">
        <v>331</v>
      </c>
      <c r="S850" s="220" t="s">
        <v>1301</v>
      </c>
    </row>
    <row r="851" spans="1:19" hidden="1" x14ac:dyDescent="0.25">
      <c r="A851" s="220">
        <v>123</v>
      </c>
      <c r="B851" s="220" t="s">
        <v>1302</v>
      </c>
      <c r="C851" s="220" t="s">
        <v>283</v>
      </c>
      <c r="D851" s="220" t="s">
        <v>459</v>
      </c>
      <c r="E851" s="220">
        <v>1</v>
      </c>
      <c r="F851" s="220">
        <v>205.18700000000001</v>
      </c>
      <c r="G851" s="220">
        <v>10492</v>
      </c>
      <c r="H851" s="220">
        <v>12374</v>
      </c>
      <c r="I851" s="220">
        <v>14454</v>
      </c>
      <c r="J851" s="220">
        <v>201.97</v>
      </c>
      <c r="K851" s="220">
        <v>-19.939</v>
      </c>
      <c r="L851" s="220">
        <v>24.414000000000001</v>
      </c>
      <c r="M851" s="220" t="s">
        <v>891</v>
      </c>
      <c r="N851" s="220" t="s">
        <v>933</v>
      </c>
      <c r="O851" s="220" t="s">
        <v>1303</v>
      </c>
      <c r="P851" s="220" t="s">
        <v>1304</v>
      </c>
      <c r="Q851" s="220" t="s">
        <v>74</v>
      </c>
      <c r="R851" s="220" t="s">
        <v>122</v>
      </c>
      <c r="S851" s="220" t="s">
        <v>192</v>
      </c>
    </row>
    <row r="852" spans="1:19" hidden="1" x14ac:dyDescent="0.25">
      <c r="A852" s="220">
        <v>123</v>
      </c>
      <c r="B852" s="220" t="s">
        <v>1302</v>
      </c>
      <c r="C852" s="220" t="s">
        <v>283</v>
      </c>
      <c r="D852" s="220" t="s">
        <v>459</v>
      </c>
      <c r="E852" s="220">
        <v>2</v>
      </c>
      <c r="F852" s="220">
        <v>202.892</v>
      </c>
      <c r="G852" s="220">
        <v>10502</v>
      </c>
      <c r="H852" s="220">
        <v>12387</v>
      </c>
      <c r="I852" s="220">
        <v>14470</v>
      </c>
      <c r="J852" s="220">
        <v>199.71100000000001</v>
      </c>
      <c r="K852" s="220">
        <v>-19.928000000000001</v>
      </c>
      <c r="L852" s="220">
        <v>24.405000000000001</v>
      </c>
      <c r="M852" s="220" t="s">
        <v>891</v>
      </c>
      <c r="N852" s="220" t="s">
        <v>933</v>
      </c>
      <c r="O852" s="220" t="s">
        <v>1303</v>
      </c>
      <c r="P852" s="220" t="s">
        <v>1304</v>
      </c>
      <c r="Q852" s="220" t="s">
        <v>237</v>
      </c>
      <c r="R852" s="220" t="s">
        <v>105</v>
      </c>
      <c r="S852" s="220" t="s">
        <v>208</v>
      </c>
    </row>
    <row r="853" spans="1:19" hidden="1" x14ac:dyDescent="0.25">
      <c r="A853" s="220">
        <v>123</v>
      </c>
      <c r="B853" s="220" t="s">
        <v>1302</v>
      </c>
      <c r="C853" s="220" t="s">
        <v>283</v>
      </c>
      <c r="D853" s="220" t="s">
        <v>459</v>
      </c>
      <c r="E853" s="220">
        <v>3</v>
      </c>
      <c r="F853" s="220">
        <v>204.28700000000001</v>
      </c>
      <c r="G853" s="220">
        <v>10541</v>
      </c>
      <c r="H853" s="220">
        <v>12433</v>
      </c>
      <c r="I853" s="220">
        <v>14528</v>
      </c>
      <c r="J853" s="220">
        <v>201.083</v>
      </c>
      <c r="K853" s="220">
        <v>-19.922000000000001</v>
      </c>
      <c r="L853" s="220">
        <v>24.405999999999999</v>
      </c>
      <c r="M853" s="220" t="s">
        <v>891</v>
      </c>
      <c r="N853" s="220" t="s">
        <v>933</v>
      </c>
      <c r="O853" s="220" t="s">
        <v>1303</v>
      </c>
      <c r="P853" s="220" t="s">
        <v>1304</v>
      </c>
      <c r="Q853" s="220" t="s">
        <v>158</v>
      </c>
      <c r="R853" s="220" t="s">
        <v>233</v>
      </c>
      <c r="S853" s="220" t="s">
        <v>235</v>
      </c>
    </row>
    <row r="854" spans="1:19" hidden="1" x14ac:dyDescent="0.25">
      <c r="A854" s="220">
        <v>123</v>
      </c>
      <c r="B854" s="220" t="s">
        <v>1302</v>
      </c>
      <c r="C854" s="220" t="s">
        <v>283</v>
      </c>
      <c r="D854" s="220" t="s">
        <v>459</v>
      </c>
      <c r="E854" s="220">
        <v>4</v>
      </c>
      <c r="F854" s="220">
        <v>204.07499999999999</v>
      </c>
      <c r="G854" s="220">
        <v>10495</v>
      </c>
      <c r="H854" s="220">
        <v>12378</v>
      </c>
      <c r="I854" s="220">
        <v>14460</v>
      </c>
      <c r="J854" s="220">
        <v>200.875</v>
      </c>
      <c r="K854" s="220">
        <v>-19.937000000000001</v>
      </c>
      <c r="L854" s="220">
        <v>24.417999999999999</v>
      </c>
      <c r="M854" s="220" t="s">
        <v>891</v>
      </c>
      <c r="N854" s="220" t="s">
        <v>933</v>
      </c>
      <c r="O854" s="220" t="s">
        <v>1303</v>
      </c>
      <c r="P854" s="220" t="s">
        <v>1304</v>
      </c>
      <c r="Q854" s="220" t="s">
        <v>158</v>
      </c>
      <c r="R854" s="220" t="s">
        <v>233</v>
      </c>
      <c r="S854" s="220" t="s">
        <v>235</v>
      </c>
    </row>
    <row r="855" spans="1:19" hidden="1" x14ac:dyDescent="0.25">
      <c r="A855" s="220">
        <v>123</v>
      </c>
      <c r="B855" s="220" t="s">
        <v>1302</v>
      </c>
      <c r="C855" s="220" t="s">
        <v>283</v>
      </c>
      <c r="D855" s="220" t="s">
        <v>459</v>
      </c>
      <c r="E855" s="220">
        <v>5</v>
      </c>
      <c r="F855" s="220">
        <v>217.99600000000001</v>
      </c>
      <c r="G855" s="220">
        <v>17434</v>
      </c>
      <c r="H855" s="220">
        <v>21009</v>
      </c>
      <c r="I855" s="220">
        <v>24288</v>
      </c>
      <c r="J855" s="220">
        <v>214.524</v>
      </c>
      <c r="K855" s="220">
        <v>-1.877</v>
      </c>
      <c r="L855" s="220">
        <v>35.521000000000001</v>
      </c>
      <c r="M855" s="220" t="s">
        <v>891</v>
      </c>
      <c r="N855" s="220" t="s">
        <v>933</v>
      </c>
      <c r="O855" s="220" t="s">
        <v>1303</v>
      </c>
      <c r="P855" s="220" t="s">
        <v>1304</v>
      </c>
      <c r="Q855" s="220" t="s">
        <v>171</v>
      </c>
      <c r="R855" s="220" t="s">
        <v>88</v>
      </c>
      <c r="S855" s="220" t="s">
        <v>582</v>
      </c>
    </row>
    <row r="856" spans="1:19" x14ac:dyDescent="0.25">
      <c r="A856" s="220">
        <v>123</v>
      </c>
      <c r="B856" s="220" t="s">
        <v>1302</v>
      </c>
      <c r="C856" s="220" t="s">
        <v>283</v>
      </c>
      <c r="D856" s="220" t="s">
        <v>459</v>
      </c>
      <c r="E856" s="220">
        <v>6</v>
      </c>
      <c r="F856" s="220">
        <v>193.12100000000001</v>
      </c>
      <c r="G856" s="220">
        <v>15705</v>
      </c>
      <c r="H856" s="220">
        <v>18920</v>
      </c>
      <c r="I856" s="220">
        <v>21887</v>
      </c>
      <c r="J856" s="220">
        <v>190.04599999999999</v>
      </c>
      <c r="K856" s="220">
        <v>-1.8080000000000001</v>
      </c>
      <c r="L856" s="220">
        <v>35.676000000000002</v>
      </c>
      <c r="M856" s="220" t="s">
        <v>891</v>
      </c>
      <c r="N856" s="220" t="s">
        <v>933</v>
      </c>
      <c r="O856" s="220" t="s">
        <v>1303</v>
      </c>
      <c r="P856" s="220" t="s">
        <v>1304</v>
      </c>
      <c r="Q856" s="220" t="s">
        <v>96</v>
      </c>
      <c r="R856" s="220" t="s">
        <v>138</v>
      </c>
      <c r="S856" s="220" t="s">
        <v>631</v>
      </c>
    </row>
    <row r="857" spans="1:19" x14ac:dyDescent="0.25">
      <c r="A857" s="220">
        <v>123</v>
      </c>
      <c r="B857" s="220" t="s">
        <v>1302</v>
      </c>
      <c r="C857" s="220" t="s">
        <v>283</v>
      </c>
      <c r="D857" s="220" t="s">
        <v>459</v>
      </c>
      <c r="E857" s="220">
        <v>7</v>
      </c>
      <c r="F857" s="220">
        <v>180.28299999999999</v>
      </c>
      <c r="G857" s="220">
        <v>14676</v>
      </c>
      <c r="H857" s="220">
        <v>17673</v>
      </c>
      <c r="I857" s="220">
        <v>20449</v>
      </c>
      <c r="J857" s="220">
        <v>177.41200000000001</v>
      </c>
      <c r="K857" s="220">
        <v>-1.766</v>
      </c>
      <c r="L857" s="220">
        <v>35.698</v>
      </c>
      <c r="M857" s="220" t="s">
        <v>891</v>
      </c>
      <c r="N857" s="220" t="s">
        <v>933</v>
      </c>
      <c r="O857" s="220" t="s">
        <v>1303</v>
      </c>
      <c r="P857" s="220" t="s">
        <v>1304</v>
      </c>
      <c r="Q857" s="220" t="s">
        <v>738</v>
      </c>
      <c r="R857" s="220" t="s">
        <v>656</v>
      </c>
      <c r="S857" s="220" t="s">
        <v>1305</v>
      </c>
    </row>
    <row r="858" spans="1:19" hidden="1" x14ac:dyDescent="0.25">
      <c r="A858" s="220">
        <v>124</v>
      </c>
      <c r="B858" s="220" t="s">
        <v>1306</v>
      </c>
      <c r="C858" s="220" t="s">
        <v>294</v>
      </c>
      <c r="D858" s="220" t="s">
        <v>460</v>
      </c>
      <c r="E858" s="220">
        <v>1</v>
      </c>
      <c r="F858" s="220">
        <v>206</v>
      </c>
      <c r="G858" s="220">
        <v>10484</v>
      </c>
      <c r="H858" s="220">
        <v>12365</v>
      </c>
      <c r="I858" s="220">
        <v>14449</v>
      </c>
      <c r="J858" s="220">
        <v>202.77</v>
      </c>
      <c r="K858" s="220">
        <v>-19.933</v>
      </c>
      <c r="L858" s="220">
        <v>24.443999999999999</v>
      </c>
      <c r="M858" s="220" t="s">
        <v>897</v>
      </c>
      <c r="N858" s="220" t="s">
        <v>933</v>
      </c>
      <c r="O858" s="220" t="s">
        <v>1307</v>
      </c>
      <c r="P858" s="220" t="s">
        <v>1308</v>
      </c>
      <c r="Q858" s="220" t="s">
        <v>62</v>
      </c>
      <c r="R858" s="220" t="s">
        <v>207</v>
      </c>
      <c r="S858" s="220" t="s">
        <v>245</v>
      </c>
    </row>
    <row r="859" spans="1:19" hidden="1" x14ac:dyDescent="0.25">
      <c r="A859" s="220">
        <v>124</v>
      </c>
      <c r="B859" s="220" t="s">
        <v>1306</v>
      </c>
      <c r="C859" s="220" t="s">
        <v>294</v>
      </c>
      <c r="D859" s="220" t="s">
        <v>460</v>
      </c>
      <c r="E859" s="220">
        <v>2</v>
      </c>
      <c r="F859" s="220">
        <v>202.72200000000001</v>
      </c>
      <c r="G859" s="220">
        <v>10487</v>
      </c>
      <c r="H859" s="220">
        <v>12368</v>
      </c>
      <c r="I859" s="220">
        <v>14447</v>
      </c>
      <c r="J859" s="220">
        <v>199.54400000000001</v>
      </c>
      <c r="K859" s="220">
        <v>-19.934999999999999</v>
      </c>
      <c r="L859" s="220">
        <v>24.404</v>
      </c>
      <c r="M859" s="220" t="s">
        <v>897</v>
      </c>
      <c r="N859" s="220" t="s">
        <v>933</v>
      </c>
      <c r="O859" s="220" t="s">
        <v>1307</v>
      </c>
      <c r="P859" s="220" t="s">
        <v>1308</v>
      </c>
      <c r="Q859" s="220" t="s">
        <v>117</v>
      </c>
      <c r="R859" s="220" t="s">
        <v>119</v>
      </c>
      <c r="S859" s="220" t="s">
        <v>190</v>
      </c>
    </row>
    <row r="860" spans="1:19" hidden="1" x14ac:dyDescent="0.25">
      <c r="A860" s="220">
        <v>124</v>
      </c>
      <c r="B860" s="220" t="s">
        <v>1306</v>
      </c>
      <c r="C860" s="220" t="s">
        <v>294</v>
      </c>
      <c r="D860" s="220" t="s">
        <v>460</v>
      </c>
      <c r="E860" s="220">
        <v>3</v>
      </c>
      <c r="F860" s="220">
        <v>204.93299999999999</v>
      </c>
      <c r="G860" s="220">
        <v>10537</v>
      </c>
      <c r="H860" s="220">
        <v>12428</v>
      </c>
      <c r="I860" s="220">
        <v>14517</v>
      </c>
      <c r="J860" s="220">
        <v>201.72</v>
      </c>
      <c r="K860" s="220">
        <v>-19.934000000000001</v>
      </c>
      <c r="L860" s="220">
        <v>24.401</v>
      </c>
      <c r="M860" s="220" t="s">
        <v>897</v>
      </c>
      <c r="N860" s="220" t="s">
        <v>933</v>
      </c>
      <c r="O860" s="220" t="s">
        <v>1307</v>
      </c>
      <c r="P860" s="220" t="s">
        <v>1308</v>
      </c>
      <c r="Q860" s="220" t="s">
        <v>81</v>
      </c>
      <c r="R860" s="220" t="s">
        <v>214</v>
      </c>
      <c r="S860" s="220" t="s">
        <v>144</v>
      </c>
    </row>
    <row r="861" spans="1:19" hidden="1" x14ac:dyDescent="0.25">
      <c r="A861" s="220">
        <v>124</v>
      </c>
      <c r="B861" s="220" t="s">
        <v>1306</v>
      </c>
      <c r="C861" s="220" t="s">
        <v>294</v>
      </c>
      <c r="D861" s="220" t="s">
        <v>460</v>
      </c>
      <c r="E861" s="220">
        <v>4</v>
      </c>
      <c r="F861" s="220">
        <v>203.96899999999999</v>
      </c>
      <c r="G861" s="220">
        <v>10492</v>
      </c>
      <c r="H861" s="220">
        <v>12375</v>
      </c>
      <c r="I861" s="220">
        <v>14461</v>
      </c>
      <c r="J861" s="220">
        <v>200.77099999999999</v>
      </c>
      <c r="K861" s="220">
        <v>-19.937000000000001</v>
      </c>
      <c r="L861" s="220">
        <v>24.417999999999999</v>
      </c>
      <c r="M861" s="220" t="s">
        <v>897</v>
      </c>
      <c r="N861" s="220" t="s">
        <v>933</v>
      </c>
      <c r="O861" s="220" t="s">
        <v>1307</v>
      </c>
      <c r="P861" s="220" t="s">
        <v>1308</v>
      </c>
      <c r="Q861" s="220" t="s">
        <v>81</v>
      </c>
      <c r="R861" s="220" t="s">
        <v>214</v>
      </c>
      <c r="S861" s="220" t="s">
        <v>241</v>
      </c>
    </row>
    <row r="862" spans="1:19" hidden="1" x14ac:dyDescent="0.25">
      <c r="A862" s="220">
        <v>124</v>
      </c>
      <c r="B862" s="220" t="s">
        <v>1306</v>
      </c>
      <c r="C862" s="220" t="s">
        <v>294</v>
      </c>
      <c r="D862" s="220" t="s">
        <v>460</v>
      </c>
      <c r="E862" s="220">
        <v>5</v>
      </c>
      <c r="F862" s="220">
        <v>205.71299999999999</v>
      </c>
      <c r="G862" s="220">
        <v>15655</v>
      </c>
      <c r="H862" s="220">
        <v>18852</v>
      </c>
      <c r="I862" s="220">
        <v>21817</v>
      </c>
      <c r="J862" s="220">
        <v>202.43700000000001</v>
      </c>
      <c r="K862" s="220">
        <v>-1.887</v>
      </c>
      <c r="L862" s="220">
        <v>35.472000000000001</v>
      </c>
      <c r="M862" s="220" t="s">
        <v>897</v>
      </c>
      <c r="N862" s="220" t="s">
        <v>933</v>
      </c>
      <c r="O862" s="220" t="s">
        <v>1307</v>
      </c>
      <c r="P862" s="220" t="s">
        <v>1308</v>
      </c>
      <c r="Q862" s="220" t="s">
        <v>175</v>
      </c>
      <c r="R862" s="220" t="s">
        <v>611</v>
      </c>
      <c r="S862" s="220" t="s">
        <v>45</v>
      </c>
    </row>
    <row r="863" spans="1:19" x14ac:dyDescent="0.25">
      <c r="A863" s="220">
        <v>124</v>
      </c>
      <c r="B863" s="220" t="s">
        <v>1306</v>
      </c>
      <c r="C863" s="220" t="s">
        <v>294</v>
      </c>
      <c r="D863" s="220" t="s">
        <v>460</v>
      </c>
      <c r="E863" s="220">
        <v>6</v>
      </c>
      <c r="F863" s="220">
        <v>180.52</v>
      </c>
      <c r="G863" s="220">
        <v>13973</v>
      </c>
      <c r="H863" s="220">
        <v>16821</v>
      </c>
      <c r="I863" s="220">
        <v>19473</v>
      </c>
      <c r="J863" s="220">
        <v>177.64500000000001</v>
      </c>
      <c r="K863" s="220">
        <v>-1.83</v>
      </c>
      <c r="L863" s="220">
        <v>35.677999999999997</v>
      </c>
      <c r="M863" s="220" t="s">
        <v>897</v>
      </c>
      <c r="N863" s="220" t="s">
        <v>933</v>
      </c>
      <c r="O863" s="220" t="s">
        <v>1307</v>
      </c>
      <c r="P863" s="220" t="s">
        <v>1308</v>
      </c>
      <c r="Q863" s="220" t="s">
        <v>219</v>
      </c>
      <c r="R863" s="220" t="s">
        <v>379</v>
      </c>
      <c r="S863" s="220" t="s">
        <v>374</v>
      </c>
    </row>
    <row r="864" spans="1:19" x14ac:dyDescent="0.25">
      <c r="A864" s="220">
        <v>124</v>
      </c>
      <c r="B864" s="220" t="s">
        <v>1306</v>
      </c>
      <c r="C864" s="220" t="s">
        <v>294</v>
      </c>
      <c r="D864" s="220" t="s">
        <v>460</v>
      </c>
      <c r="E864" s="220">
        <v>7</v>
      </c>
      <c r="F864" s="220">
        <v>167.73</v>
      </c>
      <c r="G864" s="220">
        <v>13030</v>
      </c>
      <c r="H864" s="220">
        <v>15688</v>
      </c>
      <c r="I864" s="220">
        <v>18158</v>
      </c>
      <c r="J864" s="220">
        <v>165.059</v>
      </c>
      <c r="K864" s="220">
        <v>-1.788</v>
      </c>
      <c r="L864" s="220">
        <v>35.726999999999997</v>
      </c>
      <c r="M864" s="220" t="s">
        <v>897</v>
      </c>
      <c r="N864" s="220" t="s">
        <v>933</v>
      </c>
      <c r="O864" s="220" t="s">
        <v>1307</v>
      </c>
      <c r="P864" s="220" t="s">
        <v>1308</v>
      </c>
      <c r="Q864" s="220" t="s">
        <v>489</v>
      </c>
      <c r="R864" s="220" t="s">
        <v>1309</v>
      </c>
      <c r="S864" s="220" t="s">
        <v>1310</v>
      </c>
    </row>
    <row r="865" spans="1:19" hidden="1" x14ac:dyDescent="0.25">
      <c r="A865" s="220">
        <v>125</v>
      </c>
      <c r="B865" s="220" t="s">
        <v>1311</v>
      </c>
      <c r="C865" s="220" t="s">
        <v>221</v>
      </c>
      <c r="D865" s="220" t="s">
        <v>461</v>
      </c>
      <c r="E865" s="220">
        <v>1</v>
      </c>
      <c r="F865" s="220">
        <v>205.59</v>
      </c>
      <c r="G865" s="220">
        <v>10529</v>
      </c>
      <c r="H865" s="220">
        <v>12418</v>
      </c>
      <c r="I865" s="220">
        <v>14506</v>
      </c>
      <c r="J865" s="220">
        <v>202.36600000000001</v>
      </c>
      <c r="K865" s="220">
        <v>-19.925999999999998</v>
      </c>
      <c r="L865" s="220">
        <v>24.442</v>
      </c>
      <c r="M865" s="220" t="s">
        <v>906</v>
      </c>
      <c r="N865" s="220" t="s">
        <v>933</v>
      </c>
      <c r="O865" s="220" t="s">
        <v>1312</v>
      </c>
      <c r="P865" s="220" t="s">
        <v>1313</v>
      </c>
      <c r="Q865" s="220" t="s">
        <v>85</v>
      </c>
      <c r="R865" s="220" t="s">
        <v>133</v>
      </c>
      <c r="S865" s="220" t="s">
        <v>135</v>
      </c>
    </row>
    <row r="866" spans="1:19" hidden="1" x14ac:dyDescent="0.25">
      <c r="A866" s="220">
        <v>125</v>
      </c>
      <c r="B866" s="220" t="s">
        <v>1311</v>
      </c>
      <c r="C866" s="220" t="s">
        <v>221</v>
      </c>
      <c r="D866" s="220" t="s">
        <v>461</v>
      </c>
      <c r="E866" s="220">
        <v>2</v>
      </c>
      <c r="F866" s="220">
        <v>202.61600000000001</v>
      </c>
      <c r="G866" s="220">
        <v>10528</v>
      </c>
      <c r="H866" s="220">
        <v>12417</v>
      </c>
      <c r="I866" s="220">
        <v>14504</v>
      </c>
      <c r="J866" s="220">
        <v>199.43899999999999</v>
      </c>
      <c r="K866" s="220">
        <v>-19.931000000000001</v>
      </c>
      <c r="L866" s="220">
        <v>24.451000000000001</v>
      </c>
      <c r="M866" s="220" t="s">
        <v>906</v>
      </c>
      <c r="N866" s="220" t="s">
        <v>933</v>
      </c>
      <c r="O866" s="220" t="s">
        <v>1312</v>
      </c>
      <c r="P866" s="220" t="s">
        <v>1313</v>
      </c>
      <c r="Q866" s="220" t="s">
        <v>120</v>
      </c>
      <c r="R866" s="220" t="s">
        <v>226</v>
      </c>
      <c r="S866" s="220" t="s">
        <v>253</v>
      </c>
    </row>
    <row r="867" spans="1:19" hidden="1" x14ac:dyDescent="0.25">
      <c r="A867" s="220">
        <v>125</v>
      </c>
      <c r="B867" s="220" t="s">
        <v>1311</v>
      </c>
      <c r="C867" s="220" t="s">
        <v>221</v>
      </c>
      <c r="D867" s="220" t="s">
        <v>461</v>
      </c>
      <c r="E867" s="220">
        <v>3</v>
      </c>
      <c r="F867" s="220">
        <v>204.696</v>
      </c>
      <c r="G867" s="220">
        <v>10567</v>
      </c>
      <c r="H867" s="220">
        <v>12464</v>
      </c>
      <c r="I867" s="220">
        <v>14564</v>
      </c>
      <c r="J867" s="220">
        <v>201.48599999999999</v>
      </c>
      <c r="K867" s="220">
        <v>-19.939</v>
      </c>
      <c r="L867" s="220">
        <v>24.422000000000001</v>
      </c>
      <c r="M867" s="220" t="s">
        <v>906</v>
      </c>
      <c r="N867" s="220" t="s">
        <v>933</v>
      </c>
      <c r="O867" s="220" t="s">
        <v>1312</v>
      </c>
      <c r="P867" s="220" t="s">
        <v>1313</v>
      </c>
      <c r="Q867" s="220" t="s">
        <v>117</v>
      </c>
      <c r="R867" s="220" t="s">
        <v>119</v>
      </c>
      <c r="S867" s="220" t="s">
        <v>190</v>
      </c>
    </row>
    <row r="868" spans="1:19" hidden="1" x14ac:dyDescent="0.25">
      <c r="A868" s="220">
        <v>125</v>
      </c>
      <c r="B868" s="220" t="s">
        <v>1311</v>
      </c>
      <c r="C868" s="220" t="s">
        <v>221</v>
      </c>
      <c r="D868" s="220" t="s">
        <v>461</v>
      </c>
      <c r="E868" s="220">
        <v>4</v>
      </c>
      <c r="F868" s="220">
        <v>204.47</v>
      </c>
      <c r="G868" s="220">
        <v>10533</v>
      </c>
      <c r="H868" s="220">
        <v>12424</v>
      </c>
      <c r="I868" s="220">
        <v>14512</v>
      </c>
      <c r="J868" s="220">
        <v>201.26400000000001</v>
      </c>
      <c r="K868" s="220">
        <v>-19.937000000000001</v>
      </c>
      <c r="L868" s="220">
        <v>24.417999999999999</v>
      </c>
      <c r="M868" s="220" t="s">
        <v>906</v>
      </c>
      <c r="N868" s="220" t="s">
        <v>933</v>
      </c>
      <c r="O868" s="220" t="s">
        <v>1312</v>
      </c>
      <c r="P868" s="220" t="s">
        <v>1313</v>
      </c>
      <c r="Q868" s="220" t="s">
        <v>117</v>
      </c>
      <c r="R868" s="220" t="s">
        <v>119</v>
      </c>
      <c r="S868" s="220" t="s">
        <v>303</v>
      </c>
    </row>
    <row r="869" spans="1:19" hidden="1" x14ac:dyDescent="0.25">
      <c r="A869" s="220">
        <v>125</v>
      </c>
      <c r="B869" s="220" t="s">
        <v>1311</v>
      </c>
      <c r="C869" s="220" t="s">
        <v>221</v>
      </c>
      <c r="D869" s="220" t="s">
        <v>461</v>
      </c>
      <c r="E869" s="220">
        <v>5</v>
      </c>
      <c r="F869" s="220">
        <v>245.864</v>
      </c>
      <c r="G869" s="220">
        <v>19773</v>
      </c>
      <c r="H869" s="220">
        <v>23814</v>
      </c>
      <c r="I869" s="220">
        <v>27552</v>
      </c>
      <c r="J869" s="220">
        <v>241.95</v>
      </c>
      <c r="K869" s="220">
        <v>-2.42</v>
      </c>
      <c r="L869" s="220">
        <v>35.651000000000003</v>
      </c>
      <c r="M869" s="220" t="s">
        <v>906</v>
      </c>
      <c r="N869" s="220" t="s">
        <v>933</v>
      </c>
      <c r="O869" s="220" t="s">
        <v>1312</v>
      </c>
      <c r="P869" s="220" t="s">
        <v>1313</v>
      </c>
      <c r="Q869" s="220" t="s">
        <v>151</v>
      </c>
      <c r="R869" s="220" t="s">
        <v>46</v>
      </c>
      <c r="S869" s="220" t="s">
        <v>835</v>
      </c>
    </row>
    <row r="870" spans="1:19" x14ac:dyDescent="0.25">
      <c r="A870" s="220">
        <v>125</v>
      </c>
      <c r="B870" s="220" t="s">
        <v>1311</v>
      </c>
      <c r="C870" s="220" t="s">
        <v>221</v>
      </c>
      <c r="D870" s="220" t="s">
        <v>461</v>
      </c>
      <c r="E870" s="220">
        <v>6</v>
      </c>
      <c r="F870" s="220">
        <v>215.59100000000001</v>
      </c>
      <c r="G870" s="220">
        <v>17454</v>
      </c>
      <c r="H870" s="220">
        <v>21011</v>
      </c>
      <c r="I870" s="220">
        <v>24331</v>
      </c>
      <c r="J870" s="220">
        <v>212.15899999999999</v>
      </c>
      <c r="K870" s="220">
        <v>-2.379</v>
      </c>
      <c r="L870" s="220">
        <v>35.887999999999998</v>
      </c>
      <c r="M870" s="220" t="s">
        <v>906</v>
      </c>
      <c r="N870" s="220" t="s">
        <v>933</v>
      </c>
      <c r="O870" s="220" t="s">
        <v>1312</v>
      </c>
      <c r="P870" s="220" t="s">
        <v>1313</v>
      </c>
      <c r="Q870" s="220" t="s">
        <v>204</v>
      </c>
      <c r="R870" s="220" t="s">
        <v>589</v>
      </c>
      <c r="S870" s="220" t="s">
        <v>1314</v>
      </c>
    </row>
    <row r="871" spans="1:19" x14ac:dyDescent="0.25">
      <c r="A871" s="220">
        <v>125</v>
      </c>
      <c r="B871" s="220" t="s">
        <v>1311</v>
      </c>
      <c r="C871" s="220" t="s">
        <v>221</v>
      </c>
      <c r="D871" s="220" t="s">
        <v>461</v>
      </c>
      <c r="E871" s="220">
        <v>7</v>
      </c>
      <c r="F871" s="220">
        <v>202.227</v>
      </c>
      <c r="G871" s="220">
        <v>16137</v>
      </c>
      <c r="H871" s="220">
        <v>19417</v>
      </c>
      <c r="I871" s="220">
        <v>22487</v>
      </c>
      <c r="J871" s="220">
        <v>199.00700000000001</v>
      </c>
      <c r="K871" s="220">
        <v>-2.411</v>
      </c>
      <c r="L871" s="220">
        <v>35.935000000000002</v>
      </c>
      <c r="M871" s="220" t="s">
        <v>906</v>
      </c>
      <c r="N871" s="220" t="s">
        <v>933</v>
      </c>
      <c r="O871" s="220" t="s">
        <v>1312</v>
      </c>
      <c r="P871" s="220" t="s">
        <v>1313</v>
      </c>
      <c r="Q871" s="220" t="s">
        <v>204</v>
      </c>
      <c r="R871" s="220" t="s">
        <v>589</v>
      </c>
      <c r="S871" s="220" t="s">
        <v>1314</v>
      </c>
    </row>
    <row r="872" spans="1:19" hidden="1" x14ac:dyDescent="0.25">
      <c r="A872" s="220">
        <v>126</v>
      </c>
      <c r="B872" s="220" t="s">
        <v>1315</v>
      </c>
      <c r="C872" s="220" t="s">
        <v>339</v>
      </c>
      <c r="D872" s="220" t="s">
        <v>462</v>
      </c>
      <c r="E872" s="220">
        <v>1</v>
      </c>
      <c r="F872" s="220">
        <v>205.47399999999999</v>
      </c>
      <c r="G872" s="220">
        <v>10489</v>
      </c>
      <c r="H872" s="220">
        <v>12371</v>
      </c>
      <c r="I872" s="220">
        <v>14456</v>
      </c>
      <c r="J872" s="220">
        <v>202.25200000000001</v>
      </c>
      <c r="K872" s="220">
        <v>-19.940000000000001</v>
      </c>
      <c r="L872" s="220">
        <v>24.431000000000001</v>
      </c>
      <c r="M872" s="220" t="s">
        <v>1316</v>
      </c>
      <c r="N872" s="220" t="s">
        <v>933</v>
      </c>
      <c r="O872" s="220" t="s">
        <v>1317</v>
      </c>
      <c r="P872" s="220" t="s">
        <v>1318</v>
      </c>
      <c r="Q872" s="220" t="s">
        <v>213</v>
      </c>
      <c r="R872" s="220" t="s">
        <v>120</v>
      </c>
      <c r="S872" s="220" t="s">
        <v>124</v>
      </c>
    </row>
    <row r="873" spans="1:19" hidden="1" x14ac:dyDescent="0.25">
      <c r="A873" s="220">
        <v>126</v>
      </c>
      <c r="B873" s="220" t="s">
        <v>1315</v>
      </c>
      <c r="C873" s="220" t="s">
        <v>339</v>
      </c>
      <c r="D873" s="220" t="s">
        <v>462</v>
      </c>
      <c r="E873" s="220">
        <v>2</v>
      </c>
      <c r="F873" s="220">
        <v>199.28100000000001</v>
      </c>
      <c r="G873" s="220">
        <v>10492</v>
      </c>
      <c r="H873" s="220">
        <v>12374</v>
      </c>
      <c r="I873" s="220">
        <v>14455</v>
      </c>
      <c r="J873" s="220">
        <v>196.15100000000001</v>
      </c>
      <c r="K873" s="220">
        <v>-19.294</v>
      </c>
      <c r="L873" s="220">
        <v>28.414999999999999</v>
      </c>
      <c r="M873" s="220" t="s">
        <v>1316</v>
      </c>
      <c r="N873" s="220" t="s">
        <v>933</v>
      </c>
      <c r="O873" s="220" t="s">
        <v>1317</v>
      </c>
      <c r="P873" s="220" t="s">
        <v>1318</v>
      </c>
      <c r="Q873" s="220" t="s">
        <v>79</v>
      </c>
      <c r="R873" s="220" t="s">
        <v>149</v>
      </c>
      <c r="S873" s="220" t="s">
        <v>200</v>
      </c>
    </row>
    <row r="874" spans="1:19" hidden="1" x14ac:dyDescent="0.25">
      <c r="A874" s="220">
        <v>126</v>
      </c>
      <c r="B874" s="220" t="s">
        <v>1315</v>
      </c>
      <c r="C874" s="220" t="s">
        <v>339</v>
      </c>
      <c r="D874" s="220" t="s">
        <v>462</v>
      </c>
      <c r="E874" s="220">
        <v>3</v>
      </c>
      <c r="F874" s="220">
        <v>203.971</v>
      </c>
      <c r="G874" s="220">
        <v>10545</v>
      </c>
      <c r="H874" s="220">
        <v>12437</v>
      </c>
      <c r="I874" s="220">
        <v>14529</v>
      </c>
      <c r="J874" s="220">
        <v>200.773</v>
      </c>
      <c r="K874" s="220">
        <v>-19.943000000000001</v>
      </c>
      <c r="L874" s="220">
        <v>24.4</v>
      </c>
      <c r="M874" s="220" t="s">
        <v>1316</v>
      </c>
      <c r="N874" s="220" t="s">
        <v>933</v>
      </c>
      <c r="O874" s="220" t="s">
        <v>1317</v>
      </c>
      <c r="P874" s="220" t="s">
        <v>1318</v>
      </c>
      <c r="Q874" s="220" t="s">
        <v>203</v>
      </c>
      <c r="R874" s="220" t="s">
        <v>112</v>
      </c>
      <c r="S874" s="220" t="s">
        <v>528</v>
      </c>
    </row>
    <row r="875" spans="1:19" hidden="1" x14ac:dyDescent="0.25">
      <c r="A875" s="220">
        <v>126</v>
      </c>
      <c r="B875" s="220" t="s">
        <v>1315</v>
      </c>
      <c r="C875" s="220" t="s">
        <v>339</v>
      </c>
      <c r="D875" s="220" t="s">
        <v>462</v>
      </c>
      <c r="E875" s="220">
        <v>4</v>
      </c>
      <c r="F875" s="220">
        <v>204.13499999999999</v>
      </c>
      <c r="G875" s="220">
        <v>10491</v>
      </c>
      <c r="H875" s="220">
        <v>12374</v>
      </c>
      <c r="I875" s="220">
        <v>14460</v>
      </c>
      <c r="J875" s="220">
        <v>200.934</v>
      </c>
      <c r="K875" s="220">
        <v>-19.937000000000001</v>
      </c>
      <c r="L875" s="220">
        <v>24.417999999999999</v>
      </c>
      <c r="M875" s="220" t="s">
        <v>1316</v>
      </c>
      <c r="N875" s="220" t="s">
        <v>933</v>
      </c>
      <c r="O875" s="220" t="s">
        <v>1317</v>
      </c>
      <c r="P875" s="220" t="s">
        <v>1318</v>
      </c>
      <c r="Q875" s="220" t="s">
        <v>79</v>
      </c>
      <c r="R875" s="220" t="s">
        <v>149</v>
      </c>
      <c r="S875" s="220" t="s">
        <v>201</v>
      </c>
    </row>
    <row r="876" spans="1:19" hidden="1" x14ac:dyDescent="0.25">
      <c r="A876" s="220">
        <v>126</v>
      </c>
      <c r="B876" s="220" t="s">
        <v>1315</v>
      </c>
      <c r="C876" s="220" t="s">
        <v>339</v>
      </c>
      <c r="D876" s="220" t="s">
        <v>462</v>
      </c>
      <c r="E876" s="220">
        <v>5</v>
      </c>
      <c r="F876" s="220">
        <v>190.04599999999999</v>
      </c>
      <c r="G876" s="220">
        <v>14487</v>
      </c>
      <c r="H876" s="220">
        <v>17437</v>
      </c>
      <c r="I876" s="220">
        <v>20189</v>
      </c>
      <c r="J876" s="220">
        <v>187.02</v>
      </c>
      <c r="K876" s="220">
        <v>-2.3370000000000002</v>
      </c>
      <c r="L876" s="220">
        <v>35.835999999999999</v>
      </c>
      <c r="M876" s="220" t="s">
        <v>1316</v>
      </c>
      <c r="N876" s="220" t="s">
        <v>933</v>
      </c>
      <c r="O876" s="220" t="s">
        <v>1317</v>
      </c>
      <c r="P876" s="220" t="s">
        <v>1318</v>
      </c>
      <c r="Q876" s="220" t="s">
        <v>168</v>
      </c>
      <c r="R876" s="220" t="s">
        <v>571</v>
      </c>
      <c r="S876" s="220" t="s">
        <v>605</v>
      </c>
    </row>
    <row r="877" spans="1:19" x14ac:dyDescent="0.25">
      <c r="A877" s="220">
        <v>126</v>
      </c>
      <c r="B877" s="220" t="s">
        <v>1315</v>
      </c>
      <c r="C877" s="220" t="s">
        <v>339</v>
      </c>
      <c r="D877" s="220" t="s">
        <v>462</v>
      </c>
      <c r="E877" s="220">
        <v>6</v>
      </c>
      <c r="F877" s="220">
        <v>166.566</v>
      </c>
      <c r="G877" s="220">
        <v>12909</v>
      </c>
      <c r="H877" s="220">
        <v>15536</v>
      </c>
      <c r="I877" s="220">
        <v>17998</v>
      </c>
      <c r="J877" s="220">
        <v>163.91399999999999</v>
      </c>
      <c r="K877" s="220">
        <v>-2.2999999999999998</v>
      </c>
      <c r="L877" s="220">
        <v>36.015000000000001</v>
      </c>
      <c r="M877" s="220" t="s">
        <v>1316</v>
      </c>
      <c r="N877" s="220" t="s">
        <v>933</v>
      </c>
      <c r="O877" s="220" t="s">
        <v>1317</v>
      </c>
      <c r="P877" s="220" t="s">
        <v>1318</v>
      </c>
      <c r="Q877" s="220" t="s">
        <v>244</v>
      </c>
      <c r="R877" s="220" t="s">
        <v>204</v>
      </c>
      <c r="S877" s="220" t="s">
        <v>187</v>
      </c>
    </row>
    <row r="878" spans="1:19" x14ac:dyDescent="0.25">
      <c r="A878" s="220">
        <v>126</v>
      </c>
      <c r="B878" s="220" t="s">
        <v>1315</v>
      </c>
      <c r="C878" s="220" t="s">
        <v>339</v>
      </c>
      <c r="D878" s="220" t="s">
        <v>462</v>
      </c>
      <c r="E878" s="220">
        <v>7</v>
      </c>
      <c r="F878" s="220">
        <v>154.61799999999999</v>
      </c>
      <c r="G878" s="220">
        <v>12033</v>
      </c>
      <c r="H878" s="220">
        <v>14480</v>
      </c>
      <c r="I878" s="220">
        <v>16770</v>
      </c>
      <c r="J878" s="220">
        <v>152.15600000000001</v>
      </c>
      <c r="K878" s="220">
        <v>-2.2160000000000002</v>
      </c>
      <c r="L878" s="220">
        <v>36.054000000000002</v>
      </c>
      <c r="M878" s="220" t="s">
        <v>1316</v>
      </c>
      <c r="N878" s="220" t="s">
        <v>933</v>
      </c>
      <c r="O878" s="220" t="s">
        <v>1317</v>
      </c>
      <c r="P878" s="220" t="s">
        <v>1318</v>
      </c>
      <c r="Q878" s="220" t="s">
        <v>638</v>
      </c>
      <c r="R878" s="220" t="s">
        <v>1146</v>
      </c>
      <c r="S878" s="220" t="s">
        <v>719</v>
      </c>
    </row>
    <row r="879" spans="1:19" hidden="1" x14ac:dyDescent="0.25">
      <c r="A879" s="220">
        <v>127</v>
      </c>
      <c r="B879" s="220" t="s">
        <v>1319</v>
      </c>
      <c r="C879" s="220" t="s">
        <v>260</v>
      </c>
      <c r="D879" s="220" t="s">
        <v>464</v>
      </c>
      <c r="E879" s="220">
        <v>1</v>
      </c>
      <c r="F879" s="220">
        <v>206.15</v>
      </c>
      <c r="G879" s="220">
        <v>10551</v>
      </c>
      <c r="H879" s="220">
        <v>12442</v>
      </c>
      <c r="I879" s="220">
        <v>14540</v>
      </c>
      <c r="J879" s="220">
        <v>202.917</v>
      </c>
      <c r="K879" s="220">
        <v>-19.927</v>
      </c>
      <c r="L879" s="220">
        <v>24.474</v>
      </c>
      <c r="M879" s="220" t="s">
        <v>1320</v>
      </c>
      <c r="N879" s="220" t="s">
        <v>933</v>
      </c>
      <c r="O879" s="220" t="s">
        <v>1321</v>
      </c>
      <c r="P879" s="220" t="s">
        <v>1322</v>
      </c>
      <c r="Q879" s="220" t="s">
        <v>73</v>
      </c>
      <c r="R879" s="220" t="s">
        <v>129</v>
      </c>
      <c r="S879" s="220" t="s">
        <v>262</v>
      </c>
    </row>
    <row r="880" spans="1:19" hidden="1" x14ac:dyDescent="0.25">
      <c r="A880" s="220">
        <v>127</v>
      </c>
      <c r="B880" s="220" t="s">
        <v>1319</v>
      </c>
      <c r="C880" s="220" t="s">
        <v>260</v>
      </c>
      <c r="D880" s="220" t="s">
        <v>464</v>
      </c>
      <c r="E880" s="220">
        <v>2</v>
      </c>
      <c r="F880" s="220">
        <v>202.46600000000001</v>
      </c>
      <c r="G880" s="220">
        <v>10485</v>
      </c>
      <c r="H880" s="220">
        <v>12366</v>
      </c>
      <c r="I880" s="220">
        <v>14448</v>
      </c>
      <c r="J880" s="220">
        <v>199.292</v>
      </c>
      <c r="K880" s="220">
        <v>-19.931999999999999</v>
      </c>
      <c r="L880" s="220">
        <v>24.416</v>
      </c>
      <c r="M880" s="220" t="s">
        <v>1320</v>
      </c>
      <c r="N880" s="220" t="s">
        <v>933</v>
      </c>
      <c r="O880" s="220" t="s">
        <v>1321</v>
      </c>
      <c r="P880" s="220" t="s">
        <v>1322</v>
      </c>
      <c r="Q880" s="220" t="s">
        <v>237</v>
      </c>
      <c r="R880" s="220" t="s">
        <v>252</v>
      </c>
      <c r="S880" s="220" t="s">
        <v>208</v>
      </c>
    </row>
    <row r="881" spans="1:19" hidden="1" x14ac:dyDescent="0.25">
      <c r="A881" s="220">
        <v>127</v>
      </c>
      <c r="B881" s="220" t="s">
        <v>1319</v>
      </c>
      <c r="C881" s="220" t="s">
        <v>260</v>
      </c>
      <c r="D881" s="220" t="s">
        <v>464</v>
      </c>
      <c r="E881" s="220">
        <v>3</v>
      </c>
      <c r="F881" s="220">
        <v>202.803</v>
      </c>
      <c r="G881" s="220">
        <v>10463</v>
      </c>
      <c r="H881" s="220">
        <v>12340</v>
      </c>
      <c r="I881" s="220">
        <v>14423</v>
      </c>
      <c r="J881" s="220">
        <v>199.62299999999999</v>
      </c>
      <c r="K881" s="220">
        <v>-19.937999999999999</v>
      </c>
      <c r="L881" s="220">
        <v>24.402000000000001</v>
      </c>
      <c r="M881" s="220" t="s">
        <v>1320</v>
      </c>
      <c r="N881" s="220" t="s">
        <v>933</v>
      </c>
      <c r="O881" s="220" t="s">
        <v>1321</v>
      </c>
      <c r="P881" s="220" t="s">
        <v>1322</v>
      </c>
      <c r="Q881" s="220" t="s">
        <v>158</v>
      </c>
      <c r="R881" s="220" t="s">
        <v>233</v>
      </c>
      <c r="S881" s="220" t="s">
        <v>189</v>
      </c>
    </row>
    <row r="882" spans="1:19" hidden="1" x14ac:dyDescent="0.25">
      <c r="A882" s="220">
        <v>127</v>
      </c>
      <c r="B882" s="220" t="s">
        <v>1319</v>
      </c>
      <c r="C882" s="220" t="s">
        <v>260</v>
      </c>
      <c r="D882" s="220" t="s">
        <v>464</v>
      </c>
      <c r="E882" s="220">
        <v>4</v>
      </c>
      <c r="F882" s="220">
        <v>202.32</v>
      </c>
      <c r="G882" s="220">
        <v>10418</v>
      </c>
      <c r="H882" s="220">
        <v>12286</v>
      </c>
      <c r="I882" s="220">
        <v>14356</v>
      </c>
      <c r="J882" s="220">
        <v>199.148</v>
      </c>
      <c r="K882" s="220">
        <v>-19.937000000000001</v>
      </c>
      <c r="L882" s="220">
        <v>24.417999999999999</v>
      </c>
      <c r="M882" s="220" t="s">
        <v>1320</v>
      </c>
      <c r="N882" s="220" t="s">
        <v>933</v>
      </c>
      <c r="O882" s="220" t="s">
        <v>1321</v>
      </c>
      <c r="P882" s="220" t="s">
        <v>1322</v>
      </c>
      <c r="Q882" s="220" t="s">
        <v>158</v>
      </c>
      <c r="R882" s="220" t="s">
        <v>233</v>
      </c>
      <c r="S882" s="220" t="s">
        <v>189</v>
      </c>
    </row>
    <row r="883" spans="1:19" hidden="1" x14ac:dyDescent="0.25">
      <c r="A883" s="220">
        <v>127</v>
      </c>
      <c r="B883" s="220" t="s">
        <v>1319</v>
      </c>
      <c r="C883" s="220" t="s">
        <v>260</v>
      </c>
      <c r="D883" s="220" t="s">
        <v>464</v>
      </c>
      <c r="E883" s="220">
        <v>5</v>
      </c>
      <c r="F883" s="220">
        <v>199.9</v>
      </c>
      <c r="G883" s="220">
        <v>15886</v>
      </c>
      <c r="H883" s="220">
        <v>19127</v>
      </c>
      <c r="I883" s="220">
        <v>22149</v>
      </c>
      <c r="J883" s="220">
        <v>196.71600000000001</v>
      </c>
      <c r="K883" s="220">
        <v>-1.61</v>
      </c>
      <c r="L883" s="220">
        <v>35.893000000000001</v>
      </c>
      <c r="M883" s="220" t="s">
        <v>1320</v>
      </c>
      <c r="N883" s="220" t="s">
        <v>933</v>
      </c>
      <c r="O883" s="220" t="s">
        <v>1321</v>
      </c>
      <c r="P883" s="220" t="s">
        <v>1322</v>
      </c>
      <c r="Q883" s="220" t="s">
        <v>181</v>
      </c>
      <c r="R883" s="220" t="s">
        <v>87</v>
      </c>
      <c r="S883" s="220" t="s">
        <v>950</v>
      </c>
    </row>
    <row r="884" spans="1:19" x14ac:dyDescent="0.25">
      <c r="A884" s="220">
        <v>127</v>
      </c>
      <c r="B884" s="220" t="s">
        <v>1319</v>
      </c>
      <c r="C884" s="220" t="s">
        <v>260</v>
      </c>
      <c r="D884" s="220" t="s">
        <v>464</v>
      </c>
      <c r="E884" s="220">
        <v>6</v>
      </c>
      <c r="F884" s="220">
        <v>174.714</v>
      </c>
      <c r="G884" s="220">
        <v>13926</v>
      </c>
      <c r="H884" s="220">
        <v>16760</v>
      </c>
      <c r="I884" s="220">
        <v>19419</v>
      </c>
      <c r="J884" s="220">
        <v>171.93100000000001</v>
      </c>
      <c r="K884" s="220">
        <v>-1.57</v>
      </c>
      <c r="L884" s="220">
        <v>36.222999999999999</v>
      </c>
      <c r="M884" s="220" t="s">
        <v>1320</v>
      </c>
      <c r="N884" s="220" t="s">
        <v>933</v>
      </c>
      <c r="O884" s="220" t="s">
        <v>1321</v>
      </c>
      <c r="P884" s="220" t="s">
        <v>1322</v>
      </c>
      <c r="Q884" s="220" t="s">
        <v>209</v>
      </c>
      <c r="R884" s="220" t="s">
        <v>253</v>
      </c>
      <c r="S884" s="220" t="s">
        <v>802</v>
      </c>
    </row>
    <row r="885" spans="1:19" x14ac:dyDescent="0.25">
      <c r="A885" s="220">
        <v>127</v>
      </c>
      <c r="B885" s="220" t="s">
        <v>1319</v>
      </c>
      <c r="C885" s="220" t="s">
        <v>260</v>
      </c>
      <c r="D885" s="220" t="s">
        <v>464</v>
      </c>
      <c r="E885" s="220">
        <v>7</v>
      </c>
      <c r="F885" s="220">
        <v>161.85900000000001</v>
      </c>
      <c r="G885" s="220">
        <v>12849</v>
      </c>
      <c r="H885" s="220">
        <v>15461</v>
      </c>
      <c r="I885" s="220">
        <v>17918</v>
      </c>
      <c r="J885" s="220">
        <v>159.28</v>
      </c>
      <c r="K885" s="220">
        <v>-1.512</v>
      </c>
      <c r="L885" s="220">
        <v>36.252000000000002</v>
      </c>
      <c r="M885" s="220" t="s">
        <v>1320</v>
      </c>
      <c r="N885" s="220" t="s">
        <v>933</v>
      </c>
      <c r="O885" s="220" t="s">
        <v>1321</v>
      </c>
      <c r="P885" s="220" t="s">
        <v>1322</v>
      </c>
      <c r="Q885" s="220" t="s">
        <v>741</v>
      </c>
      <c r="R885" s="220" t="s">
        <v>743</v>
      </c>
      <c r="S885" s="220" t="s">
        <v>1323</v>
      </c>
    </row>
    <row r="886" spans="1:19" hidden="1" x14ac:dyDescent="0.25">
      <c r="A886" s="220">
        <v>128</v>
      </c>
      <c r="B886" s="220" t="s">
        <v>1324</v>
      </c>
      <c r="C886" s="220" t="s">
        <v>513</v>
      </c>
      <c r="D886" s="220" t="s">
        <v>465</v>
      </c>
      <c r="E886" s="220">
        <v>1</v>
      </c>
      <c r="F886" s="220">
        <v>205.59100000000001</v>
      </c>
      <c r="G886" s="220">
        <v>10498</v>
      </c>
      <c r="H886" s="220">
        <v>12382</v>
      </c>
      <c r="I886" s="220">
        <v>14464</v>
      </c>
      <c r="J886" s="220">
        <v>202.36699999999999</v>
      </c>
      <c r="K886" s="220">
        <v>-19.931000000000001</v>
      </c>
      <c r="L886" s="220">
        <v>24.425999999999998</v>
      </c>
      <c r="M886" s="220" t="s">
        <v>1325</v>
      </c>
      <c r="N886" s="220" t="s">
        <v>933</v>
      </c>
      <c r="O886" s="220" t="s">
        <v>1326</v>
      </c>
      <c r="P886" s="220" t="s">
        <v>1327</v>
      </c>
      <c r="Q886" s="220" t="s">
        <v>73</v>
      </c>
      <c r="R886" s="220" t="s">
        <v>134</v>
      </c>
      <c r="S886" s="220" t="s">
        <v>244</v>
      </c>
    </row>
    <row r="887" spans="1:19" hidden="1" x14ac:dyDescent="0.25">
      <c r="A887" s="220">
        <v>128</v>
      </c>
      <c r="B887" s="220" t="s">
        <v>1324</v>
      </c>
      <c r="C887" s="220" t="s">
        <v>513</v>
      </c>
      <c r="D887" s="220" t="s">
        <v>465</v>
      </c>
      <c r="E887" s="220">
        <v>2</v>
      </c>
      <c r="F887" s="220">
        <v>202.66800000000001</v>
      </c>
      <c r="G887" s="220">
        <v>10492</v>
      </c>
      <c r="H887" s="220">
        <v>12375</v>
      </c>
      <c r="I887" s="220">
        <v>14459</v>
      </c>
      <c r="J887" s="220">
        <v>199.49</v>
      </c>
      <c r="K887" s="220">
        <v>-19.937999999999999</v>
      </c>
      <c r="L887" s="220">
        <v>24.419</v>
      </c>
      <c r="M887" s="220" t="s">
        <v>1325</v>
      </c>
      <c r="N887" s="220" t="s">
        <v>933</v>
      </c>
      <c r="O887" s="220" t="s">
        <v>1326</v>
      </c>
      <c r="P887" s="220" t="s">
        <v>1327</v>
      </c>
      <c r="Q887" s="220" t="s">
        <v>236</v>
      </c>
      <c r="R887" s="220" t="s">
        <v>252</v>
      </c>
      <c r="S887" s="220" t="s">
        <v>250</v>
      </c>
    </row>
    <row r="888" spans="1:19" hidden="1" x14ac:dyDescent="0.25">
      <c r="A888" s="220">
        <v>128</v>
      </c>
      <c r="B888" s="220" t="s">
        <v>1324</v>
      </c>
      <c r="C888" s="220" t="s">
        <v>513</v>
      </c>
      <c r="D888" s="220" t="s">
        <v>465</v>
      </c>
      <c r="E888" s="220">
        <v>3</v>
      </c>
      <c r="F888" s="220">
        <v>204.74799999999999</v>
      </c>
      <c r="G888" s="220">
        <v>10562</v>
      </c>
      <c r="H888" s="220">
        <v>12457</v>
      </c>
      <c r="I888" s="220">
        <v>14556</v>
      </c>
      <c r="J888" s="220">
        <v>201.53700000000001</v>
      </c>
      <c r="K888" s="220">
        <v>-19.946000000000002</v>
      </c>
      <c r="L888" s="220">
        <v>24.419</v>
      </c>
      <c r="M888" s="220" t="s">
        <v>1325</v>
      </c>
      <c r="N888" s="220" t="s">
        <v>933</v>
      </c>
      <c r="O888" s="220" t="s">
        <v>1326</v>
      </c>
      <c r="P888" s="220" t="s">
        <v>1327</v>
      </c>
      <c r="Q888" s="220" t="s">
        <v>111</v>
      </c>
      <c r="R888" s="220" t="s">
        <v>233</v>
      </c>
      <c r="S888" s="220" t="s">
        <v>235</v>
      </c>
    </row>
    <row r="889" spans="1:19" hidden="1" x14ac:dyDescent="0.25">
      <c r="A889" s="220">
        <v>128</v>
      </c>
      <c r="B889" s="220" t="s">
        <v>1324</v>
      </c>
      <c r="C889" s="220" t="s">
        <v>513</v>
      </c>
      <c r="D889" s="220" t="s">
        <v>465</v>
      </c>
      <c r="E889" s="220">
        <v>4</v>
      </c>
      <c r="F889" s="220">
        <v>203.952</v>
      </c>
      <c r="G889" s="220">
        <v>10512</v>
      </c>
      <c r="H889" s="220">
        <v>12399</v>
      </c>
      <c r="I889" s="220">
        <v>14483</v>
      </c>
      <c r="J889" s="220">
        <v>200.75399999999999</v>
      </c>
      <c r="K889" s="220">
        <v>-19.937000000000001</v>
      </c>
      <c r="L889" s="220">
        <v>24.417999999999999</v>
      </c>
      <c r="M889" s="220" t="s">
        <v>1325</v>
      </c>
      <c r="N889" s="220" t="s">
        <v>933</v>
      </c>
      <c r="O889" s="220" t="s">
        <v>1326</v>
      </c>
      <c r="P889" s="220" t="s">
        <v>1327</v>
      </c>
      <c r="Q889" s="220" t="s">
        <v>158</v>
      </c>
      <c r="R889" s="220" t="s">
        <v>233</v>
      </c>
      <c r="S889" s="220" t="s">
        <v>235</v>
      </c>
    </row>
    <row r="890" spans="1:19" hidden="1" x14ac:dyDescent="0.25">
      <c r="A890" s="220">
        <v>128</v>
      </c>
      <c r="B890" s="220" t="s">
        <v>1324</v>
      </c>
      <c r="C890" s="220" t="s">
        <v>513</v>
      </c>
      <c r="D890" s="220" t="s">
        <v>465</v>
      </c>
      <c r="E890" s="220">
        <v>5</v>
      </c>
      <c r="F890" s="220">
        <v>182.82599999999999</v>
      </c>
      <c r="G890" s="220">
        <v>13952</v>
      </c>
      <c r="H890" s="220">
        <v>16807</v>
      </c>
      <c r="I890" s="220">
        <v>19446</v>
      </c>
      <c r="J890" s="220">
        <v>179.91399999999999</v>
      </c>
      <c r="K890" s="220">
        <v>-1.5389999999999999</v>
      </c>
      <c r="L890" s="220">
        <v>35.896999999999998</v>
      </c>
      <c r="M890" s="220" t="s">
        <v>1325</v>
      </c>
      <c r="N890" s="220" t="s">
        <v>933</v>
      </c>
      <c r="O890" s="220" t="s">
        <v>1326</v>
      </c>
      <c r="P890" s="220" t="s">
        <v>1327</v>
      </c>
      <c r="Q890" s="220" t="s">
        <v>167</v>
      </c>
      <c r="R890" s="220" t="s">
        <v>107</v>
      </c>
      <c r="S890" s="220" t="s">
        <v>162</v>
      </c>
    </row>
    <row r="891" spans="1:19" x14ac:dyDescent="0.25">
      <c r="A891" s="220">
        <v>128</v>
      </c>
      <c r="B891" s="220" t="s">
        <v>1324</v>
      </c>
      <c r="C891" s="220" t="s">
        <v>513</v>
      </c>
      <c r="D891" s="220" t="s">
        <v>465</v>
      </c>
      <c r="E891" s="220">
        <v>6</v>
      </c>
      <c r="F891" s="220">
        <v>161.149</v>
      </c>
      <c r="G891" s="220">
        <v>12521</v>
      </c>
      <c r="H891" s="220">
        <v>15081</v>
      </c>
      <c r="I891" s="220">
        <v>17449</v>
      </c>
      <c r="J891" s="220">
        <v>158.58199999999999</v>
      </c>
      <c r="K891" s="220">
        <v>-1.5049999999999999</v>
      </c>
      <c r="L891" s="220">
        <v>36.061</v>
      </c>
      <c r="M891" s="220" t="s">
        <v>1325</v>
      </c>
      <c r="N891" s="220" t="s">
        <v>933</v>
      </c>
      <c r="O891" s="220" t="s">
        <v>1326</v>
      </c>
      <c r="P891" s="220" t="s">
        <v>1327</v>
      </c>
      <c r="Q891" s="220" t="s">
        <v>140</v>
      </c>
      <c r="R891" s="220" t="s">
        <v>170</v>
      </c>
      <c r="S891" s="220" t="s">
        <v>138</v>
      </c>
    </row>
    <row r="892" spans="1:19" x14ac:dyDescent="0.25">
      <c r="A892" s="220">
        <v>128</v>
      </c>
      <c r="B892" s="220" t="s">
        <v>1324</v>
      </c>
      <c r="C892" s="220" t="s">
        <v>513</v>
      </c>
      <c r="D892" s="220" t="s">
        <v>465</v>
      </c>
      <c r="E892" s="220">
        <v>7</v>
      </c>
      <c r="F892" s="220">
        <v>149.86799999999999</v>
      </c>
      <c r="G892" s="220">
        <v>11704</v>
      </c>
      <c r="H892" s="220">
        <v>14094</v>
      </c>
      <c r="I892" s="220">
        <v>16319</v>
      </c>
      <c r="J892" s="220">
        <v>147.48099999999999</v>
      </c>
      <c r="K892" s="220">
        <v>-1.4490000000000001</v>
      </c>
      <c r="L892" s="220">
        <v>36.048999999999999</v>
      </c>
      <c r="M892" s="220" t="s">
        <v>1325</v>
      </c>
      <c r="N892" s="220" t="s">
        <v>933</v>
      </c>
      <c r="O892" s="220" t="s">
        <v>1326</v>
      </c>
      <c r="P892" s="220" t="s">
        <v>1327</v>
      </c>
      <c r="Q892" s="220" t="s">
        <v>628</v>
      </c>
      <c r="R892" s="220" t="s">
        <v>543</v>
      </c>
      <c r="S892" s="220" t="s">
        <v>350</v>
      </c>
    </row>
    <row r="893" spans="1:19" hidden="1" x14ac:dyDescent="0.25">
      <c r="A893" s="220">
        <v>129</v>
      </c>
      <c r="B893" s="220" t="s">
        <v>1328</v>
      </c>
      <c r="C893" s="220" t="s">
        <v>729</v>
      </c>
      <c r="D893" s="220" t="s">
        <v>466</v>
      </c>
      <c r="E893" s="220">
        <v>1</v>
      </c>
      <c r="F893" s="220">
        <v>205.06800000000001</v>
      </c>
      <c r="G893" s="220">
        <v>10482</v>
      </c>
      <c r="H893" s="220">
        <v>12362</v>
      </c>
      <c r="I893" s="220">
        <v>14441</v>
      </c>
      <c r="J893" s="220">
        <v>201.85300000000001</v>
      </c>
      <c r="K893" s="220">
        <v>-19.933</v>
      </c>
      <c r="L893" s="220">
        <v>24.425999999999998</v>
      </c>
      <c r="M893" s="220" t="s">
        <v>927</v>
      </c>
      <c r="N893" s="220" t="s">
        <v>933</v>
      </c>
      <c r="O893" s="220" t="s">
        <v>1329</v>
      </c>
      <c r="P893" s="220" t="s">
        <v>1330</v>
      </c>
      <c r="Q893" s="220" t="s">
        <v>49</v>
      </c>
      <c r="R893" s="220" t="s">
        <v>134</v>
      </c>
      <c r="S893" s="220" t="s">
        <v>244</v>
      </c>
    </row>
    <row r="894" spans="1:19" hidden="1" x14ac:dyDescent="0.25">
      <c r="A894" s="220">
        <v>129</v>
      </c>
      <c r="B894" s="220" t="s">
        <v>1328</v>
      </c>
      <c r="C894" s="220" t="s">
        <v>729</v>
      </c>
      <c r="D894" s="220" t="s">
        <v>466</v>
      </c>
      <c r="E894" s="220">
        <v>2</v>
      </c>
      <c r="F894" s="220">
        <v>201.96700000000001</v>
      </c>
      <c r="G894" s="220">
        <v>10455</v>
      </c>
      <c r="H894" s="220">
        <v>12331</v>
      </c>
      <c r="I894" s="220">
        <v>14403</v>
      </c>
      <c r="J894" s="220">
        <v>198.8</v>
      </c>
      <c r="K894" s="220">
        <v>-19.928000000000001</v>
      </c>
      <c r="L894" s="220">
        <v>24.428999999999998</v>
      </c>
      <c r="M894" s="220" t="s">
        <v>927</v>
      </c>
      <c r="N894" s="220" t="s">
        <v>933</v>
      </c>
      <c r="O894" s="220" t="s">
        <v>1329</v>
      </c>
      <c r="P894" s="220" t="s">
        <v>1330</v>
      </c>
      <c r="Q894" s="220" t="s">
        <v>202</v>
      </c>
      <c r="R894" s="220" t="s">
        <v>255</v>
      </c>
      <c r="S894" s="220" t="s">
        <v>243</v>
      </c>
    </row>
    <row r="895" spans="1:19" hidden="1" x14ac:dyDescent="0.25">
      <c r="A895" s="220">
        <v>129</v>
      </c>
      <c r="B895" s="220" t="s">
        <v>1328</v>
      </c>
      <c r="C895" s="220" t="s">
        <v>729</v>
      </c>
      <c r="D895" s="220" t="s">
        <v>466</v>
      </c>
      <c r="E895" s="220">
        <v>3</v>
      </c>
      <c r="F895" s="220">
        <v>204.101</v>
      </c>
      <c r="G895" s="220">
        <v>10566</v>
      </c>
      <c r="H895" s="220">
        <v>12462</v>
      </c>
      <c r="I895" s="220">
        <v>14560</v>
      </c>
      <c r="J895" s="220">
        <v>200.90100000000001</v>
      </c>
      <c r="K895" s="220">
        <v>-19.928000000000001</v>
      </c>
      <c r="L895" s="220">
        <v>24.45</v>
      </c>
      <c r="M895" s="220" t="s">
        <v>927</v>
      </c>
      <c r="N895" s="220" t="s">
        <v>933</v>
      </c>
      <c r="O895" s="220" t="s">
        <v>1329</v>
      </c>
      <c r="P895" s="220" t="s">
        <v>1330</v>
      </c>
      <c r="Q895" s="220" t="s">
        <v>111</v>
      </c>
      <c r="R895" s="220" t="s">
        <v>226</v>
      </c>
      <c r="S895" s="220" t="s">
        <v>177</v>
      </c>
    </row>
    <row r="896" spans="1:19" hidden="1" x14ac:dyDescent="0.25">
      <c r="A896" s="220">
        <v>129</v>
      </c>
      <c r="B896" s="220" t="s">
        <v>1328</v>
      </c>
      <c r="C896" s="220" t="s">
        <v>729</v>
      </c>
      <c r="D896" s="220" t="s">
        <v>466</v>
      </c>
      <c r="E896" s="220">
        <v>4</v>
      </c>
      <c r="F896" s="220">
        <v>202.91800000000001</v>
      </c>
      <c r="G896" s="220">
        <v>10434</v>
      </c>
      <c r="H896" s="220">
        <v>12307</v>
      </c>
      <c r="I896" s="220">
        <v>14375</v>
      </c>
      <c r="J896" s="220">
        <v>199.73599999999999</v>
      </c>
      <c r="K896" s="220">
        <v>-19.937000000000001</v>
      </c>
      <c r="L896" s="220">
        <v>24.417999999999999</v>
      </c>
      <c r="M896" s="220" t="s">
        <v>927</v>
      </c>
      <c r="N896" s="220" t="s">
        <v>933</v>
      </c>
      <c r="O896" s="220" t="s">
        <v>1329</v>
      </c>
      <c r="P896" s="220" t="s">
        <v>1330</v>
      </c>
      <c r="Q896" s="220" t="s">
        <v>111</v>
      </c>
      <c r="R896" s="220" t="s">
        <v>132</v>
      </c>
      <c r="S896" s="220" t="s">
        <v>189</v>
      </c>
    </row>
    <row r="897" spans="1:19" hidden="1" x14ac:dyDescent="0.25">
      <c r="A897" s="220">
        <v>129</v>
      </c>
      <c r="B897" s="220" t="s">
        <v>1328</v>
      </c>
      <c r="C897" s="220" t="s">
        <v>729</v>
      </c>
      <c r="D897" s="220" t="s">
        <v>466</v>
      </c>
      <c r="E897" s="220">
        <v>5</v>
      </c>
      <c r="F897" s="220">
        <v>231.16900000000001</v>
      </c>
      <c r="G897" s="220">
        <v>18182</v>
      </c>
      <c r="H897" s="220">
        <v>21901</v>
      </c>
      <c r="I897" s="220">
        <v>25341</v>
      </c>
      <c r="J897" s="220">
        <v>227.48699999999999</v>
      </c>
      <c r="K897" s="220">
        <v>-1.5840000000000001</v>
      </c>
      <c r="L897" s="220">
        <v>35.652999999999999</v>
      </c>
      <c r="M897" s="220" t="s">
        <v>927</v>
      </c>
      <c r="N897" s="220" t="s">
        <v>933</v>
      </c>
      <c r="O897" s="220" t="s">
        <v>1329</v>
      </c>
      <c r="P897" s="220" t="s">
        <v>1330</v>
      </c>
      <c r="Q897" s="220" t="s">
        <v>168</v>
      </c>
      <c r="R897" s="220" t="s">
        <v>571</v>
      </c>
      <c r="S897" s="220" t="s">
        <v>45</v>
      </c>
    </row>
    <row r="898" spans="1:19" x14ac:dyDescent="0.25">
      <c r="A898" s="220">
        <v>129</v>
      </c>
      <c r="B898" s="220" t="s">
        <v>1328</v>
      </c>
      <c r="C898" s="220" t="s">
        <v>729</v>
      </c>
      <c r="D898" s="220" t="s">
        <v>466</v>
      </c>
      <c r="E898" s="220">
        <v>6</v>
      </c>
      <c r="F898" s="220">
        <v>201.79</v>
      </c>
      <c r="G898" s="220">
        <v>15960</v>
      </c>
      <c r="H898" s="220">
        <v>19212</v>
      </c>
      <c r="I898" s="220">
        <v>22239</v>
      </c>
      <c r="J898" s="220">
        <v>198.57599999999999</v>
      </c>
      <c r="K898" s="220">
        <v>-1.5529999999999999</v>
      </c>
      <c r="L898" s="220">
        <v>35.863999999999997</v>
      </c>
      <c r="M898" s="220" t="s">
        <v>927</v>
      </c>
      <c r="N898" s="220" t="s">
        <v>933</v>
      </c>
      <c r="O898" s="220" t="s">
        <v>1329</v>
      </c>
      <c r="P898" s="220" t="s">
        <v>1330</v>
      </c>
      <c r="Q898" s="220" t="s">
        <v>137</v>
      </c>
      <c r="R898" s="220" t="s">
        <v>261</v>
      </c>
      <c r="S898" s="220" t="s">
        <v>1055</v>
      </c>
    </row>
    <row r="899" spans="1:19" x14ac:dyDescent="0.25">
      <c r="A899" s="220">
        <v>129</v>
      </c>
      <c r="B899" s="220" t="s">
        <v>1328</v>
      </c>
      <c r="C899" s="220" t="s">
        <v>729</v>
      </c>
      <c r="D899" s="220" t="s">
        <v>466</v>
      </c>
      <c r="E899" s="220">
        <v>7</v>
      </c>
      <c r="F899" s="220">
        <v>187.22499999999999</v>
      </c>
      <c r="G899" s="220">
        <v>14766</v>
      </c>
      <c r="H899" s="220">
        <v>17778</v>
      </c>
      <c r="I899" s="220">
        <v>20584</v>
      </c>
      <c r="J899" s="220">
        <v>184.24299999999999</v>
      </c>
      <c r="K899" s="220">
        <v>-1.526</v>
      </c>
      <c r="L899" s="220">
        <v>35.887</v>
      </c>
      <c r="M899" s="220" t="s">
        <v>927</v>
      </c>
      <c r="N899" s="220" t="s">
        <v>933</v>
      </c>
      <c r="O899" s="220" t="s">
        <v>1329</v>
      </c>
      <c r="P899" s="220" t="s">
        <v>1330</v>
      </c>
      <c r="Q899" s="220" t="s">
        <v>695</v>
      </c>
      <c r="R899" s="220" t="s">
        <v>607</v>
      </c>
      <c r="S899" s="220" t="s">
        <v>1331</v>
      </c>
    </row>
    <row r="900" spans="1:19" hidden="1" x14ac:dyDescent="0.25">
      <c r="A900" s="220">
        <v>130</v>
      </c>
      <c r="B900" s="220" t="s">
        <v>1332</v>
      </c>
      <c r="C900" s="220" t="s">
        <v>551</v>
      </c>
      <c r="D900" s="220" t="s">
        <v>468</v>
      </c>
      <c r="E900" s="220">
        <v>1</v>
      </c>
      <c r="F900" s="220">
        <v>204.17699999999999</v>
      </c>
      <c r="G900" s="220">
        <v>10448</v>
      </c>
      <c r="H900" s="220">
        <v>12323</v>
      </c>
      <c r="I900" s="220">
        <v>14395</v>
      </c>
      <c r="J900" s="220">
        <v>200.97499999999999</v>
      </c>
      <c r="K900" s="220">
        <v>-19.936</v>
      </c>
      <c r="L900" s="220">
        <v>24.417000000000002</v>
      </c>
      <c r="M900" s="220" t="s">
        <v>932</v>
      </c>
      <c r="N900" s="220" t="s">
        <v>1333</v>
      </c>
      <c r="O900" s="220" t="s">
        <v>1334</v>
      </c>
      <c r="P900" s="220" t="s">
        <v>1335</v>
      </c>
      <c r="Q900" s="220" t="s">
        <v>54</v>
      </c>
      <c r="R900" s="220" t="s">
        <v>207</v>
      </c>
      <c r="S900" s="220" t="s">
        <v>146</v>
      </c>
    </row>
    <row r="901" spans="1:19" hidden="1" x14ac:dyDescent="0.25">
      <c r="A901" s="220">
        <v>130</v>
      </c>
      <c r="B901" s="220" t="s">
        <v>1332</v>
      </c>
      <c r="C901" s="220" t="s">
        <v>551</v>
      </c>
      <c r="D901" s="220" t="s">
        <v>468</v>
      </c>
      <c r="E901" s="220">
        <v>2</v>
      </c>
      <c r="F901" s="220">
        <v>201.41499999999999</v>
      </c>
      <c r="G901" s="220">
        <v>10435</v>
      </c>
      <c r="H901" s="220">
        <v>12308</v>
      </c>
      <c r="I901" s="220">
        <v>14378</v>
      </c>
      <c r="J901" s="220">
        <v>198.25700000000001</v>
      </c>
      <c r="K901" s="220">
        <v>-19.936</v>
      </c>
      <c r="L901" s="220">
        <v>24.401</v>
      </c>
      <c r="M901" s="220" t="s">
        <v>932</v>
      </c>
      <c r="N901" s="220" t="s">
        <v>1333</v>
      </c>
      <c r="O901" s="220" t="s">
        <v>1334</v>
      </c>
      <c r="P901" s="220" t="s">
        <v>1335</v>
      </c>
      <c r="Q901" s="220" t="s">
        <v>117</v>
      </c>
      <c r="R901" s="220" t="s">
        <v>119</v>
      </c>
      <c r="S901" s="220" t="s">
        <v>190</v>
      </c>
    </row>
    <row r="902" spans="1:19" hidden="1" x14ac:dyDescent="0.25">
      <c r="A902" s="220">
        <v>130</v>
      </c>
      <c r="B902" s="220" t="s">
        <v>1332</v>
      </c>
      <c r="C902" s="220" t="s">
        <v>551</v>
      </c>
      <c r="D902" s="220" t="s">
        <v>468</v>
      </c>
      <c r="E902" s="220">
        <v>3</v>
      </c>
      <c r="F902" s="220">
        <v>204.11600000000001</v>
      </c>
      <c r="G902" s="220">
        <v>10543</v>
      </c>
      <c r="H902" s="220">
        <v>12435</v>
      </c>
      <c r="I902" s="220">
        <v>14530</v>
      </c>
      <c r="J902" s="220">
        <v>200.91499999999999</v>
      </c>
      <c r="K902" s="220">
        <v>-19.928000000000001</v>
      </c>
      <c r="L902" s="220">
        <v>24.428999999999998</v>
      </c>
      <c r="M902" s="220" t="s">
        <v>932</v>
      </c>
      <c r="N902" s="220" t="s">
        <v>1333</v>
      </c>
      <c r="O902" s="220" t="s">
        <v>1334</v>
      </c>
      <c r="P902" s="220" t="s">
        <v>1335</v>
      </c>
      <c r="Q902" s="220" t="s">
        <v>277</v>
      </c>
      <c r="R902" s="220" t="s">
        <v>214</v>
      </c>
      <c r="S902" s="220" t="s">
        <v>144</v>
      </c>
    </row>
    <row r="903" spans="1:19" hidden="1" x14ac:dyDescent="0.25">
      <c r="A903" s="220">
        <v>130</v>
      </c>
      <c r="B903" s="220" t="s">
        <v>1332</v>
      </c>
      <c r="C903" s="220" t="s">
        <v>551</v>
      </c>
      <c r="D903" s="220" t="s">
        <v>468</v>
      </c>
      <c r="E903" s="220">
        <v>4</v>
      </c>
      <c r="F903" s="220">
        <v>202.922</v>
      </c>
      <c r="G903" s="220">
        <v>10446</v>
      </c>
      <c r="H903" s="220">
        <v>12319</v>
      </c>
      <c r="I903" s="220">
        <v>14391</v>
      </c>
      <c r="J903" s="220">
        <v>199.74</v>
      </c>
      <c r="K903" s="220">
        <v>-19.937000000000001</v>
      </c>
      <c r="L903" s="220">
        <v>24.417999999999999</v>
      </c>
      <c r="M903" s="220" t="s">
        <v>932</v>
      </c>
      <c r="N903" s="220" t="s">
        <v>1333</v>
      </c>
      <c r="O903" s="220" t="s">
        <v>1334</v>
      </c>
      <c r="P903" s="220" t="s">
        <v>1335</v>
      </c>
      <c r="Q903" s="220" t="s">
        <v>277</v>
      </c>
      <c r="R903" s="220" t="s">
        <v>280</v>
      </c>
      <c r="S903" s="220" t="s">
        <v>144</v>
      </c>
    </row>
    <row r="904" spans="1:19" hidden="1" x14ac:dyDescent="0.25">
      <c r="A904" s="220">
        <v>130</v>
      </c>
      <c r="B904" s="220" t="s">
        <v>1332</v>
      </c>
      <c r="C904" s="220" t="s">
        <v>551</v>
      </c>
      <c r="D904" s="220" t="s">
        <v>468</v>
      </c>
      <c r="E904" s="220">
        <v>5</v>
      </c>
      <c r="F904" s="220">
        <v>186.88</v>
      </c>
      <c r="G904" s="220">
        <v>14324</v>
      </c>
      <c r="H904" s="220">
        <v>17255</v>
      </c>
      <c r="I904" s="220">
        <v>19964</v>
      </c>
      <c r="J904" s="220">
        <v>183.904</v>
      </c>
      <c r="K904" s="220">
        <v>-1.9930000000000001</v>
      </c>
      <c r="L904" s="220">
        <v>35.643000000000001</v>
      </c>
      <c r="M904" s="220" t="s">
        <v>932</v>
      </c>
      <c r="N904" s="220" t="s">
        <v>1333</v>
      </c>
      <c r="O904" s="220" t="s">
        <v>1334</v>
      </c>
      <c r="P904" s="220" t="s">
        <v>1335</v>
      </c>
      <c r="Q904" s="220" t="s">
        <v>171</v>
      </c>
      <c r="R904" s="220" t="s">
        <v>88</v>
      </c>
      <c r="S904" s="220" t="s">
        <v>582</v>
      </c>
    </row>
    <row r="905" spans="1:19" x14ac:dyDescent="0.25">
      <c r="A905" s="220">
        <v>130</v>
      </c>
      <c r="B905" s="220" t="s">
        <v>1332</v>
      </c>
      <c r="C905" s="220" t="s">
        <v>551</v>
      </c>
      <c r="D905" s="220" t="s">
        <v>468</v>
      </c>
      <c r="E905" s="220">
        <v>6</v>
      </c>
      <c r="F905" s="220">
        <v>164.83799999999999</v>
      </c>
      <c r="G905" s="220">
        <v>12912</v>
      </c>
      <c r="H905" s="220">
        <v>15549</v>
      </c>
      <c r="I905" s="220">
        <v>17997</v>
      </c>
      <c r="J905" s="220">
        <v>162.21299999999999</v>
      </c>
      <c r="K905" s="220">
        <v>-1.962</v>
      </c>
      <c r="L905" s="220">
        <v>35.780999999999999</v>
      </c>
      <c r="M905" s="220" t="s">
        <v>932</v>
      </c>
      <c r="N905" s="220" t="s">
        <v>1333</v>
      </c>
      <c r="O905" s="220" t="s">
        <v>1334</v>
      </c>
      <c r="P905" s="220" t="s">
        <v>1335</v>
      </c>
      <c r="Q905" s="220" t="s">
        <v>228</v>
      </c>
      <c r="R905" s="220" t="s">
        <v>279</v>
      </c>
      <c r="S905" s="220" t="s">
        <v>188</v>
      </c>
    </row>
    <row r="906" spans="1:19" x14ac:dyDescent="0.25">
      <c r="A906" s="220">
        <v>130</v>
      </c>
      <c r="B906" s="220" t="s">
        <v>1332</v>
      </c>
      <c r="C906" s="220" t="s">
        <v>551</v>
      </c>
      <c r="D906" s="220" t="s">
        <v>468</v>
      </c>
      <c r="E906" s="220">
        <v>7</v>
      </c>
      <c r="F906" s="220">
        <v>153.774</v>
      </c>
      <c r="G906" s="220">
        <v>12152</v>
      </c>
      <c r="H906" s="220">
        <v>14629</v>
      </c>
      <c r="I906" s="220">
        <v>16938</v>
      </c>
      <c r="J906" s="220">
        <v>151.32499999999999</v>
      </c>
      <c r="K906" s="220">
        <v>-1.885</v>
      </c>
      <c r="L906" s="220">
        <v>35.792999999999999</v>
      </c>
      <c r="M906" s="220" t="s">
        <v>932</v>
      </c>
      <c r="N906" s="220" t="s">
        <v>1333</v>
      </c>
      <c r="O906" s="220" t="s">
        <v>1334</v>
      </c>
      <c r="P906" s="220" t="s">
        <v>1335</v>
      </c>
      <c r="Q906" s="220" t="s">
        <v>652</v>
      </c>
      <c r="R906" s="220" t="s">
        <v>626</v>
      </c>
      <c r="S906" s="220" t="s">
        <v>634</v>
      </c>
    </row>
    <row r="907" spans="1:19" hidden="1" x14ac:dyDescent="0.25">
      <c r="A907" s="220">
        <v>131</v>
      </c>
      <c r="B907" s="220" t="s">
        <v>0</v>
      </c>
      <c r="C907"/>
      <c r="D907" s="220" t="s">
        <v>469</v>
      </c>
      <c r="E907" s="220">
        <v>1</v>
      </c>
      <c r="F907" s="220">
        <v>204.673</v>
      </c>
      <c r="G907" s="220">
        <v>10470</v>
      </c>
      <c r="H907" s="220">
        <v>12349</v>
      </c>
      <c r="I907" s="220">
        <v>14426</v>
      </c>
      <c r="J907" s="220">
        <v>201.46299999999999</v>
      </c>
      <c r="K907" s="220">
        <v>-19.933</v>
      </c>
      <c r="L907" s="220">
        <v>24.423999999999999</v>
      </c>
      <c r="M907" s="220" t="s">
        <v>1336</v>
      </c>
      <c r="N907" s="220" t="s">
        <v>1333</v>
      </c>
      <c r="O907" s="220" t="s">
        <v>1337</v>
      </c>
      <c r="P907" s="220" t="s">
        <v>1338</v>
      </c>
      <c r="Q907" s="220" t="s">
        <v>74</v>
      </c>
      <c r="R907" s="220" t="s">
        <v>122</v>
      </c>
      <c r="S907" s="220" t="s">
        <v>192</v>
      </c>
    </row>
    <row r="908" spans="1:19" hidden="1" x14ac:dyDescent="0.25">
      <c r="A908" s="220">
        <v>131</v>
      </c>
      <c r="B908" s="220" t="s">
        <v>0</v>
      </c>
      <c r="C908"/>
      <c r="D908" s="220" t="s">
        <v>469</v>
      </c>
      <c r="E908" s="220">
        <v>2</v>
      </c>
      <c r="F908" s="220">
        <v>202.83600000000001</v>
      </c>
      <c r="G908" s="220">
        <v>10509</v>
      </c>
      <c r="H908" s="220">
        <v>12395</v>
      </c>
      <c r="I908" s="220">
        <v>14479</v>
      </c>
      <c r="J908" s="220">
        <v>199.655</v>
      </c>
      <c r="K908" s="220">
        <v>-19.928000000000001</v>
      </c>
      <c r="L908" s="220">
        <v>24.419</v>
      </c>
      <c r="M908" s="220" t="s">
        <v>1336</v>
      </c>
      <c r="N908" s="220" t="s">
        <v>1333</v>
      </c>
      <c r="O908" s="220" t="s">
        <v>1337</v>
      </c>
      <c r="P908" s="220" t="s">
        <v>1338</v>
      </c>
      <c r="Q908" s="220" t="s">
        <v>237</v>
      </c>
      <c r="R908" s="220" t="s">
        <v>252</v>
      </c>
      <c r="S908" s="220" t="s">
        <v>208</v>
      </c>
    </row>
    <row r="909" spans="1:19" hidden="1" x14ac:dyDescent="0.25">
      <c r="A909" s="220">
        <v>131</v>
      </c>
      <c r="B909" s="220" t="s">
        <v>0</v>
      </c>
      <c r="C909"/>
      <c r="D909" s="220" t="s">
        <v>469</v>
      </c>
      <c r="E909" s="220">
        <v>3</v>
      </c>
      <c r="F909" s="220">
        <v>203.89500000000001</v>
      </c>
      <c r="G909" s="220">
        <v>10532</v>
      </c>
      <c r="H909" s="220">
        <v>12421</v>
      </c>
      <c r="I909" s="220">
        <v>14512</v>
      </c>
      <c r="J909" s="220">
        <v>200.69800000000001</v>
      </c>
      <c r="K909" s="220">
        <v>-19.934000000000001</v>
      </c>
      <c r="L909" s="220">
        <v>24.436</v>
      </c>
      <c r="M909" s="220" t="s">
        <v>1336</v>
      </c>
      <c r="N909" s="220" t="s">
        <v>1333</v>
      </c>
      <c r="O909" s="220" t="s">
        <v>1337</v>
      </c>
      <c r="P909" s="220" t="s">
        <v>1338</v>
      </c>
      <c r="Q909" s="220" t="s">
        <v>158</v>
      </c>
      <c r="R909" s="220" t="s">
        <v>233</v>
      </c>
      <c r="S909" s="220" t="s">
        <v>189</v>
      </c>
    </row>
    <row r="910" spans="1:19" hidden="1" x14ac:dyDescent="0.25">
      <c r="A910" s="220">
        <v>131</v>
      </c>
      <c r="B910" s="220" t="s">
        <v>0</v>
      </c>
      <c r="C910"/>
      <c r="D910" s="220" t="s">
        <v>469</v>
      </c>
      <c r="E910" s="220">
        <v>4</v>
      </c>
      <c r="F910" s="220">
        <v>203.43799999999999</v>
      </c>
      <c r="G910" s="220">
        <v>10469</v>
      </c>
      <c r="H910" s="220">
        <v>12347</v>
      </c>
      <c r="I910" s="220">
        <v>14424</v>
      </c>
      <c r="J910" s="220">
        <v>200.24799999999999</v>
      </c>
      <c r="K910" s="220">
        <v>-19.937000000000001</v>
      </c>
      <c r="L910" s="220">
        <v>24.417999999999999</v>
      </c>
      <c r="M910" s="220" t="s">
        <v>1336</v>
      </c>
      <c r="N910" s="220" t="s">
        <v>1333</v>
      </c>
      <c r="O910" s="220" t="s">
        <v>1337</v>
      </c>
      <c r="P910" s="220" t="s">
        <v>1338</v>
      </c>
      <c r="Q910" s="220" t="s">
        <v>158</v>
      </c>
      <c r="R910" s="220" t="s">
        <v>119</v>
      </c>
      <c r="S910" s="220" t="s">
        <v>235</v>
      </c>
    </row>
    <row r="911" spans="1:19" hidden="1" x14ac:dyDescent="0.25">
      <c r="A911" s="220">
        <v>131</v>
      </c>
      <c r="B911" s="220" t="s">
        <v>0</v>
      </c>
      <c r="C911"/>
      <c r="D911" s="220" t="s">
        <v>469</v>
      </c>
      <c r="E911" s="220">
        <v>5</v>
      </c>
      <c r="F911" s="220">
        <v>242.49299999999999</v>
      </c>
      <c r="G911" s="220">
        <v>18774</v>
      </c>
      <c r="H911" s="220">
        <v>22748</v>
      </c>
      <c r="I911" s="220">
        <v>26190</v>
      </c>
      <c r="J911" s="220">
        <v>238.613</v>
      </c>
      <c r="K911" s="220">
        <v>4.79</v>
      </c>
      <c r="L911" s="220">
        <v>36.805</v>
      </c>
      <c r="M911" s="220" t="s">
        <v>1336</v>
      </c>
      <c r="N911" s="220" t="s">
        <v>1333</v>
      </c>
      <c r="O911" s="220" t="s">
        <v>1337</v>
      </c>
      <c r="P911" s="220" t="s">
        <v>1338</v>
      </c>
      <c r="Q911" s="220" t="s">
        <v>168</v>
      </c>
      <c r="R911" s="220" t="s">
        <v>571</v>
      </c>
      <c r="S911" s="220" t="s">
        <v>620</v>
      </c>
    </row>
    <row r="912" spans="1:19" x14ac:dyDescent="0.25">
      <c r="A912" s="220">
        <v>131</v>
      </c>
      <c r="B912" s="220" t="s">
        <v>0</v>
      </c>
      <c r="C912"/>
      <c r="D912" s="220" t="s">
        <v>469</v>
      </c>
      <c r="E912" s="220">
        <v>6</v>
      </c>
      <c r="F912" s="220">
        <v>211.303</v>
      </c>
      <c r="G912" s="220">
        <v>16505</v>
      </c>
      <c r="H912" s="220">
        <v>19990</v>
      </c>
      <c r="I912" s="220">
        <v>23025</v>
      </c>
      <c r="J912" s="220">
        <v>207.922</v>
      </c>
      <c r="K912" s="220">
        <v>4.8070000000000004</v>
      </c>
      <c r="L912" s="220">
        <v>36.99</v>
      </c>
      <c r="M912" s="220" t="s">
        <v>1336</v>
      </c>
      <c r="N912" s="220" t="s">
        <v>1333</v>
      </c>
      <c r="O912" s="220" t="s">
        <v>1337</v>
      </c>
      <c r="P912" s="220" t="s">
        <v>1338</v>
      </c>
      <c r="Q912" s="220" t="s">
        <v>247</v>
      </c>
      <c r="R912" s="220" t="s">
        <v>600</v>
      </c>
      <c r="S912" s="220" t="s">
        <v>650</v>
      </c>
    </row>
    <row r="913" spans="1:19" x14ac:dyDescent="0.25">
      <c r="A913" s="220">
        <v>131</v>
      </c>
      <c r="B913" s="220" t="s">
        <v>0</v>
      </c>
      <c r="C913"/>
      <c r="D913" s="220" t="s">
        <v>469</v>
      </c>
      <c r="E913" s="220">
        <v>7</v>
      </c>
      <c r="F913" s="220">
        <v>198.40899999999999</v>
      </c>
      <c r="G913" s="220">
        <v>15325</v>
      </c>
      <c r="H913" s="220">
        <v>18559</v>
      </c>
      <c r="I913" s="220">
        <v>21384</v>
      </c>
      <c r="J913" s="220">
        <v>195.23400000000001</v>
      </c>
      <c r="K913" s="220">
        <v>4.7939999999999996</v>
      </c>
      <c r="L913" s="220">
        <v>37.008000000000003</v>
      </c>
      <c r="M913" s="220" t="s">
        <v>1336</v>
      </c>
      <c r="N913" s="220" t="s">
        <v>1333</v>
      </c>
      <c r="O913" s="220" t="s">
        <v>1337</v>
      </c>
      <c r="P913" s="220" t="s">
        <v>1338</v>
      </c>
      <c r="Q913" s="220" t="s">
        <v>247</v>
      </c>
      <c r="R913" s="220" t="s">
        <v>600</v>
      </c>
      <c r="S913" s="220" t="s">
        <v>650</v>
      </c>
    </row>
    <row r="914" spans="1:19" hidden="1" x14ac:dyDescent="0.25">
      <c r="A914" s="220">
        <v>132</v>
      </c>
      <c r="B914" s="220" t="s">
        <v>0</v>
      </c>
      <c r="C914"/>
      <c r="D914" s="220" t="s">
        <v>470</v>
      </c>
      <c r="E914" s="220">
        <v>1</v>
      </c>
      <c r="F914" s="220">
        <v>205.03</v>
      </c>
      <c r="G914" s="220">
        <v>10484</v>
      </c>
      <c r="H914" s="220">
        <v>12366</v>
      </c>
      <c r="I914" s="220">
        <v>14435</v>
      </c>
      <c r="J914" s="220">
        <v>201.815</v>
      </c>
      <c r="K914" s="220">
        <v>-19.913</v>
      </c>
      <c r="L914" s="220">
        <v>24.381</v>
      </c>
      <c r="M914" s="220" t="s">
        <v>1339</v>
      </c>
      <c r="N914" s="220" t="s">
        <v>1333</v>
      </c>
      <c r="O914" s="220" t="s">
        <v>1340</v>
      </c>
      <c r="P914" s="220" t="s">
        <v>1341</v>
      </c>
      <c r="Q914" s="220" t="s">
        <v>76</v>
      </c>
      <c r="R914" s="220" t="s">
        <v>237</v>
      </c>
      <c r="S914" s="220" t="s">
        <v>124</v>
      </c>
    </row>
    <row r="915" spans="1:19" hidden="1" x14ac:dyDescent="0.25">
      <c r="A915" s="220">
        <v>132</v>
      </c>
      <c r="B915" s="220" t="s">
        <v>0</v>
      </c>
      <c r="C915"/>
      <c r="D915" s="220" t="s">
        <v>470</v>
      </c>
      <c r="E915" s="220">
        <v>2</v>
      </c>
      <c r="F915" s="220">
        <v>203.989</v>
      </c>
      <c r="G915" s="220">
        <v>10555</v>
      </c>
      <c r="H915" s="220">
        <v>12450</v>
      </c>
      <c r="I915" s="220">
        <v>14533</v>
      </c>
      <c r="J915" s="220">
        <v>200.791</v>
      </c>
      <c r="K915" s="220">
        <v>-19.922999999999998</v>
      </c>
      <c r="L915" s="220">
        <v>24.433</v>
      </c>
      <c r="M915" s="220" t="s">
        <v>1339</v>
      </c>
      <c r="N915" s="220" t="s">
        <v>1333</v>
      </c>
      <c r="O915" s="220" t="s">
        <v>1340</v>
      </c>
      <c r="P915" s="220" t="s">
        <v>1341</v>
      </c>
      <c r="Q915" s="220" t="s">
        <v>277</v>
      </c>
      <c r="R915" s="220" t="s">
        <v>280</v>
      </c>
      <c r="S915" s="220" t="s">
        <v>241</v>
      </c>
    </row>
    <row r="916" spans="1:19" hidden="1" x14ac:dyDescent="0.25">
      <c r="A916" s="220">
        <v>132</v>
      </c>
      <c r="B916" s="220" t="s">
        <v>0</v>
      </c>
      <c r="C916"/>
      <c r="D916" s="220" t="s">
        <v>470</v>
      </c>
      <c r="E916" s="220">
        <v>3</v>
      </c>
      <c r="F916" s="220">
        <v>204.77699999999999</v>
      </c>
      <c r="G916" s="220">
        <v>10579</v>
      </c>
      <c r="H916" s="220">
        <v>12478</v>
      </c>
      <c r="I916" s="220">
        <v>14568</v>
      </c>
      <c r="J916" s="220">
        <v>201.566</v>
      </c>
      <c r="K916" s="220">
        <v>-19.933</v>
      </c>
      <c r="L916" s="220">
        <v>24.439</v>
      </c>
      <c r="M916" s="220" t="s">
        <v>1339</v>
      </c>
      <c r="N916" s="220" t="s">
        <v>1333</v>
      </c>
      <c r="O916" s="220" t="s">
        <v>1340</v>
      </c>
      <c r="P916" s="220" t="s">
        <v>1341</v>
      </c>
      <c r="Q916" s="220" t="s">
        <v>203</v>
      </c>
      <c r="R916" s="220" t="s">
        <v>112</v>
      </c>
      <c r="S916" s="220" t="s">
        <v>519</v>
      </c>
    </row>
    <row r="917" spans="1:19" hidden="1" x14ac:dyDescent="0.25">
      <c r="A917" s="220">
        <v>132</v>
      </c>
      <c r="B917" s="220" t="s">
        <v>0</v>
      </c>
      <c r="C917"/>
      <c r="D917" s="220" t="s">
        <v>470</v>
      </c>
      <c r="E917" s="220">
        <v>4</v>
      </c>
      <c r="F917" s="220">
        <v>203.905</v>
      </c>
      <c r="G917" s="220">
        <v>10511</v>
      </c>
      <c r="H917" s="220">
        <v>12397</v>
      </c>
      <c r="I917" s="220">
        <v>14472</v>
      </c>
      <c r="J917" s="220">
        <v>200.708</v>
      </c>
      <c r="K917" s="220">
        <v>-19.937000000000001</v>
      </c>
      <c r="L917" s="220">
        <v>24.417999999999999</v>
      </c>
      <c r="M917" s="220" t="s">
        <v>1339</v>
      </c>
      <c r="N917" s="220" t="s">
        <v>1333</v>
      </c>
      <c r="O917" s="220" t="s">
        <v>1340</v>
      </c>
      <c r="P917" s="220" t="s">
        <v>1341</v>
      </c>
      <c r="Q917" s="220" t="s">
        <v>203</v>
      </c>
      <c r="R917" s="220" t="s">
        <v>242</v>
      </c>
      <c r="S917" s="220" t="s">
        <v>201</v>
      </c>
    </row>
    <row r="918" spans="1:19" hidden="1" x14ac:dyDescent="0.25">
      <c r="A918" s="220">
        <v>132</v>
      </c>
      <c r="B918" s="220" t="s">
        <v>0</v>
      </c>
      <c r="C918"/>
      <c r="D918" s="220" t="s">
        <v>470</v>
      </c>
      <c r="E918" s="220">
        <v>5</v>
      </c>
      <c r="F918" s="220">
        <v>279.24799999999999</v>
      </c>
      <c r="G918" s="220">
        <v>22035</v>
      </c>
      <c r="H918" s="220">
        <v>26755</v>
      </c>
      <c r="I918" s="220">
        <v>30714</v>
      </c>
      <c r="J918" s="220">
        <v>274.77999999999997</v>
      </c>
      <c r="K918" s="220">
        <v>4.774</v>
      </c>
      <c r="L918" s="220">
        <v>36.651000000000003</v>
      </c>
      <c r="M918" s="220" t="s">
        <v>1339</v>
      </c>
      <c r="N918" s="220" t="s">
        <v>1333</v>
      </c>
      <c r="O918" s="220" t="s">
        <v>1340</v>
      </c>
      <c r="P918" s="220" t="s">
        <v>1341</v>
      </c>
      <c r="Q918" s="220" t="s">
        <v>171</v>
      </c>
      <c r="R918" s="220" t="s">
        <v>88</v>
      </c>
      <c r="S918" s="220" t="s">
        <v>697</v>
      </c>
    </row>
    <row r="919" spans="1:19" x14ac:dyDescent="0.25">
      <c r="A919" s="220">
        <v>132</v>
      </c>
      <c r="B919" s="220" t="s">
        <v>0</v>
      </c>
      <c r="C919"/>
      <c r="D919" s="220" t="s">
        <v>470</v>
      </c>
      <c r="E919" s="220">
        <v>6</v>
      </c>
      <c r="F919" s="220">
        <v>247.249</v>
      </c>
      <c r="G919" s="220">
        <v>19965</v>
      </c>
      <c r="H919" s="220">
        <v>24226</v>
      </c>
      <c r="I919" s="220">
        <v>27827</v>
      </c>
      <c r="J919" s="220">
        <v>243.29300000000001</v>
      </c>
      <c r="K919" s="220">
        <v>4.8620000000000001</v>
      </c>
      <c r="L919" s="220">
        <v>36.822000000000003</v>
      </c>
      <c r="M919" s="220" t="s">
        <v>1339</v>
      </c>
      <c r="N919" s="220" t="s">
        <v>1333</v>
      </c>
      <c r="O919" s="220" t="s">
        <v>1340</v>
      </c>
      <c r="P919" s="220" t="s">
        <v>1341</v>
      </c>
      <c r="Q919" s="220" t="s">
        <v>208</v>
      </c>
      <c r="R919" s="220" t="s">
        <v>549</v>
      </c>
      <c r="S919" s="220" t="s">
        <v>1342</v>
      </c>
    </row>
    <row r="920" spans="1:19" x14ac:dyDescent="0.25">
      <c r="A920" s="220">
        <v>132</v>
      </c>
      <c r="B920" s="220" t="s">
        <v>0</v>
      </c>
      <c r="C920"/>
      <c r="D920" s="220" t="s">
        <v>470</v>
      </c>
      <c r="E920" s="220">
        <v>7</v>
      </c>
      <c r="F920" s="220">
        <v>234.124</v>
      </c>
      <c r="G920" s="220">
        <v>18790</v>
      </c>
      <c r="H920" s="220">
        <v>22793</v>
      </c>
      <c r="I920" s="220">
        <v>26193</v>
      </c>
      <c r="J920" s="220">
        <v>230.37799999999999</v>
      </c>
      <c r="K920" s="220">
        <v>4.7969999999999997</v>
      </c>
      <c r="L920" s="220">
        <v>36.909999999999997</v>
      </c>
      <c r="M920" s="220" t="s">
        <v>1339</v>
      </c>
      <c r="N920" s="220" t="s">
        <v>1333</v>
      </c>
      <c r="O920" s="220" t="s">
        <v>1340</v>
      </c>
      <c r="P920" s="220" t="s">
        <v>1341</v>
      </c>
      <c r="Q920" s="220" t="s">
        <v>208</v>
      </c>
      <c r="R920" s="220" t="s">
        <v>549</v>
      </c>
      <c r="S920" s="220" t="s">
        <v>1342</v>
      </c>
    </row>
    <row r="921" spans="1:19" hidden="1" x14ac:dyDescent="0.25">
      <c r="A921" s="220">
        <v>133</v>
      </c>
      <c r="B921" s="220" t="s">
        <v>1343</v>
      </c>
      <c r="C921" s="220" t="s">
        <v>518</v>
      </c>
      <c r="D921" s="220" t="s">
        <v>471</v>
      </c>
      <c r="E921" s="220">
        <v>1</v>
      </c>
      <c r="F921" s="220">
        <v>204.328</v>
      </c>
      <c r="G921" s="220">
        <v>10462</v>
      </c>
      <c r="H921" s="220">
        <v>12340</v>
      </c>
      <c r="I921" s="220">
        <v>14405</v>
      </c>
      <c r="J921" s="220">
        <v>201.125</v>
      </c>
      <c r="K921" s="220">
        <v>-19.920000000000002</v>
      </c>
      <c r="L921" s="220">
        <v>24.376000000000001</v>
      </c>
      <c r="M921" s="220" t="s">
        <v>694</v>
      </c>
      <c r="N921" s="220" t="s">
        <v>1333</v>
      </c>
      <c r="O921" s="220" t="s">
        <v>1344</v>
      </c>
      <c r="P921" s="220" t="s">
        <v>1345</v>
      </c>
      <c r="Q921" s="220" t="s">
        <v>116</v>
      </c>
      <c r="R921" s="220" t="s">
        <v>228</v>
      </c>
      <c r="S921" s="220" t="s">
        <v>112</v>
      </c>
    </row>
    <row r="922" spans="1:19" hidden="1" x14ac:dyDescent="0.25">
      <c r="A922" s="220">
        <v>133</v>
      </c>
      <c r="B922" s="220" t="s">
        <v>1343</v>
      </c>
      <c r="C922" s="220" t="s">
        <v>518</v>
      </c>
      <c r="D922" s="220" t="s">
        <v>471</v>
      </c>
      <c r="E922" s="220">
        <v>2</v>
      </c>
      <c r="F922" s="220">
        <v>202.20599999999999</v>
      </c>
      <c r="G922" s="220">
        <v>10479</v>
      </c>
      <c r="H922" s="220">
        <v>12360</v>
      </c>
      <c r="I922" s="220">
        <v>14427</v>
      </c>
      <c r="J922" s="220">
        <v>199.036</v>
      </c>
      <c r="K922" s="220">
        <v>-19.943000000000001</v>
      </c>
      <c r="L922" s="220">
        <v>24.370999999999999</v>
      </c>
      <c r="M922" s="220" t="s">
        <v>694</v>
      </c>
      <c r="N922" s="220" t="s">
        <v>1333</v>
      </c>
      <c r="O922" s="220" t="s">
        <v>1344</v>
      </c>
      <c r="P922" s="220" t="s">
        <v>1345</v>
      </c>
      <c r="Q922" s="220" t="s">
        <v>217</v>
      </c>
      <c r="R922" s="220" t="s">
        <v>239</v>
      </c>
      <c r="S922" s="220" t="s">
        <v>218</v>
      </c>
    </row>
    <row r="923" spans="1:19" hidden="1" x14ac:dyDescent="0.25">
      <c r="A923" s="220">
        <v>133</v>
      </c>
      <c r="B923" s="220" t="s">
        <v>1343</v>
      </c>
      <c r="C923" s="220" t="s">
        <v>518</v>
      </c>
      <c r="D923" s="220" t="s">
        <v>471</v>
      </c>
      <c r="E923" s="220">
        <v>3</v>
      </c>
      <c r="F923" s="220">
        <v>205.488</v>
      </c>
      <c r="G923" s="220">
        <v>10616</v>
      </c>
      <c r="H923" s="220">
        <v>12523</v>
      </c>
      <c r="I923" s="220">
        <v>14622</v>
      </c>
      <c r="J923" s="220">
        <v>202.26599999999999</v>
      </c>
      <c r="K923" s="220">
        <v>-19.919</v>
      </c>
      <c r="L923" s="220">
        <v>24.419</v>
      </c>
      <c r="M923" s="220" t="s">
        <v>694</v>
      </c>
      <c r="N923" s="220" t="s">
        <v>1333</v>
      </c>
      <c r="O923" s="220" t="s">
        <v>1344</v>
      </c>
      <c r="P923" s="220" t="s">
        <v>1345</v>
      </c>
      <c r="Q923" s="220" t="s">
        <v>217</v>
      </c>
      <c r="R923" s="220" t="s">
        <v>230</v>
      </c>
      <c r="S923" s="220" t="s">
        <v>218</v>
      </c>
    </row>
    <row r="924" spans="1:19" hidden="1" x14ac:dyDescent="0.25">
      <c r="A924" s="220">
        <v>133</v>
      </c>
      <c r="B924" s="220" t="s">
        <v>1343</v>
      </c>
      <c r="C924" s="220" t="s">
        <v>518</v>
      </c>
      <c r="D924" s="220" t="s">
        <v>471</v>
      </c>
      <c r="E924" s="220">
        <v>4</v>
      </c>
      <c r="F924" s="220">
        <v>203.631</v>
      </c>
      <c r="G924" s="220">
        <v>10473</v>
      </c>
      <c r="H924" s="220">
        <v>12354</v>
      </c>
      <c r="I924" s="220">
        <v>14421</v>
      </c>
      <c r="J924" s="220">
        <v>200.43899999999999</v>
      </c>
      <c r="K924" s="220">
        <v>-19.937000000000001</v>
      </c>
      <c r="L924" s="220">
        <v>24.417999999999999</v>
      </c>
      <c r="M924" s="220" t="s">
        <v>694</v>
      </c>
      <c r="N924" s="220" t="s">
        <v>1333</v>
      </c>
      <c r="O924" s="220" t="s">
        <v>1344</v>
      </c>
      <c r="P924" s="220" t="s">
        <v>1345</v>
      </c>
      <c r="Q924" s="220" t="s">
        <v>140</v>
      </c>
      <c r="R924" s="220" t="s">
        <v>143</v>
      </c>
      <c r="S924" s="220" t="s">
        <v>535</v>
      </c>
    </row>
    <row r="925" spans="1:19" hidden="1" x14ac:dyDescent="0.25">
      <c r="A925" s="220">
        <v>133</v>
      </c>
      <c r="B925" s="220" t="s">
        <v>1343</v>
      </c>
      <c r="C925" s="220" t="s">
        <v>518</v>
      </c>
      <c r="D925" s="220" t="s">
        <v>471</v>
      </c>
      <c r="E925" s="220">
        <v>5</v>
      </c>
      <c r="F925" s="220">
        <v>196.24199999999999</v>
      </c>
      <c r="G925" s="220">
        <v>14890</v>
      </c>
      <c r="H925" s="220">
        <v>17923</v>
      </c>
      <c r="I925" s="220">
        <v>20736</v>
      </c>
      <c r="J925" s="220">
        <v>193.11799999999999</v>
      </c>
      <c r="K925" s="220">
        <v>-1.901</v>
      </c>
      <c r="L925" s="220">
        <v>35.372999999999998</v>
      </c>
      <c r="M925" s="220" t="s">
        <v>694</v>
      </c>
      <c r="N925" s="220" t="s">
        <v>1333</v>
      </c>
      <c r="O925" s="220" t="s">
        <v>1344</v>
      </c>
      <c r="P925" s="220" t="s">
        <v>1345</v>
      </c>
      <c r="Q925" s="220" t="s">
        <v>114</v>
      </c>
      <c r="R925" s="220" t="s">
        <v>47</v>
      </c>
      <c r="S925" s="220" t="s">
        <v>66</v>
      </c>
    </row>
    <row r="926" spans="1:19" x14ac:dyDescent="0.25">
      <c r="A926" s="220">
        <v>133</v>
      </c>
      <c r="B926" s="220" t="s">
        <v>1343</v>
      </c>
      <c r="C926" s="220" t="s">
        <v>518</v>
      </c>
      <c r="D926" s="220" t="s">
        <v>471</v>
      </c>
      <c r="E926" s="220">
        <v>6</v>
      </c>
      <c r="F926" s="220">
        <v>171.297</v>
      </c>
      <c r="G926" s="220">
        <v>13210</v>
      </c>
      <c r="H926" s="220">
        <v>15896</v>
      </c>
      <c r="I926" s="220">
        <v>18391</v>
      </c>
      <c r="J926" s="220">
        <v>168.56899999999999</v>
      </c>
      <c r="K926" s="220">
        <v>-1.8839999999999999</v>
      </c>
      <c r="L926" s="220">
        <v>35.707999999999998</v>
      </c>
      <c r="M926" s="220" t="s">
        <v>694</v>
      </c>
      <c r="N926" s="220" t="s">
        <v>1333</v>
      </c>
      <c r="O926" s="220" t="s">
        <v>1344</v>
      </c>
      <c r="P926" s="220" t="s">
        <v>1345</v>
      </c>
      <c r="Q926" s="220" t="s">
        <v>146</v>
      </c>
      <c r="R926" s="220" t="s">
        <v>198</v>
      </c>
      <c r="S926" s="220" t="s">
        <v>265</v>
      </c>
    </row>
    <row r="927" spans="1:19" x14ac:dyDescent="0.25">
      <c r="A927" s="220">
        <v>133</v>
      </c>
      <c r="B927" s="220" t="s">
        <v>1343</v>
      </c>
      <c r="C927" s="220" t="s">
        <v>518</v>
      </c>
      <c r="D927" s="220" t="s">
        <v>471</v>
      </c>
      <c r="E927" s="220">
        <v>7</v>
      </c>
      <c r="F927" s="220">
        <v>159.05799999999999</v>
      </c>
      <c r="G927" s="220">
        <v>12307</v>
      </c>
      <c r="H927" s="220">
        <v>14810</v>
      </c>
      <c r="I927" s="220">
        <v>17139</v>
      </c>
      <c r="J927" s="220">
        <v>156.52500000000001</v>
      </c>
      <c r="K927" s="220">
        <v>-1.8240000000000001</v>
      </c>
      <c r="L927" s="220">
        <v>35.756999999999998</v>
      </c>
      <c r="M927" s="220" t="s">
        <v>694</v>
      </c>
      <c r="N927" s="220" t="s">
        <v>1333</v>
      </c>
      <c r="O927" s="220" t="s">
        <v>1344</v>
      </c>
      <c r="P927" s="220" t="s">
        <v>1345</v>
      </c>
      <c r="Q927" s="220" t="s">
        <v>606</v>
      </c>
      <c r="R927" s="220" t="s">
        <v>818</v>
      </c>
      <c r="S927" s="220" t="s">
        <v>610</v>
      </c>
    </row>
    <row r="928" spans="1:19" hidden="1" x14ac:dyDescent="0.25">
      <c r="A928" s="220">
        <v>134</v>
      </c>
      <c r="B928" s="220" t="s">
        <v>1346</v>
      </c>
      <c r="C928" s="220" t="s">
        <v>1347</v>
      </c>
      <c r="D928" s="220" t="s">
        <v>473</v>
      </c>
      <c r="E928" s="220">
        <v>1</v>
      </c>
      <c r="F928" s="220">
        <v>205.26900000000001</v>
      </c>
      <c r="G928" s="220">
        <v>10470</v>
      </c>
      <c r="H928" s="220">
        <v>12349</v>
      </c>
      <c r="I928" s="220">
        <v>14425</v>
      </c>
      <c r="J928" s="220">
        <v>202.05</v>
      </c>
      <c r="K928" s="220">
        <v>-19.925999999999998</v>
      </c>
      <c r="L928" s="220">
        <v>24.41</v>
      </c>
      <c r="M928" s="220" t="s">
        <v>1348</v>
      </c>
      <c r="N928" s="220" t="s">
        <v>1333</v>
      </c>
      <c r="O928" s="220" t="s">
        <v>1349</v>
      </c>
      <c r="P928" s="220" t="s">
        <v>1350</v>
      </c>
      <c r="Q928" s="220" t="s">
        <v>74</v>
      </c>
      <c r="R928" s="220" t="s">
        <v>122</v>
      </c>
      <c r="S928" s="220" t="s">
        <v>192</v>
      </c>
    </row>
    <row r="929" spans="1:19" hidden="1" x14ac:dyDescent="0.25">
      <c r="A929" s="220">
        <v>134</v>
      </c>
      <c r="B929" s="220" t="s">
        <v>1346</v>
      </c>
      <c r="C929" s="220" t="s">
        <v>1347</v>
      </c>
      <c r="D929" s="220" t="s">
        <v>473</v>
      </c>
      <c r="E929" s="220">
        <v>2</v>
      </c>
      <c r="F929" s="220">
        <v>202.14</v>
      </c>
      <c r="G929" s="220">
        <v>10491</v>
      </c>
      <c r="H929" s="220">
        <v>12374</v>
      </c>
      <c r="I929" s="220">
        <v>14455</v>
      </c>
      <c r="J929" s="220">
        <v>198.97</v>
      </c>
      <c r="K929" s="220">
        <v>-19.922999999999998</v>
      </c>
      <c r="L929" s="220">
        <v>24.419</v>
      </c>
      <c r="M929" s="220" t="s">
        <v>1348</v>
      </c>
      <c r="N929" s="220" t="s">
        <v>1333</v>
      </c>
      <c r="O929" s="220" t="s">
        <v>1349</v>
      </c>
      <c r="P929" s="220" t="s">
        <v>1350</v>
      </c>
      <c r="Q929" s="220" t="s">
        <v>120</v>
      </c>
      <c r="R929" s="220" t="s">
        <v>105</v>
      </c>
      <c r="S929" s="220" t="s">
        <v>253</v>
      </c>
    </row>
    <row r="930" spans="1:19" hidden="1" x14ac:dyDescent="0.25">
      <c r="A930" s="220">
        <v>134</v>
      </c>
      <c r="B930" s="220" t="s">
        <v>1346</v>
      </c>
      <c r="C930" s="220" t="s">
        <v>1347</v>
      </c>
      <c r="D930" s="220" t="s">
        <v>473</v>
      </c>
      <c r="E930" s="220">
        <v>3</v>
      </c>
      <c r="F930" s="220">
        <v>204.05799999999999</v>
      </c>
      <c r="G930" s="220">
        <v>10538</v>
      </c>
      <c r="H930" s="220">
        <v>12430</v>
      </c>
      <c r="I930" s="220">
        <v>14524</v>
      </c>
      <c r="J930" s="220">
        <v>200.858</v>
      </c>
      <c r="K930" s="220">
        <v>-19.920000000000002</v>
      </c>
      <c r="L930" s="220">
        <v>24.411999999999999</v>
      </c>
      <c r="M930" s="220" t="s">
        <v>1348</v>
      </c>
      <c r="N930" s="220" t="s">
        <v>1333</v>
      </c>
      <c r="O930" s="220" t="s">
        <v>1349</v>
      </c>
      <c r="P930" s="220" t="s">
        <v>1350</v>
      </c>
      <c r="Q930" s="220" t="s">
        <v>158</v>
      </c>
      <c r="R930" s="220" t="s">
        <v>119</v>
      </c>
      <c r="S930" s="220" t="s">
        <v>235</v>
      </c>
    </row>
    <row r="931" spans="1:19" hidden="1" x14ac:dyDescent="0.25">
      <c r="A931" s="220">
        <v>134</v>
      </c>
      <c r="B931" s="220" t="s">
        <v>1346</v>
      </c>
      <c r="C931" s="220" t="s">
        <v>1347</v>
      </c>
      <c r="D931" s="220" t="s">
        <v>473</v>
      </c>
      <c r="E931" s="220">
        <v>4</v>
      </c>
      <c r="F931" s="220">
        <v>204.12100000000001</v>
      </c>
      <c r="G931" s="220">
        <v>10493</v>
      </c>
      <c r="H931" s="220">
        <v>12375</v>
      </c>
      <c r="I931" s="220">
        <v>14456</v>
      </c>
      <c r="J931" s="220">
        <v>200.92</v>
      </c>
      <c r="K931" s="220">
        <v>-19.937000000000001</v>
      </c>
      <c r="L931" s="220">
        <v>24.417999999999999</v>
      </c>
      <c r="M931" s="220" t="s">
        <v>1348</v>
      </c>
      <c r="N931" s="220" t="s">
        <v>1333</v>
      </c>
      <c r="O931" s="220" t="s">
        <v>1349</v>
      </c>
      <c r="P931" s="220" t="s">
        <v>1350</v>
      </c>
      <c r="Q931" s="220" t="s">
        <v>117</v>
      </c>
      <c r="R931" s="220" t="s">
        <v>96</v>
      </c>
      <c r="S931" s="220" t="s">
        <v>303</v>
      </c>
    </row>
    <row r="932" spans="1:19" hidden="1" x14ac:dyDescent="0.25">
      <c r="A932" s="220">
        <v>134</v>
      </c>
      <c r="B932" s="220" t="s">
        <v>1346</v>
      </c>
      <c r="C932" s="220" t="s">
        <v>1347</v>
      </c>
      <c r="D932" s="220" t="s">
        <v>473</v>
      </c>
      <c r="E932" s="220">
        <v>5</v>
      </c>
      <c r="F932" s="220">
        <v>258.76600000000002</v>
      </c>
      <c r="G932" s="220">
        <v>20709</v>
      </c>
      <c r="H932" s="220">
        <v>24974</v>
      </c>
      <c r="I932" s="220">
        <v>28852</v>
      </c>
      <c r="J932" s="220">
        <v>254.64599999999999</v>
      </c>
      <c r="K932" s="220">
        <v>-1.927</v>
      </c>
      <c r="L932" s="220">
        <v>35.521999999999998</v>
      </c>
      <c r="M932" s="220" t="s">
        <v>1348</v>
      </c>
      <c r="N932" s="220" t="s">
        <v>1333</v>
      </c>
      <c r="O932" s="220" t="s">
        <v>1349</v>
      </c>
      <c r="P932" s="220" t="s">
        <v>1350</v>
      </c>
      <c r="Q932" s="220" t="s">
        <v>167</v>
      </c>
      <c r="R932" s="220" t="s">
        <v>88</v>
      </c>
      <c r="S932" s="220" t="s">
        <v>697</v>
      </c>
    </row>
    <row r="933" spans="1:19" x14ac:dyDescent="0.25">
      <c r="A933" s="220">
        <v>134</v>
      </c>
      <c r="B933" s="220" t="s">
        <v>1346</v>
      </c>
      <c r="C933" s="220" t="s">
        <v>1347</v>
      </c>
      <c r="D933" s="220" t="s">
        <v>473</v>
      </c>
      <c r="E933" s="220">
        <v>6</v>
      </c>
      <c r="F933" s="220">
        <v>229.893</v>
      </c>
      <c r="G933" s="220">
        <v>18688</v>
      </c>
      <c r="H933" s="220">
        <v>22525</v>
      </c>
      <c r="I933" s="220">
        <v>26042</v>
      </c>
      <c r="J933" s="220">
        <v>226.232</v>
      </c>
      <c r="K933" s="220">
        <v>-1.8819999999999999</v>
      </c>
      <c r="L933" s="220">
        <v>35.661000000000001</v>
      </c>
      <c r="M933" s="220" t="s">
        <v>1348</v>
      </c>
      <c r="N933" s="220" t="s">
        <v>1333</v>
      </c>
      <c r="O933" s="220" t="s">
        <v>1349</v>
      </c>
      <c r="P933" s="220" t="s">
        <v>1350</v>
      </c>
      <c r="Q933" s="220" t="s">
        <v>278</v>
      </c>
      <c r="R933" s="220" t="s">
        <v>577</v>
      </c>
      <c r="S933" s="220" t="s">
        <v>1351</v>
      </c>
    </row>
    <row r="934" spans="1:19" x14ac:dyDescent="0.25">
      <c r="A934" s="220">
        <v>134</v>
      </c>
      <c r="B934" s="220" t="s">
        <v>1346</v>
      </c>
      <c r="C934" s="220" t="s">
        <v>1347</v>
      </c>
      <c r="D934" s="220" t="s">
        <v>473</v>
      </c>
      <c r="E934" s="220">
        <v>7</v>
      </c>
      <c r="F934" s="220">
        <v>217.29400000000001</v>
      </c>
      <c r="G934" s="220">
        <v>17582</v>
      </c>
      <c r="H934" s="220">
        <v>21184</v>
      </c>
      <c r="I934" s="220">
        <v>24502</v>
      </c>
      <c r="J934" s="220">
        <v>213.834</v>
      </c>
      <c r="K934" s="220">
        <v>-1.919</v>
      </c>
      <c r="L934" s="220">
        <v>35.692999999999998</v>
      </c>
      <c r="M934" s="220" t="s">
        <v>1348</v>
      </c>
      <c r="N934" s="220" t="s">
        <v>1333</v>
      </c>
      <c r="O934" s="220" t="s">
        <v>1349</v>
      </c>
      <c r="P934" s="220" t="s">
        <v>1350</v>
      </c>
      <c r="Q934" s="220" t="s">
        <v>278</v>
      </c>
      <c r="R934" s="220" t="s">
        <v>577</v>
      </c>
      <c r="S934" s="220" t="s">
        <v>1351</v>
      </c>
    </row>
    <row r="935" spans="1:19" hidden="1" x14ac:dyDescent="0.25">
      <c r="A935" s="220">
        <v>135</v>
      </c>
      <c r="B935" s="220" t="s">
        <v>1352</v>
      </c>
      <c r="C935" s="220" t="s">
        <v>229</v>
      </c>
      <c r="D935" s="220" t="s">
        <v>474</v>
      </c>
      <c r="E935" s="220">
        <v>1</v>
      </c>
      <c r="F935" s="220">
        <v>204.57400000000001</v>
      </c>
      <c r="G935" s="220">
        <v>10464</v>
      </c>
      <c r="H935" s="220">
        <v>12343</v>
      </c>
      <c r="I935" s="220">
        <v>14407</v>
      </c>
      <c r="J935" s="220">
        <v>201.36600000000001</v>
      </c>
      <c r="K935" s="220">
        <v>-19.939</v>
      </c>
      <c r="L935" s="220">
        <v>24.384</v>
      </c>
      <c r="M935" s="220" t="s">
        <v>1353</v>
      </c>
      <c r="N935" s="220" t="s">
        <v>1333</v>
      </c>
      <c r="O935" s="220" t="s">
        <v>1354</v>
      </c>
      <c r="P935" s="220" t="s">
        <v>1355</v>
      </c>
      <c r="Q935" s="220" t="s">
        <v>182</v>
      </c>
      <c r="R935" s="220" t="s">
        <v>110</v>
      </c>
      <c r="S935" s="220" t="s">
        <v>226</v>
      </c>
    </row>
    <row r="936" spans="1:19" hidden="1" x14ac:dyDescent="0.25">
      <c r="A936" s="220">
        <v>135</v>
      </c>
      <c r="B936" s="220" t="s">
        <v>1352</v>
      </c>
      <c r="C936" s="220" t="s">
        <v>229</v>
      </c>
      <c r="D936" s="220" t="s">
        <v>474</v>
      </c>
      <c r="E936" s="220">
        <v>2</v>
      </c>
      <c r="F936" s="220">
        <v>202.05500000000001</v>
      </c>
      <c r="G936" s="220">
        <v>10467</v>
      </c>
      <c r="H936" s="220">
        <v>12346</v>
      </c>
      <c r="I936" s="220">
        <v>14414</v>
      </c>
      <c r="J936" s="220">
        <v>198.887</v>
      </c>
      <c r="K936" s="220">
        <v>-19.952000000000002</v>
      </c>
      <c r="L936" s="220">
        <v>24.402999999999999</v>
      </c>
      <c r="M936" s="220" t="s">
        <v>1353</v>
      </c>
      <c r="N936" s="220" t="s">
        <v>1333</v>
      </c>
      <c r="O936" s="220" t="s">
        <v>1354</v>
      </c>
      <c r="P936" s="220" t="s">
        <v>1355</v>
      </c>
      <c r="Q936" s="220" t="s">
        <v>142</v>
      </c>
      <c r="R936" s="220" t="s">
        <v>224</v>
      </c>
      <c r="S936" s="220" t="s">
        <v>138</v>
      </c>
    </row>
    <row r="937" spans="1:19" hidden="1" x14ac:dyDescent="0.25">
      <c r="A937" s="220">
        <v>135</v>
      </c>
      <c r="B937" s="220" t="s">
        <v>1352</v>
      </c>
      <c r="C937" s="220" t="s">
        <v>229</v>
      </c>
      <c r="D937" s="220" t="s">
        <v>474</v>
      </c>
      <c r="E937" s="220">
        <v>3</v>
      </c>
      <c r="F937" s="220">
        <v>203.286</v>
      </c>
      <c r="G937" s="220">
        <v>10498</v>
      </c>
      <c r="H937" s="220">
        <v>12382</v>
      </c>
      <c r="I937" s="220">
        <v>14457</v>
      </c>
      <c r="J937" s="220">
        <v>200.09899999999999</v>
      </c>
      <c r="K937" s="220">
        <v>-19.945</v>
      </c>
      <c r="L937" s="220">
        <v>24.361000000000001</v>
      </c>
      <c r="M937" s="220" t="s">
        <v>1353</v>
      </c>
      <c r="N937" s="220" t="s">
        <v>1333</v>
      </c>
      <c r="O937" s="220" t="s">
        <v>1354</v>
      </c>
      <c r="P937" s="220" t="s">
        <v>1355</v>
      </c>
      <c r="Q937" s="220" t="s">
        <v>142</v>
      </c>
      <c r="R937" s="220" t="s">
        <v>224</v>
      </c>
      <c r="S937" s="220" t="s">
        <v>355</v>
      </c>
    </row>
    <row r="938" spans="1:19" hidden="1" x14ac:dyDescent="0.25">
      <c r="A938" s="220">
        <v>135</v>
      </c>
      <c r="B938" s="220" t="s">
        <v>1352</v>
      </c>
      <c r="C938" s="220" t="s">
        <v>229</v>
      </c>
      <c r="D938" s="220" t="s">
        <v>474</v>
      </c>
      <c r="E938" s="220">
        <v>4</v>
      </c>
      <c r="F938" s="220">
        <v>203.631</v>
      </c>
      <c r="G938" s="220">
        <v>10479</v>
      </c>
      <c r="H938" s="220">
        <v>12360</v>
      </c>
      <c r="I938" s="220">
        <v>14429</v>
      </c>
      <c r="J938" s="220">
        <v>200.43799999999999</v>
      </c>
      <c r="K938" s="220">
        <v>-19.937000000000001</v>
      </c>
      <c r="L938" s="220">
        <v>24.417999999999999</v>
      </c>
      <c r="M938" s="220" t="s">
        <v>1353</v>
      </c>
      <c r="N938" s="220" t="s">
        <v>1333</v>
      </c>
      <c r="O938" s="220" t="s">
        <v>1354</v>
      </c>
      <c r="P938" s="220" t="s">
        <v>1355</v>
      </c>
      <c r="Q938" s="220" t="s">
        <v>123</v>
      </c>
      <c r="R938" s="220" t="s">
        <v>137</v>
      </c>
      <c r="S938" s="220" t="s">
        <v>561</v>
      </c>
    </row>
    <row r="939" spans="1:19" hidden="1" x14ac:dyDescent="0.25">
      <c r="A939" s="220">
        <v>135</v>
      </c>
      <c r="B939" s="220" t="s">
        <v>1352</v>
      </c>
      <c r="C939" s="220" t="s">
        <v>229</v>
      </c>
      <c r="D939" s="220" t="s">
        <v>474</v>
      </c>
      <c r="E939" s="220">
        <v>5</v>
      </c>
      <c r="F939" s="220">
        <v>202.28200000000001</v>
      </c>
      <c r="G939" s="220">
        <v>15359</v>
      </c>
      <c r="H939" s="220">
        <v>18494</v>
      </c>
      <c r="I939" s="220">
        <v>21395</v>
      </c>
      <c r="J939" s="220">
        <v>199.06200000000001</v>
      </c>
      <c r="K939" s="220">
        <v>-2.0920000000000001</v>
      </c>
      <c r="L939" s="220">
        <v>35.567</v>
      </c>
      <c r="M939" s="220" t="s">
        <v>1353</v>
      </c>
      <c r="N939" s="220" t="s">
        <v>1333</v>
      </c>
      <c r="O939" s="220" t="s">
        <v>1354</v>
      </c>
      <c r="P939" s="220" t="s">
        <v>1355</v>
      </c>
      <c r="Q939" s="220" t="s">
        <v>399</v>
      </c>
      <c r="R939" s="220" t="s">
        <v>56</v>
      </c>
      <c r="S939" s="220" t="s">
        <v>104</v>
      </c>
    </row>
    <row r="940" spans="1:19" x14ac:dyDescent="0.25">
      <c r="A940" s="220">
        <v>135</v>
      </c>
      <c r="B940" s="220" t="s">
        <v>1352</v>
      </c>
      <c r="C940" s="220" t="s">
        <v>229</v>
      </c>
      <c r="D940" s="220" t="s">
        <v>474</v>
      </c>
      <c r="E940" s="220">
        <v>6</v>
      </c>
      <c r="F940" s="220">
        <v>176.94900000000001</v>
      </c>
      <c r="G940" s="220">
        <v>13674</v>
      </c>
      <c r="H940" s="220">
        <v>16458</v>
      </c>
      <c r="I940" s="220">
        <v>19049</v>
      </c>
      <c r="J940" s="220">
        <v>174.131</v>
      </c>
      <c r="K940" s="220">
        <v>-2.0720000000000001</v>
      </c>
      <c r="L940" s="220">
        <v>35.896999999999998</v>
      </c>
      <c r="M940" s="220" t="s">
        <v>1353</v>
      </c>
      <c r="N940" s="220" t="s">
        <v>1333</v>
      </c>
      <c r="O940" s="220" t="s">
        <v>1354</v>
      </c>
      <c r="P940" s="220" t="s">
        <v>1355</v>
      </c>
      <c r="Q940" s="220" t="s">
        <v>219</v>
      </c>
      <c r="R940" s="220" t="s">
        <v>379</v>
      </c>
      <c r="S940" s="220" t="s">
        <v>374</v>
      </c>
    </row>
    <row r="941" spans="1:19" x14ac:dyDescent="0.25">
      <c r="A941" s="220">
        <v>135</v>
      </c>
      <c r="B941" s="220" t="s">
        <v>1352</v>
      </c>
      <c r="C941" s="220" t="s">
        <v>229</v>
      </c>
      <c r="D941" s="220" t="s">
        <v>474</v>
      </c>
      <c r="E941" s="220">
        <v>7</v>
      </c>
      <c r="F941" s="220">
        <v>164.291</v>
      </c>
      <c r="G941" s="220">
        <v>12742</v>
      </c>
      <c r="H941" s="220">
        <v>15334</v>
      </c>
      <c r="I941" s="220">
        <v>17749</v>
      </c>
      <c r="J941" s="220">
        <v>161.67500000000001</v>
      </c>
      <c r="K941" s="220">
        <v>-2.0150000000000001</v>
      </c>
      <c r="L941" s="220">
        <v>35.914999999999999</v>
      </c>
      <c r="M941" s="220" t="s">
        <v>1353</v>
      </c>
      <c r="N941" s="220" t="s">
        <v>1333</v>
      </c>
      <c r="O941" s="220" t="s">
        <v>1354</v>
      </c>
      <c r="P941" s="220" t="s">
        <v>1355</v>
      </c>
      <c r="Q941" s="220" t="s">
        <v>557</v>
      </c>
      <c r="R941" s="220" t="s">
        <v>1356</v>
      </c>
      <c r="S941" s="220" t="s">
        <v>703</v>
      </c>
    </row>
    <row r="942" spans="1:19" hidden="1" x14ac:dyDescent="0.25">
      <c r="A942" s="220">
        <v>136</v>
      </c>
      <c r="B942" s="220" t="s">
        <v>1357</v>
      </c>
      <c r="C942" s="220" t="s">
        <v>296</v>
      </c>
      <c r="D942" s="220" t="s">
        <v>476</v>
      </c>
      <c r="E942" s="220">
        <v>1</v>
      </c>
      <c r="F942" s="220">
        <v>204.303</v>
      </c>
      <c r="G942" s="220">
        <v>10442</v>
      </c>
      <c r="H942" s="220">
        <v>12317</v>
      </c>
      <c r="I942" s="220">
        <v>14376</v>
      </c>
      <c r="J942" s="220">
        <v>201.1</v>
      </c>
      <c r="K942" s="220">
        <v>-19.952000000000002</v>
      </c>
      <c r="L942" s="220">
        <v>24.42</v>
      </c>
      <c r="M942" s="220" t="s">
        <v>745</v>
      </c>
      <c r="N942" s="220" t="s">
        <v>1333</v>
      </c>
      <c r="O942" s="220" t="s">
        <v>1358</v>
      </c>
      <c r="P942" s="220" t="s">
        <v>1359</v>
      </c>
      <c r="Q942" s="220" t="s">
        <v>85</v>
      </c>
      <c r="R942" s="220" t="s">
        <v>133</v>
      </c>
      <c r="S942" s="220" t="s">
        <v>135</v>
      </c>
    </row>
    <row r="943" spans="1:19" hidden="1" x14ac:dyDescent="0.25">
      <c r="A943" s="220">
        <v>136</v>
      </c>
      <c r="B943" s="220" t="s">
        <v>1357</v>
      </c>
      <c r="C943" s="220" t="s">
        <v>296</v>
      </c>
      <c r="D943" s="220" t="s">
        <v>476</v>
      </c>
      <c r="E943" s="220">
        <v>2</v>
      </c>
      <c r="F943" s="220">
        <v>202.38399999999999</v>
      </c>
      <c r="G943" s="220">
        <v>10473</v>
      </c>
      <c r="H943" s="220">
        <v>12352</v>
      </c>
      <c r="I943" s="220">
        <v>14419</v>
      </c>
      <c r="J943" s="220">
        <v>199.21100000000001</v>
      </c>
      <c r="K943" s="220">
        <v>-19.954000000000001</v>
      </c>
      <c r="L943" s="220">
        <v>24.443000000000001</v>
      </c>
      <c r="M943" s="220" t="s">
        <v>745</v>
      </c>
      <c r="N943" s="220" t="s">
        <v>1333</v>
      </c>
      <c r="O943" s="220" t="s">
        <v>1358</v>
      </c>
      <c r="P943" s="220" t="s">
        <v>1359</v>
      </c>
      <c r="Q943" s="220" t="s">
        <v>120</v>
      </c>
      <c r="R943" s="220" t="s">
        <v>132</v>
      </c>
      <c r="S943" s="220" t="s">
        <v>177</v>
      </c>
    </row>
    <row r="944" spans="1:19" hidden="1" x14ac:dyDescent="0.25">
      <c r="A944" s="220">
        <v>136</v>
      </c>
      <c r="B944" s="220" t="s">
        <v>1357</v>
      </c>
      <c r="C944" s="220" t="s">
        <v>296</v>
      </c>
      <c r="D944" s="220" t="s">
        <v>476</v>
      </c>
      <c r="E944" s="220">
        <v>3</v>
      </c>
      <c r="F944" s="220">
        <v>203.55199999999999</v>
      </c>
      <c r="G944" s="220">
        <v>10513</v>
      </c>
      <c r="H944" s="220">
        <v>12400</v>
      </c>
      <c r="I944" s="220">
        <v>14476</v>
      </c>
      <c r="J944" s="220">
        <v>200.36099999999999</v>
      </c>
      <c r="K944" s="220">
        <v>-19.946000000000002</v>
      </c>
      <c r="L944" s="220">
        <v>24.402000000000001</v>
      </c>
      <c r="M944" s="220" t="s">
        <v>745</v>
      </c>
      <c r="N944" s="220" t="s">
        <v>1333</v>
      </c>
      <c r="O944" s="220" t="s">
        <v>1358</v>
      </c>
      <c r="P944" s="220" t="s">
        <v>1359</v>
      </c>
      <c r="Q944" s="220" t="s">
        <v>117</v>
      </c>
      <c r="R944" s="220" t="s">
        <v>96</v>
      </c>
      <c r="S944" s="220" t="s">
        <v>190</v>
      </c>
    </row>
    <row r="945" spans="1:19" hidden="1" x14ac:dyDescent="0.25">
      <c r="A945" s="220">
        <v>136</v>
      </c>
      <c r="B945" s="220" t="s">
        <v>1357</v>
      </c>
      <c r="C945" s="220" t="s">
        <v>296</v>
      </c>
      <c r="D945" s="220" t="s">
        <v>476</v>
      </c>
      <c r="E945" s="220">
        <v>4</v>
      </c>
      <c r="F945" s="220">
        <v>203.708</v>
      </c>
      <c r="G945" s="220">
        <v>10481</v>
      </c>
      <c r="H945" s="220">
        <v>12363</v>
      </c>
      <c r="I945" s="220">
        <v>14432</v>
      </c>
      <c r="J945" s="220">
        <v>200.51400000000001</v>
      </c>
      <c r="K945" s="220">
        <v>-19.937000000000001</v>
      </c>
      <c r="L945" s="220">
        <v>24.417999999999999</v>
      </c>
      <c r="M945" s="220" t="s">
        <v>745</v>
      </c>
      <c r="N945" s="220" t="s">
        <v>1333</v>
      </c>
      <c r="O945" s="220" t="s">
        <v>1358</v>
      </c>
      <c r="P945" s="220" t="s">
        <v>1359</v>
      </c>
      <c r="Q945" s="220" t="s">
        <v>117</v>
      </c>
      <c r="R945" s="220" t="s">
        <v>119</v>
      </c>
      <c r="S945" s="220" t="s">
        <v>190</v>
      </c>
    </row>
    <row r="946" spans="1:19" hidden="1" x14ac:dyDescent="0.25">
      <c r="A946" s="220">
        <v>136</v>
      </c>
      <c r="B946" s="220" t="s">
        <v>1357</v>
      </c>
      <c r="C946" s="220" t="s">
        <v>296</v>
      </c>
      <c r="D946" s="220" t="s">
        <v>476</v>
      </c>
      <c r="E946" s="220">
        <v>5</v>
      </c>
      <c r="F946" s="220">
        <v>195.57400000000001</v>
      </c>
      <c r="G946" s="220">
        <v>15675</v>
      </c>
      <c r="H946" s="220">
        <v>18877</v>
      </c>
      <c r="I946" s="220">
        <v>21837</v>
      </c>
      <c r="J946" s="220">
        <v>192.46100000000001</v>
      </c>
      <c r="K946" s="220">
        <v>-2.2410000000000001</v>
      </c>
      <c r="L946" s="220">
        <v>35.875</v>
      </c>
      <c r="M946" s="220" t="s">
        <v>745</v>
      </c>
      <c r="N946" s="220" t="s">
        <v>1333</v>
      </c>
      <c r="O946" s="220" t="s">
        <v>1358</v>
      </c>
      <c r="P946" s="220" t="s">
        <v>1359</v>
      </c>
      <c r="Q946" s="220" t="s">
        <v>168</v>
      </c>
      <c r="R946" s="220" t="s">
        <v>101</v>
      </c>
      <c r="S946" s="220" t="s">
        <v>619</v>
      </c>
    </row>
    <row r="947" spans="1:19" x14ac:dyDescent="0.25">
      <c r="A947" s="220">
        <v>136</v>
      </c>
      <c r="B947" s="220" t="s">
        <v>1357</v>
      </c>
      <c r="C947" s="220" t="s">
        <v>296</v>
      </c>
      <c r="D947" s="220" t="s">
        <v>476</v>
      </c>
      <c r="E947" s="220">
        <v>6</v>
      </c>
      <c r="F947" s="220">
        <v>173.024</v>
      </c>
      <c r="G947" s="220">
        <v>14051</v>
      </c>
      <c r="H947" s="220">
        <v>16915</v>
      </c>
      <c r="I947" s="220">
        <v>19576</v>
      </c>
      <c r="J947" s="220">
        <v>170.26900000000001</v>
      </c>
      <c r="K947" s="220">
        <v>-2.1840000000000002</v>
      </c>
      <c r="L947" s="220">
        <v>36.107999999999997</v>
      </c>
      <c r="M947" s="220" t="s">
        <v>745</v>
      </c>
      <c r="N947" s="220" t="s">
        <v>1333</v>
      </c>
      <c r="O947" s="220" t="s">
        <v>1358</v>
      </c>
      <c r="P947" s="220" t="s">
        <v>1359</v>
      </c>
      <c r="Q947" s="220" t="s">
        <v>106</v>
      </c>
      <c r="R947" s="220" t="s">
        <v>208</v>
      </c>
      <c r="S947" s="220" t="s">
        <v>802</v>
      </c>
    </row>
    <row r="948" spans="1:19" x14ac:dyDescent="0.25">
      <c r="A948" s="220">
        <v>136</v>
      </c>
      <c r="B948" s="220" t="s">
        <v>1357</v>
      </c>
      <c r="C948" s="220" t="s">
        <v>296</v>
      </c>
      <c r="D948" s="220" t="s">
        <v>476</v>
      </c>
      <c r="E948" s="220">
        <v>7</v>
      </c>
      <c r="F948" s="220">
        <v>163.12899999999999</v>
      </c>
      <c r="G948" s="220">
        <v>13101</v>
      </c>
      <c r="H948" s="220">
        <v>15766</v>
      </c>
      <c r="I948" s="220">
        <v>18252</v>
      </c>
      <c r="J948" s="220">
        <v>160.53200000000001</v>
      </c>
      <c r="K948" s="220">
        <v>-2.2200000000000002</v>
      </c>
      <c r="L948" s="220">
        <v>36.131999999999998</v>
      </c>
      <c r="M948" s="220" t="s">
        <v>745</v>
      </c>
      <c r="N948" s="220" t="s">
        <v>1333</v>
      </c>
      <c r="O948" s="220" t="s">
        <v>1358</v>
      </c>
      <c r="P948" s="220" t="s">
        <v>1359</v>
      </c>
      <c r="Q948" s="220" t="s">
        <v>106</v>
      </c>
      <c r="R948" s="220" t="s">
        <v>208</v>
      </c>
      <c r="S948" s="220" t="s">
        <v>802</v>
      </c>
    </row>
    <row r="949" spans="1:19" hidden="1" x14ac:dyDescent="0.25">
      <c r="A949" s="220">
        <v>137</v>
      </c>
      <c r="B949" s="220" t="s">
        <v>1360</v>
      </c>
      <c r="C949" s="220" t="s">
        <v>322</v>
      </c>
      <c r="D949" s="220" t="s">
        <v>477</v>
      </c>
      <c r="E949" s="220">
        <v>1</v>
      </c>
      <c r="F949" s="220">
        <v>204.26300000000001</v>
      </c>
      <c r="G949" s="220">
        <v>10444</v>
      </c>
      <c r="H949" s="220">
        <v>12320</v>
      </c>
      <c r="I949" s="220">
        <v>14359</v>
      </c>
      <c r="J949" s="220">
        <v>201.06200000000001</v>
      </c>
      <c r="K949" s="220">
        <v>-19.934000000000001</v>
      </c>
      <c r="L949" s="220">
        <v>24.379000000000001</v>
      </c>
      <c r="M949" s="220" t="s">
        <v>1361</v>
      </c>
      <c r="N949" s="220" t="s">
        <v>1333</v>
      </c>
      <c r="O949" s="220" t="s">
        <v>1362</v>
      </c>
      <c r="P949" s="220" t="s">
        <v>1363</v>
      </c>
      <c r="Q949" s="220" t="s">
        <v>74</v>
      </c>
      <c r="R949" s="220" t="s">
        <v>122</v>
      </c>
      <c r="S949" s="220" t="s">
        <v>192</v>
      </c>
    </row>
    <row r="950" spans="1:19" hidden="1" x14ac:dyDescent="0.25">
      <c r="A950" s="220">
        <v>137</v>
      </c>
      <c r="B950" s="220" t="s">
        <v>1360</v>
      </c>
      <c r="C950" s="220" t="s">
        <v>322</v>
      </c>
      <c r="D950" s="220" t="s">
        <v>477</v>
      </c>
      <c r="E950" s="220">
        <v>2</v>
      </c>
      <c r="F950" s="220">
        <v>202.607</v>
      </c>
      <c r="G950" s="220">
        <v>10494</v>
      </c>
      <c r="H950" s="220">
        <v>12378</v>
      </c>
      <c r="I950" s="220">
        <v>14428</v>
      </c>
      <c r="J950" s="220">
        <v>199.43199999999999</v>
      </c>
      <c r="K950" s="220">
        <v>-19.940000000000001</v>
      </c>
      <c r="L950" s="220">
        <v>24.382999999999999</v>
      </c>
      <c r="M950" s="220" t="s">
        <v>1361</v>
      </c>
      <c r="N950" s="220" t="s">
        <v>1333</v>
      </c>
      <c r="O950" s="220" t="s">
        <v>1362</v>
      </c>
      <c r="P950" s="220" t="s">
        <v>1363</v>
      </c>
      <c r="Q950" s="220" t="s">
        <v>237</v>
      </c>
      <c r="R950" s="220" t="s">
        <v>105</v>
      </c>
      <c r="S950" s="220" t="s">
        <v>208</v>
      </c>
    </row>
    <row r="951" spans="1:19" hidden="1" x14ac:dyDescent="0.25">
      <c r="A951" s="220">
        <v>137</v>
      </c>
      <c r="B951" s="220" t="s">
        <v>1360</v>
      </c>
      <c r="C951" s="220" t="s">
        <v>322</v>
      </c>
      <c r="D951" s="220" t="s">
        <v>477</v>
      </c>
      <c r="E951" s="220">
        <v>3</v>
      </c>
      <c r="F951" s="220">
        <v>203.50399999999999</v>
      </c>
      <c r="G951" s="220">
        <v>10531</v>
      </c>
      <c r="H951" s="220">
        <v>12422</v>
      </c>
      <c r="I951" s="220">
        <v>14479</v>
      </c>
      <c r="J951" s="220">
        <v>200.315</v>
      </c>
      <c r="K951" s="220">
        <v>-19.940999999999999</v>
      </c>
      <c r="L951" s="220">
        <v>24.382999999999999</v>
      </c>
      <c r="M951" s="220" t="s">
        <v>1361</v>
      </c>
      <c r="N951" s="220" t="s">
        <v>1333</v>
      </c>
      <c r="O951" s="220" t="s">
        <v>1362</v>
      </c>
      <c r="P951" s="220" t="s">
        <v>1363</v>
      </c>
      <c r="Q951" s="220" t="s">
        <v>117</v>
      </c>
      <c r="R951" s="220" t="s">
        <v>119</v>
      </c>
      <c r="S951" s="220" t="s">
        <v>235</v>
      </c>
    </row>
    <row r="952" spans="1:19" hidden="1" x14ac:dyDescent="0.25">
      <c r="A952" s="220">
        <v>137</v>
      </c>
      <c r="B952" s="220" t="s">
        <v>1360</v>
      </c>
      <c r="C952" s="220" t="s">
        <v>322</v>
      </c>
      <c r="D952" s="220" t="s">
        <v>477</v>
      </c>
      <c r="E952" s="220">
        <v>4</v>
      </c>
      <c r="F952" s="220">
        <v>203.64500000000001</v>
      </c>
      <c r="G952" s="220">
        <v>10478</v>
      </c>
      <c r="H952" s="220">
        <v>12361</v>
      </c>
      <c r="I952" s="220">
        <v>14413</v>
      </c>
      <c r="J952" s="220">
        <v>200.45400000000001</v>
      </c>
      <c r="K952" s="220">
        <v>-19.937000000000001</v>
      </c>
      <c r="L952" s="220">
        <v>24.417999999999999</v>
      </c>
      <c r="M952" s="220" t="s">
        <v>1361</v>
      </c>
      <c r="N952" s="220" t="s">
        <v>1333</v>
      </c>
      <c r="O952" s="220" t="s">
        <v>1362</v>
      </c>
      <c r="P952" s="220" t="s">
        <v>1363</v>
      </c>
      <c r="Q952" s="220" t="s">
        <v>158</v>
      </c>
      <c r="R952" s="220" t="s">
        <v>119</v>
      </c>
      <c r="S952" s="220" t="s">
        <v>235</v>
      </c>
    </row>
    <row r="953" spans="1:19" hidden="1" x14ac:dyDescent="0.25">
      <c r="A953" s="220">
        <v>137</v>
      </c>
      <c r="B953" s="220" t="s">
        <v>1360</v>
      </c>
      <c r="C953" s="220" t="s">
        <v>322</v>
      </c>
      <c r="D953" s="220" t="s">
        <v>477</v>
      </c>
      <c r="E953" s="220">
        <v>5</v>
      </c>
      <c r="F953" s="220">
        <v>222.97300000000001</v>
      </c>
      <c r="G953" s="220">
        <v>17001</v>
      </c>
      <c r="H953" s="220">
        <v>20481</v>
      </c>
      <c r="I953" s="220">
        <v>23634</v>
      </c>
      <c r="J953" s="220">
        <v>219.423</v>
      </c>
      <c r="K953" s="220">
        <v>-1.9139999999999999</v>
      </c>
      <c r="L953" s="220">
        <v>35.783999999999999</v>
      </c>
      <c r="M953" s="220" t="s">
        <v>1361</v>
      </c>
      <c r="N953" s="220" t="s">
        <v>1333</v>
      </c>
      <c r="O953" s="220" t="s">
        <v>1362</v>
      </c>
      <c r="P953" s="220" t="s">
        <v>1363</v>
      </c>
      <c r="Q953" s="220" t="s">
        <v>175</v>
      </c>
      <c r="R953" s="220" t="s">
        <v>611</v>
      </c>
      <c r="S953" s="220" t="s">
        <v>45</v>
      </c>
    </row>
    <row r="954" spans="1:19" x14ac:dyDescent="0.25">
      <c r="A954" s="220">
        <v>137</v>
      </c>
      <c r="B954" s="220" t="s">
        <v>1360</v>
      </c>
      <c r="C954" s="220" t="s">
        <v>322</v>
      </c>
      <c r="D954" s="220" t="s">
        <v>477</v>
      </c>
      <c r="E954" s="220">
        <v>6</v>
      </c>
      <c r="F954" s="220">
        <v>195.66200000000001</v>
      </c>
      <c r="G954" s="220">
        <v>15187</v>
      </c>
      <c r="H954" s="220">
        <v>18289</v>
      </c>
      <c r="I954" s="220">
        <v>21118</v>
      </c>
      <c r="J954" s="220">
        <v>192.547</v>
      </c>
      <c r="K954" s="220">
        <v>-1.861</v>
      </c>
      <c r="L954" s="220">
        <v>36.021999999999998</v>
      </c>
      <c r="M954" s="220" t="s">
        <v>1361</v>
      </c>
      <c r="N954" s="220" t="s">
        <v>1333</v>
      </c>
      <c r="O954" s="220" t="s">
        <v>1362</v>
      </c>
      <c r="P954" s="220" t="s">
        <v>1363</v>
      </c>
      <c r="Q954" s="220" t="s">
        <v>252</v>
      </c>
      <c r="R954" s="220" t="s">
        <v>144</v>
      </c>
      <c r="S954" s="220" t="s">
        <v>625</v>
      </c>
    </row>
    <row r="955" spans="1:19" x14ac:dyDescent="0.25">
      <c r="A955" s="220">
        <v>137</v>
      </c>
      <c r="B955" s="220" t="s">
        <v>1360</v>
      </c>
      <c r="C955" s="220" t="s">
        <v>322</v>
      </c>
      <c r="D955" s="220" t="s">
        <v>477</v>
      </c>
      <c r="E955" s="220">
        <v>7</v>
      </c>
      <c r="F955" s="220">
        <v>181.90899999999999</v>
      </c>
      <c r="G955" s="220">
        <v>14160</v>
      </c>
      <c r="H955" s="220">
        <v>17054</v>
      </c>
      <c r="I955" s="220">
        <v>19694</v>
      </c>
      <c r="J955" s="220">
        <v>179.01300000000001</v>
      </c>
      <c r="K955" s="220">
        <v>-1.8029999999999999</v>
      </c>
      <c r="L955" s="220">
        <v>36.116999999999997</v>
      </c>
      <c r="M955" s="220" t="s">
        <v>1361</v>
      </c>
      <c r="N955" s="220" t="s">
        <v>1333</v>
      </c>
      <c r="O955" s="220" t="s">
        <v>1362</v>
      </c>
      <c r="P955" s="220" t="s">
        <v>1363</v>
      </c>
      <c r="Q955" s="220" t="s">
        <v>744</v>
      </c>
      <c r="R955" s="220" t="s">
        <v>527</v>
      </c>
      <c r="S955" s="220" t="s">
        <v>1290</v>
      </c>
    </row>
    <row r="956" spans="1:19" hidden="1" x14ac:dyDescent="0.25">
      <c r="A956" s="220">
        <v>138</v>
      </c>
      <c r="B956" s="220" t="s">
        <v>1364</v>
      </c>
      <c r="C956" s="220" t="s">
        <v>229</v>
      </c>
      <c r="D956" s="220" t="s">
        <v>478</v>
      </c>
      <c r="E956" s="220">
        <v>1</v>
      </c>
      <c r="F956" s="220">
        <v>204.15100000000001</v>
      </c>
      <c r="G956" s="220">
        <v>10451</v>
      </c>
      <c r="H956" s="220">
        <v>12327</v>
      </c>
      <c r="I956" s="220">
        <v>14389</v>
      </c>
      <c r="J956" s="220">
        <v>200.95</v>
      </c>
      <c r="K956" s="220">
        <v>-19.939</v>
      </c>
      <c r="L956" s="220">
        <v>24.422999999999998</v>
      </c>
      <c r="M956" s="220" t="s">
        <v>691</v>
      </c>
      <c r="N956" s="220" t="s">
        <v>1333</v>
      </c>
      <c r="O956" s="220" t="s">
        <v>1365</v>
      </c>
      <c r="P956" s="220" t="s">
        <v>1366</v>
      </c>
      <c r="Q956" s="220" t="s">
        <v>84</v>
      </c>
      <c r="R956" s="220" t="s">
        <v>131</v>
      </c>
      <c r="S956" s="220" t="s">
        <v>219</v>
      </c>
    </row>
    <row r="957" spans="1:19" hidden="1" x14ac:dyDescent="0.25">
      <c r="A957" s="220">
        <v>138</v>
      </c>
      <c r="B957" s="220" t="s">
        <v>1364</v>
      </c>
      <c r="C957" s="220" t="s">
        <v>229</v>
      </c>
      <c r="D957" s="220" t="s">
        <v>478</v>
      </c>
      <c r="E957" s="220">
        <v>2</v>
      </c>
      <c r="F957" s="220">
        <v>202.05600000000001</v>
      </c>
      <c r="G957" s="220">
        <v>10467</v>
      </c>
      <c r="H957" s="220">
        <v>12346</v>
      </c>
      <c r="I957" s="220">
        <v>14413</v>
      </c>
      <c r="J957" s="220">
        <v>198.88800000000001</v>
      </c>
      <c r="K957" s="220">
        <v>-19.946999999999999</v>
      </c>
      <c r="L957" s="220">
        <v>24.413</v>
      </c>
      <c r="M957" s="220" t="s">
        <v>691</v>
      </c>
      <c r="N957" s="220" t="s">
        <v>1333</v>
      </c>
      <c r="O957" s="220" t="s">
        <v>1365</v>
      </c>
      <c r="P957" s="220" t="s">
        <v>1366</v>
      </c>
      <c r="Q957" s="220" t="s">
        <v>117</v>
      </c>
      <c r="R957" s="220" t="s">
        <v>96</v>
      </c>
      <c r="S957" s="220" t="s">
        <v>190</v>
      </c>
    </row>
    <row r="958" spans="1:19" hidden="1" x14ac:dyDescent="0.25">
      <c r="A958" s="220">
        <v>138</v>
      </c>
      <c r="B958" s="220" t="s">
        <v>1364</v>
      </c>
      <c r="C958" s="220" t="s">
        <v>229</v>
      </c>
      <c r="D958" s="220" t="s">
        <v>478</v>
      </c>
      <c r="E958" s="220">
        <v>3</v>
      </c>
      <c r="F958" s="220">
        <v>203.303</v>
      </c>
      <c r="G958" s="220">
        <v>10505</v>
      </c>
      <c r="H958" s="220">
        <v>12392</v>
      </c>
      <c r="I958" s="220">
        <v>14468</v>
      </c>
      <c r="J958" s="220">
        <v>200.11600000000001</v>
      </c>
      <c r="K958" s="220">
        <v>-19.945</v>
      </c>
      <c r="L958" s="220">
        <v>24.388000000000002</v>
      </c>
      <c r="M958" s="220" t="s">
        <v>691</v>
      </c>
      <c r="N958" s="220" t="s">
        <v>1333</v>
      </c>
      <c r="O958" s="220" t="s">
        <v>1365</v>
      </c>
      <c r="P958" s="220" t="s">
        <v>1366</v>
      </c>
      <c r="Q958" s="220" t="s">
        <v>277</v>
      </c>
      <c r="R958" s="220" t="s">
        <v>280</v>
      </c>
      <c r="S958" s="220" t="s">
        <v>144</v>
      </c>
    </row>
    <row r="959" spans="1:19" hidden="1" x14ac:dyDescent="0.25">
      <c r="A959" s="220">
        <v>138</v>
      </c>
      <c r="B959" s="220" t="s">
        <v>1364</v>
      </c>
      <c r="C959" s="220" t="s">
        <v>229</v>
      </c>
      <c r="D959" s="220" t="s">
        <v>478</v>
      </c>
      <c r="E959" s="220">
        <v>4</v>
      </c>
      <c r="F959" s="220">
        <v>203.26</v>
      </c>
      <c r="G959" s="220">
        <v>10469</v>
      </c>
      <c r="H959" s="220">
        <v>12348</v>
      </c>
      <c r="I959" s="220">
        <v>14413</v>
      </c>
      <c r="J959" s="220">
        <v>200.07300000000001</v>
      </c>
      <c r="K959" s="220">
        <v>-19.937000000000001</v>
      </c>
      <c r="L959" s="220">
        <v>24.417999999999999</v>
      </c>
      <c r="M959" s="220" t="s">
        <v>691</v>
      </c>
      <c r="N959" s="220" t="s">
        <v>1333</v>
      </c>
      <c r="O959" s="220" t="s">
        <v>1365</v>
      </c>
      <c r="P959" s="220" t="s">
        <v>1366</v>
      </c>
      <c r="Q959" s="220" t="s">
        <v>277</v>
      </c>
      <c r="R959" s="220" t="s">
        <v>280</v>
      </c>
      <c r="S959" s="220" t="s">
        <v>144</v>
      </c>
    </row>
    <row r="960" spans="1:19" hidden="1" x14ac:dyDescent="0.25">
      <c r="A960" s="220">
        <v>138</v>
      </c>
      <c r="B960" s="220" t="s">
        <v>1364</v>
      </c>
      <c r="C960" s="220" t="s">
        <v>229</v>
      </c>
      <c r="D960" s="220" t="s">
        <v>478</v>
      </c>
      <c r="E960" s="220">
        <v>5</v>
      </c>
      <c r="F960" s="220">
        <v>216.226</v>
      </c>
      <c r="G960" s="220">
        <v>17315</v>
      </c>
      <c r="H960" s="220">
        <v>20863</v>
      </c>
      <c r="I960" s="220">
        <v>24112</v>
      </c>
      <c r="J960" s="220">
        <v>212.78200000000001</v>
      </c>
      <c r="K960" s="220">
        <v>-1.569</v>
      </c>
      <c r="L960" s="220">
        <v>35.929000000000002</v>
      </c>
      <c r="M960" s="220" t="s">
        <v>691</v>
      </c>
      <c r="N960" s="220" t="s">
        <v>1333</v>
      </c>
      <c r="O960" s="220" t="s">
        <v>1365</v>
      </c>
      <c r="P960" s="220" t="s">
        <v>1366</v>
      </c>
      <c r="Q960" s="220" t="s">
        <v>151</v>
      </c>
      <c r="R960" s="220" t="s">
        <v>46</v>
      </c>
      <c r="S960" s="220" t="s">
        <v>566</v>
      </c>
    </row>
    <row r="961" spans="1:19" x14ac:dyDescent="0.25">
      <c r="A961" s="220">
        <v>138</v>
      </c>
      <c r="B961" s="220" t="s">
        <v>1364</v>
      </c>
      <c r="C961" s="220" t="s">
        <v>229</v>
      </c>
      <c r="D961" s="220" t="s">
        <v>478</v>
      </c>
      <c r="E961" s="220">
        <v>6</v>
      </c>
      <c r="F961" s="220">
        <v>190.08799999999999</v>
      </c>
      <c r="G961" s="220">
        <v>15344</v>
      </c>
      <c r="H961" s="220">
        <v>18481</v>
      </c>
      <c r="I961" s="220">
        <v>21376</v>
      </c>
      <c r="J961" s="220">
        <v>187.06</v>
      </c>
      <c r="K961" s="220">
        <v>-1.5309999999999999</v>
      </c>
      <c r="L961" s="220">
        <v>36.162999999999997</v>
      </c>
      <c r="M961" s="220" t="s">
        <v>691</v>
      </c>
      <c r="N961" s="220" t="s">
        <v>1333</v>
      </c>
      <c r="O961" s="220" t="s">
        <v>1365</v>
      </c>
      <c r="P961" s="220" t="s">
        <v>1366</v>
      </c>
      <c r="Q961" s="220" t="s">
        <v>214</v>
      </c>
      <c r="R961" s="220" t="s">
        <v>282</v>
      </c>
      <c r="S961" s="220" t="s">
        <v>631</v>
      </c>
    </row>
    <row r="962" spans="1:19" x14ac:dyDescent="0.25">
      <c r="A962" s="220">
        <v>138</v>
      </c>
      <c r="B962" s="220" t="s">
        <v>1364</v>
      </c>
      <c r="C962" s="220" t="s">
        <v>229</v>
      </c>
      <c r="D962" s="220" t="s">
        <v>478</v>
      </c>
      <c r="E962" s="220">
        <v>7</v>
      </c>
      <c r="F962" s="220">
        <v>176.208</v>
      </c>
      <c r="G962" s="220">
        <v>14165</v>
      </c>
      <c r="H962" s="220">
        <v>17058</v>
      </c>
      <c r="I962" s="220">
        <v>19737</v>
      </c>
      <c r="J962" s="220">
        <v>173.40100000000001</v>
      </c>
      <c r="K962" s="220">
        <v>-1.452</v>
      </c>
      <c r="L962" s="220">
        <v>36.19</v>
      </c>
      <c r="M962" s="220" t="s">
        <v>691</v>
      </c>
      <c r="N962" s="220" t="s">
        <v>1333</v>
      </c>
      <c r="O962" s="220" t="s">
        <v>1365</v>
      </c>
      <c r="P962" s="220" t="s">
        <v>1366</v>
      </c>
      <c r="Q962" s="220" t="s">
        <v>256</v>
      </c>
      <c r="R962" s="220" t="s">
        <v>719</v>
      </c>
      <c r="S962" s="220" t="s">
        <v>1367</v>
      </c>
    </row>
    <row r="963" spans="1:19" hidden="1" x14ac:dyDescent="0.25">
      <c r="A963" s="220">
        <v>139</v>
      </c>
      <c r="B963" s="220" t="s">
        <v>1368</v>
      </c>
      <c r="C963" s="220" t="s">
        <v>269</v>
      </c>
      <c r="D963" s="220" t="s">
        <v>479</v>
      </c>
      <c r="E963" s="220">
        <v>1</v>
      </c>
      <c r="F963" s="220">
        <v>204.89599999999999</v>
      </c>
      <c r="G963" s="220">
        <v>10482</v>
      </c>
      <c r="H963" s="220">
        <v>12363</v>
      </c>
      <c r="I963" s="220">
        <v>14442</v>
      </c>
      <c r="J963" s="220">
        <v>201.68299999999999</v>
      </c>
      <c r="K963" s="220">
        <v>-19.931000000000001</v>
      </c>
      <c r="L963" s="220">
        <v>24.408999999999999</v>
      </c>
      <c r="M963" s="220" t="s">
        <v>971</v>
      </c>
      <c r="N963" s="220" t="s">
        <v>1333</v>
      </c>
      <c r="O963" s="220" t="s">
        <v>1369</v>
      </c>
      <c r="P963" s="220" t="s">
        <v>1370</v>
      </c>
      <c r="Q963" s="220" t="s">
        <v>78</v>
      </c>
      <c r="R963" s="220" t="s">
        <v>126</v>
      </c>
      <c r="S963" s="220" t="s">
        <v>195</v>
      </c>
    </row>
    <row r="964" spans="1:19" hidden="1" x14ac:dyDescent="0.25">
      <c r="A964" s="220">
        <v>139</v>
      </c>
      <c r="B964" s="220" t="s">
        <v>1368</v>
      </c>
      <c r="C964" s="220" t="s">
        <v>269</v>
      </c>
      <c r="D964" s="220" t="s">
        <v>479</v>
      </c>
      <c r="E964" s="220">
        <v>2</v>
      </c>
      <c r="F964" s="220">
        <v>202.441</v>
      </c>
      <c r="G964" s="220">
        <v>10481</v>
      </c>
      <c r="H964" s="220">
        <v>12361</v>
      </c>
      <c r="I964" s="220">
        <v>14440</v>
      </c>
      <c r="J964" s="220">
        <v>199.26599999999999</v>
      </c>
      <c r="K964" s="220">
        <v>-19.922999999999998</v>
      </c>
      <c r="L964" s="220">
        <v>24.396999999999998</v>
      </c>
      <c r="M964" s="220" t="s">
        <v>971</v>
      </c>
      <c r="N964" s="220" t="s">
        <v>1333</v>
      </c>
      <c r="O964" s="220" t="s">
        <v>1369</v>
      </c>
      <c r="P964" s="220" t="s">
        <v>1370</v>
      </c>
      <c r="Q964" s="220" t="s">
        <v>111</v>
      </c>
      <c r="R964" s="220" t="s">
        <v>233</v>
      </c>
      <c r="S964" s="220" t="s">
        <v>585</v>
      </c>
    </row>
    <row r="965" spans="1:19" hidden="1" x14ac:dyDescent="0.25">
      <c r="A965" s="220">
        <v>139</v>
      </c>
      <c r="B965" s="220" t="s">
        <v>1368</v>
      </c>
      <c r="C965" s="220" t="s">
        <v>269</v>
      </c>
      <c r="D965" s="220" t="s">
        <v>479</v>
      </c>
      <c r="E965" s="220">
        <v>3</v>
      </c>
      <c r="F965" s="220">
        <v>203.66900000000001</v>
      </c>
      <c r="G965" s="220">
        <v>10517</v>
      </c>
      <c r="H965" s="220">
        <v>12403</v>
      </c>
      <c r="I965" s="220">
        <v>14492</v>
      </c>
      <c r="J965" s="220">
        <v>200.47499999999999</v>
      </c>
      <c r="K965" s="220">
        <v>-19.940000000000001</v>
      </c>
      <c r="L965" s="220">
        <v>24.391999999999999</v>
      </c>
      <c r="M965" s="220" t="s">
        <v>971</v>
      </c>
      <c r="N965" s="220" t="s">
        <v>1333</v>
      </c>
      <c r="O965" s="220" t="s">
        <v>1369</v>
      </c>
      <c r="P965" s="220" t="s">
        <v>1370</v>
      </c>
      <c r="Q965" s="220" t="s">
        <v>81</v>
      </c>
      <c r="R965" s="220" t="s">
        <v>214</v>
      </c>
      <c r="S965" s="220" t="s">
        <v>241</v>
      </c>
    </row>
    <row r="966" spans="1:19" hidden="1" x14ac:dyDescent="0.25">
      <c r="A966" s="220">
        <v>139</v>
      </c>
      <c r="B966" s="220" t="s">
        <v>1368</v>
      </c>
      <c r="C966" s="220" t="s">
        <v>269</v>
      </c>
      <c r="D966" s="220" t="s">
        <v>479</v>
      </c>
      <c r="E966" s="220">
        <v>4</v>
      </c>
      <c r="F966" s="220">
        <v>203.251</v>
      </c>
      <c r="G966" s="220">
        <v>10461</v>
      </c>
      <c r="H966" s="220">
        <v>12338</v>
      </c>
      <c r="I966" s="220">
        <v>14412</v>
      </c>
      <c r="J966" s="220">
        <v>200.06399999999999</v>
      </c>
      <c r="K966" s="220">
        <v>-19.937000000000001</v>
      </c>
      <c r="L966" s="220">
        <v>24.417999999999999</v>
      </c>
      <c r="M966" s="220" t="s">
        <v>971</v>
      </c>
      <c r="N966" s="220" t="s">
        <v>1333</v>
      </c>
      <c r="O966" s="220" t="s">
        <v>1369</v>
      </c>
      <c r="P966" s="220" t="s">
        <v>1370</v>
      </c>
      <c r="Q966" s="220" t="s">
        <v>81</v>
      </c>
      <c r="R966" s="220" t="s">
        <v>214</v>
      </c>
      <c r="S966" s="220" t="s">
        <v>303</v>
      </c>
    </row>
    <row r="967" spans="1:19" hidden="1" x14ac:dyDescent="0.25">
      <c r="A967" s="220">
        <v>139</v>
      </c>
      <c r="B967" s="220" t="s">
        <v>1368</v>
      </c>
      <c r="C967" s="220" t="s">
        <v>269</v>
      </c>
      <c r="D967" s="220" t="s">
        <v>479</v>
      </c>
      <c r="E967" s="220">
        <v>5</v>
      </c>
      <c r="F967" s="220">
        <v>201.07400000000001</v>
      </c>
      <c r="G967" s="220">
        <v>15346</v>
      </c>
      <c r="H967" s="220">
        <v>18494</v>
      </c>
      <c r="I967" s="220">
        <v>21392</v>
      </c>
      <c r="J967" s="220">
        <v>197.87</v>
      </c>
      <c r="K967" s="220">
        <v>-1.2190000000000001</v>
      </c>
      <c r="L967" s="220">
        <v>35.921999999999997</v>
      </c>
      <c r="M967" s="220" t="s">
        <v>971</v>
      </c>
      <c r="N967" s="220" t="s">
        <v>1333</v>
      </c>
      <c r="O967" s="220" t="s">
        <v>1369</v>
      </c>
      <c r="P967" s="220" t="s">
        <v>1370</v>
      </c>
      <c r="Q967" s="220" t="s">
        <v>169</v>
      </c>
      <c r="R967" s="220" t="s">
        <v>44</v>
      </c>
      <c r="S967" s="220" t="s">
        <v>86</v>
      </c>
    </row>
    <row r="968" spans="1:19" x14ac:dyDescent="0.25">
      <c r="A968" s="220">
        <v>139</v>
      </c>
      <c r="B968" s="220" t="s">
        <v>1368</v>
      </c>
      <c r="C968" s="220" t="s">
        <v>269</v>
      </c>
      <c r="D968" s="220" t="s">
        <v>479</v>
      </c>
      <c r="E968" s="220">
        <v>6</v>
      </c>
      <c r="F968" s="220">
        <v>176.14099999999999</v>
      </c>
      <c r="G968" s="220">
        <v>13691</v>
      </c>
      <c r="H968" s="220">
        <v>16499</v>
      </c>
      <c r="I968" s="220">
        <v>19084</v>
      </c>
      <c r="J968" s="220">
        <v>173.334</v>
      </c>
      <c r="K968" s="220">
        <v>-1.165</v>
      </c>
      <c r="L968" s="220">
        <v>36.1</v>
      </c>
      <c r="M968" s="220" t="s">
        <v>971</v>
      </c>
      <c r="N968" s="220" t="s">
        <v>1333</v>
      </c>
      <c r="O968" s="220" t="s">
        <v>1369</v>
      </c>
      <c r="P968" s="220" t="s">
        <v>1370</v>
      </c>
      <c r="Q968" s="220" t="s">
        <v>195</v>
      </c>
      <c r="R968" s="220" t="s">
        <v>215</v>
      </c>
      <c r="S968" s="220" t="s">
        <v>298</v>
      </c>
    </row>
    <row r="969" spans="1:19" x14ac:dyDescent="0.25">
      <c r="A969" s="220">
        <v>139</v>
      </c>
      <c r="B969" s="220" t="s">
        <v>1368</v>
      </c>
      <c r="C969" s="220" t="s">
        <v>269</v>
      </c>
      <c r="D969" s="220" t="s">
        <v>479</v>
      </c>
      <c r="E969" s="220">
        <v>7</v>
      </c>
      <c r="F969" s="220">
        <v>163.517</v>
      </c>
      <c r="G969" s="220">
        <v>12778</v>
      </c>
      <c r="H969" s="220">
        <v>15398</v>
      </c>
      <c r="I969" s="220">
        <v>17811</v>
      </c>
      <c r="J969" s="220">
        <v>160.911</v>
      </c>
      <c r="K969" s="220">
        <v>-1.1120000000000001</v>
      </c>
      <c r="L969" s="220">
        <v>36.097000000000001</v>
      </c>
      <c r="M969" s="220" t="s">
        <v>971</v>
      </c>
      <c r="N969" s="220" t="s">
        <v>1333</v>
      </c>
      <c r="O969" s="220" t="s">
        <v>1369</v>
      </c>
      <c r="P969" s="220" t="s">
        <v>1370</v>
      </c>
      <c r="Q969" s="220" t="s">
        <v>547</v>
      </c>
      <c r="R969" s="220" t="s">
        <v>622</v>
      </c>
      <c r="S969" s="220" t="s">
        <v>562</v>
      </c>
    </row>
    <row r="970" spans="1:19" hidden="1" x14ac:dyDescent="0.25">
      <c r="A970" s="220">
        <v>140</v>
      </c>
      <c r="B970" s="220" t="s">
        <v>1371</v>
      </c>
      <c r="C970" s="220" t="s">
        <v>496</v>
      </c>
      <c r="D970" s="220" t="s">
        <v>480</v>
      </c>
      <c r="E970" s="220">
        <v>1</v>
      </c>
      <c r="F970" s="220">
        <v>204.01</v>
      </c>
      <c r="G970" s="220">
        <v>10420</v>
      </c>
      <c r="H970" s="220">
        <v>12291</v>
      </c>
      <c r="I970" s="220">
        <v>14358</v>
      </c>
      <c r="J970" s="220">
        <v>200.81100000000001</v>
      </c>
      <c r="K970" s="220">
        <v>-19.931999999999999</v>
      </c>
      <c r="L970" s="220">
        <v>24.428000000000001</v>
      </c>
      <c r="M970" s="220" t="s">
        <v>975</v>
      </c>
      <c r="N970" s="220" t="s">
        <v>1333</v>
      </c>
      <c r="O970" s="220" t="s">
        <v>1372</v>
      </c>
      <c r="P970" s="220" t="s">
        <v>1373</v>
      </c>
      <c r="Q970" s="220" t="s">
        <v>78</v>
      </c>
      <c r="R970" s="220" t="s">
        <v>145</v>
      </c>
      <c r="S970" s="220" t="s">
        <v>139</v>
      </c>
    </row>
    <row r="971" spans="1:19" hidden="1" x14ac:dyDescent="0.25">
      <c r="A971" s="220">
        <v>140</v>
      </c>
      <c r="B971" s="220" t="s">
        <v>1371</v>
      </c>
      <c r="C971" s="220" t="s">
        <v>496</v>
      </c>
      <c r="D971" s="220" t="s">
        <v>480</v>
      </c>
      <c r="E971" s="220">
        <v>2</v>
      </c>
      <c r="F971" s="220">
        <v>202.08500000000001</v>
      </c>
      <c r="G971" s="220">
        <v>10444</v>
      </c>
      <c r="H971" s="220">
        <v>12318</v>
      </c>
      <c r="I971" s="220">
        <v>14388</v>
      </c>
      <c r="J971" s="220">
        <v>198.916</v>
      </c>
      <c r="K971" s="220">
        <v>-19.933</v>
      </c>
      <c r="L971" s="220">
        <v>24.408999999999999</v>
      </c>
      <c r="M971" s="220" t="s">
        <v>975</v>
      </c>
      <c r="N971" s="220" t="s">
        <v>1333</v>
      </c>
      <c r="O971" s="220" t="s">
        <v>1372</v>
      </c>
      <c r="P971" s="220" t="s">
        <v>1373</v>
      </c>
      <c r="Q971" s="220" t="s">
        <v>111</v>
      </c>
      <c r="R971" s="220" t="s">
        <v>132</v>
      </c>
      <c r="S971" s="220" t="s">
        <v>585</v>
      </c>
    </row>
    <row r="972" spans="1:19" hidden="1" x14ac:dyDescent="0.25">
      <c r="A972" s="220">
        <v>140</v>
      </c>
      <c r="B972" s="220" t="s">
        <v>1371</v>
      </c>
      <c r="C972" s="220" t="s">
        <v>496</v>
      </c>
      <c r="D972" s="220" t="s">
        <v>480</v>
      </c>
      <c r="E972" s="220">
        <v>3</v>
      </c>
      <c r="F972" s="220">
        <v>202.697</v>
      </c>
      <c r="G972" s="220">
        <v>10480</v>
      </c>
      <c r="H972" s="220">
        <v>12361</v>
      </c>
      <c r="I972" s="220">
        <v>14443</v>
      </c>
      <c r="J972" s="220">
        <v>199.51900000000001</v>
      </c>
      <c r="K972" s="220">
        <v>-19.933</v>
      </c>
      <c r="L972" s="220">
        <v>24.414999999999999</v>
      </c>
      <c r="M972" s="220" t="s">
        <v>975</v>
      </c>
      <c r="N972" s="220" t="s">
        <v>1333</v>
      </c>
      <c r="O972" s="220" t="s">
        <v>1372</v>
      </c>
      <c r="P972" s="220" t="s">
        <v>1373</v>
      </c>
      <c r="Q972" s="220" t="s">
        <v>81</v>
      </c>
      <c r="R972" s="220" t="s">
        <v>96</v>
      </c>
      <c r="S972" s="220" t="s">
        <v>303</v>
      </c>
    </row>
    <row r="973" spans="1:19" hidden="1" x14ac:dyDescent="0.25">
      <c r="A973" s="220">
        <v>140</v>
      </c>
      <c r="B973" s="220" t="s">
        <v>1371</v>
      </c>
      <c r="C973" s="220" t="s">
        <v>496</v>
      </c>
      <c r="D973" s="220" t="s">
        <v>480</v>
      </c>
      <c r="E973" s="220">
        <v>4</v>
      </c>
      <c r="F973" s="220">
        <v>203.155</v>
      </c>
      <c r="G973" s="220">
        <v>10451</v>
      </c>
      <c r="H973" s="220">
        <v>12326</v>
      </c>
      <c r="I973" s="220">
        <v>14399</v>
      </c>
      <c r="J973" s="220">
        <v>199.96899999999999</v>
      </c>
      <c r="K973" s="220">
        <v>-19.937000000000001</v>
      </c>
      <c r="L973" s="220">
        <v>24.417999999999999</v>
      </c>
      <c r="M973" s="220" t="s">
        <v>975</v>
      </c>
      <c r="N973" s="220" t="s">
        <v>1333</v>
      </c>
      <c r="O973" s="220" t="s">
        <v>1372</v>
      </c>
      <c r="P973" s="220" t="s">
        <v>1373</v>
      </c>
      <c r="Q973" s="220" t="s">
        <v>117</v>
      </c>
      <c r="R973" s="220" t="s">
        <v>96</v>
      </c>
      <c r="S973" s="220" t="s">
        <v>303</v>
      </c>
    </row>
    <row r="974" spans="1:19" hidden="1" x14ac:dyDescent="0.25">
      <c r="A974" s="220">
        <v>140</v>
      </c>
      <c r="B974" s="220" t="s">
        <v>1371</v>
      </c>
      <c r="C974" s="220" t="s">
        <v>496</v>
      </c>
      <c r="D974" s="220" t="s">
        <v>480</v>
      </c>
      <c r="E974" s="220">
        <v>5</v>
      </c>
      <c r="F974" s="220">
        <v>192.899</v>
      </c>
      <c r="G974" s="220">
        <v>15117</v>
      </c>
      <c r="H974" s="220">
        <v>18201</v>
      </c>
      <c r="I974" s="220">
        <v>21066</v>
      </c>
      <c r="J974" s="220">
        <v>189.82599999999999</v>
      </c>
      <c r="K974" s="220">
        <v>-1.5169999999999999</v>
      </c>
      <c r="L974" s="220">
        <v>35.658999999999999</v>
      </c>
      <c r="M974" s="220" t="s">
        <v>975</v>
      </c>
      <c r="N974" s="220" t="s">
        <v>1333</v>
      </c>
      <c r="O974" s="220" t="s">
        <v>1372</v>
      </c>
      <c r="P974" s="220" t="s">
        <v>1373</v>
      </c>
      <c r="Q974" s="220" t="s">
        <v>178</v>
      </c>
      <c r="R974" s="220" t="s">
        <v>89</v>
      </c>
      <c r="S974" s="220" t="s">
        <v>566</v>
      </c>
    </row>
    <row r="975" spans="1:19" x14ac:dyDescent="0.25">
      <c r="A975" s="220">
        <v>140</v>
      </c>
      <c r="B975" s="220" t="s">
        <v>1371</v>
      </c>
      <c r="C975" s="220" t="s">
        <v>496</v>
      </c>
      <c r="D975" s="220" t="s">
        <v>480</v>
      </c>
      <c r="E975" s="220">
        <v>6</v>
      </c>
      <c r="F975" s="220">
        <v>168.566</v>
      </c>
      <c r="G975" s="220">
        <v>13306</v>
      </c>
      <c r="H975" s="220">
        <v>16016</v>
      </c>
      <c r="I975" s="220">
        <v>18547</v>
      </c>
      <c r="J975" s="220">
        <v>165.88</v>
      </c>
      <c r="K975" s="220">
        <v>-1.4850000000000001</v>
      </c>
      <c r="L975" s="220">
        <v>35.914999999999999</v>
      </c>
      <c r="M975" s="220" t="s">
        <v>975</v>
      </c>
      <c r="N975" s="220" t="s">
        <v>1333</v>
      </c>
      <c r="O975" s="220" t="s">
        <v>1372</v>
      </c>
      <c r="P975" s="220" t="s">
        <v>1373</v>
      </c>
      <c r="Q975" s="220" t="s">
        <v>146</v>
      </c>
      <c r="R975" s="220" t="s">
        <v>198</v>
      </c>
      <c r="S975" s="220" t="s">
        <v>265</v>
      </c>
    </row>
    <row r="976" spans="1:19" x14ac:dyDescent="0.25">
      <c r="A976" s="220">
        <v>140</v>
      </c>
      <c r="B976" s="220" t="s">
        <v>1371</v>
      </c>
      <c r="C976" s="220" t="s">
        <v>496</v>
      </c>
      <c r="D976" s="220" t="s">
        <v>480</v>
      </c>
      <c r="E976" s="220">
        <v>7</v>
      </c>
      <c r="F976" s="220">
        <v>156.15600000000001</v>
      </c>
      <c r="G976" s="220">
        <v>12284</v>
      </c>
      <c r="H976" s="220">
        <v>14782</v>
      </c>
      <c r="I976" s="220">
        <v>17120</v>
      </c>
      <c r="J976" s="220">
        <v>153.66800000000001</v>
      </c>
      <c r="K976" s="220">
        <v>-1.4239999999999999</v>
      </c>
      <c r="L976" s="220">
        <v>35.939</v>
      </c>
      <c r="M976" s="220" t="s">
        <v>975</v>
      </c>
      <c r="N976" s="220" t="s">
        <v>1333</v>
      </c>
      <c r="O976" s="220" t="s">
        <v>1372</v>
      </c>
      <c r="P976" s="220" t="s">
        <v>1373</v>
      </c>
      <c r="Q976" s="220" t="s">
        <v>968</v>
      </c>
      <c r="R976" s="220" t="s">
        <v>276</v>
      </c>
      <c r="S976" s="220" t="s">
        <v>1072</v>
      </c>
    </row>
    <row r="977" spans="1:19" hidden="1" x14ac:dyDescent="0.25">
      <c r="A977" s="220">
        <v>141</v>
      </c>
      <c r="B977" s="220" t="s">
        <v>1374</v>
      </c>
      <c r="C977" s="220" t="s">
        <v>260</v>
      </c>
      <c r="D977" s="220" t="s">
        <v>481</v>
      </c>
      <c r="E977" s="220">
        <v>1</v>
      </c>
      <c r="F977" s="220">
        <v>204.15700000000001</v>
      </c>
      <c r="G977" s="220">
        <v>10457</v>
      </c>
      <c r="H977" s="220">
        <v>12333</v>
      </c>
      <c r="I977" s="220">
        <v>14407</v>
      </c>
      <c r="J977" s="220">
        <v>200.95500000000001</v>
      </c>
      <c r="K977" s="220">
        <v>-19.933</v>
      </c>
      <c r="L977" s="220">
        <v>24.398</v>
      </c>
      <c r="M977" s="220" t="s">
        <v>1375</v>
      </c>
      <c r="N977" s="220" t="s">
        <v>1333</v>
      </c>
      <c r="O977" s="220" t="s">
        <v>1376</v>
      </c>
      <c r="P977" s="220" t="s">
        <v>1377</v>
      </c>
      <c r="Q977" s="220" t="s">
        <v>649</v>
      </c>
      <c r="R977" s="220" t="s">
        <v>109</v>
      </c>
      <c r="S977" s="220" t="s">
        <v>228</v>
      </c>
    </row>
    <row r="978" spans="1:19" hidden="1" x14ac:dyDescent="0.25">
      <c r="A978" s="220">
        <v>141</v>
      </c>
      <c r="B978" s="220" t="s">
        <v>1374</v>
      </c>
      <c r="C978" s="220" t="s">
        <v>260</v>
      </c>
      <c r="D978" s="220" t="s">
        <v>481</v>
      </c>
      <c r="E978" s="220">
        <v>2</v>
      </c>
      <c r="F978" s="220">
        <v>202.19499999999999</v>
      </c>
      <c r="G978" s="220">
        <v>10456</v>
      </c>
      <c r="H978" s="220">
        <v>12332</v>
      </c>
      <c r="I978" s="220">
        <v>14406</v>
      </c>
      <c r="J978" s="220">
        <v>199.02500000000001</v>
      </c>
      <c r="K978" s="220">
        <v>-19.93</v>
      </c>
      <c r="L978" s="220">
        <v>24.399000000000001</v>
      </c>
      <c r="M978" s="220" t="s">
        <v>1375</v>
      </c>
      <c r="N978" s="220" t="s">
        <v>1333</v>
      </c>
      <c r="O978" s="220" t="s">
        <v>1376</v>
      </c>
      <c r="P978" s="220" t="s">
        <v>1377</v>
      </c>
      <c r="Q978" s="220" t="s">
        <v>202</v>
      </c>
      <c r="R978" s="220" t="s">
        <v>255</v>
      </c>
      <c r="S978" s="220" t="s">
        <v>243</v>
      </c>
    </row>
    <row r="979" spans="1:19" hidden="1" x14ac:dyDescent="0.25">
      <c r="A979" s="220">
        <v>141</v>
      </c>
      <c r="B979" s="220" t="s">
        <v>1374</v>
      </c>
      <c r="C979" s="220" t="s">
        <v>260</v>
      </c>
      <c r="D979" s="220" t="s">
        <v>481</v>
      </c>
      <c r="E979" s="220">
        <v>3</v>
      </c>
      <c r="F979" s="220">
        <v>202.94</v>
      </c>
      <c r="G979" s="220">
        <v>10491</v>
      </c>
      <c r="H979" s="220">
        <v>12374</v>
      </c>
      <c r="I979" s="220">
        <v>14458</v>
      </c>
      <c r="J979" s="220">
        <v>199.75800000000001</v>
      </c>
      <c r="K979" s="220">
        <v>-19.945</v>
      </c>
      <c r="L979" s="220">
        <v>24.4</v>
      </c>
      <c r="M979" s="220" t="s">
        <v>1375</v>
      </c>
      <c r="N979" s="220" t="s">
        <v>1333</v>
      </c>
      <c r="O979" s="220" t="s">
        <v>1376</v>
      </c>
      <c r="P979" s="220" t="s">
        <v>1377</v>
      </c>
      <c r="Q979" s="220" t="s">
        <v>111</v>
      </c>
      <c r="R979" s="220" t="s">
        <v>132</v>
      </c>
      <c r="S979" s="220" t="s">
        <v>585</v>
      </c>
    </row>
    <row r="980" spans="1:19" hidden="1" x14ac:dyDescent="0.25">
      <c r="A980" s="220">
        <v>141</v>
      </c>
      <c r="B980" s="220" t="s">
        <v>1374</v>
      </c>
      <c r="C980" s="220" t="s">
        <v>260</v>
      </c>
      <c r="D980" s="220" t="s">
        <v>481</v>
      </c>
      <c r="E980" s="220">
        <v>4</v>
      </c>
      <c r="F980" s="220">
        <v>203.452</v>
      </c>
      <c r="G980" s="220">
        <v>10471</v>
      </c>
      <c r="H980" s="220">
        <v>12349</v>
      </c>
      <c r="I980" s="220">
        <v>14427</v>
      </c>
      <c r="J980" s="220">
        <v>200.262</v>
      </c>
      <c r="K980" s="220">
        <v>-19.937000000000001</v>
      </c>
      <c r="L980" s="220">
        <v>24.417999999999999</v>
      </c>
      <c r="M980" s="220" t="s">
        <v>1375</v>
      </c>
      <c r="N980" s="220" t="s">
        <v>1333</v>
      </c>
      <c r="O980" s="220" t="s">
        <v>1376</v>
      </c>
      <c r="P980" s="220" t="s">
        <v>1377</v>
      </c>
      <c r="Q980" s="220" t="s">
        <v>111</v>
      </c>
      <c r="R980" s="220" t="s">
        <v>132</v>
      </c>
      <c r="S980" s="220" t="s">
        <v>585</v>
      </c>
    </row>
    <row r="981" spans="1:19" hidden="1" x14ac:dyDescent="0.25">
      <c r="A981" s="220">
        <v>141</v>
      </c>
      <c r="B981" s="220" t="s">
        <v>1374</v>
      </c>
      <c r="C981" s="220" t="s">
        <v>260</v>
      </c>
      <c r="D981" s="220" t="s">
        <v>481</v>
      </c>
      <c r="E981" s="220">
        <v>5</v>
      </c>
      <c r="F981" s="220">
        <v>177.512</v>
      </c>
      <c r="G981" s="220">
        <v>13662</v>
      </c>
      <c r="H981" s="220">
        <v>16460</v>
      </c>
      <c r="I981" s="220">
        <v>19042</v>
      </c>
      <c r="J981" s="220">
        <v>174.684</v>
      </c>
      <c r="K981" s="220">
        <v>-1.671</v>
      </c>
      <c r="L981" s="220">
        <v>35.673999999999999</v>
      </c>
      <c r="M981" s="220" t="s">
        <v>1375</v>
      </c>
      <c r="N981" s="220" t="s">
        <v>1333</v>
      </c>
      <c r="O981" s="220" t="s">
        <v>1376</v>
      </c>
      <c r="P981" s="220" t="s">
        <v>1377</v>
      </c>
      <c r="Q981" s="220" t="s">
        <v>156</v>
      </c>
      <c r="R981" s="220" t="s">
        <v>160</v>
      </c>
      <c r="S981" s="220" t="s">
        <v>601</v>
      </c>
    </row>
    <row r="982" spans="1:19" x14ac:dyDescent="0.25">
      <c r="A982" s="220">
        <v>141</v>
      </c>
      <c r="B982" s="220" t="s">
        <v>1374</v>
      </c>
      <c r="C982" s="220" t="s">
        <v>260</v>
      </c>
      <c r="D982" s="220" t="s">
        <v>481</v>
      </c>
      <c r="E982" s="220">
        <v>6</v>
      </c>
      <c r="F982" s="220">
        <v>157.084</v>
      </c>
      <c r="G982" s="220">
        <v>12366</v>
      </c>
      <c r="H982" s="220">
        <v>14894</v>
      </c>
      <c r="I982" s="220">
        <v>17238</v>
      </c>
      <c r="J982" s="220">
        <v>154.58199999999999</v>
      </c>
      <c r="K982" s="220">
        <v>-1.6419999999999999</v>
      </c>
      <c r="L982" s="220">
        <v>35.829000000000001</v>
      </c>
      <c r="M982" s="220" t="s">
        <v>1375</v>
      </c>
      <c r="N982" s="220" t="s">
        <v>1333</v>
      </c>
      <c r="O982" s="220" t="s">
        <v>1376</v>
      </c>
      <c r="P982" s="220" t="s">
        <v>1377</v>
      </c>
      <c r="Q982" s="220" t="s">
        <v>142</v>
      </c>
      <c r="R982" s="220" t="s">
        <v>247</v>
      </c>
      <c r="S982" s="220" t="s">
        <v>584</v>
      </c>
    </row>
    <row r="983" spans="1:19" x14ac:dyDescent="0.25">
      <c r="A983" s="220">
        <v>141</v>
      </c>
      <c r="B983" s="220" t="s">
        <v>1374</v>
      </c>
      <c r="C983" s="220" t="s">
        <v>260</v>
      </c>
      <c r="D983" s="220" t="s">
        <v>481</v>
      </c>
      <c r="E983" s="220">
        <v>7</v>
      </c>
      <c r="F983" s="220">
        <v>146.77799999999999</v>
      </c>
      <c r="G983" s="220">
        <v>11661</v>
      </c>
      <c r="H983" s="220">
        <v>14041</v>
      </c>
      <c r="I983" s="220">
        <v>16250</v>
      </c>
      <c r="J983" s="220">
        <v>144.44</v>
      </c>
      <c r="K983" s="220">
        <v>-1.5780000000000001</v>
      </c>
      <c r="L983" s="220">
        <v>35.868000000000002</v>
      </c>
      <c r="M983" s="220" t="s">
        <v>1375</v>
      </c>
      <c r="N983" s="220" t="s">
        <v>1333</v>
      </c>
      <c r="O983" s="220" t="s">
        <v>1376</v>
      </c>
      <c r="P983" s="220" t="s">
        <v>1377</v>
      </c>
      <c r="Q983" s="220" t="s">
        <v>681</v>
      </c>
      <c r="R983" s="220" t="s">
        <v>392</v>
      </c>
      <c r="S983" s="220" t="s">
        <v>372</v>
      </c>
    </row>
    <row r="984" spans="1:19" hidden="1" x14ac:dyDescent="0.25">
      <c r="A984" s="220">
        <v>142</v>
      </c>
      <c r="B984" s="220" t="s">
        <v>1378</v>
      </c>
      <c r="C984" s="220" t="s">
        <v>297</v>
      </c>
      <c r="D984" s="220" t="s">
        <v>482</v>
      </c>
      <c r="E984" s="220">
        <v>1</v>
      </c>
      <c r="F984" s="220">
        <v>203.69800000000001</v>
      </c>
      <c r="G984" s="220">
        <v>10426</v>
      </c>
      <c r="H984" s="220">
        <v>12298</v>
      </c>
      <c r="I984" s="220">
        <v>14356</v>
      </c>
      <c r="J984" s="220">
        <v>200.50399999999999</v>
      </c>
      <c r="K984" s="220">
        <v>-19.943000000000001</v>
      </c>
      <c r="L984" s="220">
        <v>24.446000000000002</v>
      </c>
      <c r="M984" s="220" t="s">
        <v>689</v>
      </c>
      <c r="N984" s="220" t="s">
        <v>1333</v>
      </c>
      <c r="O984" s="220" t="s">
        <v>1379</v>
      </c>
      <c r="P984" s="220" t="s">
        <v>1380</v>
      </c>
      <c r="Q984" s="220" t="s">
        <v>49</v>
      </c>
      <c r="R984" s="220" t="s">
        <v>134</v>
      </c>
      <c r="S984" s="220" t="s">
        <v>228</v>
      </c>
    </row>
    <row r="985" spans="1:19" hidden="1" x14ac:dyDescent="0.25">
      <c r="A985" s="220">
        <v>142</v>
      </c>
      <c r="B985" s="220" t="s">
        <v>1378</v>
      </c>
      <c r="C985" s="220" t="s">
        <v>297</v>
      </c>
      <c r="D985" s="220" t="s">
        <v>482</v>
      </c>
      <c r="E985" s="220">
        <v>2</v>
      </c>
      <c r="F985" s="220">
        <v>201.34800000000001</v>
      </c>
      <c r="G985" s="220">
        <v>10438</v>
      </c>
      <c r="H985" s="220">
        <v>12311</v>
      </c>
      <c r="I985" s="220">
        <v>14374</v>
      </c>
      <c r="J985" s="220">
        <v>198.191</v>
      </c>
      <c r="K985" s="220">
        <v>-19.946000000000002</v>
      </c>
      <c r="L985" s="220">
        <v>24.452000000000002</v>
      </c>
      <c r="M985" s="220" t="s">
        <v>689</v>
      </c>
      <c r="N985" s="220" t="s">
        <v>1333</v>
      </c>
      <c r="O985" s="220" t="s">
        <v>1379</v>
      </c>
      <c r="P985" s="220" t="s">
        <v>1380</v>
      </c>
      <c r="Q985" s="220" t="s">
        <v>202</v>
      </c>
      <c r="R985" s="220" t="s">
        <v>255</v>
      </c>
      <c r="S985" s="220" t="s">
        <v>258</v>
      </c>
    </row>
    <row r="986" spans="1:19" hidden="1" x14ac:dyDescent="0.25">
      <c r="A986" s="220">
        <v>142</v>
      </c>
      <c r="B986" s="220" t="s">
        <v>1378</v>
      </c>
      <c r="C986" s="220" t="s">
        <v>297</v>
      </c>
      <c r="D986" s="220" t="s">
        <v>482</v>
      </c>
      <c r="E986" s="220">
        <v>3</v>
      </c>
      <c r="F986" s="220">
        <v>203.07499999999999</v>
      </c>
      <c r="G986" s="220">
        <v>10490</v>
      </c>
      <c r="H986" s="220">
        <v>12373</v>
      </c>
      <c r="I986" s="220">
        <v>14446</v>
      </c>
      <c r="J986" s="220">
        <v>199.89099999999999</v>
      </c>
      <c r="K986" s="220">
        <v>-19.954000000000001</v>
      </c>
      <c r="L986" s="220">
        <v>24.440999999999999</v>
      </c>
      <c r="M986" s="220" t="s">
        <v>689</v>
      </c>
      <c r="N986" s="220" t="s">
        <v>1333</v>
      </c>
      <c r="O986" s="220" t="s">
        <v>1379</v>
      </c>
      <c r="P986" s="220" t="s">
        <v>1380</v>
      </c>
      <c r="Q986" s="220" t="s">
        <v>111</v>
      </c>
      <c r="R986" s="220" t="s">
        <v>132</v>
      </c>
      <c r="S986" s="220" t="s">
        <v>177</v>
      </c>
    </row>
    <row r="987" spans="1:19" hidden="1" x14ac:dyDescent="0.25">
      <c r="A987" s="220">
        <v>142</v>
      </c>
      <c r="B987" s="220" t="s">
        <v>1378</v>
      </c>
      <c r="C987" s="220" t="s">
        <v>297</v>
      </c>
      <c r="D987" s="220" t="s">
        <v>482</v>
      </c>
      <c r="E987" s="220">
        <v>4</v>
      </c>
      <c r="F987" s="220">
        <v>203.559</v>
      </c>
      <c r="G987" s="220">
        <v>10452</v>
      </c>
      <c r="H987" s="220">
        <v>12329</v>
      </c>
      <c r="I987" s="220">
        <v>14393</v>
      </c>
      <c r="J987" s="220">
        <v>200.36799999999999</v>
      </c>
      <c r="K987" s="220">
        <v>-19.937000000000001</v>
      </c>
      <c r="L987" s="220">
        <v>24.417999999999999</v>
      </c>
      <c r="M987" s="220" t="s">
        <v>689</v>
      </c>
      <c r="N987" s="220" t="s">
        <v>1333</v>
      </c>
      <c r="O987" s="220" t="s">
        <v>1379</v>
      </c>
      <c r="P987" s="220" t="s">
        <v>1380</v>
      </c>
      <c r="Q987" s="220" t="s">
        <v>111</v>
      </c>
      <c r="R987" s="220" t="s">
        <v>132</v>
      </c>
      <c r="S987" s="220" t="s">
        <v>585</v>
      </c>
    </row>
    <row r="988" spans="1:19" hidden="1" x14ac:dyDescent="0.25">
      <c r="A988" s="220">
        <v>142</v>
      </c>
      <c r="B988" s="220" t="s">
        <v>1378</v>
      </c>
      <c r="C988" s="220" t="s">
        <v>297</v>
      </c>
      <c r="D988" s="220" t="s">
        <v>482</v>
      </c>
      <c r="E988" s="220">
        <v>5</v>
      </c>
      <c r="F988" s="220">
        <v>204.32599999999999</v>
      </c>
      <c r="G988" s="220">
        <v>15636</v>
      </c>
      <c r="H988" s="220">
        <v>18825</v>
      </c>
      <c r="I988" s="220">
        <v>21776</v>
      </c>
      <c r="J988" s="220">
        <v>201.072</v>
      </c>
      <c r="K988" s="220">
        <v>-1.7450000000000001</v>
      </c>
      <c r="L988" s="220">
        <v>35.716999999999999</v>
      </c>
      <c r="M988" s="220" t="s">
        <v>689</v>
      </c>
      <c r="N988" s="220" t="s">
        <v>1333</v>
      </c>
      <c r="O988" s="220" t="s">
        <v>1379</v>
      </c>
      <c r="P988" s="220" t="s">
        <v>1380</v>
      </c>
      <c r="Q988" s="220" t="s">
        <v>175</v>
      </c>
      <c r="R988" s="220" t="s">
        <v>101</v>
      </c>
      <c r="S988" s="220" t="s">
        <v>566</v>
      </c>
    </row>
    <row r="989" spans="1:19" x14ac:dyDescent="0.25">
      <c r="A989" s="220">
        <v>142</v>
      </c>
      <c r="B989" s="220" t="s">
        <v>1378</v>
      </c>
      <c r="C989" s="220" t="s">
        <v>297</v>
      </c>
      <c r="D989" s="220" t="s">
        <v>482</v>
      </c>
      <c r="E989" s="220">
        <v>6</v>
      </c>
      <c r="F989" s="220">
        <v>178.541</v>
      </c>
      <c r="G989" s="220">
        <v>13837</v>
      </c>
      <c r="H989" s="220">
        <v>16658</v>
      </c>
      <c r="I989" s="220">
        <v>19270</v>
      </c>
      <c r="J989" s="220">
        <v>175.697</v>
      </c>
      <c r="K989" s="220">
        <v>-1.6919999999999999</v>
      </c>
      <c r="L989" s="220">
        <v>35.908000000000001</v>
      </c>
      <c r="M989" s="220" t="s">
        <v>689</v>
      </c>
      <c r="N989" s="220" t="s">
        <v>1333</v>
      </c>
      <c r="O989" s="220" t="s">
        <v>1379</v>
      </c>
      <c r="P989" s="220" t="s">
        <v>1380</v>
      </c>
      <c r="Q989" s="220" t="s">
        <v>274</v>
      </c>
      <c r="R989" s="220" t="s">
        <v>177</v>
      </c>
      <c r="S989" s="220" t="s">
        <v>598</v>
      </c>
    </row>
    <row r="990" spans="1:19" x14ac:dyDescent="0.25">
      <c r="A990" s="220">
        <v>142</v>
      </c>
      <c r="B990" s="220" t="s">
        <v>1378</v>
      </c>
      <c r="C990" s="220" t="s">
        <v>297</v>
      </c>
      <c r="D990" s="220" t="s">
        <v>482</v>
      </c>
      <c r="E990" s="220">
        <v>7</v>
      </c>
      <c r="F990" s="220">
        <v>165.851</v>
      </c>
      <c r="G990" s="220">
        <v>12864</v>
      </c>
      <c r="H990" s="220">
        <v>15481</v>
      </c>
      <c r="I990" s="220">
        <v>17918</v>
      </c>
      <c r="J990" s="220">
        <v>163.21</v>
      </c>
      <c r="K990" s="220">
        <v>-1.681</v>
      </c>
      <c r="L990" s="220">
        <v>35.883000000000003</v>
      </c>
      <c r="M990" s="220" t="s">
        <v>689</v>
      </c>
      <c r="N990" s="220" t="s">
        <v>1333</v>
      </c>
      <c r="O990" s="220" t="s">
        <v>1379</v>
      </c>
      <c r="P990" s="220" t="s">
        <v>1380</v>
      </c>
      <c r="Q990" s="220" t="s">
        <v>520</v>
      </c>
      <c r="R990" s="220" t="s">
        <v>463</v>
      </c>
      <c r="S990" s="220" t="s">
        <v>668</v>
      </c>
    </row>
    <row r="991" spans="1:19" hidden="1" x14ac:dyDescent="0.25">
      <c r="A991" s="220">
        <v>143</v>
      </c>
      <c r="B991" s="220" t="s">
        <v>0</v>
      </c>
      <c r="C991"/>
      <c r="D991" s="220" t="s">
        <v>483</v>
      </c>
      <c r="E991" s="220">
        <v>1</v>
      </c>
      <c r="F991" s="220">
        <v>204.41399999999999</v>
      </c>
      <c r="G991" s="220">
        <v>10452</v>
      </c>
      <c r="H991" s="220">
        <v>12328</v>
      </c>
      <c r="I991" s="220">
        <v>14368</v>
      </c>
      <c r="J991" s="220">
        <v>201.21100000000001</v>
      </c>
      <c r="K991" s="220">
        <v>-19.934999999999999</v>
      </c>
      <c r="L991" s="220">
        <v>24.37</v>
      </c>
      <c r="M991" s="220" t="s">
        <v>1381</v>
      </c>
      <c r="N991" s="220" t="s">
        <v>1333</v>
      </c>
      <c r="O991" s="220" t="s">
        <v>1382</v>
      </c>
      <c r="P991" s="220" t="s">
        <v>1383</v>
      </c>
      <c r="Q991" s="220" t="s">
        <v>73</v>
      </c>
      <c r="R991" s="220" t="s">
        <v>129</v>
      </c>
      <c r="S991" s="220" t="s">
        <v>262</v>
      </c>
    </row>
    <row r="992" spans="1:19" hidden="1" x14ac:dyDescent="0.25">
      <c r="A992" s="220">
        <v>143</v>
      </c>
      <c r="B992" s="220" t="s">
        <v>0</v>
      </c>
      <c r="C992"/>
      <c r="D992" s="220" t="s">
        <v>483</v>
      </c>
      <c r="E992" s="220">
        <v>2</v>
      </c>
      <c r="F992" s="220">
        <v>201.958</v>
      </c>
      <c r="G992" s="220">
        <v>10467</v>
      </c>
      <c r="H992" s="220">
        <v>12346</v>
      </c>
      <c r="I992" s="220">
        <v>14392</v>
      </c>
      <c r="J992" s="220">
        <v>198.792</v>
      </c>
      <c r="K992" s="220">
        <v>-19.937999999999999</v>
      </c>
      <c r="L992" s="220">
        <v>24.321999999999999</v>
      </c>
      <c r="M992" s="220" t="s">
        <v>1381</v>
      </c>
      <c r="N992" s="220" t="s">
        <v>1333</v>
      </c>
      <c r="O992" s="220" t="s">
        <v>1382</v>
      </c>
      <c r="P992" s="220" t="s">
        <v>1383</v>
      </c>
      <c r="Q992" s="220" t="s">
        <v>237</v>
      </c>
      <c r="R992" s="220" t="s">
        <v>105</v>
      </c>
      <c r="S992" s="220" t="s">
        <v>250</v>
      </c>
    </row>
    <row r="993" spans="1:19" hidden="1" x14ac:dyDescent="0.25">
      <c r="A993" s="220">
        <v>143</v>
      </c>
      <c r="B993" s="220" t="s">
        <v>0</v>
      </c>
      <c r="C993"/>
      <c r="D993" s="220" t="s">
        <v>483</v>
      </c>
      <c r="E993" s="220">
        <v>3</v>
      </c>
      <c r="F993" s="220">
        <v>203.739</v>
      </c>
      <c r="G993" s="220">
        <v>10515</v>
      </c>
      <c r="H993" s="220">
        <v>12404</v>
      </c>
      <c r="I993" s="220">
        <v>14459</v>
      </c>
      <c r="J993" s="220">
        <v>200.54499999999999</v>
      </c>
      <c r="K993" s="220">
        <v>-19.940000000000001</v>
      </c>
      <c r="L993" s="220">
        <v>24.376000000000001</v>
      </c>
      <c r="M993" s="220" t="s">
        <v>1381</v>
      </c>
      <c r="N993" s="220" t="s">
        <v>1333</v>
      </c>
      <c r="O993" s="220" t="s">
        <v>1382</v>
      </c>
      <c r="P993" s="220" t="s">
        <v>1383</v>
      </c>
      <c r="Q993" s="220" t="s">
        <v>158</v>
      </c>
      <c r="R993" s="220" t="s">
        <v>233</v>
      </c>
      <c r="S993" s="220" t="s">
        <v>189</v>
      </c>
    </row>
    <row r="994" spans="1:19" hidden="1" x14ac:dyDescent="0.25">
      <c r="A994" s="220">
        <v>143</v>
      </c>
      <c r="B994" s="220" t="s">
        <v>0</v>
      </c>
      <c r="C994"/>
      <c r="D994" s="220" t="s">
        <v>483</v>
      </c>
      <c r="E994" s="220">
        <v>4</v>
      </c>
      <c r="F994" s="220">
        <v>203.31200000000001</v>
      </c>
      <c r="G994" s="220">
        <v>10467</v>
      </c>
      <c r="H994" s="220">
        <v>12346</v>
      </c>
      <c r="I994" s="220">
        <v>14389</v>
      </c>
      <c r="J994" s="220">
        <v>200.126</v>
      </c>
      <c r="K994" s="220">
        <v>-19.937000000000001</v>
      </c>
      <c r="L994" s="220">
        <v>24.417999999999999</v>
      </c>
      <c r="M994" s="220" t="s">
        <v>1381</v>
      </c>
      <c r="N994" s="220" t="s">
        <v>1333</v>
      </c>
      <c r="O994" s="220" t="s">
        <v>1382</v>
      </c>
      <c r="P994" s="220" t="s">
        <v>1383</v>
      </c>
      <c r="Q994" s="220" t="s">
        <v>158</v>
      </c>
      <c r="R994" s="220" t="s">
        <v>233</v>
      </c>
      <c r="S994" s="220" t="s">
        <v>189</v>
      </c>
    </row>
    <row r="995" spans="1:19" hidden="1" x14ac:dyDescent="0.25">
      <c r="A995" s="220">
        <v>143</v>
      </c>
      <c r="B995" s="220" t="s">
        <v>0</v>
      </c>
      <c r="C995"/>
      <c r="D995" s="220" t="s">
        <v>483</v>
      </c>
      <c r="E995" s="220">
        <v>5</v>
      </c>
      <c r="F995" s="220">
        <v>282.59399999999999</v>
      </c>
      <c r="G995" s="220">
        <v>22467</v>
      </c>
      <c r="H995" s="220">
        <v>27281</v>
      </c>
      <c r="I995" s="220">
        <v>31240</v>
      </c>
      <c r="J995" s="220">
        <v>278.07499999999999</v>
      </c>
      <c r="K995" s="220">
        <v>4.798</v>
      </c>
      <c r="L995" s="220">
        <v>36.143000000000001</v>
      </c>
      <c r="M995" s="220" t="s">
        <v>1381</v>
      </c>
      <c r="N995" s="220" t="s">
        <v>1333</v>
      </c>
      <c r="O995" s="220" t="s">
        <v>1382</v>
      </c>
      <c r="P995" s="220" t="s">
        <v>1383</v>
      </c>
      <c r="Q995" s="220" t="s">
        <v>156</v>
      </c>
      <c r="R995" s="220" t="s">
        <v>103</v>
      </c>
      <c r="S995" s="220" t="s">
        <v>56</v>
      </c>
    </row>
    <row r="996" spans="1:19" x14ac:dyDescent="0.25">
      <c r="A996" s="220">
        <v>143</v>
      </c>
      <c r="B996" s="220" t="s">
        <v>0</v>
      </c>
      <c r="C996"/>
      <c r="D996" s="220" t="s">
        <v>483</v>
      </c>
      <c r="E996" s="220">
        <v>6</v>
      </c>
      <c r="F996" s="220">
        <v>250.67599999999999</v>
      </c>
      <c r="G996" s="220">
        <v>20299</v>
      </c>
      <c r="H996" s="220">
        <v>24635</v>
      </c>
      <c r="I996" s="220">
        <v>28234</v>
      </c>
      <c r="J996" s="220">
        <v>246.667</v>
      </c>
      <c r="K996" s="220">
        <v>4.8079999999999998</v>
      </c>
      <c r="L996" s="220">
        <v>36.402000000000001</v>
      </c>
      <c r="M996" s="220" t="s">
        <v>1381</v>
      </c>
      <c r="N996" s="220" t="s">
        <v>1333</v>
      </c>
      <c r="O996" s="220" t="s">
        <v>1382</v>
      </c>
      <c r="P996" s="220" t="s">
        <v>1383</v>
      </c>
      <c r="Q996" s="220" t="s">
        <v>177</v>
      </c>
      <c r="R996" s="220" t="s">
        <v>631</v>
      </c>
      <c r="S996" s="220" t="s">
        <v>1384</v>
      </c>
    </row>
    <row r="997" spans="1:19" x14ac:dyDescent="0.25">
      <c r="A997" s="220">
        <v>143</v>
      </c>
      <c r="B997" s="220" t="s">
        <v>0</v>
      </c>
      <c r="C997"/>
      <c r="D997" s="220" t="s">
        <v>483</v>
      </c>
      <c r="E997" s="220">
        <v>7</v>
      </c>
      <c r="F997" s="220">
        <v>237.05799999999999</v>
      </c>
      <c r="G997" s="220">
        <v>19128</v>
      </c>
      <c r="H997" s="220">
        <v>23210</v>
      </c>
      <c r="I997" s="220">
        <v>26617</v>
      </c>
      <c r="J997" s="220">
        <v>233.26599999999999</v>
      </c>
      <c r="K997" s="220">
        <v>4.7789999999999999</v>
      </c>
      <c r="L997" s="220">
        <v>36.558</v>
      </c>
      <c r="M997" s="220" t="s">
        <v>1381</v>
      </c>
      <c r="N997" s="220" t="s">
        <v>1333</v>
      </c>
      <c r="O997" s="220" t="s">
        <v>1382</v>
      </c>
      <c r="P997" s="220" t="s">
        <v>1383</v>
      </c>
      <c r="Q997" s="220" t="s">
        <v>177</v>
      </c>
      <c r="R997" s="220" t="s">
        <v>631</v>
      </c>
      <c r="S997" s="220" t="s">
        <v>1384</v>
      </c>
    </row>
    <row r="998" spans="1:19" hidden="1" x14ac:dyDescent="0.25">
      <c r="A998" s="220">
        <v>144</v>
      </c>
      <c r="B998" s="220" t="s">
        <v>0</v>
      </c>
      <c r="C998"/>
      <c r="D998" s="220" t="s">
        <v>484</v>
      </c>
      <c r="E998" s="220">
        <v>1</v>
      </c>
      <c r="F998" s="220">
        <v>204.285</v>
      </c>
      <c r="G998" s="220">
        <v>10439</v>
      </c>
      <c r="H998" s="220">
        <v>12312</v>
      </c>
      <c r="I998" s="220">
        <v>14382</v>
      </c>
      <c r="J998" s="220">
        <v>201.08099999999999</v>
      </c>
      <c r="K998" s="220">
        <v>-19.946000000000002</v>
      </c>
      <c r="L998" s="220">
        <v>24.439</v>
      </c>
      <c r="M998" s="220" t="s">
        <v>996</v>
      </c>
      <c r="N998" s="220" t="s">
        <v>1333</v>
      </c>
      <c r="O998" s="220" t="s">
        <v>1385</v>
      </c>
      <c r="P998" s="220" t="s">
        <v>1386</v>
      </c>
      <c r="Q998" s="220" t="s">
        <v>72</v>
      </c>
      <c r="R998" s="220" t="s">
        <v>125</v>
      </c>
      <c r="S998" s="220" t="s">
        <v>242</v>
      </c>
    </row>
    <row r="999" spans="1:19" hidden="1" x14ac:dyDescent="0.25">
      <c r="A999" s="220">
        <v>144</v>
      </c>
      <c r="B999" s="220" t="s">
        <v>0</v>
      </c>
      <c r="C999"/>
      <c r="D999" s="220" t="s">
        <v>484</v>
      </c>
      <c r="E999" s="220">
        <v>2</v>
      </c>
      <c r="F999" s="220">
        <v>201.41399999999999</v>
      </c>
      <c r="G999" s="220">
        <v>10432</v>
      </c>
      <c r="H999" s="220">
        <v>12304</v>
      </c>
      <c r="I999" s="220">
        <v>14373</v>
      </c>
      <c r="J999" s="220">
        <v>198.256</v>
      </c>
      <c r="K999" s="220">
        <v>-19.952999999999999</v>
      </c>
      <c r="L999" s="220">
        <v>24.422999999999998</v>
      </c>
      <c r="M999" s="220" t="s">
        <v>996</v>
      </c>
      <c r="N999" s="220" t="s">
        <v>1333</v>
      </c>
      <c r="O999" s="220" t="s">
        <v>1385</v>
      </c>
      <c r="P999" s="220" t="s">
        <v>1386</v>
      </c>
      <c r="Q999" s="220" t="s">
        <v>217</v>
      </c>
      <c r="R999" s="220" t="s">
        <v>239</v>
      </c>
      <c r="S999" s="220" t="s">
        <v>218</v>
      </c>
    </row>
    <row r="1000" spans="1:19" hidden="1" x14ac:dyDescent="0.25">
      <c r="A1000" s="220">
        <v>144</v>
      </c>
      <c r="B1000" s="220" t="s">
        <v>0</v>
      </c>
      <c r="C1000"/>
      <c r="D1000" s="220" t="s">
        <v>484</v>
      </c>
      <c r="E1000" s="220">
        <v>3</v>
      </c>
      <c r="F1000" s="220">
        <v>203.38</v>
      </c>
      <c r="G1000" s="220">
        <v>10503</v>
      </c>
      <c r="H1000" s="220">
        <v>12387</v>
      </c>
      <c r="I1000" s="220">
        <v>14473</v>
      </c>
      <c r="J1000" s="220">
        <v>200.191</v>
      </c>
      <c r="K1000" s="220">
        <v>-19.946000000000002</v>
      </c>
      <c r="L1000" s="220">
        <v>24.436</v>
      </c>
      <c r="M1000" s="220" t="s">
        <v>996</v>
      </c>
      <c r="N1000" s="220" t="s">
        <v>1333</v>
      </c>
      <c r="O1000" s="220" t="s">
        <v>1385</v>
      </c>
      <c r="P1000" s="220" t="s">
        <v>1386</v>
      </c>
      <c r="Q1000" s="220" t="s">
        <v>118</v>
      </c>
      <c r="R1000" s="220" t="s">
        <v>230</v>
      </c>
      <c r="S1000" s="220" t="s">
        <v>150</v>
      </c>
    </row>
    <row r="1001" spans="1:19" hidden="1" x14ac:dyDescent="0.25">
      <c r="A1001" s="220">
        <v>144</v>
      </c>
      <c r="B1001" s="220" t="s">
        <v>0</v>
      </c>
      <c r="C1001"/>
      <c r="D1001" s="220" t="s">
        <v>484</v>
      </c>
      <c r="E1001" s="220">
        <v>4</v>
      </c>
      <c r="F1001" s="220">
        <v>202.905</v>
      </c>
      <c r="G1001" s="220">
        <v>10433</v>
      </c>
      <c r="H1001" s="220">
        <v>12304</v>
      </c>
      <c r="I1001" s="220">
        <v>14372</v>
      </c>
      <c r="J1001" s="220">
        <v>199.72399999999999</v>
      </c>
      <c r="K1001" s="220">
        <v>-19.937000000000001</v>
      </c>
      <c r="L1001" s="220">
        <v>24.417999999999999</v>
      </c>
      <c r="M1001" s="220" t="s">
        <v>996</v>
      </c>
      <c r="N1001" s="220" t="s">
        <v>1333</v>
      </c>
      <c r="O1001" s="220" t="s">
        <v>1385</v>
      </c>
      <c r="P1001" s="220" t="s">
        <v>1386</v>
      </c>
      <c r="Q1001" s="220" t="s">
        <v>212</v>
      </c>
      <c r="R1001" s="220" t="s">
        <v>166</v>
      </c>
      <c r="S1001" s="220" t="s">
        <v>535</v>
      </c>
    </row>
    <row r="1002" spans="1:19" hidden="1" x14ac:dyDescent="0.25">
      <c r="A1002" s="220">
        <v>144</v>
      </c>
      <c r="B1002" s="220" t="s">
        <v>0</v>
      </c>
      <c r="C1002"/>
      <c r="D1002" s="220" t="s">
        <v>484</v>
      </c>
      <c r="E1002" s="220">
        <v>5</v>
      </c>
      <c r="F1002" s="220">
        <v>252.67500000000001</v>
      </c>
      <c r="G1002" s="220">
        <v>19247</v>
      </c>
      <c r="H1002" s="220">
        <v>23329</v>
      </c>
      <c r="I1002" s="220">
        <v>26857</v>
      </c>
      <c r="J1002" s="220">
        <v>248.63200000000001</v>
      </c>
      <c r="K1002" s="220">
        <v>4.7969999999999997</v>
      </c>
      <c r="L1002" s="220">
        <v>36.716999999999999</v>
      </c>
      <c r="M1002" s="220" t="s">
        <v>996</v>
      </c>
      <c r="N1002" s="220" t="s">
        <v>1333</v>
      </c>
      <c r="O1002" s="220" t="s">
        <v>1385</v>
      </c>
      <c r="P1002" s="220" t="s">
        <v>1386</v>
      </c>
      <c r="Q1002" s="220" t="s">
        <v>399</v>
      </c>
      <c r="R1002" s="220" t="s">
        <v>47</v>
      </c>
      <c r="S1002" s="220" t="s">
        <v>66</v>
      </c>
    </row>
    <row r="1003" spans="1:19" x14ac:dyDescent="0.25">
      <c r="A1003" s="220">
        <v>144</v>
      </c>
      <c r="B1003" s="220" t="s">
        <v>0</v>
      </c>
      <c r="C1003"/>
      <c r="D1003" s="220" t="s">
        <v>484</v>
      </c>
      <c r="E1003" s="220">
        <v>6</v>
      </c>
      <c r="F1003" s="220">
        <v>220.922</v>
      </c>
      <c r="G1003" s="220">
        <v>17137</v>
      </c>
      <c r="H1003" s="220">
        <v>20767</v>
      </c>
      <c r="I1003" s="220">
        <v>23908</v>
      </c>
      <c r="J1003" s="220">
        <v>217.387</v>
      </c>
      <c r="K1003" s="220">
        <v>4.8040000000000003</v>
      </c>
      <c r="L1003" s="220">
        <v>36.954000000000001</v>
      </c>
      <c r="M1003" s="220" t="s">
        <v>996</v>
      </c>
      <c r="N1003" s="220" t="s">
        <v>1333</v>
      </c>
      <c r="O1003" s="220" t="s">
        <v>1385</v>
      </c>
      <c r="P1003" s="220" t="s">
        <v>1386</v>
      </c>
      <c r="Q1003" s="220" t="s">
        <v>196</v>
      </c>
      <c r="R1003" s="220" t="s">
        <v>374</v>
      </c>
      <c r="S1003" s="220" t="s">
        <v>1387</v>
      </c>
    </row>
    <row r="1004" spans="1:19" x14ac:dyDescent="0.25">
      <c r="A1004" s="220">
        <v>144</v>
      </c>
      <c r="B1004" s="220" t="s">
        <v>0</v>
      </c>
      <c r="C1004"/>
      <c r="D1004" s="220" t="s">
        <v>484</v>
      </c>
      <c r="E1004" s="220">
        <v>7</v>
      </c>
      <c r="F1004" s="220">
        <v>205.45699999999999</v>
      </c>
      <c r="G1004" s="220">
        <v>15969</v>
      </c>
      <c r="H1004" s="220">
        <v>19347</v>
      </c>
      <c r="I1004" s="220">
        <v>22278</v>
      </c>
      <c r="J1004" s="220">
        <v>202.16900000000001</v>
      </c>
      <c r="K1004" s="220">
        <v>4.8380000000000001</v>
      </c>
      <c r="L1004" s="220">
        <v>36.987000000000002</v>
      </c>
      <c r="M1004" s="220" t="s">
        <v>996</v>
      </c>
      <c r="N1004" s="220" t="s">
        <v>1333</v>
      </c>
      <c r="O1004" s="220" t="s">
        <v>1385</v>
      </c>
      <c r="P1004" s="220" t="s">
        <v>1386</v>
      </c>
      <c r="Q1004" s="220" t="s">
        <v>818</v>
      </c>
      <c r="R1004" s="220" t="s">
        <v>644</v>
      </c>
      <c r="S1004" s="220" t="s">
        <v>1388</v>
      </c>
    </row>
    <row r="1005" spans="1:19" hidden="1" x14ac:dyDescent="0.25">
      <c r="A1005" s="220">
        <v>145</v>
      </c>
      <c r="B1005" s="220" t="s">
        <v>1389</v>
      </c>
      <c r="C1005" s="220" t="s">
        <v>576</v>
      </c>
      <c r="D1005" s="220" t="s">
        <v>485</v>
      </c>
      <c r="E1005" s="220">
        <v>1</v>
      </c>
      <c r="F1005" s="220">
        <v>203.596</v>
      </c>
      <c r="G1005" s="220">
        <v>10413</v>
      </c>
      <c r="H1005" s="220">
        <v>12282</v>
      </c>
      <c r="I1005" s="220">
        <v>14346</v>
      </c>
      <c r="J1005" s="220">
        <v>200.40299999999999</v>
      </c>
      <c r="K1005" s="220">
        <v>-19.936</v>
      </c>
      <c r="L1005" s="220">
        <v>24.414000000000001</v>
      </c>
      <c r="M1005" s="220" t="s">
        <v>1390</v>
      </c>
      <c r="N1005" s="220" t="s">
        <v>1333</v>
      </c>
      <c r="O1005" s="220" t="s">
        <v>1391</v>
      </c>
      <c r="P1005" s="220" t="s">
        <v>1392</v>
      </c>
      <c r="Q1005" s="220" t="s">
        <v>220</v>
      </c>
      <c r="R1005" s="220" t="s">
        <v>81</v>
      </c>
      <c r="S1005" s="220" t="s">
        <v>274</v>
      </c>
    </row>
    <row r="1006" spans="1:19" hidden="1" x14ac:dyDescent="0.25">
      <c r="A1006" s="220">
        <v>145</v>
      </c>
      <c r="B1006" s="220" t="s">
        <v>1389</v>
      </c>
      <c r="C1006" s="220" t="s">
        <v>576</v>
      </c>
      <c r="D1006" s="220" t="s">
        <v>485</v>
      </c>
      <c r="E1006" s="220">
        <v>2</v>
      </c>
      <c r="F1006" s="220">
        <v>200.92099999999999</v>
      </c>
      <c r="G1006" s="220">
        <v>10422</v>
      </c>
      <c r="H1006" s="220">
        <v>12292</v>
      </c>
      <c r="I1006" s="220">
        <v>14361</v>
      </c>
      <c r="J1006" s="220">
        <v>197.77</v>
      </c>
      <c r="K1006" s="220">
        <v>-19.940999999999999</v>
      </c>
      <c r="L1006" s="220">
        <v>24.398</v>
      </c>
      <c r="M1006" s="220" t="s">
        <v>1390</v>
      </c>
      <c r="N1006" s="220" t="s">
        <v>1333</v>
      </c>
      <c r="O1006" s="220" t="s">
        <v>1391</v>
      </c>
      <c r="P1006" s="220" t="s">
        <v>1392</v>
      </c>
      <c r="Q1006" s="220" t="s">
        <v>110</v>
      </c>
      <c r="R1006" s="220" t="s">
        <v>281</v>
      </c>
      <c r="S1006" s="220" t="s">
        <v>528</v>
      </c>
    </row>
    <row r="1007" spans="1:19" hidden="1" x14ac:dyDescent="0.25">
      <c r="A1007" s="220">
        <v>145</v>
      </c>
      <c r="B1007" s="220" t="s">
        <v>1389</v>
      </c>
      <c r="C1007" s="220" t="s">
        <v>576</v>
      </c>
      <c r="D1007" s="220" t="s">
        <v>485</v>
      </c>
      <c r="E1007" s="220">
        <v>3</v>
      </c>
      <c r="F1007" s="220">
        <v>202.821</v>
      </c>
      <c r="G1007" s="220">
        <v>10480</v>
      </c>
      <c r="H1007" s="220">
        <v>12361</v>
      </c>
      <c r="I1007" s="220">
        <v>14442</v>
      </c>
      <c r="J1007" s="220">
        <v>199.64099999999999</v>
      </c>
      <c r="K1007" s="220">
        <v>-19.943000000000001</v>
      </c>
      <c r="L1007" s="220">
        <v>24.4</v>
      </c>
      <c r="M1007" s="220" t="s">
        <v>1390</v>
      </c>
      <c r="N1007" s="220" t="s">
        <v>1333</v>
      </c>
      <c r="O1007" s="220" t="s">
        <v>1391</v>
      </c>
      <c r="P1007" s="220" t="s">
        <v>1392</v>
      </c>
      <c r="Q1007" s="220" t="s">
        <v>123</v>
      </c>
      <c r="R1007" s="220" t="s">
        <v>137</v>
      </c>
      <c r="S1007" s="220" t="s">
        <v>584</v>
      </c>
    </row>
    <row r="1008" spans="1:19" hidden="1" x14ac:dyDescent="0.25">
      <c r="A1008" s="220">
        <v>145</v>
      </c>
      <c r="B1008" s="220" t="s">
        <v>1389</v>
      </c>
      <c r="C1008" s="220" t="s">
        <v>576</v>
      </c>
      <c r="D1008" s="220" t="s">
        <v>485</v>
      </c>
      <c r="E1008" s="220">
        <v>4</v>
      </c>
      <c r="F1008" s="220">
        <v>202.73699999999999</v>
      </c>
      <c r="G1008" s="220">
        <v>10441</v>
      </c>
      <c r="H1008" s="220">
        <v>12314</v>
      </c>
      <c r="I1008" s="220">
        <v>14385</v>
      </c>
      <c r="J1008" s="220">
        <v>199.55799999999999</v>
      </c>
      <c r="K1008" s="220">
        <v>-19.937000000000001</v>
      </c>
      <c r="L1008" s="220">
        <v>24.417999999999999</v>
      </c>
      <c r="M1008" s="220" t="s">
        <v>1390</v>
      </c>
      <c r="N1008" s="220" t="s">
        <v>1333</v>
      </c>
      <c r="O1008" s="220" t="s">
        <v>1391</v>
      </c>
      <c r="P1008" s="220" t="s">
        <v>1392</v>
      </c>
      <c r="Q1008" s="220" t="s">
        <v>110</v>
      </c>
      <c r="R1008" s="220" t="s">
        <v>281</v>
      </c>
      <c r="S1008" s="220" t="s">
        <v>528</v>
      </c>
    </row>
    <row r="1009" spans="1:19" hidden="1" x14ac:dyDescent="0.25">
      <c r="A1009" s="220">
        <v>145</v>
      </c>
      <c r="B1009" s="220" t="s">
        <v>1389</v>
      </c>
      <c r="C1009" s="220" t="s">
        <v>576</v>
      </c>
      <c r="D1009" s="220" t="s">
        <v>485</v>
      </c>
      <c r="E1009" s="220">
        <v>5</v>
      </c>
      <c r="F1009" s="220">
        <v>243.01900000000001</v>
      </c>
      <c r="G1009" s="220">
        <v>19477</v>
      </c>
      <c r="H1009" s="220">
        <v>23490</v>
      </c>
      <c r="I1009" s="220">
        <v>27143</v>
      </c>
      <c r="J1009" s="220">
        <v>239.148</v>
      </c>
      <c r="K1009" s="220">
        <v>-1.8280000000000001</v>
      </c>
      <c r="L1009" s="220">
        <v>35.69</v>
      </c>
      <c r="M1009" s="220" t="s">
        <v>1390</v>
      </c>
      <c r="N1009" s="220" t="s">
        <v>1333</v>
      </c>
      <c r="O1009" s="220" t="s">
        <v>1391</v>
      </c>
      <c r="P1009" s="220" t="s">
        <v>1392</v>
      </c>
      <c r="Q1009" s="220" t="s">
        <v>180</v>
      </c>
      <c r="R1009" s="220" t="s">
        <v>44</v>
      </c>
      <c r="S1009" s="220" t="s">
        <v>630</v>
      </c>
    </row>
    <row r="1010" spans="1:19" x14ac:dyDescent="0.25">
      <c r="A1010" s="220">
        <v>145</v>
      </c>
      <c r="B1010" s="220" t="s">
        <v>1389</v>
      </c>
      <c r="C1010" s="220" t="s">
        <v>576</v>
      </c>
      <c r="D1010" s="220" t="s">
        <v>485</v>
      </c>
      <c r="E1010" s="220">
        <v>6</v>
      </c>
      <c r="F1010" s="220">
        <v>217.01</v>
      </c>
      <c r="G1010" s="220">
        <v>17662</v>
      </c>
      <c r="H1010" s="220">
        <v>21281</v>
      </c>
      <c r="I1010" s="220">
        <v>24608</v>
      </c>
      <c r="J1010" s="220">
        <v>213.553</v>
      </c>
      <c r="K1010" s="220">
        <v>-1.81</v>
      </c>
      <c r="L1010" s="220">
        <v>35.826999999999998</v>
      </c>
      <c r="M1010" s="220" t="s">
        <v>1390</v>
      </c>
      <c r="N1010" s="220" t="s">
        <v>1333</v>
      </c>
      <c r="O1010" s="220" t="s">
        <v>1391</v>
      </c>
      <c r="P1010" s="220" t="s">
        <v>1392</v>
      </c>
      <c r="Q1010" s="220" t="s">
        <v>279</v>
      </c>
      <c r="R1010" s="220" t="s">
        <v>539</v>
      </c>
      <c r="S1010" s="220" t="s">
        <v>1393</v>
      </c>
    </row>
    <row r="1011" spans="1:19" x14ac:dyDescent="0.25">
      <c r="A1011" s="220">
        <v>145</v>
      </c>
      <c r="B1011" s="220" t="s">
        <v>1389</v>
      </c>
      <c r="C1011" s="220" t="s">
        <v>576</v>
      </c>
      <c r="D1011" s="220" t="s">
        <v>485</v>
      </c>
      <c r="E1011" s="220">
        <v>7</v>
      </c>
      <c r="F1011" s="220">
        <v>205.452</v>
      </c>
      <c r="G1011" s="220">
        <v>16637</v>
      </c>
      <c r="H1011" s="220">
        <v>20044</v>
      </c>
      <c r="I1011" s="220">
        <v>23186</v>
      </c>
      <c r="J1011" s="220">
        <v>202.18</v>
      </c>
      <c r="K1011" s="220">
        <v>-1.806</v>
      </c>
      <c r="L1011" s="220">
        <v>35.856999999999999</v>
      </c>
      <c r="M1011" s="220" t="s">
        <v>1390</v>
      </c>
      <c r="N1011" s="220" t="s">
        <v>1333</v>
      </c>
      <c r="O1011" s="220" t="s">
        <v>1391</v>
      </c>
      <c r="P1011" s="220" t="s">
        <v>1392</v>
      </c>
      <c r="Q1011" s="220" t="s">
        <v>279</v>
      </c>
      <c r="R1011" s="220" t="s">
        <v>539</v>
      </c>
      <c r="S1011" s="220" t="s">
        <v>1393</v>
      </c>
    </row>
    <row r="1012" spans="1:19" hidden="1" x14ac:dyDescent="0.25">
      <c r="A1012" s="220">
        <v>146</v>
      </c>
      <c r="B1012" s="220" t="s">
        <v>1394</v>
      </c>
      <c r="C1012" s="220" t="s">
        <v>328</v>
      </c>
      <c r="D1012" s="220" t="s">
        <v>486</v>
      </c>
      <c r="E1012" s="220">
        <v>1</v>
      </c>
      <c r="F1012" s="220">
        <v>204.35</v>
      </c>
      <c r="G1012" s="220">
        <v>10449</v>
      </c>
      <c r="H1012" s="220">
        <v>12324</v>
      </c>
      <c r="I1012" s="220">
        <v>14396</v>
      </c>
      <c r="J1012" s="220">
        <v>201.14500000000001</v>
      </c>
      <c r="K1012" s="220">
        <v>-19.933</v>
      </c>
      <c r="L1012" s="220">
        <v>24.391999999999999</v>
      </c>
      <c r="M1012" s="220" t="s">
        <v>1395</v>
      </c>
      <c r="N1012" s="220" t="s">
        <v>1333</v>
      </c>
      <c r="O1012" s="220" t="s">
        <v>1396</v>
      </c>
      <c r="P1012" s="220" t="s">
        <v>1397</v>
      </c>
      <c r="Q1012" s="220" t="s">
        <v>141</v>
      </c>
      <c r="R1012" s="220" t="s">
        <v>79</v>
      </c>
      <c r="S1012" s="220" t="s">
        <v>255</v>
      </c>
    </row>
    <row r="1013" spans="1:19" hidden="1" x14ac:dyDescent="0.25">
      <c r="A1013" s="220">
        <v>146</v>
      </c>
      <c r="B1013" s="220" t="s">
        <v>1394</v>
      </c>
      <c r="C1013" s="220" t="s">
        <v>328</v>
      </c>
      <c r="D1013" s="220" t="s">
        <v>486</v>
      </c>
      <c r="E1013" s="220">
        <v>2</v>
      </c>
      <c r="F1013" s="220">
        <v>201.73500000000001</v>
      </c>
      <c r="G1013" s="220">
        <v>10444</v>
      </c>
      <c r="H1013" s="220">
        <v>12318</v>
      </c>
      <c r="I1013" s="220">
        <v>14389</v>
      </c>
      <c r="J1013" s="220">
        <v>198.572</v>
      </c>
      <c r="K1013" s="220">
        <v>-19.939</v>
      </c>
      <c r="L1013" s="220">
        <v>24.408999999999999</v>
      </c>
      <c r="M1013" s="220" t="s">
        <v>1395</v>
      </c>
      <c r="N1013" s="220" t="s">
        <v>1333</v>
      </c>
      <c r="O1013" s="220" t="s">
        <v>1396</v>
      </c>
      <c r="P1013" s="220" t="s">
        <v>1397</v>
      </c>
      <c r="Q1013" s="220" t="s">
        <v>123</v>
      </c>
      <c r="R1013" s="220" t="s">
        <v>137</v>
      </c>
      <c r="S1013" s="220" t="s">
        <v>531</v>
      </c>
    </row>
    <row r="1014" spans="1:19" hidden="1" x14ac:dyDescent="0.25">
      <c r="A1014" s="220">
        <v>146</v>
      </c>
      <c r="B1014" s="220" t="s">
        <v>1394</v>
      </c>
      <c r="C1014" s="220" t="s">
        <v>328</v>
      </c>
      <c r="D1014" s="220" t="s">
        <v>486</v>
      </c>
      <c r="E1014" s="220">
        <v>3</v>
      </c>
      <c r="F1014" s="220">
        <v>203.09800000000001</v>
      </c>
      <c r="G1014" s="220">
        <v>10499</v>
      </c>
      <c r="H1014" s="220">
        <v>12383</v>
      </c>
      <c r="I1014" s="220">
        <v>14470</v>
      </c>
      <c r="J1014" s="220">
        <v>199.91300000000001</v>
      </c>
      <c r="K1014" s="220">
        <v>-19.931999999999999</v>
      </c>
      <c r="L1014" s="220">
        <v>24.4</v>
      </c>
      <c r="M1014" s="220" t="s">
        <v>1395</v>
      </c>
      <c r="N1014" s="220" t="s">
        <v>1333</v>
      </c>
      <c r="O1014" s="220" t="s">
        <v>1396</v>
      </c>
      <c r="P1014" s="220" t="s">
        <v>1397</v>
      </c>
      <c r="Q1014" s="220" t="s">
        <v>246</v>
      </c>
      <c r="R1014" s="220" t="s">
        <v>259</v>
      </c>
      <c r="S1014" s="220" t="s">
        <v>561</v>
      </c>
    </row>
    <row r="1015" spans="1:19" hidden="1" x14ac:dyDescent="0.25">
      <c r="A1015" s="220">
        <v>146</v>
      </c>
      <c r="B1015" s="220" t="s">
        <v>1394</v>
      </c>
      <c r="C1015" s="220" t="s">
        <v>328</v>
      </c>
      <c r="D1015" s="220" t="s">
        <v>486</v>
      </c>
      <c r="E1015" s="220">
        <v>4</v>
      </c>
      <c r="F1015" s="220">
        <v>203.43799999999999</v>
      </c>
      <c r="G1015" s="220">
        <v>10472</v>
      </c>
      <c r="H1015" s="220">
        <v>12351</v>
      </c>
      <c r="I1015" s="220">
        <v>14428</v>
      </c>
      <c r="J1015" s="220">
        <v>200.24799999999999</v>
      </c>
      <c r="K1015" s="220">
        <v>-19.937000000000001</v>
      </c>
      <c r="L1015" s="220">
        <v>24.417999999999999</v>
      </c>
      <c r="M1015" s="220" t="s">
        <v>1395</v>
      </c>
      <c r="N1015" s="220" t="s">
        <v>1333</v>
      </c>
      <c r="O1015" s="220" t="s">
        <v>1396</v>
      </c>
      <c r="P1015" s="220" t="s">
        <v>1397</v>
      </c>
      <c r="Q1015" s="220" t="s">
        <v>123</v>
      </c>
      <c r="R1015" s="220" t="s">
        <v>137</v>
      </c>
      <c r="S1015" s="220" t="s">
        <v>584</v>
      </c>
    </row>
    <row r="1016" spans="1:19" hidden="1" x14ac:dyDescent="0.25">
      <c r="A1016" s="220">
        <v>146</v>
      </c>
      <c r="B1016" s="220" t="s">
        <v>1394</v>
      </c>
      <c r="C1016" s="220" t="s">
        <v>328</v>
      </c>
      <c r="D1016" s="220" t="s">
        <v>486</v>
      </c>
      <c r="E1016" s="220">
        <v>5</v>
      </c>
      <c r="F1016" s="220">
        <v>200.798</v>
      </c>
      <c r="G1016" s="220">
        <v>15231</v>
      </c>
      <c r="H1016" s="220">
        <v>18334</v>
      </c>
      <c r="I1016" s="220">
        <v>21230</v>
      </c>
      <c r="J1016" s="220">
        <v>197.6</v>
      </c>
      <c r="K1016" s="220">
        <v>-1.8660000000000001</v>
      </c>
      <c r="L1016" s="220">
        <v>35.713999999999999</v>
      </c>
      <c r="M1016" s="220" t="s">
        <v>1395</v>
      </c>
      <c r="N1016" s="220" t="s">
        <v>1333</v>
      </c>
      <c r="O1016" s="220" t="s">
        <v>1396</v>
      </c>
      <c r="P1016" s="220" t="s">
        <v>1397</v>
      </c>
      <c r="Q1016" s="220" t="s">
        <v>302</v>
      </c>
      <c r="R1016" s="220" t="s">
        <v>91</v>
      </c>
      <c r="S1016" s="220" t="s">
        <v>50</v>
      </c>
    </row>
    <row r="1017" spans="1:19" x14ac:dyDescent="0.25">
      <c r="A1017" s="220">
        <v>146</v>
      </c>
      <c r="B1017" s="220" t="s">
        <v>1394</v>
      </c>
      <c r="C1017" s="220" t="s">
        <v>328</v>
      </c>
      <c r="D1017" s="220" t="s">
        <v>486</v>
      </c>
      <c r="E1017" s="220">
        <v>6</v>
      </c>
      <c r="F1017" s="220">
        <v>176.47499999999999</v>
      </c>
      <c r="G1017" s="220">
        <v>13633</v>
      </c>
      <c r="H1017" s="220">
        <v>16411</v>
      </c>
      <c r="I1017" s="220">
        <v>19006</v>
      </c>
      <c r="J1017" s="220">
        <v>173.66399999999999</v>
      </c>
      <c r="K1017" s="220">
        <v>-1.845</v>
      </c>
      <c r="L1017" s="220">
        <v>36.037999999999997</v>
      </c>
      <c r="M1017" s="220" t="s">
        <v>1395</v>
      </c>
      <c r="N1017" s="220" t="s">
        <v>1333</v>
      </c>
      <c r="O1017" s="220" t="s">
        <v>1396</v>
      </c>
      <c r="P1017" s="220" t="s">
        <v>1397</v>
      </c>
      <c r="Q1017" s="220" t="s">
        <v>219</v>
      </c>
      <c r="R1017" s="220" t="s">
        <v>379</v>
      </c>
      <c r="S1017" s="220" t="s">
        <v>539</v>
      </c>
    </row>
    <row r="1018" spans="1:19" x14ac:dyDescent="0.25">
      <c r="A1018" s="220">
        <v>146</v>
      </c>
      <c r="B1018" s="220" t="s">
        <v>1394</v>
      </c>
      <c r="C1018" s="220" t="s">
        <v>328</v>
      </c>
      <c r="D1018" s="220" t="s">
        <v>486</v>
      </c>
      <c r="E1018" s="220">
        <v>7</v>
      </c>
      <c r="F1018" s="220">
        <v>164.03299999999999</v>
      </c>
      <c r="G1018" s="220">
        <v>12725</v>
      </c>
      <c r="H1018" s="220">
        <v>15316</v>
      </c>
      <c r="I1018" s="220">
        <v>17738</v>
      </c>
      <c r="J1018" s="220">
        <v>161.41999999999999</v>
      </c>
      <c r="K1018" s="220">
        <v>-1.802</v>
      </c>
      <c r="L1018" s="220">
        <v>36.061999999999998</v>
      </c>
      <c r="M1018" s="220" t="s">
        <v>1395</v>
      </c>
      <c r="N1018" s="220" t="s">
        <v>1333</v>
      </c>
      <c r="O1018" s="220" t="s">
        <v>1396</v>
      </c>
      <c r="P1018" s="220" t="s">
        <v>1397</v>
      </c>
      <c r="Q1018" s="220" t="s">
        <v>627</v>
      </c>
      <c r="R1018" s="220" t="s">
        <v>467</v>
      </c>
      <c r="S1018" s="220" t="s">
        <v>703</v>
      </c>
    </row>
    <row r="1019" spans="1:19" hidden="1" x14ac:dyDescent="0.25">
      <c r="A1019" s="220">
        <v>147</v>
      </c>
      <c r="B1019" s="220" t="s">
        <v>1398</v>
      </c>
      <c r="C1019" s="220" t="s">
        <v>496</v>
      </c>
      <c r="D1019" s="220" t="s">
        <v>487</v>
      </c>
      <c r="E1019" s="220">
        <v>1</v>
      </c>
      <c r="F1019" s="220">
        <v>203.17400000000001</v>
      </c>
      <c r="G1019" s="220">
        <v>10391</v>
      </c>
      <c r="H1019" s="220">
        <v>12255</v>
      </c>
      <c r="I1019" s="220">
        <v>14318</v>
      </c>
      <c r="J1019" s="220">
        <v>199.988</v>
      </c>
      <c r="K1019" s="220">
        <v>-19.937000000000001</v>
      </c>
      <c r="L1019" s="220">
        <v>24.417999999999999</v>
      </c>
      <c r="M1019" s="220" t="s">
        <v>740</v>
      </c>
      <c r="N1019" s="220" t="s">
        <v>1333</v>
      </c>
      <c r="O1019" s="220" t="s">
        <v>1399</v>
      </c>
      <c r="P1019" s="220" t="s">
        <v>1400</v>
      </c>
      <c r="Q1019" s="220" t="s">
        <v>85</v>
      </c>
      <c r="R1019" s="220" t="s">
        <v>133</v>
      </c>
      <c r="S1019" s="220" t="s">
        <v>135</v>
      </c>
    </row>
    <row r="1020" spans="1:19" hidden="1" x14ac:dyDescent="0.25">
      <c r="A1020" s="220">
        <v>147</v>
      </c>
      <c r="B1020" s="220" t="s">
        <v>1398</v>
      </c>
      <c r="C1020" s="220" t="s">
        <v>496</v>
      </c>
      <c r="D1020" s="220" t="s">
        <v>487</v>
      </c>
      <c r="E1020" s="220">
        <v>2</v>
      </c>
      <c r="F1020" s="220">
        <v>200.797</v>
      </c>
      <c r="G1020" s="220">
        <v>10400</v>
      </c>
      <c r="H1020" s="220">
        <v>12266</v>
      </c>
      <c r="I1020" s="220">
        <v>14329</v>
      </c>
      <c r="J1020" s="220">
        <v>197.648</v>
      </c>
      <c r="K1020" s="220">
        <v>-19.936</v>
      </c>
      <c r="L1020" s="220">
        <v>24.414999999999999</v>
      </c>
      <c r="M1020" s="220" t="s">
        <v>740</v>
      </c>
      <c r="N1020" s="220" t="s">
        <v>1333</v>
      </c>
      <c r="O1020" s="220" t="s">
        <v>1399</v>
      </c>
      <c r="P1020" s="220" t="s">
        <v>1400</v>
      </c>
      <c r="Q1020" s="220" t="s">
        <v>120</v>
      </c>
      <c r="R1020" s="220" t="s">
        <v>226</v>
      </c>
      <c r="S1020" s="220" t="s">
        <v>177</v>
      </c>
    </row>
    <row r="1021" spans="1:19" hidden="1" x14ac:dyDescent="0.25">
      <c r="A1021" s="220">
        <v>147</v>
      </c>
      <c r="B1021" s="220" t="s">
        <v>1398</v>
      </c>
      <c r="C1021" s="220" t="s">
        <v>496</v>
      </c>
      <c r="D1021" s="220" t="s">
        <v>487</v>
      </c>
      <c r="E1021" s="220">
        <v>3</v>
      </c>
      <c r="F1021" s="220">
        <v>202.36099999999999</v>
      </c>
      <c r="G1021" s="220">
        <v>10458</v>
      </c>
      <c r="H1021" s="220">
        <v>12336</v>
      </c>
      <c r="I1021" s="220">
        <v>14415</v>
      </c>
      <c r="J1021" s="220">
        <v>199.18799999999999</v>
      </c>
      <c r="K1021" s="220">
        <v>-19.934000000000001</v>
      </c>
      <c r="L1021" s="220">
        <v>24.422000000000001</v>
      </c>
      <c r="M1021" s="220" t="s">
        <v>740</v>
      </c>
      <c r="N1021" s="220" t="s">
        <v>1333</v>
      </c>
      <c r="O1021" s="220" t="s">
        <v>1399</v>
      </c>
      <c r="P1021" s="220" t="s">
        <v>1400</v>
      </c>
      <c r="Q1021" s="220" t="s">
        <v>117</v>
      </c>
      <c r="R1021" s="220" t="s">
        <v>119</v>
      </c>
      <c r="S1021" s="220" t="s">
        <v>190</v>
      </c>
    </row>
    <row r="1022" spans="1:19" hidden="1" x14ac:dyDescent="0.25">
      <c r="A1022" s="220">
        <v>147</v>
      </c>
      <c r="B1022" s="220" t="s">
        <v>1398</v>
      </c>
      <c r="C1022" s="220" t="s">
        <v>496</v>
      </c>
      <c r="D1022" s="220" t="s">
        <v>487</v>
      </c>
      <c r="E1022" s="220">
        <v>4</v>
      </c>
      <c r="F1022" s="220">
        <v>202.52099999999999</v>
      </c>
      <c r="G1022" s="220">
        <v>10420</v>
      </c>
      <c r="H1022" s="220">
        <v>12290</v>
      </c>
      <c r="I1022" s="220">
        <v>14357</v>
      </c>
      <c r="J1022" s="220">
        <v>199.346</v>
      </c>
      <c r="K1022" s="220">
        <v>-19.937000000000001</v>
      </c>
      <c r="L1022" s="220">
        <v>24.417999999999999</v>
      </c>
      <c r="M1022" s="220" t="s">
        <v>740</v>
      </c>
      <c r="N1022" s="220" t="s">
        <v>1333</v>
      </c>
      <c r="O1022" s="220" t="s">
        <v>1399</v>
      </c>
      <c r="P1022" s="220" t="s">
        <v>1400</v>
      </c>
      <c r="Q1022" s="220" t="s">
        <v>117</v>
      </c>
      <c r="R1022" s="220" t="s">
        <v>119</v>
      </c>
      <c r="S1022" s="220" t="s">
        <v>190</v>
      </c>
    </row>
    <row r="1023" spans="1:19" hidden="1" x14ac:dyDescent="0.25">
      <c r="A1023" s="220">
        <v>147</v>
      </c>
      <c r="B1023" s="220" t="s">
        <v>1398</v>
      </c>
      <c r="C1023" s="220" t="s">
        <v>496</v>
      </c>
      <c r="D1023" s="220" t="s">
        <v>487</v>
      </c>
      <c r="E1023" s="220">
        <v>5</v>
      </c>
      <c r="F1023" s="220">
        <v>175.893</v>
      </c>
      <c r="G1023" s="220">
        <v>14058</v>
      </c>
      <c r="H1023" s="220">
        <v>16935</v>
      </c>
      <c r="I1023" s="220">
        <v>19595</v>
      </c>
      <c r="J1023" s="220">
        <v>173.09100000000001</v>
      </c>
      <c r="K1023" s="220">
        <v>-1.5640000000000001</v>
      </c>
      <c r="L1023" s="220">
        <v>36.057000000000002</v>
      </c>
      <c r="M1023" s="220" t="s">
        <v>740</v>
      </c>
      <c r="N1023" s="220" t="s">
        <v>1333</v>
      </c>
      <c r="O1023" s="220" t="s">
        <v>1399</v>
      </c>
      <c r="P1023" s="220" t="s">
        <v>1400</v>
      </c>
      <c r="Q1023" s="220" t="s">
        <v>169</v>
      </c>
      <c r="R1023" s="220" t="s">
        <v>594</v>
      </c>
      <c r="S1023" s="220" t="s">
        <v>630</v>
      </c>
    </row>
    <row r="1024" spans="1:19" x14ac:dyDescent="0.25">
      <c r="A1024" s="220">
        <v>147</v>
      </c>
      <c r="B1024" s="220" t="s">
        <v>1398</v>
      </c>
      <c r="C1024" s="220" t="s">
        <v>496</v>
      </c>
      <c r="D1024" s="220" t="s">
        <v>487</v>
      </c>
      <c r="E1024" s="220">
        <v>6</v>
      </c>
      <c r="F1024" s="220">
        <v>156.20599999999999</v>
      </c>
      <c r="G1024" s="220">
        <v>12675</v>
      </c>
      <c r="H1024" s="220">
        <v>15263</v>
      </c>
      <c r="I1024" s="220">
        <v>17674</v>
      </c>
      <c r="J1024" s="220">
        <v>153.71799999999999</v>
      </c>
      <c r="K1024" s="220">
        <v>-1.514</v>
      </c>
      <c r="L1024" s="220">
        <v>36.218000000000004</v>
      </c>
      <c r="M1024" s="220" t="s">
        <v>740</v>
      </c>
      <c r="N1024" s="220" t="s">
        <v>1333</v>
      </c>
      <c r="O1024" s="220" t="s">
        <v>1399</v>
      </c>
      <c r="P1024" s="220" t="s">
        <v>1400</v>
      </c>
      <c r="Q1024" s="220" t="s">
        <v>244</v>
      </c>
      <c r="R1024" s="220" t="s">
        <v>204</v>
      </c>
      <c r="S1024" s="220" t="s">
        <v>187</v>
      </c>
    </row>
    <row r="1025" spans="1:19" x14ac:dyDescent="0.25">
      <c r="A1025" s="220">
        <v>147</v>
      </c>
      <c r="B1025" s="220" t="s">
        <v>1398</v>
      </c>
      <c r="C1025" s="220" t="s">
        <v>496</v>
      </c>
      <c r="D1025" s="220" t="s">
        <v>487</v>
      </c>
      <c r="E1025" s="220">
        <v>7</v>
      </c>
      <c r="F1025" s="220">
        <v>145.767</v>
      </c>
      <c r="G1025" s="220">
        <v>11841</v>
      </c>
      <c r="H1025" s="220">
        <v>14256</v>
      </c>
      <c r="I1025" s="220">
        <v>16507</v>
      </c>
      <c r="J1025" s="220">
        <v>143.44499999999999</v>
      </c>
      <c r="K1025" s="220">
        <v>-1.4550000000000001</v>
      </c>
      <c r="L1025" s="220">
        <v>36.238999999999997</v>
      </c>
      <c r="M1025" s="220" t="s">
        <v>740</v>
      </c>
      <c r="N1025" s="220" t="s">
        <v>1333</v>
      </c>
      <c r="O1025" s="220" t="s">
        <v>1399</v>
      </c>
      <c r="P1025" s="220" t="s">
        <v>1400</v>
      </c>
      <c r="Q1025" s="220" t="s">
        <v>1401</v>
      </c>
      <c r="R1025" s="220" t="s">
        <v>731</v>
      </c>
      <c r="S1025" s="220" t="s">
        <v>768</v>
      </c>
    </row>
    <row r="1026" spans="1:19" hidden="1" x14ac:dyDescent="0.25">
      <c r="A1026" s="220">
        <v>148</v>
      </c>
      <c r="B1026" s="220" t="s">
        <v>1402</v>
      </c>
      <c r="C1026" s="220" t="s">
        <v>297</v>
      </c>
      <c r="D1026" s="220" t="s">
        <v>488</v>
      </c>
      <c r="E1026" s="220">
        <v>1</v>
      </c>
      <c r="F1026" s="220">
        <v>204.05500000000001</v>
      </c>
      <c r="G1026" s="220">
        <v>10430</v>
      </c>
      <c r="H1026" s="220">
        <v>12303</v>
      </c>
      <c r="I1026" s="220">
        <v>14339</v>
      </c>
      <c r="J1026" s="220">
        <v>200.857</v>
      </c>
      <c r="K1026" s="220">
        <v>-19.916</v>
      </c>
      <c r="L1026" s="220">
        <v>24.288</v>
      </c>
      <c r="M1026" s="220" t="s">
        <v>1403</v>
      </c>
      <c r="N1026" s="220" t="s">
        <v>1333</v>
      </c>
      <c r="O1026" s="220" t="s">
        <v>1404</v>
      </c>
      <c r="P1026" s="220" t="s">
        <v>1405</v>
      </c>
      <c r="Q1026" s="220" t="s">
        <v>71</v>
      </c>
      <c r="R1026" s="220" t="s">
        <v>115</v>
      </c>
      <c r="S1026" s="220" t="s">
        <v>217</v>
      </c>
    </row>
    <row r="1027" spans="1:19" hidden="1" x14ac:dyDescent="0.25">
      <c r="A1027" s="220">
        <v>148</v>
      </c>
      <c r="B1027" s="220" t="s">
        <v>1402</v>
      </c>
      <c r="C1027" s="220" t="s">
        <v>297</v>
      </c>
      <c r="D1027" s="220" t="s">
        <v>488</v>
      </c>
      <c r="E1027" s="220">
        <v>2</v>
      </c>
      <c r="F1027" s="220">
        <v>201.53299999999999</v>
      </c>
      <c r="G1027" s="220">
        <v>10447</v>
      </c>
      <c r="H1027" s="220">
        <v>12323</v>
      </c>
      <c r="I1027" s="220">
        <v>14364</v>
      </c>
      <c r="J1027" s="220">
        <v>198.374</v>
      </c>
      <c r="K1027" s="220">
        <v>-19.920999999999999</v>
      </c>
      <c r="L1027" s="220">
        <v>24.393999999999998</v>
      </c>
      <c r="M1027" s="220" t="s">
        <v>1403</v>
      </c>
      <c r="N1027" s="220" t="s">
        <v>1333</v>
      </c>
      <c r="O1027" s="220" t="s">
        <v>1404</v>
      </c>
      <c r="P1027" s="220" t="s">
        <v>1405</v>
      </c>
      <c r="Q1027" s="220" t="s">
        <v>131</v>
      </c>
      <c r="R1027" s="220" t="s">
        <v>270</v>
      </c>
      <c r="S1027" s="220" t="s">
        <v>172</v>
      </c>
    </row>
    <row r="1028" spans="1:19" hidden="1" x14ac:dyDescent="0.25">
      <c r="A1028" s="220">
        <v>148</v>
      </c>
      <c r="B1028" s="220" t="s">
        <v>1402</v>
      </c>
      <c r="C1028" s="220" t="s">
        <v>297</v>
      </c>
      <c r="D1028" s="220" t="s">
        <v>488</v>
      </c>
      <c r="E1028" s="220">
        <v>3</v>
      </c>
      <c r="F1028" s="220">
        <v>203.322</v>
      </c>
      <c r="G1028" s="220">
        <v>10499</v>
      </c>
      <c r="H1028" s="220">
        <v>12384</v>
      </c>
      <c r="I1028" s="220">
        <v>14440</v>
      </c>
      <c r="J1028" s="220">
        <v>200.13499999999999</v>
      </c>
      <c r="K1028" s="220">
        <v>-19.914000000000001</v>
      </c>
      <c r="L1028" s="220">
        <v>24.378</v>
      </c>
      <c r="M1028" s="220" t="s">
        <v>1403</v>
      </c>
      <c r="N1028" s="220" t="s">
        <v>1333</v>
      </c>
      <c r="O1028" s="220" t="s">
        <v>1404</v>
      </c>
      <c r="P1028" s="220" t="s">
        <v>1405</v>
      </c>
      <c r="Q1028" s="220" t="s">
        <v>237</v>
      </c>
      <c r="R1028" s="220" t="s">
        <v>105</v>
      </c>
      <c r="S1028" s="220" t="s">
        <v>177</v>
      </c>
    </row>
    <row r="1029" spans="1:19" hidden="1" x14ac:dyDescent="0.25">
      <c r="A1029" s="220">
        <v>148</v>
      </c>
      <c r="B1029" s="220" t="s">
        <v>1402</v>
      </c>
      <c r="C1029" s="220" t="s">
        <v>297</v>
      </c>
      <c r="D1029" s="220" t="s">
        <v>488</v>
      </c>
      <c r="E1029" s="220">
        <v>4</v>
      </c>
      <c r="F1029" s="220">
        <v>202.29499999999999</v>
      </c>
      <c r="G1029" s="220">
        <v>10417</v>
      </c>
      <c r="H1029" s="220">
        <v>12287</v>
      </c>
      <c r="I1029" s="220">
        <v>14320</v>
      </c>
      <c r="J1029" s="220">
        <v>199.124</v>
      </c>
      <c r="K1029" s="220">
        <v>-19.937000000000001</v>
      </c>
      <c r="L1029" s="220">
        <v>24.417999999999999</v>
      </c>
      <c r="M1029" s="220" t="s">
        <v>1403</v>
      </c>
      <c r="N1029" s="220" t="s">
        <v>1333</v>
      </c>
      <c r="O1029" s="220" t="s">
        <v>1404</v>
      </c>
      <c r="P1029" s="220" t="s">
        <v>1405</v>
      </c>
      <c r="Q1029" s="220" t="s">
        <v>120</v>
      </c>
      <c r="R1029" s="220" t="s">
        <v>132</v>
      </c>
      <c r="S1029" s="220" t="s">
        <v>177</v>
      </c>
    </row>
    <row r="1030" spans="1:19" hidden="1" x14ac:dyDescent="0.25">
      <c r="A1030" s="220">
        <v>148</v>
      </c>
      <c r="B1030" s="220" t="s">
        <v>1402</v>
      </c>
      <c r="C1030" s="220" t="s">
        <v>297</v>
      </c>
      <c r="D1030" s="220" t="s">
        <v>488</v>
      </c>
      <c r="E1030" s="220">
        <v>5</v>
      </c>
      <c r="F1030" s="220">
        <v>197.59399999999999</v>
      </c>
      <c r="G1030" s="220">
        <v>15015</v>
      </c>
      <c r="H1030" s="220">
        <v>18088</v>
      </c>
      <c r="I1030" s="220">
        <v>20880</v>
      </c>
      <c r="J1030" s="220">
        <v>194.44800000000001</v>
      </c>
      <c r="K1030" s="220">
        <v>-1.7050000000000001</v>
      </c>
      <c r="L1030" s="220">
        <v>35.579000000000001</v>
      </c>
      <c r="M1030" s="220" t="s">
        <v>1403</v>
      </c>
      <c r="N1030" s="220" t="s">
        <v>1333</v>
      </c>
      <c r="O1030" s="220" t="s">
        <v>1404</v>
      </c>
      <c r="P1030" s="220" t="s">
        <v>1405</v>
      </c>
      <c r="Q1030" s="220" t="s">
        <v>175</v>
      </c>
      <c r="R1030" s="220" t="s">
        <v>611</v>
      </c>
      <c r="S1030" s="220" t="s">
        <v>664</v>
      </c>
    </row>
    <row r="1031" spans="1:19" x14ac:dyDescent="0.25">
      <c r="A1031" s="220">
        <v>148</v>
      </c>
      <c r="B1031" s="220" t="s">
        <v>1402</v>
      </c>
      <c r="C1031" s="220" t="s">
        <v>297</v>
      </c>
      <c r="D1031" s="220" t="s">
        <v>488</v>
      </c>
      <c r="E1031" s="220">
        <v>6</v>
      </c>
      <c r="F1031" s="220">
        <v>173.40600000000001</v>
      </c>
      <c r="G1031" s="220">
        <v>13421</v>
      </c>
      <c r="H1031" s="220">
        <v>16162</v>
      </c>
      <c r="I1031" s="220">
        <v>18662</v>
      </c>
      <c r="J1031" s="220">
        <v>170.64500000000001</v>
      </c>
      <c r="K1031" s="220">
        <v>-1.643</v>
      </c>
      <c r="L1031" s="220">
        <v>35.851999999999997</v>
      </c>
      <c r="M1031" s="220" t="s">
        <v>1403</v>
      </c>
      <c r="N1031" s="220" t="s">
        <v>1333</v>
      </c>
      <c r="O1031" s="220" t="s">
        <v>1404</v>
      </c>
      <c r="P1031" s="220" t="s">
        <v>1405</v>
      </c>
      <c r="Q1031" s="220" t="s">
        <v>159</v>
      </c>
      <c r="R1031" s="220" t="s">
        <v>234</v>
      </c>
      <c r="S1031" s="220" t="s">
        <v>600</v>
      </c>
    </row>
    <row r="1032" spans="1:19" x14ac:dyDescent="0.25">
      <c r="A1032" s="220">
        <v>148</v>
      </c>
      <c r="B1032" s="220" t="s">
        <v>1402</v>
      </c>
      <c r="C1032" s="220" t="s">
        <v>297</v>
      </c>
      <c r="D1032" s="220" t="s">
        <v>488</v>
      </c>
      <c r="E1032" s="220">
        <v>7</v>
      </c>
      <c r="F1032" s="220">
        <v>161.06299999999999</v>
      </c>
      <c r="G1032" s="220">
        <v>12504</v>
      </c>
      <c r="H1032" s="220">
        <v>15056</v>
      </c>
      <c r="I1032" s="220">
        <v>17393</v>
      </c>
      <c r="J1032" s="220">
        <v>158.499</v>
      </c>
      <c r="K1032" s="220">
        <v>-1.5880000000000001</v>
      </c>
      <c r="L1032" s="220">
        <v>35.893999999999998</v>
      </c>
      <c r="M1032" s="220" t="s">
        <v>1403</v>
      </c>
      <c r="N1032" s="220" t="s">
        <v>1333</v>
      </c>
      <c r="O1032" s="220" t="s">
        <v>1404</v>
      </c>
      <c r="P1032" s="220" t="s">
        <v>1405</v>
      </c>
      <c r="Q1032" s="220" t="s">
        <v>606</v>
      </c>
      <c r="R1032" s="220" t="s">
        <v>818</v>
      </c>
      <c r="S1032" s="220" t="s">
        <v>607</v>
      </c>
    </row>
    <row r="1033" spans="1:19" hidden="1" x14ac:dyDescent="0.25">
      <c r="A1033" s="220">
        <v>149</v>
      </c>
      <c r="B1033" s="220" t="s">
        <v>1406</v>
      </c>
      <c r="C1033" s="220" t="s">
        <v>339</v>
      </c>
      <c r="D1033" s="220" t="s">
        <v>490</v>
      </c>
      <c r="E1033" s="220">
        <v>1</v>
      </c>
      <c r="F1033" s="220">
        <v>204.39</v>
      </c>
      <c r="G1033" s="220">
        <v>10430</v>
      </c>
      <c r="H1033" s="220">
        <v>12303</v>
      </c>
      <c r="I1033" s="220">
        <v>14362</v>
      </c>
      <c r="J1033" s="220">
        <v>201.185</v>
      </c>
      <c r="K1033" s="220">
        <v>-19.939</v>
      </c>
      <c r="L1033" s="220">
        <v>24.402999999999999</v>
      </c>
      <c r="M1033" s="220" t="s">
        <v>1020</v>
      </c>
      <c r="N1033" s="220" t="s">
        <v>1333</v>
      </c>
      <c r="O1033" s="220" t="s">
        <v>1407</v>
      </c>
      <c r="P1033" s="220" t="s">
        <v>1408</v>
      </c>
      <c r="Q1033" s="220" t="s">
        <v>74</v>
      </c>
      <c r="R1033" s="220" t="s">
        <v>129</v>
      </c>
      <c r="S1033" s="220" t="s">
        <v>262</v>
      </c>
    </row>
    <row r="1034" spans="1:19" hidden="1" x14ac:dyDescent="0.25">
      <c r="A1034" s="220">
        <v>149</v>
      </c>
      <c r="B1034" s="220" t="s">
        <v>1406</v>
      </c>
      <c r="C1034" s="220" t="s">
        <v>339</v>
      </c>
      <c r="D1034" s="220" t="s">
        <v>490</v>
      </c>
      <c r="E1034" s="220">
        <v>2</v>
      </c>
      <c r="F1034" s="220">
        <v>200.96700000000001</v>
      </c>
      <c r="G1034" s="220">
        <v>10423</v>
      </c>
      <c r="H1034" s="220">
        <v>12295</v>
      </c>
      <c r="I1034" s="220">
        <v>14353</v>
      </c>
      <c r="J1034" s="220">
        <v>197.816</v>
      </c>
      <c r="K1034" s="220">
        <v>-19.934999999999999</v>
      </c>
      <c r="L1034" s="220">
        <v>24.422000000000001</v>
      </c>
      <c r="M1034" s="220" t="s">
        <v>1020</v>
      </c>
      <c r="N1034" s="220" t="s">
        <v>1333</v>
      </c>
      <c r="O1034" s="220" t="s">
        <v>1407</v>
      </c>
      <c r="P1034" s="220" t="s">
        <v>1408</v>
      </c>
      <c r="Q1034" s="220" t="s">
        <v>237</v>
      </c>
      <c r="R1034" s="220" t="s">
        <v>105</v>
      </c>
      <c r="S1034" s="220" t="s">
        <v>250</v>
      </c>
    </row>
    <row r="1035" spans="1:19" hidden="1" x14ac:dyDescent="0.25">
      <c r="A1035" s="220">
        <v>149</v>
      </c>
      <c r="B1035" s="220" t="s">
        <v>1406</v>
      </c>
      <c r="C1035" s="220" t="s">
        <v>339</v>
      </c>
      <c r="D1035" s="220" t="s">
        <v>490</v>
      </c>
      <c r="E1035" s="220">
        <v>3</v>
      </c>
      <c r="F1035" s="220">
        <v>202.77199999999999</v>
      </c>
      <c r="G1035" s="220">
        <v>10486</v>
      </c>
      <c r="H1035" s="220">
        <v>12370</v>
      </c>
      <c r="I1035" s="220">
        <v>14443</v>
      </c>
      <c r="J1035" s="220">
        <v>199.59299999999999</v>
      </c>
      <c r="K1035" s="220">
        <v>-19.939</v>
      </c>
      <c r="L1035" s="220">
        <v>24.408999999999999</v>
      </c>
      <c r="M1035" s="220" t="s">
        <v>1020</v>
      </c>
      <c r="N1035" s="220" t="s">
        <v>1333</v>
      </c>
      <c r="O1035" s="220" t="s">
        <v>1407</v>
      </c>
      <c r="P1035" s="220" t="s">
        <v>1408</v>
      </c>
      <c r="Q1035" s="220" t="s">
        <v>111</v>
      </c>
      <c r="R1035" s="220" t="s">
        <v>233</v>
      </c>
      <c r="S1035" s="220" t="s">
        <v>189</v>
      </c>
    </row>
    <row r="1036" spans="1:19" hidden="1" x14ac:dyDescent="0.25">
      <c r="A1036" s="220">
        <v>149</v>
      </c>
      <c r="B1036" s="220" t="s">
        <v>1406</v>
      </c>
      <c r="C1036" s="220" t="s">
        <v>339</v>
      </c>
      <c r="D1036" s="220" t="s">
        <v>490</v>
      </c>
      <c r="E1036" s="220">
        <v>4</v>
      </c>
      <c r="F1036" s="220">
        <v>202.38300000000001</v>
      </c>
      <c r="G1036" s="220">
        <v>10417</v>
      </c>
      <c r="H1036" s="220">
        <v>12287</v>
      </c>
      <c r="I1036" s="220">
        <v>14343</v>
      </c>
      <c r="J1036" s="220">
        <v>199.209</v>
      </c>
      <c r="K1036" s="220">
        <v>-19.937000000000001</v>
      </c>
      <c r="L1036" s="220">
        <v>24.417999999999999</v>
      </c>
      <c r="M1036" s="220" t="s">
        <v>1020</v>
      </c>
      <c r="N1036" s="220" t="s">
        <v>1333</v>
      </c>
      <c r="O1036" s="220" t="s">
        <v>1407</v>
      </c>
      <c r="P1036" s="220" t="s">
        <v>1408</v>
      </c>
      <c r="Q1036" s="220" t="s">
        <v>158</v>
      </c>
      <c r="R1036" s="220" t="s">
        <v>233</v>
      </c>
      <c r="S1036" s="220" t="s">
        <v>235</v>
      </c>
    </row>
    <row r="1037" spans="1:19" hidden="1" x14ac:dyDescent="0.25">
      <c r="A1037" s="220">
        <v>149</v>
      </c>
      <c r="B1037" s="220" t="s">
        <v>1406</v>
      </c>
      <c r="C1037" s="220" t="s">
        <v>339</v>
      </c>
      <c r="D1037" s="220" t="s">
        <v>490</v>
      </c>
      <c r="E1037" s="220">
        <v>5</v>
      </c>
      <c r="F1037" s="220">
        <v>204.37299999999999</v>
      </c>
      <c r="G1037" s="220">
        <v>16329</v>
      </c>
      <c r="H1037" s="220">
        <v>19674</v>
      </c>
      <c r="I1037" s="220">
        <v>22737</v>
      </c>
      <c r="J1037" s="220">
        <v>201.11799999999999</v>
      </c>
      <c r="K1037" s="220">
        <v>-1.44</v>
      </c>
      <c r="L1037" s="220">
        <v>35.427</v>
      </c>
      <c r="M1037" s="220" t="s">
        <v>1020</v>
      </c>
      <c r="N1037" s="220" t="s">
        <v>1333</v>
      </c>
      <c r="O1037" s="220" t="s">
        <v>1407</v>
      </c>
      <c r="P1037" s="220" t="s">
        <v>1408</v>
      </c>
      <c r="Q1037" s="220" t="s">
        <v>181</v>
      </c>
      <c r="R1037" s="220" t="s">
        <v>46</v>
      </c>
      <c r="S1037" s="220" t="s">
        <v>835</v>
      </c>
    </row>
    <row r="1038" spans="1:19" x14ac:dyDescent="0.25">
      <c r="A1038" s="220">
        <v>149</v>
      </c>
      <c r="B1038" s="220" t="s">
        <v>1406</v>
      </c>
      <c r="C1038" s="220" t="s">
        <v>339</v>
      </c>
      <c r="D1038" s="220" t="s">
        <v>490</v>
      </c>
      <c r="E1038" s="220">
        <v>6</v>
      </c>
      <c r="F1038" s="220">
        <v>179.42</v>
      </c>
      <c r="G1038" s="220">
        <v>14461</v>
      </c>
      <c r="H1038" s="220">
        <v>17416</v>
      </c>
      <c r="I1038" s="220">
        <v>20136</v>
      </c>
      <c r="J1038" s="220">
        <v>176.56200000000001</v>
      </c>
      <c r="K1038" s="220">
        <v>-1.4019999999999999</v>
      </c>
      <c r="L1038" s="220">
        <v>35.703000000000003</v>
      </c>
      <c r="M1038" s="220" t="s">
        <v>1020</v>
      </c>
      <c r="N1038" s="220" t="s">
        <v>1333</v>
      </c>
      <c r="O1038" s="220" t="s">
        <v>1407</v>
      </c>
      <c r="P1038" s="220" t="s">
        <v>1408</v>
      </c>
      <c r="Q1038" s="220" t="s">
        <v>270</v>
      </c>
      <c r="R1038" s="220" t="s">
        <v>303</v>
      </c>
      <c r="S1038" s="220" t="s">
        <v>983</v>
      </c>
    </row>
    <row r="1039" spans="1:19" x14ac:dyDescent="0.25">
      <c r="A1039" s="220">
        <v>149</v>
      </c>
      <c r="B1039" s="220" t="s">
        <v>1406</v>
      </c>
      <c r="C1039" s="220" t="s">
        <v>339</v>
      </c>
      <c r="D1039" s="220" t="s">
        <v>490</v>
      </c>
      <c r="E1039" s="220">
        <v>7</v>
      </c>
      <c r="F1039" s="220">
        <v>166.364</v>
      </c>
      <c r="G1039" s="220">
        <v>13363</v>
      </c>
      <c r="H1039" s="220">
        <v>16088</v>
      </c>
      <c r="I1039" s="220">
        <v>18610</v>
      </c>
      <c r="J1039" s="220">
        <v>163.714</v>
      </c>
      <c r="K1039" s="220">
        <v>-1.339</v>
      </c>
      <c r="L1039" s="220">
        <v>35.728000000000002</v>
      </c>
      <c r="M1039" s="220" t="s">
        <v>1020</v>
      </c>
      <c r="N1039" s="220" t="s">
        <v>1333</v>
      </c>
      <c r="O1039" s="220" t="s">
        <v>1407</v>
      </c>
      <c r="P1039" s="220" t="s">
        <v>1408</v>
      </c>
      <c r="Q1039" s="220" t="s">
        <v>445</v>
      </c>
      <c r="R1039" s="220" t="s">
        <v>578</v>
      </c>
      <c r="S1039" s="220" t="s">
        <v>1287</v>
      </c>
    </row>
    <row r="1040" spans="1:19" hidden="1" x14ac:dyDescent="0.25">
      <c r="A1040" s="220">
        <v>150</v>
      </c>
      <c r="B1040" s="220" t="s">
        <v>1409</v>
      </c>
      <c r="C1040" s="220" t="s">
        <v>335</v>
      </c>
      <c r="D1040" s="220" t="s">
        <v>491</v>
      </c>
      <c r="E1040" s="220">
        <v>1</v>
      </c>
      <c r="F1040" s="220">
        <v>204.26900000000001</v>
      </c>
      <c r="G1040" s="220">
        <v>10440</v>
      </c>
      <c r="H1040" s="220">
        <v>12314</v>
      </c>
      <c r="I1040" s="220">
        <v>14388</v>
      </c>
      <c r="J1040" s="220">
        <v>201.066</v>
      </c>
      <c r="K1040" s="220">
        <v>-19.931000000000001</v>
      </c>
      <c r="L1040" s="220">
        <v>24.416</v>
      </c>
      <c r="M1040" s="220" t="s">
        <v>1410</v>
      </c>
      <c r="N1040" s="220" t="s">
        <v>1333</v>
      </c>
      <c r="O1040" s="220" t="s">
        <v>1411</v>
      </c>
      <c r="P1040" s="220" t="s">
        <v>1412</v>
      </c>
      <c r="Q1040" s="220" t="s">
        <v>74</v>
      </c>
      <c r="R1040" s="220" t="s">
        <v>122</v>
      </c>
      <c r="S1040" s="220" t="s">
        <v>262</v>
      </c>
    </row>
    <row r="1041" spans="1:19" hidden="1" x14ac:dyDescent="0.25">
      <c r="A1041" s="220">
        <v>150</v>
      </c>
      <c r="B1041" s="220" t="s">
        <v>1409</v>
      </c>
      <c r="C1041" s="220" t="s">
        <v>335</v>
      </c>
      <c r="D1041" s="220" t="s">
        <v>491</v>
      </c>
      <c r="E1041" s="220">
        <v>2</v>
      </c>
      <c r="F1041" s="220">
        <v>201.32300000000001</v>
      </c>
      <c r="G1041" s="220">
        <v>10442</v>
      </c>
      <c r="H1041" s="220">
        <v>12316</v>
      </c>
      <c r="I1041" s="220">
        <v>14387</v>
      </c>
      <c r="J1041" s="220">
        <v>198.167</v>
      </c>
      <c r="K1041" s="220">
        <v>-19.940000000000001</v>
      </c>
      <c r="L1041" s="220">
        <v>24.4</v>
      </c>
      <c r="M1041" s="220" t="s">
        <v>1410</v>
      </c>
      <c r="N1041" s="220" t="s">
        <v>1333</v>
      </c>
      <c r="O1041" s="220" t="s">
        <v>1411</v>
      </c>
      <c r="P1041" s="220" t="s">
        <v>1412</v>
      </c>
      <c r="Q1041" s="220" t="s">
        <v>237</v>
      </c>
      <c r="R1041" s="220" t="s">
        <v>105</v>
      </c>
      <c r="S1041" s="220" t="s">
        <v>250</v>
      </c>
    </row>
    <row r="1042" spans="1:19" hidden="1" x14ac:dyDescent="0.25">
      <c r="A1042" s="220">
        <v>150</v>
      </c>
      <c r="B1042" s="220" t="s">
        <v>1409</v>
      </c>
      <c r="C1042" s="220" t="s">
        <v>335</v>
      </c>
      <c r="D1042" s="220" t="s">
        <v>491</v>
      </c>
      <c r="E1042" s="220">
        <v>3</v>
      </c>
      <c r="F1042" s="220">
        <v>203.03</v>
      </c>
      <c r="G1042" s="220">
        <v>10523</v>
      </c>
      <c r="H1042" s="220">
        <v>12411</v>
      </c>
      <c r="I1042" s="220">
        <v>14499</v>
      </c>
      <c r="J1042" s="220">
        <v>199.846</v>
      </c>
      <c r="K1042" s="220">
        <v>-19.928000000000001</v>
      </c>
      <c r="L1042" s="220">
        <v>24.408999999999999</v>
      </c>
      <c r="M1042" s="220" t="s">
        <v>1410</v>
      </c>
      <c r="N1042" s="220" t="s">
        <v>1333</v>
      </c>
      <c r="O1042" s="220" t="s">
        <v>1411</v>
      </c>
      <c r="P1042" s="220" t="s">
        <v>1412</v>
      </c>
      <c r="Q1042" s="220" t="s">
        <v>158</v>
      </c>
      <c r="R1042" s="220" t="s">
        <v>233</v>
      </c>
      <c r="S1042" s="220" t="s">
        <v>235</v>
      </c>
    </row>
    <row r="1043" spans="1:19" hidden="1" x14ac:dyDescent="0.25">
      <c r="A1043" s="220">
        <v>150</v>
      </c>
      <c r="B1043" s="220" t="s">
        <v>1409</v>
      </c>
      <c r="C1043" s="220" t="s">
        <v>335</v>
      </c>
      <c r="D1043" s="220" t="s">
        <v>491</v>
      </c>
      <c r="E1043" s="220">
        <v>4</v>
      </c>
      <c r="F1043" s="220">
        <v>203.14599999999999</v>
      </c>
      <c r="G1043" s="220">
        <v>10460</v>
      </c>
      <c r="H1043" s="220">
        <v>12337</v>
      </c>
      <c r="I1043" s="220">
        <v>14415</v>
      </c>
      <c r="J1043" s="220">
        <v>199.96100000000001</v>
      </c>
      <c r="K1043" s="220">
        <v>-19.937000000000001</v>
      </c>
      <c r="L1043" s="220">
        <v>24.417999999999999</v>
      </c>
      <c r="M1043" s="220" t="s">
        <v>1410</v>
      </c>
      <c r="N1043" s="220" t="s">
        <v>1333</v>
      </c>
      <c r="O1043" s="220" t="s">
        <v>1411</v>
      </c>
      <c r="P1043" s="220" t="s">
        <v>1412</v>
      </c>
      <c r="Q1043" s="220" t="s">
        <v>158</v>
      </c>
      <c r="R1043" s="220" t="s">
        <v>233</v>
      </c>
      <c r="S1043" s="220" t="s">
        <v>189</v>
      </c>
    </row>
    <row r="1044" spans="1:19" hidden="1" x14ac:dyDescent="0.25">
      <c r="A1044" s="220">
        <v>150</v>
      </c>
      <c r="B1044" s="220" t="s">
        <v>1409</v>
      </c>
      <c r="C1044" s="220" t="s">
        <v>335</v>
      </c>
      <c r="D1044" s="220" t="s">
        <v>491</v>
      </c>
      <c r="E1044" s="220">
        <v>5</v>
      </c>
      <c r="F1044" s="220">
        <v>184.72499999999999</v>
      </c>
      <c r="G1044" s="220">
        <v>14078</v>
      </c>
      <c r="H1044" s="220">
        <v>16959</v>
      </c>
      <c r="I1044" s="220">
        <v>19617</v>
      </c>
      <c r="J1044" s="220">
        <v>181.78200000000001</v>
      </c>
      <c r="K1044" s="220">
        <v>-1.4570000000000001</v>
      </c>
      <c r="L1044" s="220">
        <v>35.469000000000001</v>
      </c>
      <c r="M1044" s="220" t="s">
        <v>1410</v>
      </c>
      <c r="N1044" s="220" t="s">
        <v>1333</v>
      </c>
      <c r="O1044" s="220" t="s">
        <v>1411</v>
      </c>
      <c r="P1044" s="220" t="s">
        <v>1412</v>
      </c>
      <c r="Q1044" s="220" t="s">
        <v>180</v>
      </c>
      <c r="R1044" s="220" t="s">
        <v>107</v>
      </c>
      <c r="S1044" s="220" t="s">
        <v>630</v>
      </c>
    </row>
    <row r="1045" spans="1:19" x14ac:dyDescent="0.25">
      <c r="A1045" s="220">
        <v>150</v>
      </c>
      <c r="B1045" s="220" t="s">
        <v>1409</v>
      </c>
      <c r="C1045" s="220" t="s">
        <v>335</v>
      </c>
      <c r="D1045" s="220" t="s">
        <v>491</v>
      </c>
      <c r="E1045" s="220">
        <v>6</v>
      </c>
      <c r="F1045" s="220">
        <v>162.499</v>
      </c>
      <c r="G1045" s="220">
        <v>12605</v>
      </c>
      <c r="H1045" s="220">
        <v>15181</v>
      </c>
      <c r="I1045" s="220">
        <v>17566</v>
      </c>
      <c r="J1045" s="220">
        <v>159.91</v>
      </c>
      <c r="K1045" s="220">
        <v>-1.397</v>
      </c>
      <c r="L1045" s="220">
        <v>35.616</v>
      </c>
      <c r="M1045" s="220" t="s">
        <v>1410</v>
      </c>
      <c r="N1045" s="220" t="s">
        <v>1333</v>
      </c>
      <c r="O1045" s="220" t="s">
        <v>1411</v>
      </c>
      <c r="P1045" s="220" t="s">
        <v>1412</v>
      </c>
      <c r="Q1045" s="220" t="s">
        <v>118</v>
      </c>
      <c r="R1045" s="220" t="s">
        <v>239</v>
      </c>
      <c r="S1045" s="220" t="s">
        <v>355</v>
      </c>
    </row>
    <row r="1046" spans="1:19" x14ac:dyDescent="0.25">
      <c r="A1046" s="220">
        <v>150</v>
      </c>
      <c r="B1046" s="220" t="s">
        <v>1409</v>
      </c>
      <c r="C1046" s="220" t="s">
        <v>335</v>
      </c>
      <c r="D1046" s="220" t="s">
        <v>491</v>
      </c>
      <c r="E1046" s="220">
        <v>7</v>
      </c>
      <c r="F1046" s="220">
        <v>151.01900000000001</v>
      </c>
      <c r="G1046" s="220">
        <v>11782</v>
      </c>
      <c r="H1046" s="220">
        <v>14189</v>
      </c>
      <c r="I1046" s="220">
        <v>16418</v>
      </c>
      <c r="J1046" s="220">
        <v>148.613</v>
      </c>
      <c r="K1046" s="220">
        <v>-1.3380000000000001</v>
      </c>
      <c r="L1046" s="220">
        <v>35.679000000000002</v>
      </c>
      <c r="M1046" s="220" t="s">
        <v>1410</v>
      </c>
      <c r="N1046" s="220" t="s">
        <v>1333</v>
      </c>
      <c r="O1046" s="220" t="s">
        <v>1411</v>
      </c>
      <c r="P1046" s="220" t="s">
        <v>1412</v>
      </c>
      <c r="Q1046" s="220" t="s">
        <v>681</v>
      </c>
      <c r="R1046" s="220" t="s">
        <v>738</v>
      </c>
      <c r="S1046" s="220" t="s">
        <v>680</v>
      </c>
    </row>
    <row r="1047" spans="1:19" hidden="1" x14ac:dyDescent="0.25">
      <c r="A1047" s="220">
        <v>151</v>
      </c>
      <c r="B1047" s="220" t="s">
        <v>1413</v>
      </c>
      <c r="C1047" s="220" t="s">
        <v>513</v>
      </c>
      <c r="D1047" s="220" t="s">
        <v>492</v>
      </c>
      <c r="E1047" s="220">
        <v>1</v>
      </c>
      <c r="F1047" s="220">
        <v>204.14099999999999</v>
      </c>
      <c r="G1047" s="220">
        <v>10433</v>
      </c>
      <c r="H1047" s="220">
        <v>12306</v>
      </c>
      <c r="I1047" s="220">
        <v>14364</v>
      </c>
      <c r="J1047" s="220">
        <v>200.94</v>
      </c>
      <c r="K1047" s="220">
        <v>-19.928000000000001</v>
      </c>
      <c r="L1047" s="220">
        <v>24.350999999999999</v>
      </c>
      <c r="M1047" s="220" t="s">
        <v>1031</v>
      </c>
      <c r="N1047" s="220" t="s">
        <v>1333</v>
      </c>
      <c r="O1047" s="220" t="s">
        <v>1414</v>
      </c>
      <c r="P1047" s="220" t="s">
        <v>1415</v>
      </c>
      <c r="Q1047" s="220" t="s">
        <v>73</v>
      </c>
      <c r="R1047" s="220" t="s">
        <v>134</v>
      </c>
      <c r="S1047" s="220" t="s">
        <v>244</v>
      </c>
    </row>
    <row r="1048" spans="1:19" hidden="1" x14ac:dyDescent="0.25">
      <c r="A1048" s="220">
        <v>151</v>
      </c>
      <c r="B1048" s="220" t="s">
        <v>1413</v>
      </c>
      <c r="C1048" s="220" t="s">
        <v>513</v>
      </c>
      <c r="D1048" s="220" t="s">
        <v>492</v>
      </c>
      <c r="E1048" s="220">
        <v>2</v>
      </c>
      <c r="F1048" s="220">
        <v>201.61099999999999</v>
      </c>
      <c r="G1048" s="220">
        <v>10438</v>
      </c>
      <c r="H1048" s="220">
        <v>12311</v>
      </c>
      <c r="I1048" s="220">
        <v>14371</v>
      </c>
      <c r="J1048" s="220">
        <v>198.45</v>
      </c>
      <c r="K1048" s="220">
        <v>-19.943999999999999</v>
      </c>
      <c r="L1048" s="220">
        <v>24.388999999999999</v>
      </c>
      <c r="M1048" s="220" t="s">
        <v>1031</v>
      </c>
      <c r="N1048" s="220" t="s">
        <v>1333</v>
      </c>
      <c r="O1048" s="220" t="s">
        <v>1414</v>
      </c>
      <c r="P1048" s="220" t="s">
        <v>1415</v>
      </c>
      <c r="Q1048" s="220" t="s">
        <v>236</v>
      </c>
      <c r="R1048" s="220" t="s">
        <v>252</v>
      </c>
      <c r="S1048" s="220" t="s">
        <v>243</v>
      </c>
    </row>
    <row r="1049" spans="1:19" hidden="1" x14ac:dyDescent="0.25">
      <c r="A1049" s="220">
        <v>151</v>
      </c>
      <c r="B1049" s="220" t="s">
        <v>1413</v>
      </c>
      <c r="C1049" s="220" t="s">
        <v>513</v>
      </c>
      <c r="D1049" s="220" t="s">
        <v>492</v>
      </c>
      <c r="E1049" s="220">
        <v>3</v>
      </c>
      <c r="F1049" s="220">
        <v>203.06</v>
      </c>
      <c r="G1049" s="220">
        <v>10489</v>
      </c>
      <c r="H1049" s="220">
        <v>12373</v>
      </c>
      <c r="I1049" s="220">
        <v>14444</v>
      </c>
      <c r="J1049" s="220">
        <v>199.876</v>
      </c>
      <c r="K1049" s="220">
        <v>-19.934999999999999</v>
      </c>
      <c r="L1049" s="220">
        <v>24.391999999999999</v>
      </c>
      <c r="M1049" s="220" t="s">
        <v>1031</v>
      </c>
      <c r="N1049" s="220" t="s">
        <v>1333</v>
      </c>
      <c r="O1049" s="220" t="s">
        <v>1414</v>
      </c>
      <c r="P1049" s="220" t="s">
        <v>1415</v>
      </c>
      <c r="Q1049" s="220" t="s">
        <v>111</v>
      </c>
      <c r="R1049" s="220" t="s">
        <v>132</v>
      </c>
      <c r="S1049" s="220" t="s">
        <v>585</v>
      </c>
    </row>
    <row r="1050" spans="1:19" hidden="1" x14ac:dyDescent="0.25">
      <c r="A1050" s="220">
        <v>151</v>
      </c>
      <c r="B1050" s="220" t="s">
        <v>1413</v>
      </c>
      <c r="C1050" s="220" t="s">
        <v>513</v>
      </c>
      <c r="D1050" s="220" t="s">
        <v>492</v>
      </c>
      <c r="E1050" s="220">
        <v>4</v>
      </c>
      <c r="F1050" s="220">
        <v>202.52600000000001</v>
      </c>
      <c r="G1050" s="220">
        <v>10427</v>
      </c>
      <c r="H1050" s="220">
        <v>12300</v>
      </c>
      <c r="I1050" s="220">
        <v>14356</v>
      </c>
      <c r="J1050" s="220">
        <v>199.351</v>
      </c>
      <c r="K1050" s="220">
        <v>-19.937000000000001</v>
      </c>
      <c r="L1050" s="220">
        <v>24.417999999999999</v>
      </c>
      <c r="M1050" s="220" t="s">
        <v>1031</v>
      </c>
      <c r="N1050" s="220" t="s">
        <v>1333</v>
      </c>
      <c r="O1050" s="220" t="s">
        <v>1414</v>
      </c>
      <c r="P1050" s="220" t="s">
        <v>1415</v>
      </c>
      <c r="Q1050" s="220" t="s">
        <v>111</v>
      </c>
      <c r="R1050" s="220" t="s">
        <v>233</v>
      </c>
      <c r="S1050" s="220" t="s">
        <v>189</v>
      </c>
    </row>
    <row r="1051" spans="1:19" hidden="1" x14ac:dyDescent="0.25">
      <c r="A1051" s="220">
        <v>151</v>
      </c>
      <c r="B1051" s="220" t="s">
        <v>1413</v>
      </c>
      <c r="C1051" s="220" t="s">
        <v>513</v>
      </c>
      <c r="D1051" s="220" t="s">
        <v>492</v>
      </c>
      <c r="E1051" s="220">
        <v>5</v>
      </c>
      <c r="F1051" s="220">
        <v>205.07300000000001</v>
      </c>
      <c r="G1051" s="220">
        <v>16045</v>
      </c>
      <c r="H1051" s="220">
        <v>19317</v>
      </c>
      <c r="I1051" s="220">
        <v>22341</v>
      </c>
      <c r="J1051" s="220">
        <v>201.80699999999999</v>
      </c>
      <c r="K1051" s="220">
        <v>-1.7490000000000001</v>
      </c>
      <c r="L1051" s="220">
        <v>35.609000000000002</v>
      </c>
      <c r="M1051" s="220" t="s">
        <v>1031</v>
      </c>
      <c r="N1051" s="220" t="s">
        <v>1333</v>
      </c>
      <c r="O1051" s="220" t="s">
        <v>1414</v>
      </c>
      <c r="P1051" s="220" t="s">
        <v>1415</v>
      </c>
      <c r="Q1051" s="220" t="s">
        <v>174</v>
      </c>
      <c r="R1051" s="220" t="s">
        <v>611</v>
      </c>
      <c r="S1051" s="220" t="s">
        <v>566</v>
      </c>
    </row>
    <row r="1052" spans="1:19" x14ac:dyDescent="0.25">
      <c r="A1052" s="220">
        <v>151</v>
      </c>
      <c r="B1052" s="220" t="s">
        <v>1413</v>
      </c>
      <c r="C1052" s="220" t="s">
        <v>513</v>
      </c>
      <c r="D1052" s="220" t="s">
        <v>492</v>
      </c>
      <c r="E1052" s="220">
        <v>6</v>
      </c>
      <c r="F1052" s="220">
        <v>179.524</v>
      </c>
      <c r="G1052" s="220">
        <v>14148</v>
      </c>
      <c r="H1052" s="220">
        <v>17029</v>
      </c>
      <c r="I1052" s="220">
        <v>19705</v>
      </c>
      <c r="J1052" s="220">
        <v>176.66499999999999</v>
      </c>
      <c r="K1052" s="220">
        <v>-1.73</v>
      </c>
      <c r="L1052" s="220">
        <v>35.856000000000002</v>
      </c>
      <c r="M1052" s="220" t="s">
        <v>1031</v>
      </c>
      <c r="N1052" s="220" t="s">
        <v>1333</v>
      </c>
      <c r="O1052" s="220" t="s">
        <v>1414</v>
      </c>
      <c r="P1052" s="220" t="s">
        <v>1415</v>
      </c>
      <c r="Q1052" s="220" t="s">
        <v>272</v>
      </c>
      <c r="R1052" s="220" t="s">
        <v>189</v>
      </c>
      <c r="S1052" s="220" t="s">
        <v>577</v>
      </c>
    </row>
    <row r="1053" spans="1:19" x14ac:dyDescent="0.25">
      <c r="A1053" s="220">
        <v>151</v>
      </c>
      <c r="B1053" s="220" t="s">
        <v>1413</v>
      </c>
      <c r="C1053" s="220" t="s">
        <v>513</v>
      </c>
      <c r="D1053" s="220" t="s">
        <v>492</v>
      </c>
      <c r="E1053" s="220">
        <v>7</v>
      </c>
      <c r="F1053" s="220">
        <v>166.428</v>
      </c>
      <c r="G1053" s="220">
        <v>13063</v>
      </c>
      <c r="H1053" s="220">
        <v>15719</v>
      </c>
      <c r="I1053" s="220">
        <v>18193</v>
      </c>
      <c r="J1053" s="220">
        <v>163.77699999999999</v>
      </c>
      <c r="K1053" s="220">
        <v>-1.655</v>
      </c>
      <c r="L1053" s="220">
        <v>35.941000000000003</v>
      </c>
      <c r="M1053" s="220" t="s">
        <v>1031</v>
      </c>
      <c r="N1053" s="220" t="s">
        <v>1333</v>
      </c>
      <c r="O1053" s="220" t="s">
        <v>1414</v>
      </c>
      <c r="P1053" s="220" t="s">
        <v>1415</v>
      </c>
      <c r="Q1053" s="220" t="s">
        <v>330</v>
      </c>
      <c r="R1053" s="220" t="s">
        <v>317</v>
      </c>
      <c r="S1053" s="220" t="s">
        <v>1120</v>
      </c>
    </row>
    <row r="1054" spans="1:19" hidden="1" x14ac:dyDescent="0.25">
      <c r="A1054" s="220">
        <v>152</v>
      </c>
      <c r="B1054" s="220" t="s">
        <v>1416</v>
      </c>
      <c r="C1054" s="220" t="s">
        <v>737</v>
      </c>
      <c r="D1054" s="220" t="s">
        <v>493</v>
      </c>
      <c r="E1054" s="220">
        <v>1</v>
      </c>
      <c r="F1054" s="220">
        <v>203.89</v>
      </c>
      <c r="G1054" s="220">
        <v>10439</v>
      </c>
      <c r="H1054" s="220">
        <v>12312</v>
      </c>
      <c r="I1054" s="220">
        <v>14373</v>
      </c>
      <c r="J1054" s="220">
        <v>200.69300000000001</v>
      </c>
      <c r="K1054" s="220">
        <v>-19.931999999999999</v>
      </c>
      <c r="L1054" s="220">
        <v>24.375</v>
      </c>
      <c r="M1054" s="220" t="s">
        <v>1417</v>
      </c>
      <c r="N1054" s="220" t="s">
        <v>1333</v>
      </c>
      <c r="O1054" s="220" t="s">
        <v>1418</v>
      </c>
      <c r="P1054" s="220" t="s">
        <v>1419</v>
      </c>
      <c r="Q1054" s="220" t="s">
        <v>73</v>
      </c>
      <c r="R1054" s="220" t="s">
        <v>129</v>
      </c>
      <c r="S1054" s="220" t="s">
        <v>262</v>
      </c>
    </row>
    <row r="1055" spans="1:19" hidden="1" x14ac:dyDescent="0.25">
      <c r="A1055" s="220">
        <v>152</v>
      </c>
      <c r="B1055" s="220" t="s">
        <v>1416</v>
      </c>
      <c r="C1055" s="220" t="s">
        <v>737</v>
      </c>
      <c r="D1055" s="220" t="s">
        <v>493</v>
      </c>
      <c r="E1055" s="220">
        <v>2</v>
      </c>
      <c r="F1055" s="220">
        <v>201.76499999999999</v>
      </c>
      <c r="G1055" s="220">
        <v>10434</v>
      </c>
      <c r="H1055" s="220">
        <v>12308</v>
      </c>
      <c r="I1055" s="220">
        <v>14368</v>
      </c>
      <c r="J1055" s="220">
        <v>198.602</v>
      </c>
      <c r="K1055" s="220">
        <v>-19.934999999999999</v>
      </c>
      <c r="L1055" s="220">
        <v>24.398</v>
      </c>
      <c r="M1055" s="220" t="s">
        <v>1417</v>
      </c>
      <c r="N1055" s="220" t="s">
        <v>1333</v>
      </c>
      <c r="O1055" s="220" t="s">
        <v>1418</v>
      </c>
      <c r="P1055" s="220" t="s">
        <v>1419</v>
      </c>
      <c r="Q1055" s="220" t="s">
        <v>237</v>
      </c>
      <c r="R1055" s="220" t="s">
        <v>252</v>
      </c>
      <c r="S1055" s="220" t="s">
        <v>250</v>
      </c>
    </row>
    <row r="1056" spans="1:19" hidden="1" x14ac:dyDescent="0.25">
      <c r="A1056" s="220">
        <v>152</v>
      </c>
      <c r="B1056" s="220" t="s">
        <v>1416</v>
      </c>
      <c r="C1056" s="220" t="s">
        <v>737</v>
      </c>
      <c r="D1056" s="220" t="s">
        <v>493</v>
      </c>
      <c r="E1056" s="220">
        <v>3</v>
      </c>
      <c r="F1056" s="220">
        <v>203.46199999999999</v>
      </c>
      <c r="G1056" s="220">
        <v>10507</v>
      </c>
      <c r="H1056" s="220">
        <v>12393</v>
      </c>
      <c r="I1056" s="220">
        <v>14469</v>
      </c>
      <c r="J1056" s="220">
        <v>200.27199999999999</v>
      </c>
      <c r="K1056" s="220">
        <v>-19.934999999999999</v>
      </c>
      <c r="L1056" s="220">
        <v>24.43</v>
      </c>
      <c r="M1056" s="220" t="s">
        <v>1417</v>
      </c>
      <c r="N1056" s="220" t="s">
        <v>1333</v>
      </c>
      <c r="O1056" s="220" t="s">
        <v>1418</v>
      </c>
      <c r="P1056" s="220" t="s">
        <v>1419</v>
      </c>
      <c r="Q1056" s="220" t="s">
        <v>158</v>
      </c>
      <c r="R1056" s="220" t="s">
        <v>233</v>
      </c>
      <c r="S1056" s="220" t="s">
        <v>189</v>
      </c>
    </row>
    <row r="1057" spans="1:19" hidden="1" x14ac:dyDescent="0.25">
      <c r="A1057" s="220">
        <v>152</v>
      </c>
      <c r="B1057" s="220" t="s">
        <v>1416</v>
      </c>
      <c r="C1057" s="220" t="s">
        <v>737</v>
      </c>
      <c r="D1057" s="220" t="s">
        <v>493</v>
      </c>
      <c r="E1057" s="220">
        <v>4</v>
      </c>
      <c r="F1057" s="220">
        <v>204.48</v>
      </c>
      <c r="G1057" s="220">
        <v>10526</v>
      </c>
      <c r="H1057" s="220">
        <v>12415</v>
      </c>
      <c r="I1057" s="220">
        <v>14491</v>
      </c>
      <c r="J1057" s="220">
        <v>201.274</v>
      </c>
      <c r="K1057" s="220">
        <v>-19.937000000000001</v>
      </c>
      <c r="L1057" s="220">
        <v>24.417999999999999</v>
      </c>
      <c r="M1057" s="220" t="s">
        <v>1417</v>
      </c>
      <c r="N1057" s="220" t="s">
        <v>1333</v>
      </c>
      <c r="O1057" s="220" t="s">
        <v>1418</v>
      </c>
      <c r="P1057" s="220" t="s">
        <v>1419</v>
      </c>
      <c r="Q1057" s="220" t="s">
        <v>158</v>
      </c>
      <c r="R1057" s="220" t="s">
        <v>119</v>
      </c>
      <c r="S1057" s="220" t="s">
        <v>235</v>
      </c>
    </row>
    <row r="1058" spans="1:19" hidden="1" x14ac:dyDescent="0.25">
      <c r="A1058" s="220">
        <v>152</v>
      </c>
      <c r="B1058" s="220" t="s">
        <v>1416</v>
      </c>
      <c r="C1058" s="220" t="s">
        <v>737</v>
      </c>
      <c r="D1058" s="220" t="s">
        <v>493</v>
      </c>
      <c r="E1058" s="220">
        <v>5</v>
      </c>
      <c r="F1058" s="220">
        <v>225.57900000000001</v>
      </c>
      <c r="G1058" s="220">
        <v>17375</v>
      </c>
      <c r="H1058" s="220">
        <v>20928</v>
      </c>
      <c r="I1058" s="220">
        <v>24201</v>
      </c>
      <c r="J1058" s="220">
        <v>221.989</v>
      </c>
      <c r="K1058" s="220">
        <v>-2.5329999999999999</v>
      </c>
      <c r="L1058" s="220">
        <v>35.853999999999999</v>
      </c>
      <c r="M1058" s="220" t="s">
        <v>1417</v>
      </c>
      <c r="N1058" s="220" t="s">
        <v>1333</v>
      </c>
      <c r="O1058" s="220" t="s">
        <v>1418</v>
      </c>
      <c r="P1058" s="220" t="s">
        <v>1419</v>
      </c>
      <c r="Q1058" s="220" t="s">
        <v>156</v>
      </c>
      <c r="R1058" s="220" t="s">
        <v>160</v>
      </c>
      <c r="S1058" s="220" t="s">
        <v>601</v>
      </c>
    </row>
    <row r="1059" spans="1:19" x14ac:dyDescent="0.25">
      <c r="A1059" s="220">
        <v>152</v>
      </c>
      <c r="B1059" s="220" t="s">
        <v>1416</v>
      </c>
      <c r="C1059" s="220" t="s">
        <v>737</v>
      </c>
      <c r="D1059" s="220" t="s">
        <v>493</v>
      </c>
      <c r="E1059" s="220">
        <v>6</v>
      </c>
      <c r="F1059" s="220">
        <v>198.73099999999999</v>
      </c>
      <c r="G1059" s="220">
        <v>15710</v>
      </c>
      <c r="H1059" s="220">
        <v>18923</v>
      </c>
      <c r="I1059" s="220">
        <v>21880</v>
      </c>
      <c r="J1059" s="220">
        <v>195.56700000000001</v>
      </c>
      <c r="K1059" s="220">
        <v>-2.508</v>
      </c>
      <c r="L1059" s="220">
        <v>35.994</v>
      </c>
      <c r="M1059" s="220" t="s">
        <v>1417</v>
      </c>
      <c r="N1059" s="220" t="s">
        <v>1333</v>
      </c>
      <c r="O1059" s="220" t="s">
        <v>1418</v>
      </c>
      <c r="P1059" s="220" t="s">
        <v>1419</v>
      </c>
      <c r="Q1059" s="220" t="s">
        <v>226</v>
      </c>
      <c r="R1059" s="220" t="s">
        <v>519</v>
      </c>
      <c r="S1059" s="220" t="s">
        <v>836</v>
      </c>
    </row>
    <row r="1060" spans="1:19" x14ac:dyDescent="0.25">
      <c r="A1060" s="220">
        <v>152</v>
      </c>
      <c r="B1060" s="220" t="s">
        <v>1416</v>
      </c>
      <c r="C1060" s="220" t="s">
        <v>737</v>
      </c>
      <c r="D1060" s="220" t="s">
        <v>493</v>
      </c>
      <c r="E1060" s="220">
        <v>7</v>
      </c>
      <c r="F1060" s="220">
        <v>185.30799999999999</v>
      </c>
      <c r="G1060" s="220">
        <v>14788</v>
      </c>
      <c r="H1060" s="220">
        <v>17804</v>
      </c>
      <c r="I1060" s="220">
        <v>20600</v>
      </c>
      <c r="J1060" s="220">
        <v>182.358</v>
      </c>
      <c r="K1060" s="220">
        <v>-2.4609999999999999</v>
      </c>
      <c r="L1060" s="220">
        <v>36.018999999999998</v>
      </c>
      <c r="M1060" s="220" t="s">
        <v>1417</v>
      </c>
      <c r="N1060" s="220" t="s">
        <v>1333</v>
      </c>
      <c r="O1060" s="220" t="s">
        <v>1418</v>
      </c>
      <c r="P1060" s="220" t="s">
        <v>1419</v>
      </c>
      <c r="Q1060" s="220" t="s">
        <v>256</v>
      </c>
      <c r="R1060" s="220" t="s">
        <v>672</v>
      </c>
      <c r="S1060" s="220" t="s">
        <v>1420</v>
      </c>
    </row>
    <row r="1061" spans="1:19" hidden="1" x14ac:dyDescent="0.25">
      <c r="A1061" s="220">
        <v>153</v>
      </c>
      <c r="B1061" s="220" t="s">
        <v>1421</v>
      </c>
      <c r="C1061" s="220" t="s">
        <v>729</v>
      </c>
      <c r="D1061" s="220" t="s">
        <v>494</v>
      </c>
      <c r="E1061" s="220">
        <v>1</v>
      </c>
      <c r="F1061" s="220">
        <v>204.19800000000001</v>
      </c>
      <c r="G1061" s="220">
        <v>10446</v>
      </c>
      <c r="H1061" s="220">
        <v>12320</v>
      </c>
      <c r="I1061" s="220">
        <v>14391</v>
      </c>
      <c r="J1061" s="220">
        <v>200.99600000000001</v>
      </c>
      <c r="K1061" s="220">
        <v>-19.917999999999999</v>
      </c>
      <c r="L1061" s="220">
        <v>24.443999999999999</v>
      </c>
      <c r="M1061" s="220" t="s">
        <v>1039</v>
      </c>
      <c r="N1061" s="220" t="s">
        <v>1333</v>
      </c>
      <c r="O1061" s="220" t="s">
        <v>1422</v>
      </c>
      <c r="P1061" s="220" t="s">
        <v>1423</v>
      </c>
      <c r="Q1061" s="220" t="s">
        <v>90</v>
      </c>
      <c r="R1061" s="220" t="s">
        <v>120</v>
      </c>
      <c r="S1061" s="220" t="s">
        <v>106</v>
      </c>
    </row>
    <row r="1062" spans="1:19" hidden="1" x14ac:dyDescent="0.25">
      <c r="A1062" s="220">
        <v>153</v>
      </c>
      <c r="B1062" s="220" t="s">
        <v>1421</v>
      </c>
      <c r="C1062" s="220" t="s">
        <v>729</v>
      </c>
      <c r="D1062" s="220" t="s">
        <v>494</v>
      </c>
      <c r="E1062" s="220">
        <v>2</v>
      </c>
      <c r="F1062" s="220">
        <v>201.084</v>
      </c>
      <c r="G1062" s="220">
        <v>10405</v>
      </c>
      <c r="H1062" s="220">
        <v>12272</v>
      </c>
      <c r="I1062" s="220">
        <v>14335</v>
      </c>
      <c r="J1062" s="220">
        <v>197.93100000000001</v>
      </c>
      <c r="K1062" s="220">
        <v>-19.919</v>
      </c>
      <c r="L1062" s="220">
        <v>24.42</v>
      </c>
      <c r="M1062" s="220" t="s">
        <v>1039</v>
      </c>
      <c r="N1062" s="220" t="s">
        <v>1333</v>
      </c>
      <c r="O1062" s="220" t="s">
        <v>1422</v>
      </c>
      <c r="P1062" s="220" t="s">
        <v>1423</v>
      </c>
      <c r="Q1062" s="220" t="s">
        <v>79</v>
      </c>
      <c r="R1062" s="220" t="s">
        <v>149</v>
      </c>
      <c r="S1062" s="220" t="s">
        <v>144</v>
      </c>
    </row>
    <row r="1063" spans="1:19" hidden="1" x14ac:dyDescent="0.25">
      <c r="A1063" s="220">
        <v>153</v>
      </c>
      <c r="B1063" s="220" t="s">
        <v>1421</v>
      </c>
      <c r="C1063" s="220" t="s">
        <v>729</v>
      </c>
      <c r="D1063" s="220" t="s">
        <v>494</v>
      </c>
      <c r="E1063" s="220">
        <v>3</v>
      </c>
      <c r="F1063" s="220">
        <v>202.547</v>
      </c>
      <c r="G1063" s="220">
        <v>10473</v>
      </c>
      <c r="H1063" s="220">
        <v>12352</v>
      </c>
      <c r="I1063" s="220">
        <v>14431</v>
      </c>
      <c r="J1063" s="220">
        <v>199.37100000000001</v>
      </c>
      <c r="K1063" s="220">
        <v>-19.925000000000001</v>
      </c>
      <c r="L1063" s="220">
        <v>24.408000000000001</v>
      </c>
      <c r="M1063" s="220" t="s">
        <v>1039</v>
      </c>
      <c r="N1063" s="220" t="s">
        <v>1333</v>
      </c>
      <c r="O1063" s="220" t="s">
        <v>1422</v>
      </c>
      <c r="P1063" s="220" t="s">
        <v>1423</v>
      </c>
      <c r="Q1063" s="220" t="s">
        <v>203</v>
      </c>
      <c r="R1063" s="220" t="s">
        <v>242</v>
      </c>
      <c r="S1063" s="220" t="s">
        <v>519</v>
      </c>
    </row>
    <row r="1064" spans="1:19" hidden="1" x14ac:dyDescent="0.25">
      <c r="A1064" s="220">
        <v>153</v>
      </c>
      <c r="B1064" s="220" t="s">
        <v>1421</v>
      </c>
      <c r="C1064" s="220" t="s">
        <v>729</v>
      </c>
      <c r="D1064" s="220" t="s">
        <v>494</v>
      </c>
      <c r="E1064" s="220">
        <v>4</v>
      </c>
      <c r="F1064" s="220">
        <v>201.87799999999999</v>
      </c>
      <c r="G1064" s="220">
        <v>10379</v>
      </c>
      <c r="H1064" s="220">
        <v>12241</v>
      </c>
      <c r="I1064" s="220">
        <v>14300</v>
      </c>
      <c r="J1064" s="220">
        <v>198.71199999999999</v>
      </c>
      <c r="K1064" s="220">
        <v>-19.937000000000001</v>
      </c>
      <c r="L1064" s="220">
        <v>24.417999999999999</v>
      </c>
      <c r="M1064" s="220" t="s">
        <v>1039</v>
      </c>
      <c r="N1064" s="220" t="s">
        <v>1333</v>
      </c>
      <c r="O1064" s="220" t="s">
        <v>1422</v>
      </c>
      <c r="P1064" s="220" t="s">
        <v>1423</v>
      </c>
      <c r="Q1064" s="220" t="s">
        <v>79</v>
      </c>
      <c r="R1064" s="220" t="s">
        <v>242</v>
      </c>
      <c r="S1064" s="220" t="s">
        <v>200</v>
      </c>
    </row>
    <row r="1065" spans="1:19" hidden="1" x14ac:dyDescent="0.25">
      <c r="A1065" s="220">
        <v>153</v>
      </c>
      <c r="B1065" s="220" t="s">
        <v>1421</v>
      </c>
      <c r="C1065" s="220" t="s">
        <v>729</v>
      </c>
      <c r="D1065" s="220" t="s">
        <v>494</v>
      </c>
      <c r="E1065" s="220">
        <v>5</v>
      </c>
      <c r="F1065" s="220">
        <v>209.48099999999999</v>
      </c>
      <c r="G1065" s="220">
        <v>16069</v>
      </c>
      <c r="H1065" s="220">
        <v>19337</v>
      </c>
      <c r="I1065" s="220">
        <v>22404</v>
      </c>
      <c r="J1065" s="220">
        <v>206.14599999999999</v>
      </c>
      <c r="K1065" s="220">
        <v>-2.2610000000000001</v>
      </c>
      <c r="L1065" s="220">
        <v>36.021000000000001</v>
      </c>
      <c r="M1065" s="220" t="s">
        <v>1039</v>
      </c>
      <c r="N1065" s="220" t="s">
        <v>1333</v>
      </c>
      <c r="O1065" s="220" t="s">
        <v>1422</v>
      </c>
      <c r="P1065" s="220" t="s">
        <v>1423</v>
      </c>
      <c r="Q1065" s="220" t="s">
        <v>178</v>
      </c>
      <c r="R1065" s="220" t="s">
        <v>603</v>
      </c>
      <c r="S1065" s="220" t="s">
        <v>835</v>
      </c>
    </row>
    <row r="1066" spans="1:19" x14ac:dyDescent="0.25">
      <c r="A1066" s="220">
        <v>153</v>
      </c>
      <c r="B1066" s="220" t="s">
        <v>1421</v>
      </c>
      <c r="C1066" s="220" t="s">
        <v>729</v>
      </c>
      <c r="D1066" s="220" t="s">
        <v>494</v>
      </c>
      <c r="E1066" s="220">
        <v>6</v>
      </c>
      <c r="F1066" s="220">
        <v>182.75800000000001</v>
      </c>
      <c r="G1066" s="220">
        <v>14187</v>
      </c>
      <c r="H1066" s="220">
        <v>17067</v>
      </c>
      <c r="I1066" s="220">
        <v>19778</v>
      </c>
      <c r="J1066" s="220">
        <v>179.84800000000001</v>
      </c>
      <c r="K1066" s="220">
        <v>-2.2509999999999999</v>
      </c>
      <c r="L1066" s="220">
        <v>36.268999999999998</v>
      </c>
      <c r="M1066" s="220" t="s">
        <v>1039</v>
      </c>
      <c r="N1066" s="220" t="s">
        <v>1333</v>
      </c>
      <c r="O1066" s="220" t="s">
        <v>1422</v>
      </c>
      <c r="P1066" s="220" t="s">
        <v>1423</v>
      </c>
      <c r="Q1066" s="220" t="s">
        <v>270</v>
      </c>
      <c r="R1066" s="220" t="s">
        <v>190</v>
      </c>
      <c r="S1066" s="220" t="s">
        <v>550</v>
      </c>
    </row>
    <row r="1067" spans="1:19" x14ac:dyDescent="0.25">
      <c r="A1067" s="220">
        <v>153</v>
      </c>
      <c r="B1067" s="220" t="s">
        <v>1421</v>
      </c>
      <c r="C1067" s="220" t="s">
        <v>729</v>
      </c>
      <c r="D1067" s="220" t="s">
        <v>494</v>
      </c>
      <c r="E1067" s="220">
        <v>7</v>
      </c>
      <c r="F1067" s="220">
        <v>169.59399999999999</v>
      </c>
      <c r="G1067" s="220">
        <v>13168</v>
      </c>
      <c r="H1067" s="220">
        <v>15838</v>
      </c>
      <c r="I1067" s="220">
        <v>18360</v>
      </c>
      <c r="J1067" s="220">
        <v>166.89400000000001</v>
      </c>
      <c r="K1067" s="220">
        <v>-2.222</v>
      </c>
      <c r="L1067" s="220">
        <v>36.298999999999999</v>
      </c>
      <c r="M1067" s="220" t="s">
        <v>1039</v>
      </c>
      <c r="N1067" s="220" t="s">
        <v>1333</v>
      </c>
      <c r="O1067" s="220" t="s">
        <v>1422</v>
      </c>
      <c r="P1067" s="220" t="s">
        <v>1423</v>
      </c>
      <c r="Q1067" s="220" t="s">
        <v>330</v>
      </c>
      <c r="R1067" s="220" t="s">
        <v>317</v>
      </c>
      <c r="S1067" s="220" t="s">
        <v>758</v>
      </c>
    </row>
    <row r="1068" spans="1:19" hidden="1" x14ac:dyDescent="0.25">
      <c r="A1068" s="220">
        <v>154</v>
      </c>
      <c r="B1068" s="220" t="s">
        <v>1424</v>
      </c>
      <c r="C1068" s="220" t="s">
        <v>269</v>
      </c>
      <c r="D1068" s="220" t="s">
        <v>495</v>
      </c>
      <c r="E1068" s="220">
        <v>1</v>
      </c>
      <c r="F1068" s="220">
        <v>204.12100000000001</v>
      </c>
      <c r="G1068" s="220">
        <v>10458</v>
      </c>
      <c r="H1068" s="220">
        <v>12335</v>
      </c>
      <c r="I1068" s="220">
        <v>14411</v>
      </c>
      <c r="J1068" s="220">
        <v>200.92099999999999</v>
      </c>
      <c r="K1068" s="220">
        <v>-19.925999999999998</v>
      </c>
      <c r="L1068" s="220">
        <v>24.442</v>
      </c>
      <c r="M1068" s="220" t="s">
        <v>1044</v>
      </c>
      <c r="N1068" s="220" t="s">
        <v>1333</v>
      </c>
      <c r="O1068" s="220" t="s">
        <v>1425</v>
      </c>
      <c r="P1068" s="220" t="s">
        <v>1426</v>
      </c>
      <c r="Q1068" s="220" t="s">
        <v>102</v>
      </c>
      <c r="R1068" s="220" t="s">
        <v>249</v>
      </c>
      <c r="S1068" s="220" t="s">
        <v>159</v>
      </c>
    </row>
    <row r="1069" spans="1:19" hidden="1" x14ac:dyDescent="0.25">
      <c r="A1069" s="220">
        <v>154</v>
      </c>
      <c r="B1069" s="220" t="s">
        <v>1424</v>
      </c>
      <c r="C1069" s="220" t="s">
        <v>269</v>
      </c>
      <c r="D1069" s="220" t="s">
        <v>495</v>
      </c>
      <c r="E1069" s="220">
        <v>2</v>
      </c>
      <c r="F1069" s="220">
        <v>202.13200000000001</v>
      </c>
      <c r="G1069" s="220">
        <v>10454</v>
      </c>
      <c r="H1069" s="220">
        <v>12329</v>
      </c>
      <c r="I1069" s="220">
        <v>14402</v>
      </c>
      <c r="J1069" s="220">
        <v>198.96199999999999</v>
      </c>
      <c r="K1069" s="220">
        <v>-19.940999999999999</v>
      </c>
      <c r="L1069" s="220">
        <v>24.427</v>
      </c>
      <c r="M1069" s="220" t="s">
        <v>1044</v>
      </c>
      <c r="N1069" s="220" t="s">
        <v>1333</v>
      </c>
      <c r="O1069" s="220" t="s">
        <v>1425</v>
      </c>
      <c r="P1069" s="220" t="s">
        <v>1426</v>
      </c>
      <c r="Q1069" s="220" t="s">
        <v>120</v>
      </c>
      <c r="R1069" s="220" t="s">
        <v>132</v>
      </c>
      <c r="S1069" s="220" t="s">
        <v>177</v>
      </c>
    </row>
    <row r="1070" spans="1:19" hidden="1" x14ac:dyDescent="0.25">
      <c r="A1070" s="220">
        <v>154</v>
      </c>
      <c r="B1070" s="220" t="s">
        <v>1424</v>
      </c>
      <c r="C1070" s="220" t="s">
        <v>269</v>
      </c>
      <c r="D1070" s="220" t="s">
        <v>495</v>
      </c>
      <c r="E1070" s="220">
        <v>3</v>
      </c>
      <c r="F1070" s="220">
        <v>203.67400000000001</v>
      </c>
      <c r="G1070" s="220">
        <v>10505</v>
      </c>
      <c r="H1070" s="220">
        <v>12390</v>
      </c>
      <c r="I1070" s="220">
        <v>14476</v>
      </c>
      <c r="J1070" s="220">
        <v>200.48</v>
      </c>
      <c r="K1070" s="220">
        <v>-19.922999999999998</v>
      </c>
      <c r="L1070" s="220">
        <v>24.427</v>
      </c>
      <c r="M1070" s="220" t="s">
        <v>1044</v>
      </c>
      <c r="N1070" s="220" t="s">
        <v>1333</v>
      </c>
      <c r="O1070" s="220" t="s">
        <v>1425</v>
      </c>
      <c r="P1070" s="220" t="s">
        <v>1426</v>
      </c>
      <c r="Q1070" s="220" t="s">
        <v>117</v>
      </c>
      <c r="R1070" s="220" t="s">
        <v>96</v>
      </c>
      <c r="S1070" s="220" t="s">
        <v>303</v>
      </c>
    </row>
    <row r="1071" spans="1:19" hidden="1" x14ac:dyDescent="0.25">
      <c r="A1071" s="220">
        <v>154</v>
      </c>
      <c r="B1071" s="220" t="s">
        <v>1424</v>
      </c>
      <c r="C1071" s="220" t="s">
        <v>269</v>
      </c>
      <c r="D1071" s="220" t="s">
        <v>495</v>
      </c>
      <c r="E1071" s="220">
        <v>4</v>
      </c>
      <c r="F1071" s="220">
        <v>203.13800000000001</v>
      </c>
      <c r="G1071" s="220">
        <v>10456</v>
      </c>
      <c r="H1071" s="220">
        <v>12332</v>
      </c>
      <c r="I1071" s="220">
        <v>14406</v>
      </c>
      <c r="J1071" s="220">
        <v>199.952</v>
      </c>
      <c r="K1071" s="220">
        <v>-19.937000000000001</v>
      </c>
      <c r="L1071" s="220">
        <v>24.417999999999999</v>
      </c>
      <c r="M1071" s="220" t="s">
        <v>1044</v>
      </c>
      <c r="N1071" s="220" t="s">
        <v>1333</v>
      </c>
      <c r="O1071" s="220" t="s">
        <v>1425</v>
      </c>
      <c r="P1071" s="220" t="s">
        <v>1426</v>
      </c>
      <c r="Q1071" s="220" t="s">
        <v>117</v>
      </c>
      <c r="R1071" s="220" t="s">
        <v>96</v>
      </c>
      <c r="S1071" s="220" t="s">
        <v>303</v>
      </c>
    </row>
    <row r="1072" spans="1:19" hidden="1" x14ac:dyDescent="0.25">
      <c r="A1072" s="220">
        <v>154</v>
      </c>
      <c r="B1072" s="220" t="s">
        <v>1424</v>
      </c>
      <c r="C1072" s="220" t="s">
        <v>269</v>
      </c>
      <c r="D1072" s="220" t="s">
        <v>495</v>
      </c>
      <c r="E1072" s="220">
        <v>5</v>
      </c>
      <c r="F1072" s="220">
        <v>188.755</v>
      </c>
      <c r="G1072" s="220">
        <v>14789</v>
      </c>
      <c r="H1072" s="220">
        <v>17807</v>
      </c>
      <c r="I1072" s="220">
        <v>20620</v>
      </c>
      <c r="J1072" s="220">
        <v>185.75</v>
      </c>
      <c r="K1072" s="220">
        <v>-2.4910000000000001</v>
      </c>
      <c r="L1072" s="220">
        <v>36.136000000000003</v>
      </c>
      <c r="M1072" s="220" t="s">
        <v>1044</v>
      </c>
      <c r="N1072" s="220" t="s">
        <v>1333</v>
      </c>
      <c r="O1072" s="220" t="s">
        <v>1425</v>
      </c>
      <c r="P1072" s="220" t="s">
        <v>1426</v>
      </c>
      <c r="Q1072" s="220" t="s">
        <v>171</v>
      </c>
      <c r="R1072" s="220" t="s">
        <v>185</v>
      </c>
      <c r="S1072" s="220" t="s">
        <v>697</v>
      </c>
    </row>
    <row r="1073" spans="1:19" x14ac:dyDescent="0.25">
      <c r="A1073" s="220">
        <v>154</v>
      </c>
      <c r="B1073" s="220" t="s">
        <v>1424</v>
      </c>
      <c r="C1073" s="220" t="s">
        <v>269</v>
      </c>
      <c r="D1073" s="220" t="s">
        <v>495</v>
      </c>
      <c r="E1073" s="220">
        <v>6</v>
      </c>
      <c r="F1073" s="220">
        <v>168.381</v>
      </c>
      <c r="G1073" s="220">
        <v>13487</v>
      </c>
      <c r="H1073" s="220">
        <v>16236</v>
      </c>
      <c r="I1073" s="220">
        <v>18807</v>
      </c>
      <c r="J1073" s="220">
        <v>165.7</v>
      </c>
      <c r="K1073" s="220">
        <v>-2.3969999999999998</v>
      </c>
      <c r="L1073" s="220">
        <v>36.25</v>
      </c>
      <c r="M1073" s="220" t="s">
        <v>1044</v>
      </c>
      <c r="N1073" s="220" t="s">
        <v>1333</v>
      </c>
      <c r="O1073" s="220" t="s">
        <v>1425</v>
      </c>
      <c r="P1073" s="220" t="s">
        <v>1426</v>
      </c>
      <c r="Q1073" s="220" t="s">
        <v>159</v>
      </c>
      <c r="R1073" s="220" t="s">
        <v>234</v>
      </c>
      <c r="S1073" s="220" t="s">
        <v>264</v>
      </c>
    </row>
    <row r="1074" spans="1:19" x14ac:dyDescent="0.25">
      <c r="A1074" s="220">
        <v>154</v>
      </c>
      <c r="B1074" s="220" t="s">
        <v>1424</v>
      </c>
      <c r="C1074" s="220" t="s">
        <v>269</v>
      </c>
      <c r="D1074" s="220" t="s">
        <v>495</v>
      </c>
      <c r="E1074" s="220">
        <v>7</v>
      </c>
      <c r="F1074" s="220">
        <v>157.79599999999999</v>
      </c>
      <c r="G1074" s="220">
        <v>12711</v>
      </c>
      <c r="H1074" s="220">
        <v>15298</v>
      </c>
      <c r="I1074" s="220">
        <v>17723</v>
      </c>
      <c r="J1074" s="220">
        <v>155.28399999999999</v>
      </c>
      <c r="K1074" s="220">
        <v>-2.3580000000000001</v>
      </c>
      <c r="L1074" s="220">
        <v>36.252000000000002</v>
      </c>
      <c r="M1074" s="220" t="s">
        <v>1044</v>
      </c>
      <c r="N1074" s="220" t="s">
        <v>1333</v>
      </c>
      <c r="O1074" s="220" t="s">
        <v>1425</v>
      </c>
      <c r="P1074" s="220" t="s">
        <v>1426</v>
      </c>
      <c r="Q1074" s="220" t="s">
        <v>284</v>
      </c>
      <c r="R1074" s="220" t="s">
        <v>616</v>
      </c>
      <c r="S1074" s="220" t="s">
        <v>1427</v>
      </c>
    </row>
    <row r="1075" spans="1:19" hidden="1" x14ac:dyDescent="0.25">
      <c r="A1075" s="220">
        <v>155</v>
      </c>
      <c r="B1075" s="220" t="s">
        <v>0</v>
      </c>
      <c r="C1075"/>
      <c r="D1075" s="220" t="s">
        <v>497</v>
      </c>
      <c r="E1075" s="220">
        <v>1</v>
      </c>
      <c r="F1075" s="220">
        <v>205.10599999999999</v>
      </c>
      <c r="G1075" s="220">
        <v>10477</v>
      </c>
      <c r="H1075" s="220">
        <v>12358</v>
      </c>
      <c r="I1075" s="220">
        <v>14435</v>
      </c>
      <c r="J1075" s="220">
        <v>201.89</v>
      </c>
      <c r="K1075" s="220">
        <v>-19.933</v>
      </c>
      <c r="L1075" s="220">
        <v>24.434000000000001</v>
      </c>
      <c r="M1075" s="220" t="s">
        <v>1428</v>
      </c>
      <c r="N1075" s="220" t="s">
        <v>1333</v>
      </c>
      <c r="O1075" s="220" t="s">
        <v>1429</v>
      </c>
      <c r="P1075" s="220" t="s">
        <v>1430</v>
      </c>
      <c r="Q1075" s="220" t="s">
        <v>85</v>
      </c>
      <c r="R1075" s="220" t="s">
        <v>145</v>
      </c>
      <c r="S1075" s="220" t="s">
        <v>135</v>
      </c>
    </row>
    <row r="1076" spans="1:19" hidden="1" x14ac:dyDescent="0.25">
      <c r="A1076" s="220">
        <v>155</v>
      </c>
      <c r="B1076" s="220" t="s">
        <v>0</v>
      </c>
      <c r="C1076"/>
      <c r="D1076" s="220" t="s">
        <v>497</v>
      </c>
      <c r="E1076" s="220">
        <v>2</v>
      </c>
      <c r="F1076" s="220">
        <v>202.274</v>
      </c>
      <c r="G1076" s="220">
        <v>10471</v>
      </c>
      <c r="H1076" s="220">
        <v>12349</v>
      </c>
      <c r="I1076" s="220">
        <v>14427</v>
      </c>
      <c r="J1076" s="220">
        <v>199.102</v>
      </c>
      <c r="K1076" s="220">
        <v>-19.939</v>
      </c>
      <c r="L1076" s="220">
        <v>24.433</v>
      </c>
      <c r="M1076" s="220" t="s">
        <v>1428</v>
      </c>
      <c r="N1076" s="220" t="s">
        <v>1333</v>
      </c>
      <c r="O1076" s="220" t="s">
        <v>1429</v>
      </c>
      <c r="P1076" s="220" t="s">
        <v>1430</v>
      </c>
      <c r="Q1076" s="220" t="s">
        <v>111</v>
      </c>
      <c r="R1076" s="220" t="s">
        <v>132</v>
      </c>
      <c r="S1076" s="220" t="s">
        <v>177</v>
      </c>
    </row>
    <row r="1077" spans="1:19" hidden="1" x14ac:dyDescent="0.25">
      <c r="A1077" s="220">
        <v>155</v>
      </c>
      <c r="B1077" s="220" t="s">
        <v>0</v>
      </c>
      <c r="C1077"/>
      <c r="D1077" s="220" t="s">
        <v>497</v>
      </c>
      <c r="E1077" s="220">
        <v>3</v>
      </c>
      <c r="F1077" s="220">
        <v>203.935</v>
      </c>
      <c r="G1077" s="220">
        <v>10540</v>
      </c>
      <c r="H1077" s="220">
        <v>12432</v>
      </c>
      <c r="I1077" s="220">
        <v>14526</v>
      </c>
      <c r="J1077" s="220">
        <v>200.738</v>
      </c>
      <c r="K1077" s="220">
        <v>-19.928000000000001</v>
      </c>
      <c r="L1077" s="220">
        <v>24.416</v>
      </c>
      <c r="M1077" s="220" t="s">
        <v>1428</v>
      </c>
      <c r="N1077" s="220" t="s">
        <v>1333</v>
      </c>
      <c r="O1077" s="220" t="s">
        <v>1429</v>
      </c>
      <c r="P1077" s="220" t="s">
        <v>1430</v>
      </c>
      <c r="Q1077" s="220" t="s">
        <v>117</v>
      </c>
      <c r="R1077" s="220" t="s">
        <v>96</v>
      </c>
      <c r="S1077" s="220" t="s">
        <v>303</v>
      </c>
    </row>
    <row r="1078" spans="1:19" hidden="1" x14ac:dyDescent="0.25">
      <c r="A1078" s="220">
        <v>155</v>
      </c>
      <c r="B1078" s="220" t="s">
        <v>0</v>
      </c>
      <c r="C1078"/>
      <c r="D1078" s="220" t="s">
        <v>497</v>
      </c>
      <c r="E1078" s="220">
        <v>4</v>
      </c>
      <c r="F1078" s="220">
        <v>203.547</v>
      </c>
      <c r="G1078" s="220">
        <v>10468</v>
      </c>
      <c r="H1078" s="220">
        <v>12347</v>
      </c>
      <c r="I1078" s="220">
        <v>14424</v>
      </c>
      <c r="J1078" s="220">
        <v>200.35599999999999</v>
      </c>
      <c r="K1078" s="220">
        <v>-19.937000000000001</v>
      </c>
      <c r="L1078" s="220">
        <v>24.417999999999999</v>
      </c>
      <c r="M1078" s="220" t="s">
        <v>1428</v>
      </c>
      <c r="N1078" s="220" t="s">
        <v>1333</v>
      </c>
      <c r="O1078" s="220" t="s">
        <v>1429</v>
      </c>
      <c r="P1078" s="220" t="s">
        <v>1430</v>
      </c>
      <c r="Q1078" s="220" t="s">
        <v>117</v>
      </c>
      <c r="R1078" s="220" t="s">
        <v>96</v>
      </c>
      <c r="S1078" s="220" t="s">
        <v>303</v>
      </c>
    </row>
    <row r="1079" spans="1:19" hidden="1" x14ac:dyDescent="0.25">
      <c r="A1079" s="220">
        <v>155</v>
      </c>
      <c r="B1079" s="220" t="s">
        <v>0</v>
      </c>
      <c r="C1079"/>
      <c r="D1079" s="220" t="s">
        <v>497</v>
      </c>
      <c r="E1079" s="220">
        <v>5</v>
      </c>
      <c r="F1079" s="220">
        <v>267.04399999999998</v>
      </c>
      <c r="G1079" s="220">
        <v>20403</v>
      </c>
      <c r="H1079" s="220">
        <v>24725</v>
      </c>
      <c r="I1079" s="220">
        <v>28461</v>
      </c>
      <c r="J1079" s="220">
        <v>262.77100000000002</v>
      </c>
      <c r="K1079" s="220">
        <v>4.8159999999999998</v>
      </c>
      <c r="L1079" s="220">
        <v>36.72</v>
      </c>
      <c r="M1079" s="220" t="s">
        <v>1428</v>
      </c>
      <c r="N1079" s="220" t="s">
        <v>1333</v>
      </c>
      <c r="O1079" s="220" t="s">
        <v>1429</v>
      </c>
      <c r="P1079" s="220" t="s">
        <v>1430</v>
      </c>
      <c r="Q1079" s="220" t="s">
        <v>151</v>
      </c>
      <c r="R1079" s="220" t="s">
        <v>46</v>
      </c>
      <c r="S1079" s="220" t="s">
        <v>602</v>
      </c>
    </row>
    <row r="1080" spans="1:19" x14ac:dyDescent="0.25">
      <c r="A1080" s="220">
        <v>155</v>
      </c>
      <c r="B1080" s="220" t="s">
        <v>0</v>
      </c>
      <c r="C1080"/>
      <c r="D1080" s="220" t="s">
        <v>497</v>
      </c>
      <c r="E1080" s="220">
        <v>6</v>
      </c>
      <c r="F1080" s="220">
        <v>232.922</v>
      </c>
      <c r="G1080" s="220">
        <v>18075</v>
      </c>
      <c r="H1080" s="220">
        <v>21904</v>
      </c>
      <c r="I1080" s="220">
        <v>25222</v>
      </c>
      <c r="J1080" s="220">
        <v>229.19399999999999</v>
      </c>
      <c r="K1080" s="220">
        <v>4.8380000000000001</v>
      </c>
      <c r="L1080" s="220">
        <v>37.002000000000002</v>
      </c>
      <c r="M1080" s="220" t="s">
        <v>1428</v>
      </c>
      <c r="N1080" s="220" t="s">
        <v>1333</v>
      </c>
      <c r="O1080" s="220" t="s">
        <v>1429</v>
      </c>
      <c r="P1080" s="220" t="s">
        <v>1430</v>
      </c>
      <c r="Q1080" s="220" t="s">
        <v>263</v>
      </c>
      <c r="R1080" s="220" t="s">
        <v>240</v>
      </c>
      <c r="S1080" s="220" t="s">
        <v>900</v>
      </c>
    </row>
    <row r="1081" spans="1:19" x14ac:dyDescent="0.25">
      <c r="A1081" s="220">
        <v>155</v>
      </c>
      <c r="B1081" s="220" t="s">
        <v>0</v>
      </c>
      <c r="C1081"/>
      <c r="D1081" s="220" t="s">
        <v>497</v>
      </c>
      <c r="E1081" s="220">
        <v>7</v>
      </c>
      <c r="F1081" s="220">
        <v>218.607</v>
      </c>
      <c r="G1081" s="220">
        <v>16831</v>
      </c>
      <c r="H1081" s="220">
        <v>20393</v>
      </c>
      <c r="I1081" s="220">
        <v>23488</v>
      </c>
      <c r="J1081" s="220">
        <v>215.10900000000001</v>
      </c>
      <c r="K1081" s="220">
        <v>4.8209999999999997</v>
      </c>
      <c r="L1081" s="220">
        <v>37.027000000000001</v>
      </c>
      <c r="M1081" s="220" t="s">
        <v>1428</v>
      </c>
      <c r="N1081" s="220" t="s">
        <v>1333</v>
      </c>
      <c r="O1081" s="220" t="s">
        <v>1429</v>
      </c>
      <c r="P1081" s="220" t="s">
        <v>1430</v>
      </c>
      <c r="Q1081" s="220" t="s">
        <v>263</v>
      </c>
      <c r="R1081" s="220" t="s">
        <v>240</v>
      </c>
      <c r="S1081" s="220" t="s">
        <v>900</v>
      </c>
    </row>
    <row r="1082" spans="1:19" hidden="1" x14ac:dyDescent="0.25">
      <c r="A1082" s="220">
        <v>156</v>
      </c>
      <c r="B1082" s="220" t="s">
        <v>0</v>
      </c>
      <c r="C1082"/>
      <c r="D1082" s="220" t="s">
        <v>498</v>
      </c>
      <c r="E1082" s="220">
        <v>1</v>
      </c>
      <c r="F1082" s="220">
        <v>204.13</v>
      </c>
      <c r="G1082" s="220">
        <v>10446</v>
      </c>
      <c r="H1082" s="220">
        <v>12321</v>
      </c>
      <c r="I1082" s="220">
        <v>14383</v>
      </c>
      <c r="J1082" s="220">
        <v>200.929</v>
      </c>
      <c r="K1082" s="220">
        <v>-19.925000000000001</v>
      </c>
      <c r="L1082" s="220">
        <v>24.457000000000001</v>
      </c>
      <c r="M1082" s="220" t="s">
        <v>678</v>
      </c>
      <c r="N1082" s="220" t="s">
        <v>1333</v>
      </c>
      <c r="O1082" s="220" t="s">
        <v>1431</v>
      </c>
      <c r="P1082" s="220" t="s">
        <v>1432</v>
      </c>
      <c r="Q1082" s="220" t="s">
        <v>141</v>
      </c>
      <c r="R1082" s="220" t="s">
        <v>79</v>
      </c>
      <c r="S1082" s="220" t="s">
        <v>216</v>
      </c>
    </row>
    <row r="1083" spans="1:19" hidden="1" x14ac:dyDescent="0.25">
      <c r="A1083" s="220">
        <v>156</v>
      </c>
      <c r="B1083" s="220" t="s">
        <v>0</v>
      </c>
      <c r="C1083"/>
      <c r="D1083" s="220" t="s">
        <v>498</v>
      </c>
      <c r="E1083" s="220">
        <v>2</v>
      </c>
      <c r="F1083" s="220">
        <v>202.05699999999999</v>
      </c>
      <c r="G1083" s="220">
        <v>10465</v>
      </c>
      <c r="H1083" s="220">
        <v>12344</v>
      </c>
      <c r="I1083" s="220">
        <v>14408</v>
      </c>
      <c r="J1083" s="220">
        <v>198.88900000000001</v>
      </c>
      <c r="K1083" s="220">
        <v>-19.937999999999999</v>
      </c>
      <c r="L1083" s="220">
        <v>24.4</v>
      </c>
      <c r="M1083" s="220" t="s">
        <v>678</v>
      </c>
      <c r="N1083" s="220" t="s">
        <v>1333</v>
      </c>
      <c r="O1083" s="220" t="s">
        <v>1431</v>
      </c>
      <c r="P1083" s="220" t="s">
        <v>1432</v>
      </c>
      <c r="Q1083" s="220" t="s">
        <v>246</v>
      </c>
      <c r="R1083" s="220" t="s">
        <v>259</v>
      </c>
      <c r="S1083" s="220" t="s">
        <v>584</v>
      </c>
    </row>
    <row r="1084" spans="1:19" hidden="1" x14ac:dyDescent="0.25">
      <c r="A1084" s="220">
        <v>156</v>
      </c>
      <c r="B1084" s="220" t="s">
        <v>0</v>
      </c>
      <c r="C1084"/>
      <c r="D1084" s="220" t="s">
        <v>498</v>
      </c>
      <c r="E1084" s="220">
        <v>3</v>
      </c>
      <c r="F1084" s="220">
        <v>202.71299999999999</v>
      </c>
      <c r="G1084" s="220">
        <v>10500</v>
      </c>
      <c r="H1084" s="220">
        <v>12386</v>
      </c>
      <c r="I1084" s="220">
        <v>14460</v>
      </c>
      <c r="J1084" s="220">
        <v>199.535</v>
      </c>
      <c r="K1084" s="220">
        <v>-19.937999999999999</v>
      </c>
      <c r="L1084" s="220">
        <v>24.41</v>
      </c>
      <c r="M1084" s="220" t="s">
        <v>678</v>
      </c>
      <c r="N1084" s="220" t="s">
        <v>1333</v>
      </c>
      <c r="O1084" s="220" t="s">
        <v>1431</v>
      </c>
      <c r="P1084" s="220" t="s">
        <v>1432</v>
      </c>
      <c r="Q1084" s="220" t="s">
        <v>142</v>
      </c>
      <c r="R1084" s="220" t="s">
        <v>224</v>
      </c>
      <c r="S1084" s="220" t="s">
        <v>138</v>
      </c>
    </row>
    <row r="1085" spans="1:19" hidden="1" x14ac:dyDescent="0.25">
      <c r="A1085" s="220">
        <v>156</v>
      </c>
      <c r="B1085" s="220" t="s">
        <v>0</v>
      </c>
      <c r="C1085"/>
      <c r="D1085" s="220" t="s">
        <v>498</v>
      </c>
      <c r="E1085" s="220">
        <v>4</v>
      </c>
      <c r="F1085" s="220">
        <v>203.60900000000001</v>
      </c>
      <c r="G1085" s="220">
        <v>10466</v>
      </c>
      <c r="H1085" s="220">
        <v>12345</v>
      </c>
      <c r="I1085" s="220">
        <v>14411</v>
      </c>
      <c r="J1085" s="220">
        <v>200.417</v>
      </c>
      <c r="K1085" s="220">
        <v>-19.937000000000001</v>
      </c>
      <c r="L1085" s="220">
        <v>24.417999999999999</v>
      </c>
      <c r="M1085" s="220" t="s">
        <v>678</v>
      </c>
      <c r="N1085" s="220" t="s">
        <v>1333</v>
      </c>
      <c r="O1085" s="220" t="s">
        <v>1431</v>
      </c>
      <c r="P1085" s="220" t="s">
        <v>1432</v>
      </c>
      <c r="Q1085" s="220" t="s">
        <v>123</v>
      </c>
      <c r="R1085" s="220" t="s">
        <v>137</v>
      </c>
      <c r="S1085" s="220" t="s">
        <v>584</v>
      </c>
    </row>
    <row r="1086" spans="1:19" hidden="1" x14ac:dyDescent="0.25">
      <c r="A1086" s="220">
        <v>156</v>
      </c>
      <c r="B1086" s="220" t="s">
        <v>0</v>
      </c>
      <c r="C1086"/>
      <c r="D1086" s="220" t="s">
        <v>498</v>
      </c>
      <c r="E1086" s="220">
        <v>5</v>
      </c>
      <c r="F1086" s="220">
        <v>158.36500000000001</v>
      </c>
      <c r="G1086" s="220">
        <v>12527</v>
      </c>
      <c r="H1086" s="220">
        <v>15177</v>
      </c>
      <c r="I1086" s="220">
        <v>17442</v>
      </c>
      <c r="J1086" s="220">
        <v>155.83199999999999</v>
      </c>
      <c r="K1086" s="220">
        <v>4.6210000000000004</v>
      </c>
      <c r="L1086" s="220">
        <v>35.707000000000001</v>
      </c>
      <c r="M1086" s="220" t="s">
        <v>678</v>
      </c>
      <c r="N1086" s="220" t="s">
        <v>1333</v>
      </c>
      <c r="O1086" s="220" t="s">
        <v>1431</v>
      </c>
      <c r="P1086" s="220" t="s">
        <v>1432</v>
      </c>
      <c r="Q1086" s="220" t="s">
        <v>180</v>
      </c>
      <c r="R1086" s="220" t="s">
        <v>44</v>
      </c>
      <c r="S1086" s="220" t="s">
        <v>630</v>
      </c>
    </row>
    <row r="1087" spans="1:19" x14ac:dyDescent="0.25">
      <c r="A1087" s="220">
        <v>156</v>
      </c>
      <c r="B1087" s="220" t="s">
        <v>0</v>
      </c>
      <c r="C1087"/>
      <c r="D1087" s="220" t="s">
        <v>498</v>
      </c>
      <c r="E1087" s="220">
        <v>6</v>
      </c>
      <c r="F1087" s="220">
        <v>142.40899999999999</v>
      </c>
      <c r="G1087" s="220">
        <v>11457</v>
      </c>
      <c r="H1087" s="220">
        <v>13873</v>
      </c>
      <c r="I1087" s="220">
        <v>15952</v>
      </c>
      <c r="J1087" s="220">
        <v>140.131</v>
      </c>
      <c r="K1087" s="220">
        <v>4.6619999999999999</v>
      </c>
      <c r="L1087" s="220">
        <v>35.831000000000003</v>
      </c>
      <c r="M1087" s="220" t="s">
        <v>678</v>
      </c>
      <c r="N1087" s="220" t="s">
        <v>1333</v>
      </c>
      <c r="O1087" s="220" t="s">
        <v>1431</v>
      </c>
      <c r="P1087" s="220" t="s">
        <v>1432</v>
      </c>
      <c r="Q1087" s="220" t="s">
        <v>79</v>
      </c>
      <c r="R1087" s="220" t="s">
        <v>112</v>
      </c>
      <c r="S1087" s="220" t="s">
        <v>241</v>
      </c>
    </row>
    <row r="1088" spans="1:19" x14ac:dyDescent="0.25">
      <c r="A1088" s="220">
        <v>156</v>
      </c>
      <c r="B1088" s="220" t="s">
        <v>0</v>
      </c>
      <c r="C1088"/>
      <c r="D1088" s="220" t="s">
        <v>498</v>
      </c>
      <c r="E1088" s="220">
        <v>7</v>
      </c>
      <c r="F1088" s="220">
        <v>133.38300000000001</v>
      </c>
      <c r="G1088" s="220">
        <v>10807</v>
      </c>
      <c r="H1088" s="220">
        <v>13088</v>
      </c>
      <c r="I1088" s="220">
        <v>15054</v>
      </c>
      <c r="J1088" s="220">
        <v>131.25</v>
      </c>
      <c r="K1088" s="220">
        <v>4.7640000000000002</v>
      </c>
      <c r="L1088" s="220">
        <v>35.874000000000002</v>
      </c>
      <c r="M1088" s="220" t="s">
        <v>678</v>
      </c>
      <c r="N1088" s="220" t="s">
        <v>1333</v>
      </c>
      <c r="O1088" s="220" t="s">
        <v>1431</v>
      </c>
      <c r="P1088" s="220" t="s">
        <v>1432</v>
      </c>
      <c r="Q1088" s="220" t="s">
        <v>739</v>
      </c>
      <c r="R1088" s="220" t="s">
        <v>540</v>
      </c>
      <c r="S1088" s="220" t="s">
        <v>665</v>
      </c>
    </row>
    <row r="1089" spans="1:19" hidden="1" x14ac:dyDescent="0.25">
      <c r="A1089" s="220">
        <v>157</v>
      </c>
      <c r="B1089" s="220" t="s">
        <v>1433</v>
      </c>
      <c r="C1089" s="220" t="s">
        <v>339</v>
      </c>
      <c r="D1089" s="220" t="s">
        <v>499</v>
      </c>
      <c r="E1089" s="220">
        <v>1</v>
      </c>
      <c r="F1089" s="220">
        <v>206.55799999999999</v>
      </c>
      <c r="G1089" s="220">
        <v>10506</v>
      </c>
      <c r="H1089" s="220">
        <v>12393</v>
      </c>
      <c r="I1089" s="220">
        <v>14468</v>
      </c>
      <c r="J1089" s="220">
        <v>203.32</v>
      </c>
      <c r="K1089" s="220">
        <v>-19.937999999999999</v>
      </c>
      <c r="L1089" s="220">
        <v>24.407</v>
      </c>
      <c r="M1089" s="220" t="s">
        <v>677</v>
      </c>
      <c r="N1089" s="220" t="s">
        <v>1333</v>
      </c>
      <c r="O1089" s="220" t="s">
        <v>1434</v>
      </c>
      <c r="P1089" s="220" t="s">
        <v>1435</v>
      </c>
      <c r="Q1089" s="220" t="s">
        <v>68</v>
      </c>
      <c r="R1089" s="220" t="s">
        <v>115</v>
      </c>
      <c r="S1089" s="220" t="s">
        <v>217</v>
      </c>
    </row>
    <row r="1090" spans="1:19" hidden="1" x14ac:dyDescent="0.25">
      <c r="A1090" s="220">
        <v>157</v>
      </c>
      <c r="B1090" s="220" t="s">
        <v>1433</v>
      </c>
      <c r="C1090" s="220" t="s">
        <v>339</v>
      </c>
      <c r="D1090" s="220" t="s">
        <v>499</v>
      </c>
      <c r="E1090" s="220">
        <v>2</v>
      </c>
      <c r="F1090" s="220">
        <v>202.357</v>
      </c>
      <c r="G1090" s="220">
        <v>10510</v>
      </c>
      <c r="H1090" s="220">
        <v>12396</v>
      </c>
      <c r="I1090" s="220">
        <v>14468</v>
      </c>
      <c r="J1090" s="220">
        <v>199.184</v>
      </c>
      <c r="K1090" s="220">
        <v>-19.939</v>
      </c>
      <c r="L1090" s="220">
        <v>24.411999999999999</v>
      </c>
      <c r="M1090" s="220" t="s">
        <v>677</v>
      </c>
      <c r="N1090" s="220" t="s">
        <v>1333</v>
      </c>
      <c r="O1090" s="220" t="s">
        <v>1434</v>
      </c>
      <c r="P1090" s="220" t="s">
        <v>1435</v>
      </c>
      <c r="Q1090" s="220" t="s">
        <v>202</v>
      </c>
      <c r="R1090" s="220" t="s">
        <v>216</v>
      </c>
      <c r="S1090" s="220" t="s">
        <v>172</v>
      </c>
    </row>
    <row r="1091" spans="1:19" hidden="1" x14ac:dyDescent="0.25">
      <c r="A1091" s="220">
        <v>157</v>
      </c>
      <c r="B1091" s="220" t="s">
        <v>1433</v>
      </c>
      <c r="C1091" s="220" t="s">
        <v>339</v>
      </c>
      <c r="D1091" s="220" t="s">
        <v>499</v>
      </c>
      <c r="E1091" s="220">
        <v>3</v>
      </c>
      <c r="F1091" s="220">
        <v>204.23500000000001</v>
      </c>
      <c r="G1091" s="220">
        <v>10559</v>
      </c>
      <c r="H1091" s="220">
        <v>12454</v>
      </c>
      <c r="I1091" s="220">
        <v>14539</v>
      </c>
      <c r="J1091" s="220">
        <v>201.03299999999999</v>
      </c>
      <c r="K1091" s="220">
        <v>-19.943000000000001</v>
      </c>
      <c r="L1091" s="220">
        <v>24.408000000000001</v>
      </c>
      <c r="M1091" s="220" t="s">
        <v>677</v>
      </c>
      <c r="N1091" s="220" t="s">
        <v>1333</v>
      </c>
      <c r="O1091" s="220" t="s">
        <v>1434</v>
      </c>
      <c r="P1091" s="220" t="s">
        <v>1435</v>
      </c>
      <c r="Q1091" s="220" t="s">
        <v>120</v>
      </c>
      <c r="R1091" s="220" t="s">
        <v>226</v>
      </c>
      <c r="S1091" s="220" t="s">
        <v>177</v>
      </c>
    </row>
    <row r="1092" spans="1:19" hidden="1" x14ac:dyDescent="0.25">
      <c r="A1092" s="220">
        <v>157</v>
      </c>
      <c r="B1092" s="220" t="s">
        <v>1433</v>
      </c>
      <c r="C1092" s="220" t="s">
        <v>339</v>
      </c>
      <c r="D1092" s="220" t="s">
        <v>499</v>
      </c>
      <c r="E1092" s="220">
        <v>4</v>
      </c>
      <c r="F1092" s="220">
        <v>204.3</v>
      </c>
      <c r="G1092" s="220">
        <v>10505</v>
      </c>
      <c r="H1092" s="220">
        <v>12390</v>
      </c>
      <c r="I1092" s="220">
        <v>14464</v>
      </c>
      <c r="J1092" s="220">
        <v>201.09700000000001</v>
      </c>
      <c r="K1092" s="220">
        <v>-19.937000000000001</v>
      </c>
      <c r="L1092" s="220">
        <v>24.417999999999999</v>
      </c>
      <c r="M1092" s="220" t="s">
        <v>677</v>
      </c>
      <c r="N1092" s="220" t="s">
        <v>1333</v>
      </c>
      <c r="O1092" s="220" t="s">
        <v>1434</v>
      </c>
      <c r="P1092" s="220" t="s">
        <v>1435</v>
      </c>
      <c r="Q1092" s="220" t="s">
        <v>120</v>
      </c>
      <c r="R1092" s="220" t="s">
        <v>226</v>
      </c>
      <c r="S1092" s="220" t="s">
        <v>585</v>
      </c>
    </row>
    <row r="1093" spans="1:19" hidden="1" x14ac:dyDescent="0.25">
      <c r="A1093" s="220">
        <v>157</v>
      </c>
      <c r="B1093" s="220" t="s">
        <v>1433</v>
      </c>
      <c r="C1093" s="220" t="s">
        <v>339</v>
      </c>
      <c r="D1093" s="220" t="s">
        <v>499</v>
      </c>
      <c r="E1093" s="220">
        <v>5</v>
      </c>
      <c r="F1093" s="220">
        <v>193.34299999999999</v>
      </c>
      <c r="G1093" s="220">
        <v>14631</v>
      </c>
      <c r="H1093" s="220">
        <v>17615</v>
      </c>
      <c r="I1093" s="220">
        <v>20373</v>
      </c>
      <c r="J1093" s="220">
        <v>190.26400000000001</v>
      </c>
      <c r="K1093" s="220">
        <v>-1.7170000000000001</v>
      </c>
      <c r="L1093" s="220">
        <v>35.497999999999998</v>
      </c>
      <c r="M1093" s="220" t="s">
        <v>677</v>
      </c>
      <c r="N1093" s="220" t="s">
        <v>1333</v>
      </c>
      <c r="O1093" s="220" t="s">
        <v>1434</v>
      </c>
      <c r="P1093" s="220" t="s">
        <v>1435</v>
      </c>
      <c r="Q1093" s="220" t="s">
        <v>399</v>
      </c>
      <c r="R1093" s="220" t="s">
        <v>56</v>
      </c>
      <c r="S1093" s="220" t="s">
        <v>70</v>
      </c>
    </row>
    <row r="1094" spans="1:19" x14ac:dyDescent="0.25">
      <c r="A1094" s="220">
        <v>157</v>
      </c>
      <c r="B1094" s="220" t="s">
        <v>1433</v>
      </c>
      <c r="C1094" s="220" t="s">
        <v>339</v>
      </c>
      <c r="D1094" s="220" t="s">
        <v>499</v>
      </c>
      <c r="E1094" s="220">
        <v>6</v>
      </c>
      <c r="F1094" s="220">
        <v>169.36099999999999</v>
      </c>
      <c r="G1094" s="220">
        <v>13061</v>
      </c>
      <c r="H1094" s="220">
        <v>15723</v>
      </c>
      <c r="I1094" s="220">
        <v>18188</v>
      </c>
      <c r="J1094" s="220">
        <v>166.66300000000001</v>
      </c>
      <c r="K1094" s="220">
        <v>-1.6890000000000001</v>
      </c>
      <c r="L1094" s="220">
        <v>36.003</v>
      </c>
      <c r="M1094" s="220" t="s">
        <v>677</v>
      </c>
      <c r="N1094" s="220" t="s">
        <v>1333</v>
      </c>
      <c r="O1094" s="220" t="s">
        <v>1434</v>
      </c>
      <c r="P1094" s="220" t="s">
        <v>1435</v>
      </c>
      <c r="Q1094" s="220" t="s">
        <v>135</v>
      </c>
      <c r="R1094" s="220" t="s">
        <v>234</v>
      </c>
      <c r="S1094" s="220" t="s">
        <v>300</v>
      </c>
    </row>
    <row r="1095" spans="1:19" x14ac:dyDescent="0.25">
      <c r="A1095" s="220">
        <v>157</v>
      </c>
      <c r="B1095" s="220" t="s">
        <v>1433</v>
      </c>
      <c r="C1095" s="220" t="s">
        <v>339</v>
      </c>
      <c r="D1095" s="220" t="s">
        <v>499</v>
      </c>
      <c r="E1095" s="220">
        <v>7</v>
      </c>
      <c r="F1095" s="220">
        <v>157.24600000000001</v>
      </c>
      <c r="G1095" s="220">
        <v>12170</v>
      </c>
      <c r="H1095" s="220">
        <v>14648</v>
      </c>
      <c r="I1095" s="220">
        <v>16951</v>
      </c>
      <c r="J1095" s="220">
        <v>154.74199999999999</v>
      </c>
      <c r="K1095" s="220">
        <v>-1.637</v>
      </c>
      <c r="L1095" s="220">
        <v>36</v>
      </c>
      <c r="M1095" s="220" t="s">
        <v>677</v>
      </c>
      <c r="N1095" s="220" t="s">
        <v>1333</v>
      </c>
      <c r="O1095" s="220" t="s">
        <v>1434</v>
      </c>
      <c r="P1095" s="220" t="s">
        <v>1435</v>
      </c>
      <c r="Q1095" s="220" t="s">
        <v>718</v>
      </c>
      <c r="R1095" s="220" t="s">
        <v>643</v>
      </c>
      <c r="S1095" s="220" t="s">
        <v>596</v>
      </c>
    </row>
    <row r="1096" spans="1:19" hidden="1" x14ac:dyDescent="0.25">
      <c r="A1096" s="220">
        <v>158</v>
      </c>
      <c r="B1096" s="220" t="s">
        <v>1436</v>
      </c>
      <c r="C1096" s="220" t="s">
        <v>221</v>
      </c>
      <c r="D1096" s="220" t="s">
        <v>500</v>
      </c>
      <c r="E1096" s="220">
        <v>1</v>
      </c>
      <c r="F1096" s="220">
        <v>205.273</v>
      </c>
      <c r="G1096" s="220">
        <v>10494</v>
      </c>
      <c r="H1096" s="220">
        <v>12378</v>
      </c>
      <c r="I1096" s="220">
        <v>14450</v>
      </c>
      <c r="J1096" s="220">
        <v>202.05500000000001</v>
      </c>
      <c r="K1096" s="220">
        <v>-19.925000000000001</v>
      </c>
      <c r="L1096" s="220">
        <v>24.402000000000001</v>
      </c>
      <c r="M1096" s="220" t="s">
        <v>675</v>
      </c>
      <c r="N1096" s="220" t="s">
        <v>1333</v>
      </c>
      <c r="O1096" s="220" t="s">
        <v>1437</v>
      </c>
      <c r="P1096" s="220" t="s">
        <v>1438</v>
      </c>
      <c r="Q1096" s="220" t="s">
        <v>49</v>
      </c>
      <c r="R1096" s="220" t="s">
        <v>134</v>
      </c>
      <c r="S1096" s="220" t="s">
        <v>244</v>
      </c>
    </row>
    <row r="1097" spans="1:19" hidden="1" x14ac:dyDescent="0.25">
      <c r="A1097" s="220">
        <v>158</v>
      </c>
      <c r="B1097" s="220" t="s">
        <v>1436</v>
      </c>
      <c r="C1097" s="220" t="s">
        <v>221</v>
      </c>
      <c r="D1097" s="220" t="s">
        <v>500</v>
      </c>
      <c r="E1097" s="220">
        <v>2</v>
      </c>
      <c r="F1097" s="220">
        <v>201.79900000000001</v>
      </c>
      <c r="G1097" s="220">
        <v>10461</v>
      </c>
      <c r="H1097" s="220">
        <v>12339</v>
      </c>
      <c r="I1097" s="220">
        <v>14403</v>
      </c>
      <c r="J1097" s="220">
        <v>198.63499999999999</v>
      </c>
      <c r="K1097" s="220">
        <v>-19.942</v>
      </c>
      <c r="L1097" s="220">
        <v>24.402999999999999</v>
      </c>
      <c r="M1097" s="220" t="s">
        <v>675</v>
      </c>
      <c r="N1097" s="220" t="s">
        <v>1333</v>
      </c>
      <c r="O1097" s="220" t="s">
        <v>1437</v>
      </c>
      <c r="P1097" s="220" t="s">
        <v>1438</v>
      </c>
      <c r="Q1097" s="220" t="s">
        <v>236</v>
      </c>
      <c r="R1097" s="220" t="s">
        <v>252</v>
      </c>
      <c r="S1097" s="220" t="s">
        <v>243</v>
      </c>
    </row>
    <row r="1098" spans="1:19" hidden="1" x14ac:dyDescent="0.25">
      <c r="A1098" s="220">
        <v>158</v>
      </c>
      <c r="B1098" s="220" t="s">
        <v>1436</v>
      </c>
      <c r="C1098" s="220" t="s">
        <v>221</v>
      </c>
      <c r="D1098" s="220" t="s">
        <v>500</v>
      </c>
      <c r="E1098" s="220">
        <v>3</v>
      </c>
      <c r="F1098" s="220">
        <v>203.15</v>
      </c>
      <c r="G1098" s="220">
        <v>10491</v>
      </c>
      <c r="H1098" s="220">
        <v>12375</v>
      </c>
      <c r="I1098" s="220">
        <v>14449</v>
      </c>
      <c r="J1098" s="220">
        <v>199.965</v>
      </c>
      <c r="K1098" s="220">
        <v>-19.93</v>
      </c>
      <c r="L1098" s="220">
        <v>24.395</v>
      </c>
      <c r="M1098" s="220" t="s">
        <v>675</v>
      </c>
      <c r="N1098" s="220" t="s">
        <v>1333</v>
      </c>
      <c r="O1098" s="220" t="s">
        <v>1437</v>
      </c>
      <c r="P1098" s="220" t="s">
        <v>1438</v>
      </c>
      <c r="Q1098" s="220" t="s">
        <v>111</v>
      </c>
      <c r="R1098" s="220" t="s">
        <v>132</v>
      </c>
      <c r="S1098" s="220" t="s">
        <v>585</v>
      </c>
    </row>
    <row r="1099" spans="1:19" hidden="1" x14ac:dyDescent="0.25">
      <c r="A1099" s="220">
        <v>158</v>
      </c>
      <c r="B1099" s="220" t="s">
        <v>1436</v>
      </c>
      <c r="C1099" s="220" t="s">
        <v>221</v>
      </c>
      <c r="D1099" s="220" t="s">
        <v>500</v>
      </c>
      <c r="E1099" s="220">
        <v>4</v>
      </c>
      <c r="F1099" s="220">
        <v>202.97499999999999</v>
      </c>
      <c r="G1099" s="220">
        <v>10453</v>
      </c>
      <c r="H1099" s="220">
        <v>12329</v>
      </c>
      <c r="I1099" s="220">
        <v>14392</v>
      </c>
      <c r="J1099" s="220">
        <v>199.792</v>
      </c>
      <c r="K1099" s="220">
        <v>-19.937000000000001</v>
      </c>
      <c r="L1099" s="220">
        <v>24.417999999999999</v>
      </c>
      <c r="M1099" s="220" t="s">
        <v>675</v>
      </c>
      <c r="N1099" s="220" t="s">
        <v>1333</v>
      </c>
      <c r="O1099" s="220" t="s">
        <v>1437</v>
      </c>
      <c r="P1099" s="220" t="s">
        <v>1438</v>
      </c>
      <c r="Q1099" s="220" t="s">
        <v>111</v>
      </c>
      <c r="R1099" s="220" t="s">
        <v>132</v>
      </c>
      <c r="S1099" s="220" t="s">
        <v>189</v>
      </c>
    </row>
    <row r="1100" spans="1:19" hidden="1" x14ac:dyDescent="0.25">
      <c r="A1100" s="220">
        <v>158</v>
      </c>
      <c r="B1100" s="220" t="s">
        <v>1436</v>
      </c>
      <c r="C1100" s="220" t="s">
        <v>221</v>
      </c>
      <c r="D1100" s="220" t="s">
        <v>500</v>
      </c>
      <c r="E1100" s="220">
        <v>5</v>
      </c>
      <c r="F1100" s="220">
        <v>229.51499999999999</v>
      </c>
      <c r="G1100" s="220">
        <v>18375</v>
      </c>
      <c r="H1100" s="220">
        <v>22150</v>
      </c>
      <c r="I1100" s="220">
        <v>25585</v>
      </c>
      <c r="J1100" s="220">
        <v>225.86099999999999</v>
      </c>
      <c r="K1100" s="220">
        <v>-1.9510000000000001</v>
      </c>
      <c r="L1100" s="220">
        <v>35.514000000000003</v>
      </c>
      <c r="M1100" s="220" t="s">
        <v>675</v>
      </c>
      <c r="N1100" s="220" t="s">
        <v>1333</v>
      </c>
      <c r="O1100" s="220" t="s">
        <v>1437</v>
      </c>
      <c r="P1100" s="220" t="s">
        <v>1438</v>
      </c>
      <c r="Q1100" s="220" t="s">
        <v>167</v>
      </c>
      <c r="R1100" s="220" t="s">
        <v>107</v>
      </c>
      <c r="S1100" s="220" t="s">
        <v>630</v>
      </c>
    </row>
    <row r="1101" spans="1:19" x14ac:dyDescent="0.25">
      <c r="A1101" s="220">
        <v>158</v>
      </c>
      <c r="B1101" s="220" t="s">
        <v>1436</v>
      </c>
      <c r="C1101" s="220" t="s">
        <v>221</v>
      </c>
      <c r="D1101" s="220" t="s">
        <v>500</v>
      </c>
      <c r="E1101" s="220">
        <v>6</v>
      </c>
      <c r="F1101" s="220">
        <v>204.46899999999999</v>
      </c>
      <c r="G1101" s="220">
        <v>16631</v>
      </c>
      <c r="H1101" s="220">
        <v>20034</v>
      </c>
      <c r="I1101" s="220">
        <v>23158</v>
      </c>
      <c r="J1101" s="220">
        <v>201.21299999999999</v>
      </c>
      <c r="K1101" s="220">
        <v>-1.9359999999999999</v>
      </c>
      <c r="L1101" s="220">
        <v>35.661999999999999</v>
      </c>
      <c r="M1101" s="220" t="s">
        <v>675</v>
      </c>
      <c r="N1101" s="220" t="s">
        <v>1333</v>
      </c>
      <c r="O1101" s="220" t="s">
        <v>1437</v>
      </c>
      <c r="P1101" s="220" t="s">
        <v>1438</v>
      </c>
      <c r="Q1101" s="220" t="s">
        <v>259</v>
      </c>
      <c r="R1101" s="220" t="s">
        <v>568</v>
      </c>
      <c r="S1101" s="220" t="s">
        <v>779</v>
      </c>
    </row>
    <row r="1102" spans="1:19" x14ac:dyDescent="0.25">
      <c r="A1102" s="220">
        <v>158</v>
      </c>
      <c r="B1102" s="220" t="s">
        <v>1436</v>
      </c>
      <c r="C1102" s="220" t="s">
        <v>221</v>
      </c>
      <c r="D1102" s="220" t="s">
        <v>500</v>
      </c>
      <c r="E1102" s="220">
        <v>7</v>
      </c>
      <c r="F1102" s="220">
        <v>190.48699999999999</v>
      </c>
      <c r="G1102" s="220">
        <v>15548</v>
      </c>
      <c r="H1102" s="220">
        <v>18729</v>
      </c>
      <c r="I1102" s="220">
        <v>21655</v>
      </c>
      <c r="J1102" s="220">
        <v>187.45400000000001</v>
      </c>
      <c r="K1102" s="220">
        <v>-1.85</v>
      </c>
      <c r="L1102" s="220">
        <v>35.716000000000001</v>
      </c>
      <c r="M1102" s="220" t="s">
        <v>675</v>
      </c>
      <c r="N1102" s="220" t="s">
        <v>1333</v>
      </c>
      <c r="O1102" s="220" t="s">
        <v>1437</v>
      </c>
      <c r="P1102" s="220" t="s">
        <v>1438</v>
      </c>
      <c r="Q1102" s="220" t="s">
        <v>757</v>
      </c>
      <c r="R1102" s="220" t="s">
        <v>668</v>
      </c>
      <c r="S1102" s="220" t="s">
        <v>1388</v>
      </c>
    </row>
    <row r="1103" spans="1:19" hidden="1" x14ac:dyDescent="0.25">
      <c r="A1103" s="220">
        <v>159</v>
      </c>
      <c r="B1103" s="220" t="s">
        <v>1439</v>
      </c>
      <c r="C1103" s="220" t="s">
        <v>221</v>
      </c>
      <c r="D1103" s="220" t="s">
        <v>501</v>
      </c>
      <c r="E1103" s="220">
        <v>1</v>
      </c>
      <c r="F1103" s="220">
        <v>204.58099999999999</v>
      </c>
      <c r="G1103" s="220">
        <v>10470</v>
      </c>
      <c r="H1103" s="220">
        <v>12347</v>
      </c>
      <c r="I1103" s="220">
        <v>14424</v>
      </c>
      <c r="J1103" s="220">
        <v>201.374</v>
      </c>
      <c r="K1103" s="220">
        <v>-19.928000000000001</v>
      </c>
      <c r="L1103" s="220">
        <v>24.434999999999999</v>
      </c>
      <c r="M1103" s="220" t="s">
        <v>1440</v>
      </c>
      <c r="N1103" s="220" t="s">
        <v>1333</v>
      </c>
      <c r="O1103" s="220" t="s">
        <v>1441</v>
      </c>
      <c r="P1103" s="220" t="s">
        <v>1442</v>
      </c>
      <c r="Q1103" s="220" t="s">
        <v>76</v>
      </c>
      <c r="R1103" s="220" t="s">
        <v>236</v>
      </c>
      <c r="S1103" s="220" t="s">
        <v>124</v>
      </c>
    </row>
    <row r="1104" spans="1:19" hidden="1" x14ac:dyDescent="0.25">
      <c r="A1104" s="220">
        <v>159</v>
      </c>
      <c r="B1104" s="220" t="s">
        <v>1439</v>
      </c>
      <c r="C1104" s="220" t="s">
        <v>221</v>
      </c>
      <c r="D1104" s="220" t="s">
        <v>501</v>
      </c>
      <c r="E1104" s="220">
        <v>2</v>
      </c>
      <c r="F1104" s="220">
        <v>202.42</v>
      </c>
      <c r="G1104" s="220">
        <v>10470</v>
      </c>
      <c r="H1104" s="220">
        <v>12348</v>
      </c>
      <c r="I1104" s="220">
        <v>14424</v>
      </c>
      <c r="J1104" s="220">
        <v>199.24600000000001</v>
      </c>
      <c r="K1104" s="220">
        <v>-19.934999999999999</v>
      </c>
      <c r="L1104" s="220">
        <v>24.436</v>
      </c>
      <c r="M1104" s="220" t="s">
        <v>1440</v>
      </c>
      <c r="N1104" s="220" t="s">
        <v>1333</v>
      </c>
      <c r="O1104" s="220" t="s">
        <v>1441</v>
      </c>
      <c r="P1104" s="220" t="s">
        <v>1442</v>
      </c>
      <c r="Q1104" s="220" t="s">
        <v>277</v>
      </c>
      <c r="R1104" s="220" t="s">
        <v>280</v>
      </c>
      <c r="S1104" s="220" t="s">
        <v>241</v>
      </c>
    </row>
    <row r="1105" spans="1:19" hidden="1" x14ac:dyDescent="0.25">
      <c r="A1105" s="220">
        <v>159</v>
      </c>
      <c r="B1105" s="220" t="s">
        <v>1439</v>
      </c>
      <c r="C1105" s="220" t="s">
        <v>221</v>
      </c>
      <c r="D1105" s="220" t="s">
        <v>501</v>
      </c>
      <c r="E1105" s="220">
        <v>3</v>
      </c>
      <c r="F1105" s="220">
        <v>202.38300000000001</v>
      </c>
      <c r="G1105" s="220">
        <v>10479</v>
      </c>
      <c r="H1105" s="220">
        <v>12361</v>
      </c>
      <c r="I1105" s="220">
        <v>14442</v>
      </c>
      <c r="J1105" s="220">
        <v>199.209</v>
      </c>
      <c r="K1105" s="220">
        <v>-19.948</v>
      </c>
      <c r="L1105" s="220">
        <v>24.427</v>
      </c>
      <c r="M1105" s="220" t="s">
        <v>1440</v>
      </c>
      <c r="N1105" s="220" t="s">
        <v>1333</v>
      </c>
      <c r="O1105" s="220" t="s">
        <v>1441</v>
      </c>
      <c r="P1105" s="220" t="s">
        <v>1442</v>
      </c>
      <c r="Q1105" s="220" t="s">
        <v>79</v>
      </c>
      <c r="R1105" s="220" t="s">
        <v>242</v>
      </c>
      <c r="S1105" s="220" t="s">
        <v>201</v>
      </c>
    </row>
    <row r="1106" spans="1:19" hidden="1" x14ac:dyDescent="0.25">
      <c r="A1106" s="220">
        <v>159</v>
      </c>
      <c r="B1106" s="220" t="s">
        <v>1439</v>
      </c>
      <c r="C1106" s="220" t="s">
        <v>221</v>
      </c>
      <c r="D1106" s="220" t="s">
        <v>501</v>
      </c>
      <c r="E1106" s="220">
        <v>4</v>
      </c>
      <c r="F1106" s="220">
        <v>203.33500000000001</v>
      </c>
      <c r="G1106" s="220">
        <v>10461</v>
      </c>
      <c r="H1106" s="220">
        <v>12337</v>
      </c>
      <c r="I1106" s="220">
        <v>14411</v>
      </c>
      <c r="J1106" s="220">
        <v>200.14699999999999</v>
      </c>
      <c r="K1106" s="220">
        <v>-19.937000000000001</v>
      </c>
      <c r="L1106" s="220">
        <v>24.417999999999999</v>
      </c>
      <c r="M1106" s="220" t="s">
        <v>1440</v>
      </c>
      <c r="N1106" s="220" t="s">
        <v>1333</v>
      </c>
      <c r="O1106" s="220" t="s">
        <v>1441</v>
      </c>
      <c r="P1106" s="220" t="s">
        <v>1442</v>
      </c>
      <c r="Q1106" s="220" t="s">
        <v>79</v>
      </c>
      <c r="R1106" s="220" t="s">
        <v>149</v>
      </c>
      <c r="S1106" s="220" t="s">
        <v>201</v>
      </c>
    </row>
    <row r="1107" spans="1:19" hidden="1" x14ac:dyDescent="0.25">
      <c r="A1107" s="220">
        <v>159</v>
      </c>
      <c r="B1107" s="220" t="s">
        <v>1439</v>
      </c>
      <c r="C1107" s="220" t="s">
        <v>221</v>
      </c>
      <c r="D1107" s="220" t="s">
        <v>501</v>
      </c>
      <c r="E1107" s="220">
        <v>5</v>
      </c>
      <c r="F1107" s="220">
        <v>215.36099999999999</v>
      </c>
      <c r="G1107" s="220">
        <v>16396</v>
      </c>
      <c r="H1107" s="220">
        <v>19748</v>
      </c>
      <c r="I1107" s="220">
        <v>22849</v>
      </c>
      <c r="J1107" s="220">
        <v>211.93100000000001</v>
      </c>
      <c r="K1107" s="220">
        <v>-1.86</v>
      </c>
      <c r="L1107" s="220">
        <v>35.548999999999999</v>
      </c>
      <c r="M1107" s="220" t="s">
        <v>1440</v>
      </c>
      <c r="N1107" s="220" t="s">
        <v>1333</v>
      </c>
      <c r="O1107" s="220" t="s">
        <v>1441</v>
      </c>
      <c r="P1107" s="220" t="s">
        <v>1442</v>
      </c>
      <c r="Q1107" s="220" t="s">
        <v>181</v>
      </c>
      <c r="R1107" s="220" t="s">
        <v>87</v>
      </c>
      <c r="S1107" s="220" t="s">
        <v>104</v>
      </c>
    </row>
    <row r="1108" spans="1:19" x14ac:dyDescent="0.25">
      <c r="A1108" s="220">
        <v>159</v>
      </c>
      <c r="B1108" s="220" t="s">
        <v>1439</v>
      </c>
      <c r="C1108" s="220" t="s">
        <v>221</v>
      </c>
      <c r="D1108" s="220" t="s">
        <v>501</v>
      </c>
      <c r="E1108" s="220">
        <v>6</v>
      </c>
      <c r="F1108" s="220">
        <v>189.45699999999999</v>
      </c>
      <c r="G1108" s="220">
        <v>14675</v>
      </c>
      <c r="H1108" s="220">
        <v>17674</v>
      </c>
      <c r="I1108" s="220">
        <v>20453</v>
      </c>
      <c r="J1108" s="220">
        <v>186.44</v>
      </c>
      <c r="K1108" s="220">
        <v>-1.8180000000000001</v>
      </c>
      <c r="L1108" s="220">
        <v>35.81</v>
      </c>
      <c r="M1108" s="220" t="s">
        <v>1440</v>
      </c>
      <c r="N1108" s="220" t="s">
        <v>1333</v>
      </c>
      <c r="O1108" s="220" t="s">
        <v>1441</v>
      </c>
      <c r="P1108" s="220" t="s">
        <v>1442</v>
      </c>
      <c r="Q1108" s="220" t="s">
        <v>272</v>
      </c>
      <c r="R1108" s="220" t="s">
        <v>189</v>
      </c>
      <c r="S1108" s="220" t="s">
        <v>940</v>
      </c>
    </row>
    <row r="1109" spans="1:19" x14ac:dyDescent="0.25">
      <c r="A1109" s="220">
        <v>159</v>
      </c>
      <c r="B1109" s="220" t="s">
        <v>1439</v>
      </c>
      <c r="C1109" s="220" t="s">
        <v>221</v>
      </c>
      <c r="D1109" s="220" t="s">
        <v>501</v>
      </c>
      <c r="E1109" s="220">
        <v>7</v>
      </c>
      <c r="F1109" s="220">
        <v>176.239</v>
      </c>
      <c r="G1109" s="220">
        <v>13696</v>
      </c>
      <c r="H1109" s="220">
        <v>16491</v>
      </c>
      <c r="I1109" s="220">
        <v>19088</v>
      </c>
      <c r="J1109" s="220">
        <v>173.43199999999999</v>
      </c>
      <c r="K1109" s="220">
        <v>-1.766</v>
      </c>
      <c r="L1109" s="220">
        <v>35.813000000000002</v>
      </c>
      <c r="M1109" s="220" t="s">
        <v>1440</v>
      </c>
      <c r="N1109" s="220" t="s">
        <v>1333</v>
      </c>
      <c r="O1109" s="220" t="s">
        <v>1441</v>
      </c>
      <c r="P1109" s="220" t="s">
        <v>1442</v>
      </c>
      <c r="Q1109" s="220" t="s">
        <v>454</v>
      </c>
      <c r="R1109" s="220" t="s">
        <v>580</v>
      </c>
      <c r="S1109" s="220" t="s">
        <v>1443</v>
      </c>
    </row>
    <row r="1110" spans="1:19" hidden="1" x14ac:dyDescent="0.25">
      <c r="A1110" s="220">
        <v>160</v>
      </c>
      <c r="B1110" s="220" t="s">
        <v>1444</v>
      </c>
      <c r="C1110" s="220" t="s">
        <v>294</v>
      </c>
      <c r="D1110" s="220" t="s">
        <v>502</v>
      </c>
      <c r="E1110" s="220">
        <v>1</v>
      </c>
      <c r="F1110" s="220">
        <v>204.75700000000001</v>
      </c>
      <c r="G1110" s="220">
        <v>10429</v>
      </c>
      <c r="H1110" s="220">
        <v>12301</v>
      </c>
      <c r="I1110" s="220">
        <v>14360</v>
      </c>
      <c r="J1110" s="220">
        <v>201.547</v>
      </c>
      <c r="K1110" s="220">
        <v>-19.948</v>
      </c>
      <c r="L1110" s="220">
        <v>24.353000000000002</v>
      </c>
      <c r="M1110" s="220" t="s">
        <v>673</v>
      </c>
      <c r="N1110" s="220" t="s">
        <v>1333</v>
      </c>
      <c r="O1110" s="220" t="s">
        <v>1445</v>
      </c>
      <c r="P1110" s="220" t="s">
        <v>1446</v>
      </c>
      <c r="Q1110" s="220" t="s">
        <v>62</v>
      </c>
      <c r="R1110" s="220" t="s">
        <v>207</v>
      </c>
      <c r="S1110" s="220" t="s">
        <v>195</v>
      </c>
    </row>
    <row r="1111" spans="1:19" hidden="1" x14ac:dyDescent="0.25">
      <c r="A1111" s="220">
        <v>160</v>
      </c>
      <c r="B1111" s="220" t="s">
        <v>1444</v>
      </c>
      <c r="C1111" s="220" t="s">
        <v>294</v>
      </c>
      <c r="D1111" s="220" t="s">
        <v>502</v>
      </c>
      <c r="E1111" s="220">
        <v>2</v>
      </c>
      <c r="F1111" s="220">
        <v>202.17699999999999</v>
      </c>
      <c r="G1111" s="220">
        <v>10472</v>
      </c>
      <c r="H1111" s="220">
        <v>12351</v>
      </c>
      <c r="I1111" s="220">
        <v>14422</v>
      </c>
      <c r="J1111" s="220">
        <v>199.00700000000001</v>
      </c>
      <c r="K1111" s="220">
        <v>-19.942</v>
      </c>
      <c r="L1111" s="220">
        <v>24.356000000000002</v>
      </c>
      <c r="M1111" s="220" t="s">
        <v>673</v>
      </c>
      <c r="N1111" s="220" t="s">
        <v>1333</v>
      </c>
      <c r="O1111" s="220" t="s">
        <v>1445</v>
      </c>
      <c r="P1111" s="220" t="s">
        <v>1446</v>
      </c>
      <c r="Q1111" s="220" t="s">
        <v>117</v>
      </c>
      <c r="R1111" s="220" t="s">
        <v>119</v>
      </c>
      <c r="S1111" s="220" t="s">
        <v>189</v>
      </c>
    </row>
    <row r="1112" spans="1:19" hidden="1" x14ac:dyDescent="0.25">
      <c r="A1112" s="220">
        <v>160</v>
      </c>
      <c r="B1112" s="220" t="s">
        <v>1444</v>
      </c>
      <c r="C1112" s="220" t="s">
        <v>294</v>
      </c>
      <c r="D1112" s="220" t="s">
        <v>502</v>
      </c>
      <c r="E1112" s="220">
        <v>3</v>
      </c>
      <c r="F1112" s="220">
        <v>204.624</v>
      </c>
      <c r="G1112" s="220">
        <v>10596</v>
      </c>
      <c r="H1112" s="220">
        <v>12499</v>
      </c>
      <c r="I1112" s="220">
        <v>14594</v>
      </c>
      <c r="J1112" s="220">
        <v>201.416</v>
      </c>
      <c r="K1112" s="220">
        <v>-19.937000000000001</v>
      </c>
      <c r="L1112" s="220">
        <v>24.419</v>
      </c>
      <c r="M1112" s="220" t="s">
        <v>673</v>
      </c>
      <c r="N1112" s="220" t="s">
        <v>1333</v>
      </c>
      <c r="O1112" s="220" t="s">
        <v>1445</v>
      </c>
      <c r="P1112" s="220" t="s">
        <v>1446</v>
      </c>
      <c r="Q1112" s="220" t="s">
        <v>203</v>
      </c>
      <c r="R1112" s="220" t="s">
        <v>242</v>
      </c>
      <c r="S1112" s="220" t="s">
        <v>201</v>
      </c>
    </row>
    <row r="1113" spans="1:19" hidden="1" x14ac:dyDescent="0.25">
      <c r="A1113" s="220">
        <v>160</v>
      </c>
      <c r="B1113" s="220" t="s">
        <v>1444</v>
      </c>
      <c r="C1113" s="220" t="s">
        <v>294</v>
      </c>
      <c r="D1113" s="220" t="s">
        <v>502</v>
      </c>
      <c r="E1113" s="220">
        <v>4</v>
      </c>
      <c r="F1113" s="220">
        <v>206.012</v>
      </c>
      <c r="G1113" s="220">
        <v>10531</v>
      </c>
      <c r="H1113" s="220">
        <v>12421</v>
      </c>
      <c r="I1113" s="220">
        <v>14504</v>
      </c>
      <c r="J1113" s="220">
        <v>202.78200000000001</v>
      </c>
      <c r="K1113" s="220">
        <v>-19.937000000000001</v>
      </c>
      <c r="L1113" s="220">
        <v>24.417999999999999</v>
      </c>
      <c r="M1113" s="220" t="s">
        <v>673</v>
      </c>
      <c r="N1113" s="220" t="s">
        <v>1333</v>
      </c>
      <c r="O1113" s="220" t="s">
        <v>1445</v>
      </c>
      <c r="P1113" s="220" t="s">
        <v>1446</v>
      </c>
      <c r="Q1113" s="220" t="s">
        <v>79</v>
      </c>
      <c r="R1113" s="220" t="s">
        <v>280</v>
      </c>
      <c r="S1113" s="220" t="s">
        <v>200</v>
      </c>
    </row>
    <row r="1114" spans="1:19" hidden="1" x14ac:dyDescent="0.25">
      <c r="A1114" s="220">
        <v>160</v>
      </c>
      <c r="B1114" s="220" t="s">
        <v>1444</v>
      </c>
      <c r="C1114" s="220" t="s">
        <v>294</v>
      </c>
      <c r="D1114" s="220" t="s">
        <v>502</v>
      </c>
      <c r="E1114" s="220">
        <v>5</v>
      </c>
      <c r="F1114" s="220">
        <v>215.41900000000001</v>
      </c>
      <c r="G1114" s="220">
        <v>17215</v>
      </c>
      <c r="H1114" s="220">
        <v>20726</v>
      </c>
      <c r="I1114" s="220">
        <v>23972</v>
      </c>
      <c r="J1114" s="220">
        <v>211.99100000000001</v>
      </c>
      <c r="K1114" s="220">
        <v>-2.4169999999999998</v>
      </c>
      <c r="L1114" s="220">
        <v>35.319000000000003</v>
      </c>
      <c r="M1114" s="220" t="s">
        <v>673</v>
      </c>
      <c r="N1114" s="220" t="s">
        <v>1333</v>
      </c>
      <c r="O1114" s="220" t="s">
        <v>1445</v>
      </c>
      <c r="P1114" s="220" t="s">
        <v>1446</v>
      </c>
      <c r="Q1114" s="220" t="s">
        <v>399</v>
      </c>
      <c r="R1114" s="220" t="s">
        <v>56</v>
      </c>
      <c r="S1114" s="220" t="s">
        <v>99</v>
      </c>
    </row>
    <row r="1115" spans="1:19" x14ac:dyDescent="0.25">
      <c r="A1115" s="220">
        <v>160</v>
      </c>
      <c r="B1115" s="220" t="s">
        <v>1444</v>
      </c>
      <c r="C1115" s="220" t="s">
        <v>294</v>
      </c>
      <c r="D1115" s="220" t="s">
        <v>502</v>
      </c>
      <c r="E1115" s="220">
        <v>6</v>
      </c>
      <c r="F1115" s="220">
        <v>189.452</v>
      </c>
      <c r="G1115" s="220">
        <v>15273</v>
      </c>
      <c r="H1115" s="220">
        <v>18377</v>
      </c>
      <c r="I1115" s="220">
        <v>21270</v>
      </c>
      <c r="J1115" s="220">
        <v>186.43600000000001</v>
      </c>
      <c r="K1115" s="220">
        <v>-2.375</v>
      </c>
      <c r="L1115" s="220">
        <v>35.831000000000003</v>
      </c>
      <c r="M1115" s="220" t="s">
        <v>673</v>
      </c>
      <c r="N1115" s="220" t="s">
        <v>1333</v>
      </c>
      <c r="O1115" s="220" t="s">
        <v>1445</v>
      </c>
      <c r="P1115" s="220" t="s">
        <v>1446</v>
      </c>
      <c r="Q1115" s="220" t="s">
        <v>214</v>
      </c>
      <c r="R1115" s="220" t="s">
        <v>138</v>
      </c>
      <c r="S1115" s="220" t="s">
        <v>631</v>
      </c>
    </row>
    <row r="1116" spans="1:19" x14ac:dyDescent="0.25">
      <c r="A1116" s="220">
        <v>160</v>
      </c>
      <c r="B1116" s="220" t="s">
        <v>1444</v>
      </c>
      <c r="C1116" s="220" t="s">
        <v>294</v>
      </c>
      <c r="D1116" s="220" t="s">
        <v>502</v>
      </c>
      <c r="E1116" s="220">
        <v>7</v>
      </c>
      <c r="F1116" s="220">
        <v>178.25899999999999</v>
      </c>
      <c r="G1116" s="220">
        <v>14177</v>
      </c>
      <c r="H1116" s="220">
        <v>17056</v>
      </c>
      <c r="I1116" s="220">
        <v>19747</v>
      </c>
      <c r="J1116" s="220">
        <v>175.42099999999999</v>
      </c>
      <c r="K1116" s="220">
        <v>-2.3860000000000001</v>
      </c>
      <c r="L1116" s="220">
        <v>35.850999999999999</v>
      </c>
      <c r="M1116" s="220" t="s">
        <v>673</v>
      </c>
      <c r="N1116" s="220" t="s">
        <v>1333</v>
      </c>
      <c r="O1116" s="220" t="s">
        <v>1445</v>
      </c>
      <c r="P1116" s="220" t="s">
        <v>1446</v>
      </c>
      <c r="Q1116" s="220" t="s">
        <v>214</v>
      </c>
      <c r="R1116" s="220" t="s">
        <v>138</v>
      </c>
      <c r="S1116" s="220" t="s">
        <v>631</v>
      </c>
    </row>
    <row r="1117" spans="1:19" hidden="1" x14ac:dyDescent="0.25">
      <c r="A1117" s="220">
        <v>161</v>
      </c>
      <c r="B1117" s="220" t="s">
        <v>1447</v>
      </c>
      <c r="C1117" s="220" t="s">
        <v>737</v>
      </c>
      <c r="D1117" s="220" t="s">
        <v>504</v>
      </c>
      <c r="E1117" s="220">
        <v>1</v>
      </c>
      <c r="F1117" s="220">
        <v>203.767</v>
      </c>
      <c r="G1117" s="220">
        <v>10458</v>
      </c>
      <c r="H1117" s="220">
        <v>12336</v>
      </c>
      <c r="I1117" s="220">
        <v>14379</v>
      </c>
      <c r="J1117" s="220">
        <v>200.57300000000001</v>
      </c>
      <c r="K1117" s="220">
        <v>-19.949000000000002</v>
      </c>
      <c r="L1117" s="220">
        <v>24.48</v>
      </c>
      <c r="M1117" s="220" t="s">
        <v>1448</v>
      </c>
      <c r="N1117" s="220" t="s">
        <v>1333</v>
      </c>
      <c r="O1117" s="220" t="s">
        <v>1449</v>
      </c>
      <c r="P1117" s="220" t="s">
        <v>1450</v>
      </c>
      <c r="Q1117" s="220" t="s">
        <v>85</v>
      </c>
      <c r="R1117" s="220" t="s">
        <v>145</v>
      </c>
      <c r="S1117" s="220" t="s">
        <v>135</v>
      </c>
    </row>
    <row r="1118" spans="1:19" hidden="1" x14ac:dyDescent="0.25">
      <c r="A1118" s="220">
        <v>161</v>
      </c>
      <c r="B1118" s="220" t="s">
        <v>1447</v>
      </c>
      <c r="C1118" s="220" t="s">
        <v>737</v>
      </c>
      <c r="D1118" s="220" t="s">
        <v>504</v>
      </c>
      <c r="E1118" s="220">
        <v>2</v>
      </c>
      <c r="F1118" s="220">
        <v>203.21799999999999</v>
      </c>
      <c r="G1118" s="220">
        <v>10468</v>
      </c>
      <c r="H1118" s="220">
        <v>12347</v>
      </c>
      <c r="I1118" s="220">
        <v>14392</v>
      </c>
      <c r="J1118" s="220">
        <v>200.03299999999999</v>
      </c>
      <c r="K1118" s="220">
        <v>-19.954999999999998</v>
      </c>
      <c r="L1118" s="220">
        <v>24.468</v>
      </c>
      <c r="M1118" s="220" t="s">
        <v>1448</v>
      </c>
      <c r="N1118" s="220" t="s">
        <v>1333</v>
      </c>
      <c r="O1118" s="220" t="s">
        <v>1449</v>
      </c>
      <c r="P1118" s="220" t="s">
        <v>1450</v>
      </c>
      <c r="Q1118" s="220" t="s">
        <v>158</v>
      </c>
      <c r="R1118" s="220" t="s">
        <v>233</v>
      </c>
      <c r="S1118" s="220" t="s">
        <v>189</v>
      </c>
    </row>
    <row r="1119" spans="1:19" hidden="1" x14ac:dyDescent="0.25">
      <c r="A1119" s="220">
        <v>161</v>
      </c>
      <c r="B1119" s="220" t="s">
        <v>1447</v>
      </c>
      <c r="C1119" s="220" t="s">
        <v>737</v>
      </c>
      <c r="D1119" s="220" t="s">
        <v>504</v>
      </c>
      <c r="E1119" s="220">
        <v>3</v>
      </c>
      <c r="F1119" s="220">
        <v>204.99799999999999</v>
      </c>
      <c r="G1119" s="220">
        <v>10541</v>
      </c>
      <c r="H1119" s="220">
        <v>12433</v>
      </c>
      <c r="I1119" s="220">
        <v>14493</v>
      </c>
      <c r="J1119" s="220">
        <v>201.785</v>
      </c>
      <c r="K1119" s="220">
        <v>-19.952999999999999</v>
      </c>
      <c r="L1119" s="220">
        <v>24.443000000000001</v>
      </c>
      <c r="M1119" s="220" t="s">
        <v>1448</v>
      </c>
      <c r="N1119" s="220" t="s">
        <v>1333</v>
      </c>
      <c r="O1119" s="220" t="s">
        <v>1449</v>
      </c>
      <c r="P1119" s="220" t="s">
        <v>1450</v>
      </c>
      <c r="Q1119" s="220" t="s">
        <v>277</v>
      </c>
      <c r="R1119" s="220" t="s">
        <v>280</v>
      </c>
      <c r="S1119" s="220" t="s">
        <v>144</v>
      </c>
    </row>
    <row r="1120" spans="1:19" hidden="1" x14ac:dyDescent="0.25">
      <c r="A1120" s="220">
        <v>161</v>
      </c>
      <c r="B1120" s="220" t="s">
        <v>1447</v>
      </c>
      <c r="C1120" s="220" t="s">
        <v>737</v>
      </c>
      <c r="D1120" s="220" t="s">
        <v>504</v>
      </c>
      <c r="E1120" s="220">
        <v>4</v>
      </c>
      <c r="F1120" s="220">
        <v>203.28100000000001</v>
      </c>
      <c r="G1120" s="220">
        <v>10512</v>
      </c>
      <c r="H1120" s="220">
        <v>12399</v>
      </c>
      <c r="I1120" s="220">
        <v>14453</v>
      </c>
      <c r="J1120" s="220">
        <v>200.096</v>
      </c>
      <c r="K1120" s="220">
        <v>-19.937000000000001</v>
      </c>
      <c r="L1120" s="220">
        <v>24.417999999999999</v>
      </c>
      <c r="M1120" s="220" t="s">
        <v>1448</v>
      </c>
      <c r="N1120" s="220" t="s">
        <v>1333</v>
      </c>
      <c r="O1120" s="220" t="s">
        <v>1449</v>
      </c>
      <c r="P1120" s="220" t="s">
        <v>1450</v>
      </c>
      <c r="Q1120" s="220" t="s">
        <v>81</v>
      </c>
      <c r="R1120" s="220" t="s">
        <v>214</v>
      </c>
      <c r="S1120" s="220" t="s">
        <v>241</v>
      </c>
    </row>
    <row r="1121" spans="1:19" hidden="1" x14ac:dyDescent="0.25">
      <c r="A1121" s="220">
        <v>161</v>
      </c>
      <c r="B1121" s="220" t="s">
        <v>1447</v>
      </c>
      <c r="C1121" s="220" t="s">
        <v>737</v>
      </c>
      <c r="D1121" s="220" t="s">
        <v>504</v>
      </c>
      <c r="E1121" s="220">
        <v>5</v>
      </c>
      <c r="F1121" s="220">
        <v>233.76900000000001</v>
      </c>
      <c r="G1121" s="220">
        <v>17911</v>
      </c>
      <c r="H1121" s="220">
        <v>21566</v>
      </c>
      <c r="I1121" s="220">
        <v>24899</v>
      </c>
      <c r="J1121" s="220">
        <v>230.05099999999999</v>
      </c>
      <c r="K1121" s="220">
        <v>-2.7829999999999999</v>
      </c>
      <c r="L1121" s="220">
        <v>35.593000000000004</v>
      </c>
      <c r="M1121" s="220" t="s">
        <v>1448</v>
      </c>
      <c r="N1121" s="220" t="s">
        <v>1333</v>
      </c>
      <c r="O1121" s="220" t="s">
        <v>1449</v>
      </c>
      <c r="P1121" s="220" t="s">
        <v>1450</v>
      </c>
      <c r="Q1121" s="220" t="s">
        <v>169</v>
      </c>
      <c r="R1121" s="220" t="s">
        <v>594</v>
      </c>
      <c r="S1121" s="220" t="s">
        <v>45</v>
      </c>
    </row>
    <row r="1122" spans="1:19" x14ac:dyDescent="0.25">
      <c r="A1122" s="220">
        <v>161</v>
      </c>
      <c r="B1122" s="220" t="s">
        <v>1447</v>
      </c>
      <c r="C1122" s="220" t="s">
        <v>737</v>
      </c>
      <c r="D1122" s="220" t="s">
        <v>504</v>
      </c>
      <c r="E1122" s="220">
        <v>6</v>
      </c>
      <c r="F1122" s="220">
        <v>205.691</v>
      </c>
      <c r="G1122" s="220">
        <v>15978</v>
      </c>
      <c r="H1122" s="220">
        <v>19237</v>
      </c>
      <c r="I1122" s="220">
        <v>22210</v>
      </c>
      <c r="J1122" s="220">
        <v>202.41900000000001</v>
      </c>
      <c r="K1122" s="220">
        <v>-2.7440000000000002</v>
      </c>
      <c r="L1122" s="220">
        <v>35.792000000000002</v>
      </c>
      <c r="M1122" s="220" t="s">
        <v>1448</v>
      </c>
      <c r="N1122" s="220" t="s">
        <v>1333</v>
      </c>
      <c r="O1122" s="220" t="s">
        <v>1449</v>
      </c>
      <c r="P1122" s="220" t="s">
        <v>1450</v>
      </c>
      <c r="Q1122" s="220" t="s">
        <v>214</v>
      </c>
      <c r="R1122" s="220" t="s">
        <v>138</v>
      </c>
      <c r="S1122" s="220" t="s">
        <v>613</v>
      </c>
    </row>
    <row r="1123" spans="1:19" x14ac:dyDescent="0.25">
      <c r="A1123" s="220">
        <v>161</v>
      </c>
      <c r="B1123" s="220" t="s">
        <v>1447</v>
      </c>
      <c r="C1123" s="220" t="s">
        <v>737</v>
      </c>
      <c r="D1123" s="220" t="s">
        <v>504</v>
      </c>
      <c r="E1123" s="220">
        <v>7</v>
      </c>
      <c r="F1123" s="220">
        <v>190.50299999999999</v>
      </c>
      <c r="G1123" s="220">
        <v>14884</v>
      </c>
      <c r="H1123" s="220">
        <v>17916</v>
      </c>
      <c r="I1123" s="220">
        <v>20694</v>
      </c>
      <c r="J1123" s="220">
        <v>187.47300000000001</v>
      </c>
      <c r="K1123" s="220">
        <v>-2.7</v>
      </c>
      <c r="L1123" s="220">
        <v>35.893999999999998</v>
      </c>
      <c r="M1123" s="220" t="s">
        <v>1448</v>
      </c>
      <c r="N1123" s="220" t="s">
        <v>1333</v>
      </c>
      <c r="O1123" s="220" t="s">
        <v>1449</v>
      </c>
      <c r="P1123" s="220" t="s">
        <v>1450</v>
      </c>
      <c r="Q1123" s="220" t="s">
        <v>417</v>
      </c>
      <c r="R1123" s="220" t="s">
        <v>1451</v>
      </c>
      <c r="S1123" s="220" t="s">
        <v>882</v>
      </c>
    </row>
    <row r="1124" spans="1:19" hidden="1" x14ac:dyDescent="0.25">
      <c r="A1124" s="220">
        <v>162</v>
      </c>
      <c r="B1124" s="220" t="s">
        <v>1452</v>
      </c>
      <c r="C1124" s="220" t="s">
        <v>227</v>
      </c>
      <c r="D1124" s="220" t="s">
        <v>506</v>
      </c>
      <c r="E1124" s="220">
        <v>1</v>
      </c>
      <c r="F1124" s="220">
        <v>207.11799999999999</v>
      </c>
      <c r="G1124" s="220">
        <v>10551</v>
      </c>
      <c r="H1124" s="220">
        <v>12444</v>
      </c>
      <c r="I1124" s="220">
        <v>14539</v>
      </c>
      <c r="J1124" s="220">
        <v>203.87</v>
      </c>
      <c r="K1124" s="220">
        <v>-19.911999999999999</v>
      </c>
      <c r="L1124" s="220">
        <v>24.436</v>
      </c>
      <c r="M1124" s="220" t="s">
        <v>1453</v>
      </c>
      <c r="N1124" s="220" t="s">
        <v>1333</v>
      </c>
      <c r="O1124" s="220" t="s">
        <v>1454</v>
      </c>
      <c r="P1124" s="220" t="s">
        <v>1455</v>
      </c>
      <c r="Q1124" s="220" t="s">
        <v>90</v>
      </c>
      <c r="R1124" s="220" t="s">
        <v>111</v>
      </c>
      <c r="S1124" s="220" t="s">
        <v>209</v>
      </c>
    </row>
    <row r="1125" spans="1:19" hidden="1" x14ac:dyDescent="0.25">
      <c r="A1125" s="220">
        <v>162</v>
      </c>
      <c r="B1125" s="220" t="s">
        <v>1452</v>
      </c>
      <c r="C1125" s="220" t="s">
        <v>227</v>
      </c>
      <c r="D1125" s="220" t="s">
        <v>506</v>
      </c>
      <c r="E1125" s="220">
        <v>2</v>
      </c>
      <c r="F1125" s="220">
        <v>202.66399999999999</v>
      </c>
      <c r="G1125" s="220">
        <v>10495</v>
      </c>
      <c r="H1125" s="220">
        <v>12379</v>
      </c>
      <c r="I1125" s="220">
        <v>14464</v>
      </c>
      <c r="J1125" s="220">
        <v>199.48599999999999</v>
      </c>
      <c r="K1125" s="220">
        <v>-19.927</v>
      </c>
      <c r="L1125" s="220">
        <v>24.391999999999999</v>
      </c>
      <c r="M1125" s="220" t="s">
        <v>1453</v>
      </c>
      <c r="N1125" s="220" t="s">
        <v>1333</v>
      </c>
      <c r="O1125" s="220" t="s">
        <v>1454</v>
      </c>
      <c r="P1125" s="220" t="s">
        <v>1455</v>
      </c>
      <c r="Q1125" s="220" t="s">
        <v>203</v>
      </c>
      <c r="R1125" s="220" t="s">
        <v>112</v>
      </c>
      <c r="S1125" s="220" t="s">
        <v>519</v>
      </c>
    </row>
    <row r="1126" spans="1:19" hidden="1" x14ac:dyDescent="0.25">
      <c r="A1126" s="220">
        <v>162</v>
      </c>
      <c r="B1126" s="220" t="s">
        <v>1452</v>
      </c>
      <c r="C1126" s="220" t="s">
        <v>227</v>
      </c>
      <c r="D1126" s="220" t="s">
        <v>506</v>
      </c>
      <c r="E1126" s="220">
        <v>3</v>
      </c>
      <c r="F1126" s="220">
        <v>204.50200000000001</v>
      </c>
      <c r="G1126" s="220">
        <v>10547</v>
      </c>
      <c r="H1126" s="220">
        <v>12440</v>
      </c>
      <c r="I1126" s="220">
        <v>14532</v>
      </c>
      <c r="J1126" s="220">
        <v>201.29499999999999</v>
      </c>
      <c r="K1126" s="220">
        <v>-19.922000000000001</v>
      </c>
      <c r="L1126" s="220">
        <v>24.396000000000001</v>
      </c>
      <c r="M1126" s="220" t="s">
        <v>1453</v>
      </c>
      <c r="N1126" s="220" t="s">
        <v>1333</v>
      </c>
      <c r="O1126" s="220" t="s">
        <v>1454</v>
      </c>
      <c r="P1126" s="220" t="s">
        <v>1455</v>
      </c>
      <c r="Q1126" s="220" t="s">
        <v>246</v>
      </c>
      <c r="R1126" s="220" t="s">
        <v>259</v>
      </c>
      <c r="S1126" s="220" t="s">
        <v>584</v>
      </c>
    </row>
    <row r="1127" spans="1:19" hidden="1" x14ac:dyDescent="0.25">
      <c r="A1127" s="220">
        <v>162</v>
      </c>
      <c r="B1127" s="220" t="s">
        <v>1452</v>
      </c>
      <c r="C1127" s="220" t="s">
        <v>227</v>
      </c>
      <c r="D1127" s="220" t="s">
        <v>506</v>
      </c>
      <c r="E1127" s="220">
        <v>4</v>
      </c>
      <c r="F1127" s="220">
        <v>204.56299999999999</v>
      </c>
      <c r="G1127" s="220">
        <v>10503</v>
      </c>
      <c r="H1127" s="220">
        <v>12387</v>
      </c>
      <c r="I1127" s="220">
        <v>14475</v>
      </c>
      <c r="J1127" s="220">
        <v>201.35499999999999</v>
      </c>
      <c r="K1127" s="220">
        <v>-19.937000000000001</v>
      </c>
      <c r="L1127" s="220">
        <v>24.417999999999999</v>
      </c>
      <c r="M1127" s="220" t="s">
        <v>1453</v>
      </c>
      <c r="N1127" s="220" t="s">
        <v>1333</v>
      </c>
      <c r="O1127" s="220" t="s">
        <v>1454</v>
      </c>
      <c r="P1127" s="220" t="s">
        <v>1455</v>
      </c>
      <c r="Q1127" s="220" t="s">
        <v>110</v>
      </c>
      <c r="R1127" s="220" t="s">
        <v>281</v>
      </c>
      <c r="S1127" s="220" t="s">
        <v>528</v>
      </c>
    </row>
    <row r="1128" spans="1:19" hidden="1" x14ac:dyDescent="0.25">
      <c r="A1128" s="220">
        <v>162</v>
      </c>
      <c r="B1128" s="220" t="s">
        <v>1452</v>
      </c>
      <c r="C1128" s="220" t="s">
        <v>227</v>
      </c>
      <c r="D1128" s="220" t="s">
        <v>506</v>
      </c>
      <c r="E1128" s="220">
        <v>5</v>
      </c>
      <c r="F1128" s="220">
        <v>184.71</v>
      </c>
      <c r="G1128" s="220">
        <v>14424</v>
      </c>
      <c r="H1128" s="220">
        <v>17354</v>
      </c>
      <c r="I1128" s="220">
        <v>20108</v>
      </c>
      <c r="J1128" s="220">
        <v>181.77</v>
      </c>
      <c r="K1128" s="220">
        <v>-2.327</v>
      </c>
      <c r="L1128" s="220">
        <v>35.828000000000003</v>
      </c>
      <c r="M1128" s="220" t="s">
        <v>1453</v>
      </c>
      <c r="N1128" s="220" t="s">
        <v>1333</v>
      </c>
      <c r="O1128" s="220" t="s">
        <v>1454</v>
      </c>
      <c r="P1128" s="220" t="s">
        <v>1455</v>
      </c>
      <c r="Q1128" s="220" t="s">
        <v>399</v>
      </c>
      <c r="R1128" s="220" t="s">
        <v>56</v>
      </c>
      <c r="S1128" s="220" t="s">
        <v>50</v>
      </c>
    </row>
    <row r="1129" spans="1:19" x14ac:dyDescent="0.25">
      <c r="A1129" s="220">
        <v>162</v>
      </c>
      <c r="B1129" s="220" t="s">
        <v>1452</v>
      </c>
      <c r="C1129" s="220" t="s">
        <v>227</v>
      </c>
      <c r="D1129" s="220" t="s">
        <v>506</v>
      </c>
      <c r="E1129" s="220">
        <v>6</v>
      </c>
      <c r="F1129" s="220">
        <v>161.249</v>
      </c>
      <c r="G1129" s="220">
        <v>12711</v>
      </c>
      <c r="H1129" s="220">
        <v>15287</v>
      </c>
      <c r="I1129" s="220">
        <v>17724</v>
      </c>
      <c r="J1129" s="220">
        <v>158.68199999999999</v>
      </c>
      <c r="K1129" s="220">
        <v>-2.3050000000000002</v>
      </c>
      <c r="L1129" s="220">
        <v>36.210999999999999</v>
      </c>
      <c r="M1129" s="220" t="s">
        <v>1453</v>
      </c>
      <c r="N1129" s="220" t="s">
        <v>1333</v>
      </c>
      <c r="O1129" s="220" t="s">
        <v>1454</v>
      </c>
      <c r="P1129" s="220" t="s">
        <v>1455</v>
      </c>
      <c r="Q1129" s="220" t="s">
        <v>135</v>
      </c>
      <c r="R1129" s="220" t="s">
        <v>263</v>
      </c>
      <c r="S1129" s="220" t="s">
        <v>205</v>
      </c>
    </row>
    <row r="1130" spans="1:19" x14ac:dyDescent="0.25">
      <c r="A1130" s="220">
        <v>162</v>
      </c>
      <c r="B1130" s="220" t="s">
        <v>1452</v>
      </c>
      <c r="C1130" s="220" t="s">
        <v>227</v>
      </c>
      <c r="D1130" s="220" t="s">
        <v>506</v>
      </c>
      <c r="E1130" s="220">
        <v>7</v>
      </c>
      <c r="F1130" s="220">
        <v>151.76499999999999</v>
      </c>
      <c r="G1130" s="220">
        <v>11774</v>
      </c>
      <c r="H1130" s="220">
        <v>14157</v>
      </c>
      <c r="I1130" s="220">
        <v>16418</v>
      </c>
      <c r="J1130" s="220">
        <v>149.34899999999999</v>
      </c>
      <c r="K1130" s="220">
        <v>-2.3149999999999999</v>
      </c>
      <c r="L1130" s="220">
        <v>36.192999999999998</v>
      </c>
      <c r="M1130" s="220" t="s">
        <v>1453</v>
      </c>
      <c r="N1130" s="220" t="s">
        <v>1333</v>
      </c>
      <c r="O1130" s="220" t="s">
        <v>1454</v>
      </c>
      <c r="P1130" s="220" t="s">
        <v>1455</v>
      </c>
      <c r="Q1130" s="220" t="s">
        <v>135</v>
      </c>
      <c r="R1130" s="220" t="s">
        <v>263</v>
      </c>
      <c r="S1130" s="220" t="s">
        <v>205</v>
      </c>
    </row>
    <row r="1131" spans="1:19" hidden="1" x14ac:dyDescent="0.25">
      <c r="A1131" s="220">
        <v>163</v>
      </c>
      <c r="B1131" s="220" t="s">
        <v>1456</v>
      </c>
      <c r="C1131" s="220" t="s">
        <v>269</v>
      </c>
      <c r="D1131" s="220" t="s">
        <v>507</v>
      </c>
      <c r="E1131" s="220">
        <v>1</v>
      </c>
      <c r="F1131" s="220">
        <v>204.48099999999999</v>
      </c>
      <c r="G1131" s="220">
        <v>10454</v>
      </c>
      <c r="H1131" s="220">
        <v>12330</v>
      </c>
      <c r="I1131" s="220">
        <v>14392</v>
      </c>
      <c r="J1131" s="220">
        <v>201.27500000000001</v>
      </c>
      <c r="K1131" s="220">
        <v>-19.927</v>
      </c>
      <c r="L1131" s="220">
        <v>24.396999999999998</v>
      </c>
      <c r="M1131" s="220" t="s">
        <v>732</v>
      </c>
      <c r="N1131" s="220" t="s">
        <v>1333</v>
      </c>
      <c r="O1131" s="220" t="s">
        <v>1457</v>
      </c>
      <c r="P1131" s="220" t="s">
        <v>1458</v>
      </c>
      <c r="Q1131" s="220" t="s">
        <v>649</v>
      </c>
      <c r="R1131" s="220" t="s">
        <v>109</v>
      </c>
      <c r="S1131" s="220" t="s">
        <v>228</v>
      </c>
    </row>
    <row r="1132" spans="1:19" hidden="1" x14ac:dyDescent="0.25">
      <c r="A1132" s="220">
        <v>163</v>
      </c>
      <c r="B1132" s="220" t="s">
        <v>1456</v>
      </c>
      <c r="C1132" s="220" t="s">
        <v>269</v>
      </c>
      <c r="D1132" s="220" t="s">
        <v>507</v>
      </c>
      <c r="E1132" s="220">
        <v>2</v>
      </c>
      <c r="F1132" s="220">
        <v>203.535</v>
      </c>
      <c r="G1132" s="220">
        <v>10541</v>
      </c>
      <c r="H1132" s="220">
        <v>12434</v>
      </c>
      <c r="I1132" s="220">
        <v>14514</v>
      </c>
      <c r="J1132" s="220">
        <v>200.34399999999999</v>
      </c>
      <c r="K1132" s="220">
        <v>-19.920999999999999</v>
      </c>
      <c r="L1132" s="220">
        <v>24.443000000000001</v>
      </c>
      <c r="M1132" s="220" t="s">
        <v>732</v>
      </c>
      <c r="N1132" s="220" t="s">
        <v>1333</v>
      </c>
      <c r="O1132" s="220" t="s">
        <v>1457</v>
      </c>
      <c r="P1132" s="220" t="s">
        <v>1458</v>
      </c>
      <c r="Q1132" s="220" t="s">
        <v>202</v>
      </c>
      <c r="R1132" s="220" t="s">
        <v>216</v>
      </c>
      <c r="S1132" s="220" t="s">
        <v>258</v>
      </c>
    </row>
    <row r="1133" spans="1:19" hidden="1" x14ac:dyDescent="0.25">
      <c r="A1133" s="220">
        <v>163</v>
      </c>
      <c r="B1133" s="220" t="s">
        <v>1456</v>
      </c>
      <c r="C1133" s="220" t="s">
        <v>269</v>
      </c>
      <c r="D1133" s="220" t="s">
        <v>507</v>
      </c>
      <c r="E1133" s="220">
        <v>3</v>
      </c>
      <c r="F1133" s="220">
        <v>204.303</v>
      </c>
      <c r="G1133" s="220">
        <v>10569</v>
      </c>
      <c r="H1133" s="220">
        <v>12467</v>
      </c>
      <c r="I1133" s="220">
        <v>14560</v>
      </c>
      <c r="J1133" s="220">
        <v>201.1</v>
      </c>
      <c r="K1133" s="220">
        <v>-19.928000000000001</v>
      </c>
      <c r="L1133" s="220">
        <v>24.443000000000001</v>
      </c>
      <c r="M1133" s="220" t="s">
        <v>732</v>
      </c>
      <c r="N1133" s="220" t="s">
        <v>1333</v>
      </c>
      <c r="O1133" s="220" t="s">
        <v>1457</v>
      </c>
      <c r="P1133" s="220" t="s">
        <v>1458</v>
      </c>
      <c r="Q1133" s="220" t="s">
        <v>111</v>
      </c>
      <c r="R1133" s="220" t="s">
        <v>132</v>
      </c>
      <c r="S1133" s="220" t="s">
        <v>585</v>
      </c>
    </row>
    <row r="1134" spans="1:19" hidden="1" x14ac:dyDescent="0.25">
      <c r="A1134" s="220">
        <v>163</v>
      </c>
      <c r="B1134" s="220" t="s">
        <v>1456</v>
      </c>
      <c r="C1134" s="220" t="s">
        <v>269</v>
      </c>
      <c r="D1134" s="220" t="s">
        <v>507</v>
      </c>
      <c r="E1134" s="220">
        <v>4</v>
      </c>
      <c r="F1134" s="220">
        <v>203.12200000000001</v>
      </c>
      <c r="G1134" s="220">
        <v>10467</v>
      </c>
      <c r="H1134" s="220">
        <v>12345</v>
      </c>
      <c r="I1134" s="220">
        <v>14410</v>
      </c>
      <c r="J1134" s="220">
        <v>199.93799999999999</v>
      </c>
      <c r="K1134" s="220">
        <v>-19.937000000000001</v>
      </c>
      <c r="L1134" s="220">
        <v>24.417999999999999</v>
      </c>
      <c r="M1134" s="220" t="s">
        <v>732</v>
      </c>
      <c r="N1134" s="220" t="s">
        <v>1333</v>
      </c>
      <c r="O1134" s="220" t="s">
        <v>1457</v>
      </c>
      <c r="P1134" s="220" t="s">
        <v>1458</v>
      </c>
      <c r="Q1134" s="220" t="s">
        <v>111</v>
      </c>
      <c r="R1134" s="220" t="s">
        <v>132</v>
      </c>
      <c r="S1134" s="220" t="s">
        <v>189</v>
      </c>
    </row>
    <row r="1135" spans="1:19" hidden="1" x14ac:dyDescent="0.25">
      <c r="A1135" s="220">
        <v>163</v>
      </c>
      <c r="B1135" s="220" t="s">
        <v>1456</v>
      </c>
      <c r="C1135" s="220" t="s">
        <v>269</v>
      </c>
      <c r="D1135" s="220" t="s">
        <v>507</v>
      </c>
      <c r="E1135" s="220">
        <v>5</v>
      </c>
      <c r="F1135" s="220">
        <v>188.827</v>
      </c>
      <c r="G1135" s="220">
        <v>14469</v>
      </c>
      <c r="H1135" s="220">
        <v>17426</v>
      </c>
      <c r="I1135" s="220">
        <v>20154</v>
      </c>
      <c r="J1135" s="220">
        <v>185.82</v>
      </c>
      <c r="K1135" s="220">
        <v>-2.12</v>
      </c>
      <c r="L1135" s="220">
        <v>35.747</v>
      </c>
      <c r="M1135" s="220" t="s">
        <v>732</v>
      </c>
      <c r="N1135" s="220" t="s">
        <v>1333</v>
      </c>
      <c r="O1135" s="220" t="s">
        <v>1457</v>
      </c>
      <c r="P1135" s="220" t="s">
        <v>1458</v>
      </c>
      <c r="Q1135" s="220" t="s">
        <v>171</v>
      </c>
      <c r="R1135" s="220" t="s">
        <v>185</v>
      </c>
      <c r="S1135" s="220" t="s">
        <v>582</v>
      </c>
    </row>
    <row r="1136" spans="1:19" x14ac:dyDescent="0.25">
      <c r="A1136" s="220">
        <v>163</v>
      </c>
      <c r="B1136" s="220" t="s">
        <v>1456</v>
      </c>
      <c r="C1136" s="220" t="s">
        <v>269</v>
      </c>
      <c r="D1136" s="220" t="s">
        <v>507</v>
      </c>
      <c r="E1136" s="220">
        <v>6</v>
      </c>
      <c r="F1136" s="220">
        <v>166.64500000000001</v>
      </c>
      <c r="G1136" s="220">
        <v>13015</v>
      </c>
      <c r="H1136" s="220">
        <v>15672</v>
      </c>
      <c r="I1136" s="220">
        <v>18125</v>
      </c>
      <c r="J1136" s="220">
        <v>163.99199999999999</v>
      </c>
      <c r="K1136" s="220">
        <v>-2.081</v>
      </c>
      <c r="L1136" s="220">
        <v>35.942999999999998</v>
      </c>
      <c r="M1136" s="220" t="s">
        <v>732</v>
      </c>
      <c r="N1136" s="220" t="s">
        <v>1333</v>
      </c>
      <c r="O1136" s="220" t="s">
        <v>1457</v>
      </c>
      <c r="P1136" s="220" t="s">
        <v>1458</v>
      </c>
      <c r="Q1136" s="220" t="s">
        <v>228</v>
      </c>
      <c r="R1136" s="220" t="s">
        <v>196</v>
      </c>
      <c r="S1136" s="220" t="s">
        <v>218</v>
      </c>
    </row>
    <row r="1137" spans="1:19" x14ac:dyDescent="0.25">
      <c r="A1137" s="220">
        <v>163</v>
      </c>
      <c r="B1137" s="220" t="s">
        <v>1456</v>
      </c>
      <c r="C1137" s="220" t="s">
        <v>269</v>
      </c>
      <c r="D1137" s="220" t="s">
        <v>507</v>
      </c>
      <c r="E1137" s="220">
        <v>7</v>
      </c>
      <c r="F1137" s="220">
        <v>155.19300000000001</v>
      </c>
      <c r="G1137" s="220">
        <v>12225</v>
      </c>
      <c r="H1137" s="220">
        <v>14720</v>
      </c>
      <c r="I1137" s="220">
        <v>17027</v>
      </c>
      <c r="J1137" s="220">
        <v>152.72200000000001</v>
      </c>
      <c r="K1137" s="220">
        <v>-2.0489999999999999</v>
      </c>
      <c r="L1137" s="220">
        <v>35.975999999999999</v>
      </c>
      <c r="M1137" s="220" t="s">
        <v>732</v>
      </c>
      <c r="N1137" s="220" t="s">
        <v>1333</v>
      </c>
      <c r="O1137" s="220" t="s">
        <v>1457</v>
      </c>
      <c r="P1137" s="220" t="s">
        <v>1458</v>
      </c>
      <c r="Q1137" s="220" t="s">
        <v>503</v>
      </c>
      <c r="R1137" s="220" t="s">
        <v>1459</v>
      </c>
      <c r="S1137" s="220" t="s">
        <v>634</v>
      </c>
    </row>
    <row r="1138" spans="1:19" hidden="1" x14ac:dyDescent="0.25">
      <c r="A1138" s="220">
        <v>164</v>
      </c>
      <c r="B1138" s="220" t="s">
        <v>1460</v>
      </c>
      <c r="C1138" s="220" t="s">
        <v>260</v>
      </c>
      <c r="D1138" s="220" t="s">
        <v>508</v>
      </c>
      <c r="E1138" s="220">
        <v>1</v>
      </c>
      <c r="F1138" s="220">
        <v>204.23400000000001</v>
      </c>
      <c r="G1138" s="220">
        <v>10464</v>
      </c>
      <c r="H1138" s="220">
        <v>12340</v>
      </c>
      <c r="I1138" s="220">
        <v>14417</v>
      </c>
      <c r="J1138" s="220">
        <v>201.03100000000001</v>
      </c>
      <c r="K1138" s="220">
        <v>-19.923999999999999</v>
      </c>
      <c r="L1138" s="220">
        <v>24.44</v>
      </c>
      <c r="M1138" s="220" t="s">
        <v>1085</v>
      </c>
      <c r="N1138" s="220" t="s">
        <v>1333</v>
      </c>
      <c r="O1138" s="220" t="s">
        <v>1461</v>
      </c>
      <c r="P1138" s="220" t="s">
        <v>1462</v>
      </c>
      <c r="Q1138" s="220" t="s">
        <v>74</v>
      </c>
      <c r="R1138" s="220" t="s">
        <v>122</v>
      </c>
      <c r="S1138" s="220" t="s">
        <v>192</v>
      </c>
    </row>
    <row r="1139" spans="1:19" hidden="1" x14ac:dyDescent="0.25">
      <c r="A1139" s="220">
        <v>164</v>
      </c>
      <c r="B1139" s="220" t="s">
        <v>1460</v>
      </c>
      <c r="C1139" s="220" t="s">
        <v>260</v>
      </c>
      <c r="D1139" s="220" t="s">
        <v>508</v>
      </c>
      <c r="E1139" s="220">
        <v>2</v>
      </c>
      <c r="F1139" s="220">
        <v>202.327</v>
      </c>
      <c r="G1139" s="220">
        <v>10485</v>
      </c>
      <c r="H1139" s="220">
        <v>12366</v>
      </c>
      <c r="I1139" s="220">
        <v>14447</v>
      </c>
      <c r="J1139" s="220">
        <v>199.155</v>
      </c>
      <c r="K1139" s="220">
        <v>-19.925000000000001</v>
      </c>
      <c r="L1139" s="220">
        <v>24.419</v>
      </c>
      <c r="M1139" s="220" t="s">
        <v>1085</v>
      </c>
      <c r="N1139" s="220" t="s">
        <v>1333</v>
      </c>
      <c r="O1139" s="220" t="s">
        <v>1461</v>
      </c>
      <c r="P1139" s="220" t="s">
        <v>1462</v>
      </c>
      <c r="Q1139" s="220" t="s">
        <v>237</v>
      </c>
      <c r="R1139" s="220" t="s">
        <v>105</v>
      </c>
      <c r="S1139" s="220" t="s">
        <v>208</v>
      </c>
    </row>
    <row r="1140" spans="1:19" hidden="1" x14ac:dyDescent="0.25">
      <c r="A1140" s="220">
        <v>164</v>
      </c>
      <c r="B1140" s="220" t="s">
        <v>1460</v>
      </c>
      <c r="C1140" s="220" t="s">
        <v>260</v>
      </c>
      <c r="D1140" s="220" t="s">
        <v>508</v>
      </c>
      <c r="E1140" s="220">
        <v>3</v>
      </c>
      <c r="F1140" s="220">
        <v>203.73599999999999</v>
      </c>
      <c r="G1140" s="220">
        <v>10536</v>
      </c>
      <c r="H1140" s="220">
        <v>12427</v>
      </c>
      <c r="I1140" s="220">
        <v>14520</v>
      </c>
      <c r="J1140" s="220">
        <v>200.542</v>
      </c>
      <c r="K1140" s="220">
        <v>-19.917999999999999</v>
      </c>
      <c r="L1140" s="220">
        <v>24.423999999999999</v>
      </c>
      <c r="M1140" s="220" t="s">
        <v>1085</v>
      </c>
      <c r="N1140" s="220" t="s">
        <v>1333</v>
      </c>
      <c r="O1140" s="220" t="s">
        <v>1461</v>
      </c>
      <c r="P1140" s="220" t="s">
        <v>1462</v>
      </c>
      <c r="Q1140" s="220" t="s">
        <v>158</v>
      </c>
      <c r="R1140" s="220" t="s">
        <v>233</v>
      </c>
      <c r="S1140" s="220" t="s">
        <v>235</v>
      </c>
    </row>
    <row r="1141" spans="1:19" hidden="1" x14ac:dyDescent="0.25">
      <c r="A1141" s="220">
        <v>164</v>
      </c>
      <c r="B1141" s="220" t="s">
        <v>1460</v>
      </c>
      <c r="C1141" s="220" t="s">
        <v>260</v>
      </c>
      <c r="D1141" s="220" t="s">
        <v>508</v>
      </c>
      <c r="E1141" s="220">
        <v>4</v>
      </c>
      <c r="F1141" s="220">
        <v>202.761</v>
      </c>
      <c r="G1141" s="220">
        <v>10436</v>
      </c>
      <c r="H1141" s="220">
        <v>12308</v>
      </c>
      <c r="I1141" s="220">
        <v>14377</v>
      </c>
      <c r="J1141" s="220">
        <v>199.58199999999999</v>
      </c>
      <c r="K1141" s="220">
        <v>-19.937000000000001</v>
      </c>
      <c r="L1141" s="220">
        <v>24.417999999999999</v>
      </c>
      <c r="M1141" s="220" t="s">
        <v>1085</v>
      </c>
      <c r="N1141" s="220" t="s">
        <v>1333</v>
      </c>
      <c r="O1141" s="220" t="s">
        <v>1461</v>
      </c>
      <c r="P1141" s="220" t="s">
        <v>1462</v>
      </c>
      <c r="Q1141" s="220" t="s">
        <v>117</v>
      </c>
      <c r="R1141" s="220" t="s">
        <v>119</v>
      </c>
      <c r="S1141" s="220" t="s">
        <v>235</v>
      </c>
    </row>
    <row r="1142" spans="1:19" hidden="1" x14ac:dyDescent="0.25">
      <c r="A1142" s="220">
        <v>164</v>
      </c>
      <c r="B1142" s="220" t="s">
        <v>1460</v>
      </c>
      <c r="C1142" s="220" t="s">
        <v>260</v>
      </c>
      <c r="D1142" s="220" t="s">
        <v>508</v>
      </c>
      <c r="E1142" s="220">
        <v>5</v>
      </c>
      <c r="F1142" s="220">
        <v>184.959</v>
      </c>
      <c r="G1142" s="220">
        <v>14285</v>
      </c>
      <c r="H1142" s="220">
        <v>17196</v>
      </c>
      <c r="I1142" s="220">
        <v>19907</v>
      </c>
      <c r="J1142" s="220">
        <v>182.012</v>
      </c>
      <c r="K1142" s="220">
        <v>-1.4159999999999999</v>
      </c>
      <c r="L1142" s="220">
        <v>35.509</v>
      </c>
      <c r="M1142" s="220" t="s">
        <v>1085</v>
      </c>
      <c r="N1142" s="220" t="s">
        <v>1333</v>
      </c>
      <c r="O1142" s="220" t="s">
        <v>1461</v>
      </c>
      <c r="P1142" s="220" t="s">
        <v>1462</v>
      </c>
      <c r="Q1142" s="220" t="s">
        <v>174</v>
      </c>
      <c r="R1142" s="220" t="s">
        <v>611</v>
      </c>
      <c r="S1142" s="220" t="s">
        <v>104</v>
      </c>
    </row>
    <row r="1143" spans="1:19" x14ac:dyDescent="0.25">
      <c r="A1143" s="220">
        <v>164</v>
      </c>
      <c r="B1143" s="220" t="s">
        <v>1460</v>
      </c>
      <c r="C1143" s="220" t="s">
        <v>260</v>
      </c>
      <c r="D1143" s="220" t="s">
        <v>508</v>
      </c>
      <c r="E1143" s="220">
        <v>6</v>
      </c>
      <c r="F1143" s="220">
        <v>161.85400000000001</v>
      </c>
      <c r="G1143" s="220">
        <v>12602</v>
      </c>
      <c r="H1143" s="220">
        <v>15166</v>
      </c>
      <c r="I1143" s="220">
        <v>17566</v>
      </c>
      <c r="J1143" s="220">
        <v>159.27600000000001</v>
      </c>
      <c r="K1143" s="220">
        <v>-1.4139999999999999</v>
      </c>
      <c r="L1143" s="220">
        <v>35.874000000000002</v>
      </c>
      <c r="M1143" s="220" t="s">
        <v>1085</v>
      </c>
      <c r="N1143" s="220" t="s">
        <v>1333</v>
      </c>
      <c r="O1143" s="220" t="s">
        <v>1461</v>
      </c>
      <c r="P1143" s="220" t="s">
        <v>1462</v>
      </c>
      <c r="Q1143" s="220" t="s">
        <v>148</v>
      </c>
      <c r="R1143" s="220" t="s">
        <v>191</v>
      </c>
      <c r="S1143" s="220" t="s">
        <v>623</v>
      </c>
    </row>
    <row r="1144" spans="1:19" x14ac:dyDescent="0.25">
      <c r="A1144" s="220">
        <v>164</v>
      </c>
      <c r="B1144" s="220" t="s">
        <v>1460</v>
      </c>
      <c r="C1144" s="220" t="s">
        <v>260</v>
      </c>
      <c r="D1144" s="220" t="s">
        <v>508</v>
      </c>
      <c r="E1144" s="220">
        <v>7</v>
      </c>
      <c r="F1144" s="220">
        <v>150.59</v>
      </c>
      <c r="G1144" s="220">
        <v>11706</v>
      </c>
      <c r="H1144" s="220">
        <v>14087</v>
      </c>
      <c r="I1144" s="220">
        <v>16318</v>
      </c>
      <c r="J1144" s="220">
        <v>148.191</v>
      </c>
      <c r="K1144" s="220">
        <v>-1.3680000000000001</v>
      </c>
      <c r="L1144" s="220">
        <v>35.856000000000002</v>
      </c>
      <c r="M1144" s="220" t="s">
        <v>1085</v>
      </c>
      <c r="N1144" s="220" t="s">
        <v>1333</v>
      </c>
      <c r="O1144" s="220" t="s">
        <v>1461</v>
      </c>
      <c r="P1144" s="220" t="s">
        <v>1462</v>
      </c>
      <c r="Q1144" s="220" t="s">
        <v>288</v>
      </c>
      <c r="R1144" s="220" t="s">
        <v>545</v>
      </c>
      <c r="S1144" s="220" t="s">
        <v>1451</v>
      </c>
    </row>
    <row r="1145" spans="1:19" hidden="1" x14ac:dyDescent="0.25">
      <c r="A1145" s="220">
        <v>165</v>
      </c>
      <c r="B1145" s="220" t="s">
        <v>1463</v>
      </c>
      <c r="C1145" s="220" t="s">
        <v>513</v>
      </c>
      <c r="D1145" s="220" t="s">
        <v>509</v>
      </c>
      <c r="E1145" s="220">
        <v>1</v>
      </c>
      <c r="F1145" s="220">
        <v>206.62799999999999</v>
      </c>
      <c r="G1145" s="220">
        <v>10570</v>
      </c>
      <c r="H1145" s="220">
        <v>12467</v>
      </c>
      <c r="I1145" s="220">
        <v>14564</v>
      </c>
      <c r="J1145" s="220">
        <v>203.38800000000001</v>
      </c>
      <c r="K1145" s="220">
        <v>-19.931000000000001</v>
      </c>
      <c r="L1145" s="220">
        <v>24.448</v>
      </c>
      <c r="M1145" s="220" t="s">
        <v>1092</v>
      </c>
      <c r="N1145" s="220" t="s">
        <v>1333</v>
      </c>
      <c r="O1145" s="220" t="s">
        <v>1464</v>
      </c>
      <c r="P1145" s="220" t="s">
        <v>1465</v>
      </c>
      <c r="Q1145" s="220" t="s">
        <v>71</v>
      </c>
      <c r="R1145" s="220" t="s">
        <v>115</v>
      </c>
      <c r="S1145" s="220" t="s">
        <v>217</v>
      </c>
    </row>
    <row r="1146" spans="1:19" hidden="1" x14ac:dyDescent="0.25">
      <c r="A1146" s="220">
        <v>165</v>
      </c>
      <c r="B1146" s="220" t="s">
        <v>1463</v>
      </c>
      <c r="C1146" s="220" t="s">
        <v>513</v>
      </c>
      <c r="D1146" s="220" t="s">
        <v>509</v>
      </c>
      <c r="E1146" s="220">
        <v>2</v>
      </c>
      <c r="F1146" s="220">
        <v>203.24</v>
      </c>
      <c r="G1146" s="220">
        <v>10528</v>
      </c>
      <c r="H1146" s="220">
        <v>12417</v>
      </c>
      <c r="I1146" s="220">
        <v>14506</v>
      </c>
      <c r="J1146" s="220">
        <v>200.054</v>
      </c>
      <c r="K1146" s="220">
        <v>-19.946999999999999</v>
      </c>
      <c r="L1146" s="220">
        <v>24.408999999999999</v>
      </c>
      <c r="M1146" s="220" t="s">
        <v>1092</v>
      </c>
      <c r="N1146" s="220" t="s">
        <v>1333</v>
      </c>
      <c r="O1146" s="220" t="s">
        <v>1464</v>
      </c>
      <c r="P1146" s="220" t="s">
        <v>1465</v>
      </c>
      <c r="Q1146" s="220" t="s">
        <v>131</v>
      </c>
      <c r="R1146" s="220" t="s">
        <v>216</v>
      </c>
      <c r="S1146" s="220" t="s">
        <v>258</v>
      </c>
    </row>
    <row r="1147" spans="1:19" hidden="1" x14ac:dyDescent="0.25">
      <c r="A1147" s="220">
        <v>165</v>
      </c>
      <c r="B1147" s="220" t="s">
        <v>1463</v>
      </c>
      <c r="C1147" s="220" t="s">
        <v>513</v>
      </c>
      <c r="D1147" s="220" t="s">
        <v>509</v>
      </c>
      <c r="E1147" s="220">
        <v>3</v>
      </c>
      <c r="F1147" s="220">
        <v>204.73699999999999</v>
      </c>
      <c r="G1147" s="220">
        <v>10579</v>
      </c>
      <c r="H1147" s="220">
        <v>12478</v>
      </c>
      <c r="I1147" s="220">
        <v>14579</v>
      </c>
      <c r="J1147" s="220">
        <v>201.52699999999999</v>
      </c>
      <c r="K1147" s="220">
        <v>-19.937999999999999</v>
      </c>
      <c r="L1147" s="220">
        <v>24.442</v>
      </c>
      <c r="M1147" s="220" t="s">
        <v>1092</v>
      </c>
      <c r="N1147" s="220" t="s">
        <v>1333</v>
      </c>
      <c r="O1147" s="220" t="s">
        <v>1464</v>
      </c>
      <c r="P1147" s="220" t="s">
        <v>1465</v>
      </c>
      <c r="Q1147" s="220" t="s">
        <v>120</v>
      </c>
      <c r="R1147" s="220" t="s">
        <v>226</v>
      </c>
      <c r="S1147" s="220" t="s">
        <v>585</v>
      </c>
    </row>
    <row r="1148" spans="1:19" hidden="1" x14ac:dyDescent="0.25">
      <c r="A1148" s="220">
        <v>165</v>
      </c>
      <c r="B1148" s="220" t="s">
        <v>1463</v>
      </c>
      <c r="C1148" s="220" t="s">
        <v>513</v>
      </c>
      <c r="D1148" s="220" t="s">
        <v>509</v>
      </c>
      <c r="E1148" s="220">
        <v>4</v>
      </c>
      <c r="F1148" s="220">
        <v>203.678</v>
      </c>
      <c r="G1148" s="220">
        <v>10477</v>
      </c>
      <c r="H1148" s="220">
        <v>12357</v>
      </c>
      <c r="I1148" s="220">
        <v>14435</v>
      </c>
      <c r="J1148" s="220">
        <v>200.48500000000001</v>
      </c>
      <c r="K1148" s="220">
        <v>-19.937000000000001</v>
      </c>
      <c r="L1148" s="220">
        <v>24.417999999999999</v>
      </c>
      <c r="M1148" s="220" t="s">
        <v>1092</v>
      </c>
      <c r="N1148" s="220" t="s">
        <v>1333</v>
      </c>
      <c r="O1148" s="220" t="s">
        <v>1464</v>
      </c>
      <c r="P1148" s="220" t="s">
        <v>1465</v>
      </c>
      <c r="Q1148" s="220" t="s">
        <v>111</v>
      </c>
      <c r="R1148" s="220" t="s">
        <v>132</v>
      </c>
      <c r="S1148" s="220" t="s">
        <v>189</v>
      </c>
    </row>
    <row r="1149" spans="1:19" hidden="1" x14ac:dyDescent="0.25">
      <c r="A1149" s="220">
        <v>165</v>
      </c>
      <c r="B1149" s="220" t="s">
        <v>1463</v>
      </c>
      <c r="C1149" s="220" t="s">
        <v>513</v>
      </c>
      <c r="D1149" s="220" t="s">
        <v>509</v>
      </c>
      <c r="E1149" s="220">
        <v>5</v>
      </c>
      <c r="F1149" s="220">
        <v>194.98099999999999</v>
      </c>
      <c r="G1149" s="220">
        <v>15078</v>
      </c>
      <c r="H1149" s="220">
        <v>18166</v>
      </c>
      <c r="I1149" s="220">
        <v>21010</v>
      </c>
      <c r="J1149" s="220">
        <v>191.876</v>
      </c>
      <c r="K1149" s="220">
        <v>-1.929</v>
      </c>
      <c r="L1149" s="220">
        <v>35.402999999999999</v>
      </c>
      <c r="M1149" s="220" t="s">
        <v>1092</v>
      </c>
      <c r="N1149" s="220" t="s">
        <v>1333</v>
      </c>
      <c r="O1149" s="220" t="s">
        <v>1464</v>
      </c>
      <c r="P1149" s="220" t="s">
        <v>1465</v>
      </c>
      <c r="Q1149" s="220" t="s">
        <v>156</v>
      </c>
      <c r="R1149" s="220" t="s">
        <v>160</v>
      </c>
      <c r="S1149" s="220" t="s">
        <v>86</v>
      </c>
    </row>
    <row r="1150" spans="1:19" x14ac:dyDescent="0.25">
      <c r="A1150" s="220">
        <v>165</v>
      </c>
      <c r="B1150" s="220" t="s">
        <v>1463</v>
      </c>
      <c r="C1150" s="220" t="s">
        <v>513</v>
      </c>
      <c r="D1150" s="220" t="s">
        <v>509</v>
      </c>
      <c r="E1150" s="220">
        <v>6</v>
      </c>
      <c r="F1150" s="220">
        <v>172.726</v>
      </c>
      <c r="G1150" s="220">
        <v>13701</v>
      </c>
      <c r="H1150" s="220">
        <v>16502</v>
      </c>
      <c r="I1150" s="220">
        <v>19093</v>
      </c>
      <c r="J1150" s="220">
        <v>169.97499999999999</v>
      </c>
      <c r="K1150" s="220">
        <v>-1.9330000000000001</v>
      </c>
      <c r="L1150" s="220">
        <v>35.65</v>
      </c>
      <c r="M1150" s="220" t="s">
        <v>1092</v>
      </c>
      <c r="N1150" s="220" t="s">
        <v>1333</v>
      </c>
      <c r="O1150" s="220" t="s">
        <v>1464</v>
      </c>
      <c r="P1150" s="220" t="s">
        <v>1465</v>
      </c>
      <c r="Q1150" s="220" t="s">
        <v>245</v>
      </c>
      <c r="R1150" s="220" t="s">
        <v>278</v>
      </c>
      <c r="S1150" s="220" t="s">
        <v>298</v>
      </c>
    </row>
    <row r="1151" spans="1:19" x14ac:dyDescent="0.25">
      <c r="A1151" s="220">
        <v>165</v>
      </c>
      <c r="B1151" s="220" t="s">
        <v>1463</v>
      </c>
      <c r="C1151" s="220" t="s">
        <v>513</v>
      </c>
      <c r="D1151" s="220" t="s">
        <v>509</v>
      </c>
      <c r="E1151" s="220">
        <v>7</v>
      </c>
      <c r="F1151" s="220">
        <v>163.339</v>
      </c>
      <c r="G1151" s="220">
        <v>12944</v>
      </c>
      <c r="H1151" s="220">
        <v>15587</v>
      </c>
      <c r="I1151" s="220">
        <v>18040</v>
      </c>
      <c r="J1151" s="220">
        <v>160.738</v>
      </c>
      <c r="K1151" s="220">
        <v>-1.956</v>
      </c>
      <c r="L1151" s="220">
        <v>35.698</v>
      </c>
      <c r="M1151" s="220" t="s">
        <v>1092</v>
      </c>
      <c r="N1151" s="220" t="s">
        <v>1333</v>
      </c>
      <c r="O1151" s="220" t="s">
        <v>1464</v>
      </c>
      <c r="P1151" s="220" t="s">
        <v>1465</v>
      </c>
      <c r="Q1151" s="220" t="s">
        <v>245</v>
      </c>
      <c r="R1151" s="220" t="s">
        <v>278</v>
      </c>
      <c r="S1151" s="220" t="s">
        <v>298</v>
      </c>
    </row>
    <row r="1152" spans="1:19" hidden="1" x14ac:dyDescent="0.25">
      <c r="A1152" s="220">
        <v>166</v>
      </c>
      <c r="B1152" s="220" t="s">
        <v>1466</v>
      </c>
      <c r="C1152" s="220" t="s">
        <v>297</v>
      </c>
      <c r="D1152" s="220" t="s">
        <v>510</v>
      </c>
      <c r="E1152" s="220">
        <v>1</v>
      </c>
      <c r="F1152" s="220">
        <v>204.57900000000001</v>
      </c>
      <c r="G1152" s="220">
        <v>10468</v>
      </c>
      <c r="H1152" s="220">
        <v>12346</v>
      </c>
      <c r="I1152" s="220">
        <v>14418</v>
      </c>
      <c r="J1152" s="220">
        <v>201.37100000000001</v>
      </c>
      <c r="K1152" s="220">
        <v>-19.942</v>
      </c>
      <c r="L1152" s="220">
        <v>24.43</v>
      </c>
      <c r="M1152" s="220" t="s">
        <v>730</v>
      </c>
      <c r="N1152" s="220" t="s">
        <v>1333</v>
      </c>
      <c r="O1152" s="220" t="s">
        <v>1467</v>
      </c>
      <c r="P1152" s="220" t="s">
        <v>1468</v>
      </c>
      <c r="Q1152" s="220" t="s">
        <v>85</v>
      </c>
      <c r="R1152" s="220" t="s">
        <v>133</v>
      </c>
      <c r="S1152" s="220" t="s">
        <v>135</v>
      </c>
    </row>
    <row r="1153" spans="1:19" hidden="1" x14ac:dyDescent="0.25">
      <c r="A1153" s="220">
        <v>166</v>
      </c>
      <c r="B1153" s="220" t="s">
        <v>1466</v>
      </c>
      <c r="C1153" s="220" t="s">
        <v>297</v>
      </c>
      <c r="D1153" s="220" t="s">
        <v>510</v>
      </c>
      <c r="E1153" s="220">
        <v>2</v>
      </c>
      <c r="F1153" s="220">
        <v>202.648</v>
      </c>
      <c r="G1153" s="220">
        <v>10489</v>
      </c>
      <c r="H1153" s="220">
        <v>12372</v>
      </c>
      <c r="I1153" s="220">
        <v>14446</v>
      </c>
      <c r="J1153" s="220">
        <v>199.471</v>
      </c>
      <c r="K1153" s="220">
        <v>-19.952000000000002</v>
      </c>
      <c r="L1153" s="220">
        <v>24.417000000000002</v>
      </c>
      <c r="M1153" s="220" t="s">
        <v>730</v>
      </c>
      <c r="N1153" s="220" t="s">
        <v>1333</v>
      </c>
      <c r="O1153" s="220" t="s">
        <v>1467</v>
      </c>
      <c r="P1153" s="220" t="s">
        <v>1468</v>
      </c>
      <c r="Q1153" s="220" t="s">
        <v>111</v>
      </c>
      <c r="R1153" s="220" t="s">
        <v>132</v>
      </c>
      <c r="S1153" s="220" t="s">
        <v>585</v>
      </c>
    </row>
    <row r="1154" spans="1:19" hidden="1" x14ac:dyDescent="0.25">
      <c r="A1154" s="220">
        <v>166</v>
      </c>
      <c r="B1154" s="220" t="s">
        <v>1466</v>
      </c>
      <c r="C1154" s="220" t="s">
        <v>297</v>
      </c>
      <c r="D1154" s="220" t="s">
        <v>510</v>
      </c>
      <c r="E1154" s="220">
        <v>3</v>
      </c>
      <c r="F1154" s="220">
        <v>203.863</v>
      </c>
      <c r="G1154" s="220">
        <v>10534</v>
      </c>
      <c r="H1154" s="220">
        <v>12425</v>
      </c>
      <c r="I1154" s="220">
        <v>14508</v>
      </c>
      <c r="J1154" s="220">
        <v>200.667</v>
      </c>
      <c r="K1154" s="220">
        <v>-19.934000000000001</v>
      </c>
      <c r="L1154" s="220">
        <v>24.393999999999998</v>
      </c>
      <c r="M1154" s="220" t="s">
        <v>730</v>
      </c>
      <c r="N1154" s="220" t="s">
        <v>1333</v>
      </c>
      <c r="O1154" s="220" t="s">
        <v>1467</v>
      </c>
      <c r="P1154" s="220" t="s">
        <v>1468</v>
      </c>
      <c r="Q1154" s="220" t="s">
        <v>81</v>
      </c>
      <c r="R1154" s="220" t="s">
        <v>96</v>
      </c>
      <c r="S1154" s="220" t="s">
        <v>303</v>
      </c>
    </row>
    <row r="1155" spans="1:19" hidden="1" x14ac:dyDescent="0.25">
      <c r="A1155" s="220">
        <v>166</v>
      </c>
      <c r="B1155" s="220" t="s">
        <v>1466</v>
      </c>
      <c r="C1155" s="220" t="s">
        <v>297</v>
      </c>
      <c r="D1155" s="220" t="s">
        <v>510</v>
      </c>
      <c r="E1155" s="220">
        <v>4</v>
      </c>
      <c r="F1155" s="220">
        <v>204.25200000000001</v>
      </c>
      <c r="G1155" s="220">
        <v>10508</v>
      </c>
      <c r="H1155" s="220">
        <v>12395</v>
      </c>
      <c r="I1155" s="220">
        <v>14472</v>
      </c>
      <c r="J1155" s="220">
        <v>201.04900000000001</v>
      </c>
      <c r="K1155" s="220">
        <v>-19.937000000000001</v>
      </c>
      <c r="L1155" s="220">
        <v>24.417999999999999</v>
      </c>
      <c r="M1155" s="220" t="s">
        <v>730</v>
      </c>
      <c r="N1155" s="220" t="s">
        <v>1333</v>
      </c>
      <c r="O1155" s="220" t="s">
        <v>1467</v>
      </c>
      <c r="P1155" s="220" t="s">
        <v>1468</v>
      </c>
      <c r="Q1155" s="220" t="s">
        <v>117</v>
      </c>
      <c r="R1155" s="220" t="s">
        <v>96</v>
      </c>
      <c r="S1155" s="220" t="s">
        <v>303</v>
      </c>
    </row>
    <row r="1156" spans="1:19" hidden="1" x14ac:dyDescent="0.25">
      <c r="A1156" s="220">
        <v>166</v>
      </c>
      <c r="B1156" s="220" t="s">
        <v>1466</v>
      </c>
      <c r="C1156" s="220" t="s">
        <v>297</v>
      </c>
      <c r="D1156" s="220" t="s">
        <v>510</v>
      </c>
      <c r="E1156" s="220">
        <v>5</v>
      </c>
      <c r="F1156" s="220">
        <v>192.24700000000001</v>
      </c>
      <c r="G1156" s="220">
        <v>14682</v>
      </c>
      <c r="H1156" s="220">
        <v>17668</v>
      </c>
      <c r="I1156" s="220">
        <v>20446</v>
      </c>
      <c r="J1156" s="220">
        <v>189.18600000000001</v>
      </c>
      <c r="K1156" s="220">
        <v>-2.1320000000000001</v>
      </c>
      <c r="L1156" s="220">
        <v>35.159999999999997</v>
      </c>
      <c r="M1156" s="220" t="s">
        <v>730</v>
      </c>
      <c r="N1156" s="220" t="s">
        <v>1333</v>
      </c>
      <c r="O1156" s="220" t="s">
        <v>1467</v>
      </c>
      <c r="P1156" s="220" t="s">
        <v>1468</v>
      </c>
      <c r="Q1156" s="220" t="s">
        <v>399</v>
      </c>
      <c r="R1156" s="220" t="s">
        <v>56</v>
      </c>
      <c r="S1156" s="220" t="s">
        <v>99</v>
      </c>
    </row>
    <row r="1157" spans="1:19" x14ac:dyDescent="0.25">
      <c r="A1157" s="220">
        <v>166</v>
      </c>
      <c r="B1157" s="220" t="s">
        <v>1466</v>
      </c>
      <c r="C1157" s="220" t="s">
        <v>297</v>
      </c>
      <c r="D1157" s="220" t="s">
        <v>510</v>
      </c>
      <c r="E1157" s="220">
        <v>6</v>
      </c>
      <c r="F1157" s="220">
        <v>168.602</v>
      </c>
      <c r="G1157" s="220">
        <v>13046</v>
      </c>
      <c r="H1157" s="220">
        <v>15693</v>
      </c>
      <c r="I1157" s="220">
        <v>18168</v>
      </c>
      <c r="J1157" s="220">
        <v>165.91800000000001</v>
      </c>
      <c r="K1157" s="220">
        <v>-2.149</v>
      </c>
      <c r="L1157" s="220">
        <v>35.706000000000003</v>
      </c>
      <c r="M1157" s="220" t="s">
        <v>730</v>
      </c>
      <c r="N1157" s="220" t="s">
        <v>1333</v>
      </c>
      <c r="O1157" s="220" t="s">
        <v>1467</v>
      </c>
      <c r="P1157" s="220" t="s">
        <v>1468</v>
      </c>
      <c r="Q1157" s="220" t="s">
        <v>135</v>
      </c>
      <c r="R1157" s="220" t="s">
        <v>263</v>
      </c>
      <c r="S1157" s="220" t="s">
        <v>264</v>
      </c>
    </row>
    <row r="1158" spans="1:19" x14ac:dyDescent="0.25">
      <c r="A1158" s="220">
        <v>166</v>
      </c>
      <c r="B1158" s="220" t="s">
        <v>1466</v>
      </c>
      <c r="C1158" s="220" t="s">
        <v>297</v>
      </c>
      <c r="D1158" s="220" t="s">
        <v>510</v>
      </c>
      <c r="E1158" s="220">
        <v>7</v>
      </c>
      <c r="F1158" s="220">
        <v>156.77099999999999</v>
      </c>
      <c r="G1158" s="220">
        <v>12144</v>
      </c>
      <c r="H1158" s="220">
        <v>14608</v>
      </c>
      <c r="I1158" s="220">
        <v>16910</v>
      </c>
      <c r="J1158" s="220">
        <v>154.27500000000001</v>
      </c>
      <c r="K1158" s="220">
        <v>-2.0590000000000002</v>
      </c>
      <c r="L1158" s="220">
        <v>35.698</v>
      </c>
      <c r="M1158" s="220" t="s">
        <v>730</v>
      </c>
      <c r="N1158" s="220" t="s">
        <v>1333</v>
      </c>
      <c r="O1158" s="220" t="s">
        <v>1467</v>
      </c>
      <c r="P1158" s="220" t="s">
        <v>1468</v>
      </c>
      <c r="Q1158" s="220" t="s">
        <v>361</v>
      </c>
      <c r="R1158" s="220" t="s">
        <v>708</v>
      </c>
      <c r="S1158" s="220" t="s">
        <v>604</v>
      </c>
    </row>
    <row r="1159" spans="1:19" hidden="1" x14ac:dyDescent="0.25">
      <c r="A1159" s="220">
        <v>167</v>
      </c>
      <c r="B1159" s="220" t="s">
        <v>0</v>
      </c>
      <c r="C1159"/>
      <c r="D1159" s="220" t="s">
        <v>511</v>
      </c>
      <c r="E1159" s="220">
        <v>1</v>
      </c>
      <c r="F1159" s="220">
        <v>205.39400000000001</v>
      </c>
      <c r="G1159" s="220">
        <v>10511</v>
      </c>
      <c r="H1159" s="220">
        <v>12397</v>
      </c>
      <c r="I1159" s="220">
        <v>14481</v>
      </c>
      <c r="J1159" s="220">
        <v>202.173</v>
      </c>
      <c r="K1159" s="220">
        <v>-19.949000000000002</v>
      </c>
      <c r="L1159" s="220">
        <v>24.396999999999998</v>
      </c>
      <c r="M1159" s="220" t="s">
        <v>1099</v>
      </c>
      <c r="N1159" s="220" t="s">
        <v>1333</v>
      </c>
      <c r="O1159" s="220" t="s">
        <v>1469</v>
      </c>
      <c r="P1159" s="220" t="s">
        <v>1470</v>
      </c>
      <c r="Q1159" s="220" t="s">
        <v>49</v>
      </c>
      <c r="R1159" s="220" t="s">
        <v>130</v>
      </c>
      <c r="S1159" s="220" t="s">
        <v>244</v>
      </c>
    </row>
    <row r="1160" spans="1:19" hidden="1" x14ac:dyDescent="0.25">
      <c r="A1160" s="220">
        <v>167</v>
      </c>
      <c r="B1160" s="220" t="s">
        <v>0</v>
      </c>
      <c r="C1160"/>
      <c r="D1160" s="220" t="s">
        <v>511</v>
      </c>
      <c r="E1160" s="220">
        <v>2</v>
      </c>
      <c r="F1160" s="220">
        <v>203.52799999999999</v>
      </c>
      <c r="G1160" s="220">
        <v>10523</v>
      </c>
      <c r="H1160" s="220">
        <v>12411</v>
      </c>
      <c r="I1160" s="220">
        <v>14498</v>
      </c>
      <c r="J1160" s="220">
        <v>200.33699999999999</v>
      </c>
      <c r="K1160" s="220">
        <v>-19.951000000000001</v>
      </c>
      <c r="L1160" s="220">
        <v>24.385999999999999</v>
      </c>
      <c r="M1160" s="220" t="s">
        <v>1099</v>
      </c>
      <c r="N1160" s="220" t="s">
        <v>1333</v>
      </c>
      <c r="O1160" s="220" t="s">
        <v>1469</v>
      </c>
      <c r="P1160" s="220" t="s">
        <v>1470</v>
      </c>
      <c r="Q1160" s="220" t="s">
        <v>236</v>
      </c>
      <c r="R1160" s="220" t="s">
        <v>252</v>
      </c>
      <c r="S1160" s="220" t="s">
        <v>250</v>
      </c>
    </row>
    <row r="1161" spans="1:19" hidden="1" x14ac:dyDescent="0.25">
      <c r="A1161" s="220">
        <v>167</v>
      </c>
      <c r="B1161" s="220" t="s">
        <v>0</v>
      </c>
      <c r="C1161"/>
      <c r="D1161" s="220" t="s">
        <v>511</v>
      </c>
      <c r="E1161" s="220">
        <v>3</v>
      </c>
      <c r="F1161" s="220">
        <v>204.14699999999999</v>
      </c>
      <c r="G1161" s="220">
        <v>10551</v>
      </c>
      <c r="H1161" s="220">
        <v>12445</v>
      </c>
      <c r="I1161" s="220">
        <v>14542</v>
      </c>
      <c r="J1161" s="220">
        <v>200.946</v>
      </c>
      <c r="K1161" s="220">
        <v>-19.954000000000001</v>
      </c>
      <c r="L1161" s="220">
        <v>24.385000000000002</v>
      </c>
      <c r="M1161" s="220" t="s">
        <v>1099</v>
      </c>
      <c r="N1161" s="220" t="s">
        <v>1333</v>
      </c>
      <c r="O1161" s="220" t="s">
        <v>1469</v>
      </c>
      <c r="P1161" s="220" t="s">
        <v>1470</v>
      </c>
      <c r="Q1161" s="220" t="s">
        <v>158</v>
      </c>
      <c r="R1161" s="220" t="s">
        <v>233</v>
      </c>
      <c r="S1161" s="220" t="s">
        <v>189</v>
      </c>
    </row>
    <row r="1162" spans="1:19" hidden="1" x14ac:dyDescent="0.25">
      <c r="A1162" s="220">
        <v>167</v>
      </c>
      <c r="B1162" s="220" t="s">
        <v>0</v>
      </c>
      <c r="C1162"/>
      <c r="D1162" s="220" t="s">
        <v>511</v>
      </c>
      <c r="E1162" s="220">
        <v>4</v>
      </c>
      <c r="F1162" s="220">
        <v>206.012</v>
      </c>
      <c r="G1162" s="220">
        <v>10585</v>
      </c>
      <c r="H1162" s="220">
        <v>12484</v>
      </c>
      <c r="I1162" s="220">
        <v>14584</v>
      </c>
      <c r="J1162" s="220">
        <v>202.78100000000001</v>
      </c>
      <c r="K1162" s="220">
        <v>-19.937000000000001</v>
      </c>
      <c r="L1162" s="220">
        <v>24.417999999999999</v>
      </c>
      <c r="M1162" s="220" t="s">
        <v>1099</v>
      </c>
      <c r="N1162" s="220" t="s">
        <v>1333</v>
      </c>
      <c r="O1162" s="220" t="s">
        <v>1469</v>
      </c>
      <c r="P1162" s="220" t="s">
        <v>1470</v>
      </c>
      <c r="Q1162" s="220" t="s">
        <v>158</v>
      </c>
      <c r="R1162" s="220" t="s">
        <v>233</v>
      </c>
      <c r="S1162" s="220" t="s">
        <v>189</v>
      </c>
    </row>
    <row r="1163" spans="1:19" hidden="1" x14ac:dyDescent="0.25">
      <c r="A1163" s="220">
        <v>167</v>
      </c>
      <c r="B1163" s="220" t="s">
        <v>0</v>
      </c>
      <c r="C1163"/>
      <c r="D1163" s="220" t="s">
        <v>511</v>
      </c>
      <c r="E1163" s="220">
        <v>5</v>
      </c>
      <c r="F1163" s="220">
        <v>149.05699999999999</v>
      </c>
      <c r="G1163" s="220">
        <v>11719</v>
      </c>
      <c r="H1163" s="220">
        <v>14195</v>
      </c>
      <c r="I1163" s="220">
        <v>16350</v>
      </c>
      <c r="J1163" s="220">
        <v>146.672</v>
      </c>
      <c r="K1163" s="220">
        <v>4.6420000000000003</v>
      </c>
      <c r="L1163" s="220">
        <v>36.871000000000002</v>
      </c>
      <c r="M1163" s="220" t="s">
        <v>1099</v>
      </c>
      <c r="N1163" s="220" t="s">
        <v>1333</v>
      </c>
      <c r="O1163" s="220" t="s">
        <v>1469</v>
      </c>
      <c r="P1163" s="220" t="s">
        <v>1470</v>
      </c>
      <c r="Q1163" s="220" t="s">
        <v>156</v>
      </c>
      <c r="R1163" s="220" t="s">
        <v>160</v>
      </c>
      <c r="S1163" s="220" t="s">
        <v>697</v>
      </c>
    </row>
    <row r="1164" spans="1:19" x14ac:dyDescent="0.25">
      <c r="A1164" s="220">
        <v>167</v>
      </c>
      <c r="B1164" s="220" t="s">
        <v>0</v>
      </c>
      <c r="C1164"/>
      <c r="D1164" s="220" t="s">
        <v>511</v>
      </c>
      <c r="E1164" s="220">
        <v>6</v>
      </c>
      <c r="F1164" s="220">
        <v>133.03899999999999</v>
      </c>
      <c r="G1164" s="220">
        <v>10699</v>
      </c>
      <c r="H1164" s="220">
        <v>12955</v>
      </c>
      <c r="I1164" s="220">
        <v>14928</v>
      </c>
      <c r="J1164" s="220">
        <v>130.91</v>
      </c>
      <c r="K1164" s="220">
        <v>4.7060000000000004</v>
      </c>
      <c r="L1164" s="220">
        <v>37.072000000000003</v>
      </c>
      <c r="M1164" s="220" t="s">
        <v>1099</v>
      </c>
      <c r="N1164" s="220" t="s">
        <v>1333</v>
      </c>
      <c r="O1164" s="220" t="s">
        <v>1469</v>
      </c>
      <c r="P1164" s="220" t="s">
        <v>1470</v>
      </c>
      <c r="Q1164" s="220" t="s">
        <v>131</v>
      </c>
      <c r="R1164" s="220" t="s">
        <v>252</v>
      </c>
      <c r="S1164" s="220" t="s">
        <v>379</v>
      </c>
    </row>
    <row r="1165" spans="1:19" x14ac:dyDescent="0.25">
      <c r="A1165" s="220">
        <v>167</v>
      </c>
      <c r="B1165" s="220" t="s">
        <v>0</v>
      </c>
      <c r="C1165"/>
      <c r="D1165" s="220" t="s">
        <v>511</v>
      </c>
      <c r="E1165" s="220">
        <v>7</v>
      </c>
      <c r="F1165" s="220">
        <v>124.645</v>
      </c>
      <c r="G1165" s="220">
        <v>10055</v>
      </c>
      <c r="H1165" s="220">
        <v>12172</v>
      </c>
      <c r="I1165" s="220">
        <v>14032</v>
      </c>
      <c r="J1165" s="220">
        <v>122.65</v>
      </c>
      <c r="K1165" s="220">
        <v>4.7510000000000003</v>
      </c>
      <c r="L1165" s="220">
        <v>37.093000000000004</v>
      </c>
      <c r="M1165" s="220" t="s">
        <v>1099</v>
      </c>
      <c r="N1165" s="220" t="s">
        <v>1333</v>
      </c>
      <c r="O1165" s="220" t="s">
        <v>1469</v>
      </c>
      <c r="P1165" s="220" t="s">
        <v>1470</v>
      </c>
      <c r="Q1165" s="220" t="s">
        <v>1471</v>
      </c>
      <c r="R1165" s="220" t="s">
        <v>1472</v>
      </c>
      <c r="S1165" s="220" t="s">
        <v>637</v>
      </c>
    </row>
    <row r="1166" spans="1:19" hidden="1" x14ac:dyDescent="0.25">
      <c r="A1166" s="220">
        <v>168</v>
      </c>
      <c r="B1166" s="220" t="s">
        <v>0</v>
      </c>
      <c r="C1166"/>
      <c r="D1166" s="220" t="s">
        <v>512</v>
      </c>
      <c r="E1166" s="220">
        <v>1</v>
      </c>
      <c r="F1166" s="220">
        <v>205.22</v>
      </c>
      <c r="G1166" s="220">
        <v>10477</v>
      </c>
      <c r="H1166" s="220">
        <v>12358</v>
      </c>
      <c r="I1166" s="220">
        <v>14428</v>
      </c>
      <c r="J1166" s="220">
        <v>202.00299999999999</v>
      </c>
      <c r="K1166" s="220">
        <v>-19.927</v>
      </c>
      <c r="L1166" s="220">
        <v>24.404</v>
      </c>
      <c r="M1166" s="220" t="s">
        <v>1102</v>
      </c>
      <c r="N1166" s="220" t="s">
        <v>1333</v>
      </c>
      <c r="O1166" s="220" t="s">
        <v>1473</v>
      </c>
      <c r="P1166" s="220" t="s">
        <v>1474</v>
      </c>
      <c r="Q1166" s="220" t="s">
        <v>65</v>
      </c>
      <c r="R1166" s="220" t="s">
        <v>238</v>
      </c>
      <c r="S1166" s="220" t="s">
        <v>123</v>
      </c>
    </row>
    <row r="1167" spans="1:19" hidden="1" x14ac:dyDescent="0.25">
      <c r="A1167" s="220">
        <v>168</v>
      </c>
      <c r="B1167" s="220" t="s">
        <v>0</v>
      </c>
      <c r="C1167"/>
      <c r="D1167" s="220" t="s">
        <v>512</v>
      </c>
      <c r="E1167" s="220">
        <v>2</v>
      </c>
      <c r="F1167" s="220">
        <v>202.46</v>
      </c>
      <c r="G1167" s="220">
        <v>10514</v>
      </c>
      <c r="H1167" s="220">
        <v>12401</v>
      </c>
      <c r="I1167" s="220">
        <v>14475</v>
      </c>
      <c r="J1167" s="220">
        <v>199.286</v>
      </c>
      <c r="K1167" s="220">
        <v>-19.920999999999999</v>
      </c>
      <c r="L1167" s="220">
        <v>24.407</v>
      </c>
      <c r="M1167" s="220" t="s">
        <v>1102</v>
      </c>
      <c r="N1167" s="220" t="s">
        <v>1333</v>
      </c>
      <c r="O1167" s="220" t="s">
        <v>1473</v>
      </c>
      <c r="P1167" s="220" t="s">
        <v>1474</v>
      </c>
      <c r="Q1167" s="220" t="s">
        <v>133</v>
      </c>
      <c r="R1167" s="220" t="s">
        <v>106</v>
      </c>
      <c r="S1167" s="220" t="s">
        <v>193</v>
      </c>
    </row>
    <row r="1168" spans="1:19" hidden="1" x14ac:dyDescent="0.25">
      <c r="A1168" s="220">
        <v>168</v>
      </c>
      <c r="B1168" s="220" t="s">
        <v>0</v>
      </c>
      <c r="C1168"/>
      <c r="D1168" s="220" t="s">
        <v>512</v>
      </c>
      <c r="E1168" s="220">
        <v>3</v>
      </c>
      <c r="F1168" s="220">
        <v>204.018</v>
      </c>
      <c r="G1168" s="220">
        <v>10538</v>
      </c>
      <c r="H1168" s="220">
        <v>12430</v>
      </c>
      <c r="I1168" s="220">
        <v>14511</v>
      </c>
      <c r="J1168" s="220">
        <v>200.81899999999999</v>
      </c>
      <c r="K1168" s="220">
        <v>-19.931000000000001</v>
      </c>
      <c r="L1168" s="220">
        <v>24.401</v>
      </c>
      <c r="M1168" s="220" t="s">
        <v>1102</v>
      </c>
      <c r="N1168" s="220" t="s">
        <v>1333</v>
      </c>
      <c r="O1168" s="220" t="s">
        <v>1473</v>
      </c>
      <c r="P1168" s="220" t="s">
        <v>1474</v>
      </c>
      <c r="Q1168" s="220" t="s">
        <v>131</v>
      </c>
      <c r="R1168" s="220" t="s">
        <v>216</v>
      </c>
      <c r="S1168" s="220" t="s">
        <v>258</v>
      </c>
    </row>
    <row r="1169" spans="1:19" hidden="1" x14ac:dyDescent="0.25">
      <c r="A1169" s="220">
        <v>168</v>
      </c>
      <c r="B1169" s="220" t="s">
        <v>0</v>
      </c>
      <c r="C1169"/>
      <c r="D1169" s="220" t="s">
        <v>512</v>
      </c>
      <c r="E1169" s="220">
        <v>4</v>
      </c>
      <c r="F1169" s="220">
        <v>204.041</v>
      </c>
      <c r="G1169" s="220">
        <v>10503</v>
      </c>
      <c r="H1169" s="220">
        <v>12388</v>
      </c>
      <c r="I1169" s="220">
        <v>14462</v>
      </c>
      <c r="J1169" s="220">
        <v>200.84200000000001</v>
      </c>
      <c r="K1169" s="220">
        <v>-19.937000000000001</v>
      </c>
      <c r="L1169" s="220">
        <v>24.417999999999999</v>
      </c>
      <c r="M1169" s="220" t="s">
        <v>1102</v>
      </c>
      <c r="N1169" s="220" t="s">
        <v>1333</v>
      </c>
      <c r="O1169" s="220" t="s">
        <v>1473</v>
      </c>
      <c r="P1169" s="220" t="s">
        <v>1474</v>
      </c>
      <c r="Q1169" s="220" t="s">
        <v>202</v>
      </c>
      <c r="R1169" s="220" t="s">
        <v>255</v>
      </c>
      <c r="S1169" s="220" t="s">
        <v>243</v>
      </c>
    </row>
    <row r="1170" spans="1:19" hidden="1" x14ac:dyDescent="0.25">
      <c r="A1170" s="220">
        <v>168</v>
      </c>
      <c r="B1170" s="220" t="s">
        <v>0</v>
      </c>
      <c r="C1170"/>
      <c r="D1170" s="220" t="s">
        <v>512</v>
      </c>
      <c r="E1170" s="220">
        <v>5</v>
      </c>
      <c r="F1170" s="220">
        <v>177.63900000000001</v>
      </c>
      <c r="G1170" s="220">
        <v>13450</v>
      </c>
      <c r="H1170" s="220">
        <v>16290</v>
      </c>
      <c r="I1170" s="220">
        <v>18755</v>
      </c>
      <c r="J1170" s="220">
        <v>174.797</v>
      </c>
      <c r="K1170" s="220">
        <v>4.7560000000000002</v>
      </c>
      <c r="L1170" s="220">
        <v>36.627000000000002</v>
      </c>
      <c r="M1170" s="220" t="s">
        <v>1102</v>
      </c>
      <c r="N1170" s="220" t="s">
        <v>1333</v>
      </c>
      <c r="O1170" s="220" t="s">
        <v>1473</v>
      </c>
      <c r="P1170" s="220" t="s">
        <v>1474</v>
      </c>
      <c r="Q1170" s="220" t="s">
        <v>178</v>
      </c>
      <c r="R1170" s="220" t="s">
        <v>89</v>
      </c>
      <c r="S1170" s="220" t="s">
        <v>66</v>
      </c>
    </row>
    <row r="1171" spans="1:19" x14ac:dyDescent="0.25">
      <c r="A1171" s="220">
        <v>168</v>
      </c>
      <c r="B1171" s="220" t="s">
        <v>0</v>
      </c>
      <c r="C1171"/>
      <c r="D1171" s="220" t="s">
        <v>512</v>
      </c>
      <c r="E1171" s="220">
        <v>6</v>
      </c>
      <c r="F1171" s="220">
        <v>155.922</v>
      </c>
      <c r="G1171" s="220">
        <v>12028</v>
      </c>
      <c r="H1171" s="220">
        <v>14566</v>
      </c>
      <c r="I1171" s="220">
        <v>16771</v>
      </c>
      <c r="J1171" s="220">
        <v>153.42699999999999</v>
      </c>
      <c r="K1171" s="220">
        <v>4.7770000000000001</v>
      </c>
      <c r="L1171" s="220">
        <v>37.081000000000003</v>
      </c>
      <c r="M1171" s="220" t="s">
        <v>1102</v>
      </c>
      <c r="N1171" s="220" t="s">
        <v>1333</v>
      </c>
      <c r="O1171" s="220" t="s">
        <v>1473</v>
      </c>
      <c r="P1171" s="220" t="s">
        <v>1474</v>
      </c>
      <c r="Q1171" s="220" t="s">
        <v>123</v>
      </c>
      <c r="R1171" s="220" t="s">
        <v>166</v>
      </c>
      <c r="S1171" s="220" t="s">
        <v>528</v>
      </c>
    </row>
    <row r="1172" spans="1:19" x14ac:dyDescent="0.25">
      <c r="A1172" s="220">
        <v>168</v>
      </c>
      <c r="B1172" s="220" t="s">
        <v>0</v>
      </c>
      <c r="C1172"/>
      <c r="D1172" s="220" t="s">
        <v>512</v>
      </c>
      <c r="E1172" s="220">
        <v>7</v>
      </c>
      <c r="F1172" s="220">
        <v>144.77600000000001</v>
      </c>
      <c r="G1172" s="220">
        <v>11208</v>
      </c>
      <c r="H1172" s="220">
        <v>13572</v>
      </c>
      <c r="I1172" s="220">
        <v>15630</v>
      </c>
      <c r="J1172" s="220">
        <v>142.459</v>
      </c>
      <c r="K1172" s="220">
        <v>4.84</v>
      </c>
      <c r="L1172" s="220">
        <v>37.069000000000003</v>
      </c>
      <c r="M1172" s="220" t="s">
        <v>1102</v>
      </c>
      <c r="N1172" s="220" t="s">
        <v>1333</v>
      </c>
      <c r="O1172" s="220" t="s">
        <v>1473</v>
      </c>
      <c r="P1172" s="220" t="s">
        <v>1474</v>
      </c>
      <c r="Q1172" s="220" t="s">
        <v>310</v>
      </c>
      <c r="R1172" s="220" t="s">
        <v>1028</v>
      </c>
      <c r="S1172" s="220" t="s">
        <v>994</v>
      </c>
    </row>
    <row r="1173" spans="1:19" hidden="1" x14ac:dyDescent="0.25">
      <c r="A1173" s="220">
        <v>169</v>
      </c>
      <c r="B1173" s="220" t="s">
        <v>1475</v>
      </c>
      <c r="C1173" s="220" t="s">
        <v>518</v>
      </c>
      <c r="D1173" s="220" t="s">
        <v>514</v>
      </c>
      <c r="E1173" s="220">
        <v>1</v>
      </c>
      <c r="F1173" s="220">
        <v>205.19</v>
      </c>
      <c r="G1173" s="220">
        <v>10479</v>
      </c>
      <c r="H1173" s="220">
        <v>12361</v>
      </c>
      <c r="I1173" s="220">
        <v>14430</v>
      </c>
      <c r="J1173" s="220">
        <v>201.97300000000001</v>
      </c>
      <c r="K1173" s="220">
        <v>-19.940999999999999</v>
      </c>
      <c r="L1173" s="220">
        <v>24.385999999999999</v>
      </c>
      <c r="M1173" s="220" t="s">
        <v>666</v>
      </c>
      <c r="N1173" s="220" t="s">
        <v>1333</v>
      </c>
      <c r="O1173" s="220" t="s">
        <v>1476</v>
      </c>
      <c r="P1173" s="220" t="s">
        <v>1477</v>
      </c>
      <c r="Q1173" s="220" t="s">
        <v>67</v>
      </c>
      <c r="R1173" s="220" t="s">
        <v>108</v>
      </c>
      <c r="S1173" s="220" t="s">
        <v>140</v>
      </c>
    </row>
    <row r="1174" spans="1:19" hidden="1" x14ac:dyDescent="0.25">
      <c r="A1174" s="220">
        <v>169</v>
      </c>
      <c r="B1174" s="220" t="s">
        <v>1475</v>
      </c>
      <c r="C1174" s="220" t="s">
        <v>518</v>
      </c>
      <c r="D1174" s="220" t="s">
        <v>514</v>
      </c>
      <c r="E1174" s="220">
        <v>2</v>
      </c>
      <c r="F1174" s="220">
        <v>201.91800000000001</v>
      </c>
      <c r="G1174" s="220">
        <v>10474</v>
      </c>
      <c r="H1174" s="220">
        <v>12354</v>
      </c>
      <c r="I1174" s="220">
        <v>14424</v>
      </c>
      <c r="J1174" s="220">
        <v>198.75200000000001</v>
      </c>
      <c r="K1174" s="220">
        <v>-19.943000000000001</v>
      </c>
      <c r="L1174" s="220">
        <v>24.382999999999999</v>
      </c>
      <c r="M1174" s="220" t="s">
        <v>666</v>
      </c>
      <c r="N1174" s="220" t="s">
        <v>1333</v>
      </c>
      <c r="O1174" s="220" t="s">
        <v>1476</v>
      </c>
      <c r="P1174" s="220" t="s">
        <v>1477</v>
      </c>
      <c r="Q1174" s="220" t="s">
        <v>207</v>
      </c>
      <c r="R1174" s="220" t="s">
        <v>274</v>
      </c>
      <c r="S1174" s="220" t="s">
        <v>379</v>
      </c>
    </row>
    <row r="1175" spans="1:19" hidden="1" x14ac:dyDescent="0.25">
      <c r="A1175" s="220">
        <v>169</v>
      </c>
      <c r="B1175" s="220" t="s">
        <v>1475</v>
      </c>
      <c r="C1175" s="220" t="s">
        <v>518</v>
      </c>
      <c r="D1175" s="220" t="s">
        <v>514</v>
      </c>
      <c r="E1175" s="220">
        <v>3</v>
      </c>
      <c r="F1175" s="220">
        <v>203.922</v>
      </c>
      <c r="G1175" s="220">
        <v>10535</v>
      </c>
      <c r="H1175" s="220">
        <v>12425</v>
      </c>
      <c r="I1175" s="220">
        <v>14506</v>
      </c>
      <c r="J1175" s="220">
        <v>200.72499999999999</v>
      </c>
      <c r="K1175" s="220">
        <v>-19.954000000000001</v>
      </c>
      <c r="L1175" s="220">
        <v>24.379000000000001</v>
      </c>
      <c r="M1175" s="220" t="s">
        <v>666</v>
      </c>
      <c r="N1175" s="220" t="s">
        <v>1333</v>
      </c>
      <c r="O1175" s="220" t="s">
        <v>1476</v>
      </c>
      <c r="P1175" s="220" t="s">
        <v>1477</v>
      </c>
      <c r="Q1175" s="220" t="s">
        <v>236</v>
      </c>
      <c r="R1175" s="220" t="s">
        <v>105</v>
      </c>
      <c r="S1175" s="220" t="s">
        <v>208</v>
      </c>
    </row>
    <row r="1176" spans="1:19" hidden="1" x14ac:dyDescent="0.25">
      <c r="A1176" s="220">
        <v>169</v>
      </c>
      <c r="B1176" s="220" t="s">
        <v>1475</v>
      </c>
      <c r="C1176" s="220" t="s">
        <v>518</v>
      </c>
      <c r="D1176" s="220" t="s">
        <v>514</v>
      </c>
      <c r="E1176" s="220">
        <v>4</v>
      </c>
      <c r="F1176" s="220">
        <v>204.46100000000001</v>
      </c>
      <c r="G1176" s="220">
        <v>10528</v>
      </c>
      <c r="H1176" s="220">
        <v>12418</v>
      </c>
      <c r="I1176" s="220">
        <v>14497</v>
      </c>
      <c r="J1176" s="220">
        <v>201.255</v>
      </c>
      <c r="K1176" s="220">
        <v>-19.937000000000001</v>
      </c>
      <c r="L1176" s="220">
        <v>24.417999999999999</v>
      </c>
      <c r="M1176" s="220" t="s">
        <v>666</v>
      </c>
      <c r="N1176" s="220" t="s">
        <v>1333</v>
      </c>
      <c r="O1176" s="220" t="s">
        <v>1476</v>
      </c>
      <c r="P1176" s="220" t="s">
        <v>1477</v>
      </c>
      <c r="Q1176" s="220" t="s">
        <v>237</v>
      </c>
      <c r="R1176" s="220" t="s">
        <v>105</v>
      </c>
      <c r="S1176" s="220" t="s">
        <v>177</v>
      </c>
    </row>
    <row r="1177" spans="1:19" hidden="1" x14ac:dyDescent="0.25">
      <c r="A1177" s="220">
        <v>169</v>
      </c>
      <c r="B1177" s="220" t="s">
        <v>1475</v>
      </c>
      <c r="C1177" s="220" t="s">
        <v>518</v>
      </c>
      <c r="D1177" s="220" t="s">
        <v>514</v>
      </c>
      <c r="E1177" s="220">
        <v>5</v>
      </c>
      <c r="F1177" s="220">
        <v>187.262</v>
      </c>
      <c r="G1177" s="220">
        <v>14969</v>
      </c>
      <c r="H1177" s="220">
        <v>18022</v>
      </c>
      <c r="I1177" s="220">
        <v>20846</v>
      </c>
      <c r="J1177" s="220">
        <v>184.28100000000001</v>
      </c>
      <c r="K1177" s="220">
        <v>-2.3010000000000002</v>
      </c>
      <c r="L1177" s="220">
        <v>35.433999999999997</v>
      </c>
      <c r="M1177" s="220" t="s">
        <v>666</v>
      </c>
      <c r="N1177" s="220" t="s">
        <v>1333</v>
      </c>
      <c r="O1177" s="220" t="s">
        <v>1476</v>
      </c>
      <c r="P1177" s="220" t="s">
        <v>1477</v>
      </c>
      <c r="Q1177" s="220" t="s">
        <v>169</v>
      </c>
      <c r="R1177" s="220" t="s">
        <v>44</v>
      </c>
      <c r="S1177" s="220" t="s">
        <v>620</v>
      </c>
    </row>
    <row r="1178" spans="1:19" x14ac:dyDescent="0.25">
      <c r="A1178" s="220">
        <v>169</v>
      </c>
      <c r="B1178" s="220" t="s">
        <v>1475</v>
      </c>
      <c r="C1178" s="220" t="s">
        <v>518</v>
      </c>
      <c r="D1178" s="220" t="s">
        <v>514</v>
      </c>
      <c r="E1178" s="220">
        <v>6</v>
      </c>
      <c r="F1178" s="220">
        <v>166.41200000000001</v>
      </c>
      <c r="G1178" s="220">
        <v>13477</v>
      </c>
      <c r="H1178" s="220">
        <v>16218</v>
      </c>
      <c r="I1178" s="220">
        <v>18769</v>
      </c>
      <c r="J1178" s="220">
        <v>163.76300000000001</v>
      </c>
      <c r="K1178" s="220">
        <v>-2.2440000000000002</v>
      </c>
      <c r="L1178" s="220">
        <v>35.695999999999998</v>
      </c>
      <c r="M1178" s="220" t="s">
        <v>666</v>
      </c>
      <c r="N1178" s="220" t="s">
        <v>1333</v>
      </c>
      <c r="O1178" s="220" t="s">
        <v>1476</v>
      </c>
      <c r="P1178" s="220" t="s">
        <v>1477</v>
      </c>
      <c r="Q1178" s="220" t="s">
        <v>195</v>
      </c>
      <c r="R1178" s="220" t="s">
        <v>278</v>
      </c>
      <c r="S1178" s="220" t="s">
        <v>586</v>
      </c>
    </row>
    <row r="1179" spans="1:19" x14ac:dyDescent="0.25">
      <c r="A1179" s="220">
        <v>169</v>
      </c>
      <c r="B1179" s="220" t="s">
        <v>1475</v>
      </c>
      <c r="C1179" s="220" t="s">
        <v>518</v>
      </c>
      <c r="D1179" s="220" t="s">
        <v>514</v>
      </c>
      <c r="E1179" s="220">
        <v>7</v>
      </c>
      <c r="F1179" s="220">
        <v>155.16499999999999</v>
      </c>
      <c r="G1179" s="220">
        <v>12574</v>
      </c>
      <c r="H1179" s="220">
        <v>15128</v>
      </c>
      <c r="I1179" s="220">
        <v>17513</v>
      </c>
      <c r="J1179" s="220">
        <v>152.69499999999999</v>
      </c>
      <c r="K1179" s="220">
        <v>-2.169</v>
      </c>
      <c r="L1179" s="220">
        <v>35.753</v>
      </c>
      <c r="M1179" s="220" t="s">
        <v>666</v>
      </c>
      <c r="N1179" s="220" t="s">
        <v>1333</v>
      </c>
      <c r="O1179" s="220" t="s">
        <v>1476</v>
      </c>
      <c r="P1179" s="220" t="s">
        <v>1477</v>
      </c>
      <c r="Q1179" s="220" t="s">
        <v>669</v>
      </c>
      <c r="R1179" s="220" t="s">
        <v>463</v>
      </c>
      <c r="S1179" s="220" t="s">
        <v>1207</v>
      </c>
    </row>
    <row r="1180" spans="1:19" hidden="1" x14ac:dyDescent="0.25">
      <c r="A1180" s="220">
        <v>170</v>
      </c>
      <c r="B1180" s="220" t="s">
        <v>1478</v>
      </c>
      <c r="C1180" s="220" t="s">
        <v>737</v>
      </c>
      <c r="D1180" s="220" t="s">
        <v>515</v>
      </c>
      <c r="E1180" s="220">
        <v>1</v>
      </c>
      <c r="F1180" s="220">
        <v>202.29400000000001</v>
      </c>
      <c r="G1180" s="220">
        <v>10351</v>
      </c>
      <c r="H1180" s="220">
        <v>12208</v>
      </c>
      <c r="I1180" s="220">
        <v>14263</v>
      </c>
      <c r="J1180" s="220">
        <v>199.12200000000001</v>
      </c>
      <c r="K1180" s="220">
        <v>-19.945</v>
      </c>
      <c r="L1180" s="220">
        <v>24.393999999999998</v>
      </c>
      <c r="M1180" s="220" t="s">
        <v>1112</v>
      </c>
      <c r="N1180" s="220" t="s">
        <v>1333</v>
      </c>
      <c r="O1180" s="220" t="s">
        <v>1479</v>
      </c>
      <c r="P1180" s="220" t="s">
        <v>1480</v>
      </c>
      <c r="Q1180" s="220" t="s">
        <v>649</v>
      </c>
      <c r="R1180" s="220" t="s">
        <v>109</v>
      </c>
      <c r="S1180" s="220" t="s">
        <v>228</v>
      </c>
    </row>
    <row r="1181" spans="1:19" hidden="1" x14ac:dyDescent="0.25">
      <c r="A1181" s="220">
        <v>170</v>
      </c>
      <c r="B1181" s="220" t="s">
        <v>1478</v>
      </c>
      <c r="C1181" s="220" t="s">
        <v>737</v>
      </c>
      <c r="D1181" s="220" t="s">
        <v>515</v>
      </c>
      <c r="E1181" s="220">
        <v>2</v>
      </c>
      <c r="F1181" s="220">
        <v>203.05</v>
      </c>
      <c r="G1181" s="220">
        <v>10507</v>
      </c>
      <c r="H1181" s="220">
        <v>12392</v>
      </c>
      <c r="I1181" s="220">
        <v>14475</v>
      </c>
      <c r="J1181" s="220">
        <v>199.86600000000001</v>
      </c>
      <c r="K1181" s="220">
        <v>-19.940000000000001</v>
      </c>
      <c r="L1181" s="220">
        <v>24.425999999999998</v>
      </c>
      <c r="M1181" s="220" t="s">
        <v>1112</v>
      </c>
      <c r="N1181" s="220" t="s">
        <v>1333</v>
      </c>
      <c r="O1181" s="220" t="s">
        <v>1479</v>
      </c>
      <c r="P1181" s="220" t="s">
        <v>1480</v>
      </c>
      <c r="Q1181" s="220" t="s">
        <v>202</v>
      </c>
      <c r="R1181" s="220" t="s">
        <v>216</v>
      </c>
      <c r="S1181" s="220" t="s">
        <v>258</v>
      </c>
    </row>
    <row r="1182" spans="1:19" hidden="1" x14ac:dyDescent="0.25">
      <c r="A1182" s="220">
        <v>170</v>
      </c>
      <c r="B1182" s="220" t="s">
        <v>1478</v>
      </c>
      <c r="C1182" s="220" t="s">
        <v>737</v>
      </c>
      <c r="D1182" s="220" t="s">
        <v>515</v>
      </c>
      <c r="E1182" s="220">
        <v>3</v>
      </c>
      <c r="F1182" s="220">
        <v>204.04900000000001</v>
      </c>
      <c r="G1182" s="220">
        <v>10543</v>
      </c>
      <c r="H1182" s="220">
        <v>12436</v>
      </c>
      <c r="I1182" s="220">
        <v>14531</v>
      </c>
      <c r="J1182" s="220">
        <v>200.85</v>
      </c>
      <c r="K1182" s="220">
        <v>-19.945</v>
      </c>
      <c r="L1182" s="220">
        <v>24.425000000000001</v>
      </c>
      <c r="M1182" s="220" t="s">
        <v>1112</v>
      </c>
      <c r="N1182" s="220" t="s">
        <v>1333</v>
      </c>
      <c r="O1182" s="220" t="s">
        <v>1479</v>
      </c>
      <c r="P1182" s="220" t="s">
        <v>1480</v>
      </c>
      <c r="Q1182" s="220" t="s">
        <v>120</v>
      </c>
      <c r="R1182" s="220" t="s">
        <v>132</v>
      </c>
      <c r="S1182" s="220" t="s">
        <v>585</v>
      </c>
    </row>
    <row r="1183" spans="1:19" hidden="1" x14ac:dyDescent="0.25">
      <c r="A1183" s="220">
        <v>170</v>
      </c>
      <c r="B1183" s="220" t="s">
        <v>1478</v>
      </c>
      <c r="C1183" s="220" t="s">
        <v>737</v>
      </c>
      <c r="D1183" s="220" t="s">
        <v>515</v>
      </c>
      <c r="E1183" s="220">
        <v>4</v>
      </c>
      <c r="F1183" s="220">
        <v>203.94200000000001</v>
      </c>
      <c r="G1183" s="220">
        <v>10505</v>
      </c>
      <c r="H1183" s="220">
        <v>12391</v>
      </c>
      <c r="I1183" s="220">
        <v>14473</v>
      </c>
      <c r="J1183" s="220">
        <v>200.744</v>
      </c>
      <c r="K1183" s="220">
        <v>-19.937000000000001</v>
      </c>
      <c r="L1183" s="220">
        <v>24.417999999999999</v>
      </c>
      <c r="M1183" s="220" t="s">
        <v>1112</v>
      </c>
      <c r="N1183" s="220" t="s">
        <v>1333</v>
      </c>
      <c r="O1183" s="220" t="s">
        <v>1479</v>
      </c>
      <c r="P1183" s="220" t="s">
        <v>1480</v>
      </c>
      <c r="Q1183" s="220" t="s">
        <v>111</v>
      </c>
      <c r="R1183" s="220" t="s">
        <v>132</v>
      </c>
      <c r="S1183" s="220" t="s">
        <v>189</v>
      </c>
    </row>
    <row r="1184" spans="1:19" hidden="1" x14ac:dyDescent="0.25">
      <c r="A1184" s="220">
        <v>170</v>
      </c>
      <c r="B1184" s="220" t="s">
        <v>1478</v>
      </c>
      <c r="C1184" s="220" t="s">
        <v>737</v>
      </c>
      <c r="D1184" s="220" t="s">
        <v>515</v>
      </c>
      <c r="E1184" s="220">
        <v>5</v>
      </c>
      <c r="F1184" s="220">
        <v>227.59899999999999</v>
      </c>
      <c r="G1184" s="220">
        <v>17358</v>
      </c>
      <c r="H1184" s="220">
        <v>20899</v>
      </c>
      <c r="I1184" s="220">
        <v>24192</v>
      </c>
      <c r="J1184" s="220">
        <v>223.97499999999999</v>
      </c>
      <c r="K1184" s="220">
        <v>-2.109</v>
      </c>
      <c r="L1184" s="220">
        <v>35.546999999999997</v>
      </c>
      <c r="M1184" s="220" t="s">
        <v>1112</v>
      </c>
      <c r="N1184" s="220" t="s">
        <v>1333</v>
      </c>
      <c r="O1184" s="220" t="s">
        <v>1479</v>
      </c>
      <c r="P1184" s="220" t="s">
        <v>1480</v>
      </c>
      <c r="Q1184" s="220" t="s">
        <v>175</v>
      </c>
      <c r="R1184" s="220" t="s">
        <v>611</v>
      </c>
      <c r="S1184" s="220" t="s">
        <v>1004</v>
      </c>
    </row>
    <row r="1185" spans="1:19" x14ac:dyDescent="0.25">
      <c r="A1185" s="220">
        <v>170</v>
      </c>
      <c r="B1185" s="220" t="s">
        <v>1478</v>
      </c>
      <c r="C1185" s="220" t="s">
        <v>737</v>
      </c>
      <c r="D1185" s="220" t="s">
        <v>515</v>
      </c>
      <c r="E1185" s="220">
        <v>6</v>
      </c>
      <c r="F1185" s="220">
        <v>200.10599999999999</v>
      </c>
      <c r="G1185" s="220">
        <v>15534</v>
      </c>
      <c r="H1185" s="220">
        <v>18705</v>
      </c>
      <c r="I1185" s="220">
        <v>21652</v>
      </c>
      <c r="J1185" s="220">
        <v>196.92</v>
      </c>
      <c r="K1185" s="220">
        <v>-2.069</v>
      </c>
      <c r="L1185" s="220">
        <v>35.860999999999997</v>
      </c>
      <c r="M1185" s="220" t="s">
        <v>1112</v>
      </c>
      <c r="N1185" s="220" t="s">
        <v>1333</v>
      </c>
      <c r="O1185" s="220" t="s">
        <v>1479</v>
      </c>
      <c r="P1185" s="220" t="s">
        <v>1480</v>
      </c>
      <c r="Q1185" s="220" t="s">
        <v>226</v>
      </c>
      <c r="R1185" s="220" t="s">
        <v>519</v>
      </c>
      <c r="S1185" s="220" t="s">
        <v>705</v>
      </c>
    </row>
    <row r="1186" spans="1:19" x14ac:dyDescent="0.25">
      <c r="A1186" s="220">
        <v>170</v>
      </c>
      <c r="B1186" s="220" t="s">
        <v>1478</v>
      </c>
      <c r="C1186" s="220" t="s">
        <v>737</v>
      </c>
      <c r="D1186" s="220" t="s">
        <v>515</v>
      </c>
      <c r="E1186" s="220">
        <v>7</v>
      </c>
      <c r="F1186" s="220">
        <v>185.97200000000001</v>
      </c>
      <c r="G1186" s="220">
        <v>14484</v>
      </c>
      <c r="H1186" s="220">
        <v>17436</v>
      </c>
      <c r="I1186" s="220">
        <v>20185</v>
      </c>
      <c r="J1186" s="220">
        <v>183.01</v>
      </c>
      <c r="K1186" s="220">
        <v>-2.0249999999999999</v>
      </c>
      <c r="L1186" s="220">
        <v>35.862000000000002</v>
      </c>
      <c r="M1186" s="220" t="s">
        <v>1112</v>
      </c>
      <c r="N1186" s="220" t="s">
        <v>1333</v>
      </c>
      <c r="O1186" s="220" t="s">
        <v>1479</v>
      </c>
      <c r="P1186" s="220" t="s">
        <v>1480</v>
      </c>
      <c r="Q1186" s="220" t="s">
        <v>540</v>
      </c>
      <c r="R1186" s="220" t="s">
        <v>609</v>
      </c>
      <c r="S1186" s="220" t="s">
        <v>1481</v>
      </c>
    </row>
    <row r="1187" spans="1:19" hidden="1" x14ac:dyDescent="0.25">
      <c r="A1187" s="220">
        <v>171</v>
      </c>
      <c r="B1187" s="220" t="s">
        <v>1482</v>
      </c>
      <c r="C1187" s="220" t="s">
        <v>339</v>
      </c>
      <c r="D1187" s="220" t="s">
        <v>516</v>
      </c>
      <c r="E1187" s="220">
        <v>1</v>
      </c>
      <c r="F1187" s="220">
        <v>205.834</v>
      </c>
      <c r="G1187" s="220">
        <v>10500</v>
      </c>
      <c r="H1187" s="220">
        <v>12384</v>
      </c>
      <c r="I1187" s="220">
        <v>14466</v>
      </c>
      <c r="J1187" s="220">
        <v>202.60599999999999</v>
      </c>
      <c r="K1187" s="220">
        <v>-19.937999999999999</v>
      </c>
      <c r="L1187" s="220">
        <v>24.405000000000001</v>
      </c>
      <c r="M1187" s="220" t="s">
        <v>1116</v>
      </c>
      <c r="N1187" s="220" t="s">
        <v>1333</v>
      </c>
      <c r="O1187" s="220" t="s">
        <v>1483</v>
      </c>
      <c r="P1187" s="220" t="s">
        <v>1484</v>
      </c>
      <c r="Q1187" s="220" t="s">
        <v>84</v>
      </c>
      <c r="R1187" s="220" t="s">
        <v>202</v>
      </c>
      <c r="S1187" s="220" t="s">
        <v>194</v>
      </c>
    </row>
    <row r="1188" spans="1:19" hidden="1" x14ac:dyDescent="0.25">
      <c r="A1188" s="220">
        <v>171</v>
      </c>
      <c r="B1188" s="220" t="s">
        <v>1482</v>
      </c>
      <c r="C1188" s="220" t="s">
        <v>339</v>
      </c>
      <c r="D1188" s="220" t="s">
        <v>516</v>
      </c>
      <c r="E1188" s="220">
        <v>2</v>
      </c>
      <c r="F1188" s="220">
        <v>203.07300000000001</v>
      </c>
      <c r="G1188" s="220">
        <v>10523</v>
      </c>
      <c r="H1188" s="220">
        <v>12410</v>
      </c>
      <c r="I1188" s="220">
        <v>14499</v>
      </c>
      <c r="J1188" s="220">
        <v>199.88900000000001</v>
      </c>
      <c r="K1188" s="220">
        <v>-19.940000000000001</v>
      </c>
      <c r="L1188" s="220">
        <v>24.41</v>
      </c>
      <c r="M1188" s="220" t="s">
        <v>1116</v>
      </c>
      <c r="N1188" s="220" t="s">
        <v>1333</v>
      </c>
      <c r="O1188" s="220" t="s">
        <v>1483</v>
      </c>
      <c r="P1188" s="220" t="s">
        <v>1484</v>
      </c>
      <c r="Q1188" s="220" t="s">
        <v>277</v>
      </c>
      <c r="R1188" s="220" t="s">
        <v>214</v>
      </c>
      <c r="S1188" s="220" t="s">
        <v>144</v>
      </c>
    </row>
    <row r="1189" spans="1:19" hidden="1" x14ac:dyDescent="0.25">
      <c r="A1189" s="220">
        <v>171</v>
      </c>
      <c r="B1189" s="220" t="s">
        <v>1482</v>
      </c>
      <c r="C1189" s="220" t="s">
        <v>339</v>
      </c>
      <c r="D1189" s="220" t="s">
        <v>516</v>
      </c>
      <c r="E1189" s="220">
        <v>3</v>
      </c>
      <c r="F1189" s="220">
        <v>205.01300000000001</v>
      </c>
      <c r="G1189" s="220">
        <v>10594</v>
      </c>
      <c r="H1189" s="220">
        <v>12494</v>
      </c>
      <c r="I1189" s="220">
        <v>14600</v>
      </c>
      <c r="J1189" s="220">
        <v>201.798</v>
      </c>
      <c r="K1189" s="220">
        <v>-19.940000000000001</v>
      </c>
      <c r="L1189" s="220">
        <v>24.423999999999999</v>
      </c>
      <c r="M1189" s="220" t="s">
        <v>1116</v>
      </c>
      <c r="N1189" s="220" t="s">
        <v>1333</v>
      </c>
      <c r="O1189" s="220" t="s">
        <v>1483</v>
      </c>
      <c r="P1189" s="220" t="s">
        <v>1484</v>
      </c>
      <c r="Q1189" s="220" t="s">
        <v>203</v>
      </c>
      <c r="R1189" s="220" t="s">
        <v>242</v>
      </c>
      <c r="S1189" s="220" t="s">
        <v>519</v>
      </c>
    </row>
    <row r="1190" spans="1:19" hidden="1" x14ac:dyDescent="0.25">
      <c r="A1190" s="220">
        <v>171</v>
      </c>
      <c r="B1190" s="220" t="s">
        <v>1482</v>
      </c>
      <c r="C1190" s="220" t="s">
        <v>339</v>
      </c>
      <c r="D1190" s="220" t="s">
        <v>516</v>
      </c>
      <c r="E1190" s="220">
        <v>4</v>
      </c>
      <c r="F1190" s="220">
        <v>204.43899999999999</v>
      </c>
      <c r="G1190" s="220">
        <v>10512</v>
      </c>
      <c r="H1190" s="220">
        <v>12398</v>
      </c>
      <c r="I1190" s="220">
        <v>14483</v>
      </c>
      <c r="J1190" s="220">
        <v>201.233</v>
      </c>
      <c r="K1190" s="220">
        <v>-19.937000000000001</v>
      </c>
      <c r="L1190" s="220">
        <v>24.417999999999999</v>
      </c>
      <c r="M1190" s="220" t="s">
        <v>1116</v>
      </c>
      <c r="N1190" s="220" t="s">
        <v>1333</v>
      </c>
      <c r="O1190" s="220" t="s">
        <v>1483</v>
      </c>
      <c r="P1190" s="220" t="s">
        <v>1484</v>
      </c>
      <c r="Q1190" s="220" t="s">
        <v>79</v>
      </c>
      <c r="R1190" s="220" t="s">
        <v>149</v>
      </c>
      <c r="S1190" s="220" t="s">
        <v>201</v>
      </c>
    </row>
    <row r="1191" spans="1:19" hidden="1" x14ac:dyDescent="0.25">
      <c r="A1191" s="220">
        <v>171</v>
      </c>
      <c r="B1191" s="220" t="s">
        <v>1482</v>
      </c>
      <c r="C1191" s="220" t="s">
        <v>339</v>
      </c>
      <c r="D1191" s="220" t="s">
        <v>516</v>
      </c>
      <c r="E1191" s="220">
        <v>5</v>
      </c>
      <c r="F1191" s="220">
        <v>196.24299999999999</v>
      </c>
      <c r="G1191" s="220">
        <v>15651</v>
      </c>
      <c r="H1191" s="220">
        <v>18836</v>
      </c>
      <c r="I1191" s="220">
        <v>21816</v>
      </c>
      <c r="J1191" s="220">
        <v>193.119</v>
      </c>
      <c r="K1191" s="220">
        <v>-2.4409999999999998</v>
      </c>
      <c r="L1191" s="220">
        <v>35.537999999999997</v>
      </c>
      <c r="M1191" s="220" t="s">
        <v>1116</v>
      </c>
      <c r="N1191" s="220" t="s">
        <v>1333</v>
      </c>
      <c r="O1191" s="220" t="s">
        <v>1483</v>
      </c>
      <c r="P1191" s="220" t="s">
        <v>1484</v>
      </c>
      <c r="Q1191" s="220" t="s">
        <v>114</v>
      </c>
      <c r="R1191" s="220" t="s">
        <v>47</v>
      </c>
      <c r="S1191" s="220" t="s">
        <v>80</v>
      </c>
    </row>
    <row r="1192" spans="1:19" x14ac:dyDescent="0.25">
      <c r="A1192" s="220">
        <v>171</v>
      </c>
      <c r="B1192" s="220" t="s">
        <v>1482</v>
      </c>
      <c r="C1192" s="220" t="s">
        <v>339</v>
      </c>
      <c r="D1192" s="220" t="s">
        <v>516</v>
      </c>
      <c r="E1192" s="220">
        <v>6</v>
      </c>
      <c r="F1192" s="220">
        <v>173.024</v>
      </c>
      <c r="G1192" s="220">
        <v>13902</v>
      </c>
      <c r="H1192" s="220">
        <v>16722</v>
      </c>
      <c r="I1192" s="220">
        <v>19376</v>
      </c>
      <c r="J1192" s="220">
        <v>170.26900000000001</v>
      </c>
      <c r="K1192" s="220">
        <v>-2.4060000000000001</v>
      </c>
      <c r="L1192" s="220">
        <v>36.034999999999997</v>
      </c>
      <c r="M1192" s="220" t="s">
        <v>1116</v>
      </c>
      <c r="N1192" s="220" t="s">
        <v>1333</v>
      </c>
      <c r="O1192" s="220" t="s">
        <v>1483</v>
      </c>
      <c r="P1192" s="220" t="s">
        <v>1484</v>
      </c>
      <c r="Q1192" s="220" t="s">
        <v>209</v>
      </c>
      <c r="R1192" s="220" t="s">
        <v>208</v>
      </c>
      <c r="S1192" s="220" t="s">
        <v>598</v>
      </c>
    </row>
    <row r="1193" spans="1:19" x14ac:dyDescent="0.25">
      <c r="A1193" s="220">
        <v>171</v>
      </c>
      <c r="B1193" s="220" t="s">
        <v>1482</v>
      </c>
      <c r="C1193" s="220" t="s">
        <v>339</v>
      </c>
      <c r="D1193" s="220" t="s">
        <v>516</v>
      </c>
      <c r="E1193" s="220">
        <v>7</v>
      </c>
      <c r="F1193" s="220">
        <v>162.66900000000001</v>
      </c>
      <c r="G1193" s="220">
        <v>12889</v>
      </c>
      <c r="H1193" s="220">
        <v>15501</v>
      </c>
      <c r="I1193" s="220">
        <v>17967</v>
      </c>
      <c r="J1193" s="220">
        <v>160.07900000000001</v>
      </c>
      <c r="K1193" s="220">
        <v>-2.411</v>
      </c>
      <c r="L1193" s="220">
        <v>36.067999999999998</v>
      </c>
      <c r="M1193" s="220" t="s">
        <v>1116</v>
      </c>
      <c r="N1193" s="220" t="s">
        <v>1333</v>
      </c>
      <c r="O1193" s="220" t="s">
        <v>1483</v>
      </c>
      <c r="P1193" s="220" t="s">
        <v>1484</v>
      </c>
      <c r="Q1193" s="220" t="s">
        <v>209</v>
      </c>
      <c r="R1193" s="220" t="s">
        <v>208</v>
      </c>
      <c r="S1193" s="220" t="s">
        <v>598</v>
      </c>
    </row>
    <row r="1194" spans="1:19" hidden="1" x14ac:dyDescent="0.25">
      <c r="A1194" s="220">
        <v>172</v>
      </c>
      <c r="B1194" s="220" t="s">
        <v>1485</v>
      </c>
      <c r="C1194" s="220" t="s">
        <v>283</v>
      </c>
      <c r="D1194" s="220" t="s">
        <v>517</v>
      </c>
      <c r="E1194" s="220">
        <v>1</v>
      </c>
      <c r="F1194" s="220">
        <v>205.54599999999999</v>
      </c>
      <c r="G1194" s="220">
        <v>10492</v>
      </c>
      <c r="H1194" s="220">
        <v>12376</v>
      </c>
      <c r="I1194" s="220">
        <v>14450</v>
      </c>
      <c r="J1194" s="220">
        <v>202.32300000000001</v>
      </c>
      <c r="K1194" s="220">
        <v>-19.931000000000001</v>
      </c>
      <c r="L1194" s="220">
        <v>24.420999999999999</v>
      </c>
      <c r="M1194" s="220" t="s">
        <v>1486</v>
      </c>
      <c r="N1194" s="220" t="s">
        <v>1333</v>
      </c>
      <c r="O1194" s="220" t="s">
        <v>1487</v>
      </c>
      <c r="P1194" s="220" t="s">
        <v>1488</v>
      </c>
      <c r="Q1194" s="220" t="s">
        <v>73</v>
      </c>
      <c r="R1194" s="220" t="s">
        <v>134</v>
      </c>
      <c r="S1194" s="220" t="s">
        <v>262</v>
      </c>
    </row>
    <row r="1195" spans="1:19" hidden="1" x14ac:dyDescent="0.25">
      <c r="A1195" s="220">
        <v>172</v>
      </c>
      <c r="B1195" s="220" t="s">
        <v>1485</v>
      </c>
      <c r="C1195" s="220" t="s">
        <v>283</v>
      </c>
      <c r="D1195" s="220" t="s">
        <v>517</v>
      </c>
      <c r="E1195" s="220">
        <v>2</v>
      </c>
      <c r="F1195" s="220">
        <v>203.48400000000001</v>
      </c>
      <c r="G1195" s="220">
        <v>10526</v>
      </c>
      <c r="H1195" s="220">
        <v>12416</v>
      </c>
      <c r="I1195" s="220">
        <v>14498</v>
      </c>
      <c r="J1195" s="220">
        <v>200.29400000000001</v>
      </c>
      <c r="K1195" s="220">
        <v>-19.922000000000001</v>
      </c>
      <c r="L1195" s="220">
        <v>24.427</v>
      </c>
      <c r="M1195" s="220" t="s">
        <v>1486</v>
      </c>
      <c r="N1195" s="220" t="s">
        <v>1333</v>
      </c>
      <c r="O1195" s="220" t="s">
        <v>1487</v>
      </c>
      <c r="P1195" s="220" t="s">
        <v>1488</v>
      </c>
      <c r="Q1195" s="220" t="s">
        <v>120</v>
      </c>
      <c r="R1195" s="220" t="s">
        <v>226</v>
      </c>
      <c r="S1195" s="220" t="s">
        <v>177</v>
      </c>
    </row>
    <row r="1196" spans="1:19" hidden="1" x14ac:dyDescent="0.25">
      <c r="A1196" s="220">
        <v>172</v>
      </c>
      <c r="B1196" s="220" t="s">
        <v>1485</v>
      </c>
      <c r="C1196" s="220" t="s">
        <v>283</v>
      </c>
      <c r="D1196" s="220" t="s">
        <v>517</v>
      </c>
      <c r="E1196" s="220">
        <v>3</v>
      </c>
      <c r="F1196" s="220">
        <v>203.535</v>
      </c>
      <c r="G1196" s="220">
        <v>10524</v>
      </c>
      <c r="H1196" s="220">
        <v>12413</v>
      </c>
      <c r="I1196" s="220">
        <v>14491</v>
      </c>
      <c r="J1196" s="220">
        <v>200.34399999999999</v>
      </c>
      <c r="K1196" s="220">
        <v>-19.940999999999999</v>
      </c>
      <c r="L1196" s="220">
        <v>24.385000000000002</v>
      </c>
      <c r="M1196" s="220" t="s">
        <v>1486</v>
      </c>
      <c r="N1196" s="220" t="s">
        <v>1333</v>
      </c>
      <c r="O1196" s="220" t="s">
        <v>1487</v>
      </c>
      <c r="P1196" s="220" t="s">
        <v>1488</v>
      </c>
      <c r="Q1196" s="220" t="s">
        <v>117</v>
      </c>
      <c r="R1196" s="220" t="s">
        <v>96</v>
      </c>
      <c r="S1196" s="220" t="s">
        <v>241</v>
      </c>
    </row>
    <row r="1197" spans="1:19" hidden="1" x14ac:dyDescent="0.25">
      <c r="A1197" s="220">
        <v>172</v>
      </c>
      <c r="B1197" s="220" t="s">
        <v>1485</v>
      </c>
      <c r="C1197" s="220" t="s">
        <v>283</v>
      </c>
      <c r="D1197" s="220" t="s">
        <v>517</v>
      </c>
      <c r="E1197" s="220">
        <v>4</v>
      </c>
      <c r="F1197" s="220">
        <v>204.47</v>
      </c>
      <c r="G1197" s="220">
        <v>10521</v>
      </c>
      <c r="H1197" s="220">
        <v>12411</v>
      </c>
      <c r="I1197" s="220">
        <v>14490</v>
      </c>
      <c r="J1197" s="220">
        <v>201.26400000000001</v>
      </c>
      <c r="K1197" s="220">
        <v>-19.937000000000001</v>
      </c>
      <c r="L1197" s="220">
        <v>24.417999999999999</v>
      </c>
      <c r="M1197" s="220" t="s">
        <v>1486</v>
      </c>
      <c r="N1197" s="220" t="s">
        <v>1333</v>
      </c>
      <c r="O1197" s="220" t="s">
        <v>1487</v>
      </c>
      <c r="P1197" s="220" t="s">
        <v>1488</v>
      </c>
      <c r="Q1197" s="220" t="s">
        <v>158</v>
      </c>
      <c r="R1197" s="220" t="s">
        <v>96</v>
      </c>
      <c r="S1197" s="220" t="s">
        <v>241</v>
      </c>
    </row>
    <row r="1198" spans="1:19" hidden="1" x14ac:dyDescent="0.25">
      <c r="A1198" s="220">
        <v>172</v>
      </c>
      <c r="B1198" s="220" t="s">
        <v>1485</v>
      </c>
      <c r="C1198" s="220" t="s">
        <v>283</v>
      </c>
      <c r="D1198" s="220" t="s">
        <v>517</v>
      </c>
      <c r="E1198" s="220">
        <v>5</v>
      </c>
      <c r="F1198" s="220">
        <v>193.24299999999999</v>
      </c>
      <c r="G1198" s="220">
        <v>14731</v>
      </c>
      <c r="H1198" s="220">
        <v>17726</v>
      </c>
      <c r="I1198" s="220">
        <v>20519</v>
      </c>
      <c r="J1198" s="220">
        <v>190.16800000000001</v>
      </c>
      <c r="K1198" s="220">
        <v>-2.7429999999999999</v>
      </c>
      <c r="L1198" s="220">
        <v>35.786999999999999</v>
      </c>
      <c r="M1198" s="220" t="s">
        <v>1486</v>
      </c>
      <c r="N1198" s="220" t="s">
        <v>1333</v>
      </c>
      <c r="O1198" s="220" t="s">
        <v>1487</v>
      </c>
      <c r="P1198" s="220" t="s">
        <v>1488</v>
      </c>
      <c r="Q1198" s="220" t="s">
        <v>168</v>
      </c>
      <c r="R1198" s="220" t="s">
        <v>571</v>
      </c>
      <c r="S1198" s="220" t="s">
        <v>887</v>
      </c>
    </row>
    <row r="1199" spans="1:19" x14ac:dyDescent="0.25">
      <c r="A1199" s="220">
        <v>172</v>
      </c>
      <c r="B1199" s="220" t="s">
        <v>1485</v>
      </c>
      <c r="C1199" s="220" t="s">
        <v>283</v>
      </c>
      <c r="D1199" s="220" t="s">
        <v>517</v>
      </c>
      <c r="E1199" s="220">
        <v>6</v>
      </c>
      <c r="F1199" s="220">
        <v>170.32400000000001</v>
      </c>
      <c r="G1199" s="220">
        <v>13207</v>
      </c>
      <c r="H1199" s="220">
        <v>15893</v>
      </c>
      <c r="I1199" s="220">
        <v>18400</v>
      </c>
      <c r="J1199" s="220">
        <v>167.614</v>
      </c>
      <c r="K1199" s="220">
        <v>-2.7040000000000002</v>
      </c>
      <c r="L1199" s="220">
        <v>36.088999999999999</v>
      </c>
      <c r="M1199" s="220" t="s">
        <v>1486</v>
      </c>
      <c r="N1199" s="220" t="s">
        <v>1333</v>
      </c>
      <c r="O1199" s="220" t="s">
        <v>1487</v>
      </c>
      <c r="P1199" s="220" t="s">
        <v>1488</v>
      </c>
      <c r="Q1199" s="220" t="s">
        <v>192</v>
      </c>
      <c r="R1199" s="220" t="s">
        <v>266</v>
      </c>
      <c r="S1199" s="220" t="s">
        <v>623</v>
      </c>
    </row>
    <row r="1200" spans="1:19" x14ac:dyDescent="0.25">
      <c r="A1200" s="220">
        <v>172</v>
      </c>
      <c r="B1200" s="220" t="s">
        <v>1485</v>
      </c>
      <c r="C1200" s="220" t="s">
        <v>283</v>
      </c>
      <c r="D1200" s="220" t="s">
        <v>517</v>
      </c>
      <c r="E1200" s="220">
        <v>7</v>
      </c>
      <c r="F1200" s="220">
        <v>158.28899999999999</v>
      </c>
      <c r="G1200" s="220">
        <v>12325</v>
      </c>
      <c r="H1200" s="220">
        <v>14826</v>
      </c>
      <c r="I1200" s="220">
        <v>17170</v>
      </c>
      <c r="J1200" s="220">
        <v>155.76900000000001</v>
      </c>
      <c r="K1200" s="220">
        <v>-2.6219999999999999</v>
      </c>
      <c r="L1200" s="220">
        <v>36.122999999999998</v>
      </c>
      <c r="M1200" s="220" t="s">
        <v>1486</v>
      </c>
      <c r="N1200" s="220" t="s">
        <v>1333</v>
      </c>
      <c r="O1200" s="220" t="s">
        <v>1487</v>
      </c>
      <c r="P1200" s="220" t="s">
        <v>1488</v>
      </c>
      <c r="Q1200" s="220" t="s">
        <v>305</v>
      </c>
      <c r="R1200" s="220" t="s">
        <v>313</v>
      </c>
      <c r="S1200" s="220" t="s">
        <v>615</v>
      </c>
    </row>
  </sheetData>
  <autoFilter ref="A2:S1200" xr:uid="{D3F97C7F-9204-4E0E-90C2-298C84AF35D0}">
    <filterColumn colId="4">
      <filters>
        <filter val="6"/>
        <filter val="7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REPORTED</vt:lpstr>
      <vt:lpstr>3-Format-Final</vt:lpstr>
      <vt:lpstr>RAW_Corrected</vt:lpstr>
      <vt:lpstr>2-Full_Sorted</vt:lpstr>
      <vt:lpstr>Standards</vt:lpstr>
      <vt:lpstr>1-Sorted_standards</vt:lpstr>
      <vt:lpstr>Raw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Cullen, Jeff</dc:creator>
  <cp:lastModifiedBy>Cullen, Jeff</cp:lastModifiedBy>
  <dcterms:created xsi:type="dcterms:W3CDTF">2022-04-06T21:46:23Z</dcterms:created>
  <dcterms:modified xsi:type="dcterms:W3CDTF">2025-04-25T19:11:54Z</dcterms:modified>
</cp:coreProperties>
</file>