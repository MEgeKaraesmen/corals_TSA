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louis/Desktop/ONGOING_PROJECTS/CoraldC13/"/>
    </mc:Choice>
  </mc:AlternateContent>
  <xr:revisionPtr revIDLastSave="0" documentId="13_ncr:1_{2DFE3E5D-D734-3248-9294-279F097A3C43}" xr6:coauthVersionLast="47" xr6:coauthVersionMax="47" xr10:uidLastSave="{00000000-0000-0000-0000-000000000000}"/>
  <bookViews>
    <workbookView xWindow="10740" yWindow="1940" windowWidth="27640" windowHeight="16940" xr2:uid="{2CD03097-FB25-4444-81EC-2030671937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1" l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1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  <c r="O54" i="1"/>
  <c r="O55" i="1" s="1"/>
  <c r="O56" i="1" s="1"/>
  <c r="O57" i="1" s="1"/>
  <c r="O58" i="1" s="1"/>
  <c r="O59" i="1" s="1"/>
  <c r="O60" i="1" s="1"/>
  <c r="O47" i="1"/>
  <c r="O48" i="1" s="1"/>
  <c r="O49" i="1" s="1"/>
  <c r="O50" i="1" s="1"/>
  <c r="O51" i="1" s="1"/>
  <c r="O52" i="1" s="1"/>
  <c r="O37" i="1"/>
  <c r="O38" i="1" s="1"/>
  <c r="O39" i="1" s="1"/>
  <c r="O40" i="1" s="1"/>
  <c r="O41" i="1" s="1"/>
  <c r="O42" i="1" s="1"/>
  <c r="O43" i="1" s="1"/>
  <c r="O44" i="1" s="1"/>
  <c r="O45" i="1" s="1"/>
  <c r="O27" i="1"/>
  <c r="O28" i="1" s="1"/>
  <c r="O29" i="1" s="1"/>
  <c r="O30" i="1" s="1"/>
  <c r="O31" i="1" s="1"/>
  <c r="O32" i="1" s="1"/>
  <c r="O33" i="1" s="1"/>
  <c r="O34" i="1" s="1"/>
  <c r="O35" i="1" s="1"/>
  <c r="O21" i="1"/>
  <c r="O22" i="1" s="1"/>
  <c r="O23" i="1" s="1"/>
  <c r="O24" i="1" s="1"/>
  <c r="O25" i="1" s="1"/>
  <c r="O14" i="1"/>
  <c r="O15" i="1" s="1"/>
  <c r="O16" i="1" s="1"/>
  <c r="O17" i="1" s="1"/>
  <c r="O18" i="1" s="1"/>
  <c r="O19" i="1" s="1"/>
  <c r="O8" i="1"/>
  <c r="O9" i="1" s="1"/>
  <c r="O10" i="1" s="1"/>
  <c r="O11" i="1" s="1"/>
  <c r="O12" i="1" s="1"/>
  <c r="O2" i="1"/>
  <c r="O3" i="1" s="1"/>
  <c r="O4" i="1" s="1"/>
  <c r="O5" i="1" s="1"/>
  <c r="O6" i="1" s="1"/>
  <c r="L103" i="1"/>
  <c r="L104" i="1" s="1"/>
  <c r="L105" i="1" s="1"/>
  <c r="L106" i="1" s="1"/>
  <c r="L107" i="1" s="1"/>
  <c r="L108" i="1" s="1"/>
  <c r="L109" i="1" s="1"/>
  <c r="L95" i="1"/>
  <c r="L96" i="1" s="1"/>
  <c r="L97" i="1" s="1"/>
  <c r="L98" i="1" s="1"/>
  <c r="L99" i="1" s="1"/>
  <c r="L100" i="1" s="1"/>
  <c r="L101" i="1" s="1"/>
  <c r="L88" i="1"/>
  <c r="L89" i="1" s="1"/>
  <c r="L90" i="1" s="1"/>
  <c r="L91" i="1" s="1"/>
  <c r="L92" i="1" s="1"/>
  <c r="L93" i="1" s="1"/>
  <c r="L79" i="1"/>
  <c r="L80" i="1" s="1"/>
  <c r="L81" i="1" s="1"/>
  <c r="L82" i="1" s="1"/>
  <c r="L83" i="1" s="1"/>
  <c r="L84" i="1" s="1"/>
  <c r="L85" i="1" s="1"/>
  <c r="L86" i="1" s="1"/>
  <c r="L69" i="1"/>
  <c r="L70" i="1" s="1"/>
  <c r="L71" i="1" s="1"/>
  <c r="L72" i="1" s="1"/>
  <c r="L73" i="1" s="1"/>
  <c r="L74" i="1" s="1"/>
  <c r="L75" i="1" s="1"/>
  <c r="L76" i="1" s="1"/>
  <c r="L77" i="1" s="1"/>
  <c r="L60" i="1"/>
  <c r="L61" i="1" s="1"/>
  <c r="L62" i="1" s="1"/>
  <c r="L63" i="1" s="1"/>
  <c r="L64" i="1" s="1"/>
  <c r="L65" i="1" s="1"/>
  <c r="L66" i="1" s="1"/>
  <c r="L67" i="1" s="1"/>
  <c r="L53" i="1"/>
  <c r="L54" i="1" s="1"/>
  <c r="L55" i="1" s="1"/>
  <c r="L56" i="1" s="1"/>
  <c r="L57" i="1" s="1"/>
  <c r="L58" i="1" s="1"/>
  <c r="L47" i="1"/>
  <c r="L48" i="1" s="1"/>
  <c r="L49" i="1" s="1"/>
  <c r="L50" i="1" s="1"/>
  <c r="L51" i="1" s="1"/>
  <c r="L45" i="1"/>
  <c r="L44" i="1"/>
  <c r="L43" i="1"/>
  <c r="L42" i="1"/>
  <c r="L41" i="1"/>
  <c r="L35" i="1"/>
  <c r="L36" i="1" s="1"/>
  <c r="L37" i="1" s="1"/>
  <c r="L38" i="1" s="1"/>
  <c r="L39" i="1" s="1"/>
  <c r="L29" i="1"/>
  <c r="L30" i="1" s="1"/>
  <c r="L31" i="1" s="1"/>
  <c r="L32" i="1" s="1"/>
  <c r="L33" i="1" s="1"/>
  <c r="L23" i="1"/>
  <c r="L24" i="1" s="1"/>
  <c r="L25" i="1" s="1"/>
  <c r="L26" i="1" s="1"/>
  <c r="L27" i="1" s="1"/>
  <c r="L18" i="1"/>
  <c r="L19" i="1" s="1"/>
  <c r="L20" i="1" s="1"/>
  <c r="L21" i="1" s="1"/>
  <c r="L17" i="1"/>
  <c r="L9" i="1"/>
  <c r="L10" i="1" s="1"/>
  <c r="L11" i="1" s="1"/>
  <c r="L12" i="1" s="1"/>
  <c r="L13" i="1" s="1"/>
  <c r="L14" i="1" s="1"/>
  <c r="L15" i="1" s="1"/>
  <c r="L2" i="1"/>
  <c r="L3" i="1" s="1"/>
  <c r="L4" i="1" s="1"/>
  <c r="L5" i="1" s="1"/>
  <c r="L6" i="1" s="1"/>
  <c r="L7" i="1" s="1"/>
  <c r="I45" i="1"/>
  <c r="I37" i="1"/>
  <c r="I38" i="1" s="1"/>
  <c r="I39" i="1" s="1"/>
  <c r="I40" i="1" s="1"/>
  <c r="I41" i="1" s="1"/>
  <c r="I42" i="1" s="1"/>
  <c r="I43" i="1" s="1"/>
  <c r="I30" i="1"/>
  <c r="I31" i="1" s="1"/>
  <c r="I32" i="1" s="1"/>
  <c r="I33" i="1" s="1"/>
  <c r="I34" i="1" s="1"/>
  <c r="I35" i="1" s="1"/>
  <c r="I23" i="1"/>
  <c r="I24" i="1" s="1"/>
  <c r="I25" i="1" s="1"/>
  <c r="I26" i="1" s="1"/>
  <c r="I27" i="1" s="1"/>
  <c r="I28" i="1" s="1"/>
  <c r="I16" i="1"/>
  <c r="I17" i="1" s="1"/>
  <c r="I18" i="1" s="1"/>
  <c r="I19" i="1" s="1"/>
  <c r="I20" i="1" s="1"/>
  <c r="I21" i="1" s="1"/>
  <c r="I10" i="1"/>
  <c r="I11" i="1" s="1"/>
  <c r="I12" i="1" s="1"/>
  <c r="I13" i="1" s="1"/>
  <c r="I14" i="1" s="1"/>
  <c r="I2" i="1"/>
  <c r="I3" i="1" s="1"/>
  <c r="I4" i="1" s="1"/>
  <c r="I5" i="1" s="1"/>
  <c r="I6" i="1" s="1"/>
  <c r="I7" i="1" s="1"/>
  <c r="I8" i="1" s="1"/>
  <c r="F73" i="1"/>
  <c r="F74" i="1" s="1"/>
  <c r="F68" i="1"/>
  <c r="F69" i="1" s="1"/>
  <c r="F70" i="1" s="1"/>
  <c r="F71" i="1" s="1"/>
  <c r="F62" i="1"/>
  <c r="F63" i="1" s="1"/>
  <c r="F64" i="1" s="1"/>
  <c r="F65" i="1" s="1"/>
  <c r="F66" i="1" s="1"/>
  <c r="F56" i="1"/>
  <c r="F57" i="1" s="1"/>
  <c r="F58" i="1" s="1"/>
  <c r="F59" i="1" s="1"/>
  <c r="F60" i="1" s="1"/>
  <c r="F50" i="1"/>
  <c r="F51" i="1" s="1"/>
  <c r="F52" i="1" s="1"/>
  <c r="F53" i="1" s="1"/>
  <c r="F54" i="1" s="1"/>
  <c r="F44" i="1"/>
  <c r="F45" i="1" s="1"/>
  <c r="F46" i="1" s="1"/>
  <c r="F47" i="1" s="1"/>
  <c r="F48" i="1" s="1"/>
  <c r="F38" i="1"/>
  <c r="F39" i="1" s="1"/>
  <c r="F40" i="1" s="1"/>
  <c r="F41" i="1" s="1"/>
  <c r="F42" i="1" s="1"/>
  <c r="F32" i="1"/>
  <c r="F33" i="1" s="1"/>
  <c r="F34" i="1" s="1"/>
  <c r="F35" i="1" s="1"/>
  <c r="F36" i="1" s="1"/>
  <c r="F27" i="1"/>
  <c r="F28" i="1" s="1"/>
  <c r="F29" i="1" s="1"/>
  <c r="F30" i="1" s="1"/>
  <c r="F22" i="1"/>
  <c r="F23" i="1" s="1"/>
  <c r="F24" i="1" s="1"/>
  <c r="F25" i="1" s="1"/>
  <c r="F17" i="1"/>
  <c r="F18" i="1" s="1"/>
  <c r="F19" i="1" s="1"/>
  <c r="F20" i="1" s="1"/>
  <c r="F16" i="1"/>
  <c r="F11" i="1"/>
  <c r="F12" i="1" s="1"/>
  <c r="F13" i="1" s="1"/>
  <c r="F14" i="1" s="1"/>
  <c r="F5" i="1"/>
  <c r="F6" i="1" s="1"/>
  <c r="F7" i="1" s="1"/>
  <c r="F8" i="1" s="1"/>
  <c r="F9" i="1" s="1"/>
  <c r="F3" i="1"/>
  <c r="F2" i="1"/>
  <c r="F1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C24" i="1"/>
  <c r="C25" i="1" s="1"/>
  <c r="C26" i="1" s="1"/>
  <c r="C27" i="1" s="1"/>
  <c r="C28" i="1" s="1"/>
  <c r="C29" i="1" s="1"/>
  <c r="C15" i="1"/>
  <c r="C16" i="1" s="1"/>
  <c r="C17" i="1" s="1"/>
  <c r="C18" i="1" s="1"/>
  <c r="C19" i="1" s="1"/>
  <c r="C20" i="1" s="1"/>
  <c r="C21" i="1" s="1"/>
  <c r="C22" i="1" s="1"/>
  <c r="C8" i="1"/>
  <c r="C9" i="1" s="1"/>
  <c r="C10" i="1" s="1"/>
  <c r="C11" i="1" s="1"/>
  <c r="C12" i="1" s="1"/>
  <c r="C13" i="1" s="1"/>
  <c r="C2" i="1"/>
  <c r="C3" i="1" s="1"/>
  <c r="C4" i="1" s="1"/>
  <c r="C5" i="1" s="1"/>
  <c r="C6" i="1" s="1"/>
  <c r="A121" i="1"/>
  <c r="A122" i="1" s="1"/>
  <c r="A116" i="1"/>
  <c r="A117" i="1" s="1"/>
  <c r="A118" i="1" s="1"/>
  <c r="A119" i="1" s="1"/>
  <c r="A112" i="1"/>
  <c r="A113" i="1" s="1"/>
  <c r="A114" i="1" s="1"/>
  <c r="A108" i="1"/>
  <c r="A109" i="1" s="1"/>
  <c r="A110" i="1" s="1"/>
  <c r="A103" i="1"/>
  <c r="A104" i="1" s="1"/>
  <c r="A105" i="1" s="1"/>
  <c r="A106" i="1" s="1"/>
  <c r="A94" i="1"/>
  <c r="A95" i="1" s="1"/>
  <c r="A96" i="1" s="1"/>
  <c r="A97" i="1" s="1"/>
  <c r="A98" i="1" s="1"/>
  <c r="A99" i="1" s="1"/>
  <c r="A100" i="1" s="1"/>
  <c r="A101" i="1" s="1"/>
  <c r="A90" i="1"/>
  <c r="A91" i="1" s="1"/>
  <c r="A92" i="1" s="1"/>
  <c r="A85" i="1"/>
  <c r="A86" i="1" s="1"/>
  <c r="A87" i="1" s="1"/>
  <c r="A88" i="1" s="1"/>
  <c r="A79" i="1"/>
  <c r="A80" i="1" s="1"/>
  <c r="A81" i="1" s="1"/>
  <c r="A82" i="1" s="1"/>
  <c r="A83" i="1" s="1"/>
  <c r="A72" i="1"/>
  <c r="A73" i="1" s="1"/>
  <c r="A74" i="1" s="1"/>
  <c r="A75" i="1" s="1"/>
  <c r="A76" i="1" s="1"/>
  <c r="A77" i="1" s="1"/>
  <c r="A66" i="1"/>
  <c r="A67" i="1" s="1"/>
  <c r="A68" i="1" s="1"/>
  <c r="A69" i="1" s="1"/>
  <c r="A70" i="1" s="1"/>
  <c r="A58" i="1"/>
  <c r="A59" i="1" s="1"/>
  <c r="A60" i="1" s="1"/>
  <c r="A61" i="1" s="1"/>
  <c r="A62" i="1" s="1"/>
  <c r="A63" i="1" s="1"/>
  <c r="A64" i="1" s="1"/>
  <c r="A50" i="1"/>
  <c r="A51" i="1" s="1"/>
  <c r="A52" i="1" s="1"/>
  <c r="A53" i="1" s="1"/>
  <c r="A54" i="1" s="1"/>
  <c r="A55" i="1" s="1"/>
  <c r="A56" i="1" s="1"/>
  <c r="A42" i="1"/>
  <c r="A43" i="1" s="1"/>
  <c r="A44" i="1" s="1"/>
  <c r="A45" i="1" s="1"/>
  <c r="A46" i="1" s="1"/>
  <c r="A47" i="1" s="1"/>
  <c r="A48" i="1" s="1"/>
  <c r="A34" i="1"/>
  <c r="A35" i="1" s="1"/>
  <c r="A36" i="1" s="1"/>
  <c r="A37" i="1" s="1"/>
  <c r="A38" i="1" s="1"/>
  <c r="A39" i="1" s="1"/>
  <c r="A40" i="1" s="1"/>
  <c r="A28" i="1"/>
  <c r="A29" i="1" s="1"/>
  <c r="A30" i="1" s="1"/>
  <c r="A31" i="1" s="1"/>
  <c r="A32" i="1" s="1"/>
  <c r="A27" i="1"/>
  <c r="A19" i="1"/>
  <c r="A20" i="1" s="1"/>
  <c r="A21" i="1" s="1"/>
  <c r="A22" i="1" s="1"/>
  <c r="A23" i="1" s="1"/>
  <c r="A24" i="1" s="1"/>
  <c r="A25" i="1" s="1"/>
  <c r="A10" i="1"/>
  <c r="A11" i="1" s="1"/>
  <c r="A12" i="1" s="1"/>
  <c r="A13" i="1" s="1"/>
  <c r="A14" i="1" s="1"/>
  <c r="A15" i="1" s="1"/>
  <c r="A16" i="1" s="1"/>
  <c r="A17" i="1" s="1"/>
  <c r="A2" i="1"/>
  <c r="A3" i="1" s="1"/>
  <c r="A4" i="1" s="1"/>
  <c r="A5" i="1" s="1"/>
  <c r="A6" i="1" s="1"/>
  <c r="A7" i="1" s="1"/>
  <c r="A8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;0.0"/>
  </numFmts>
  <fonts count="3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F2A5-BE08-6149-A89A-5DF4280FEE53}">
  <dimension ref="A1:Q122"/>
  <sheetViews>
    <sheetView tabSelected="1" workbookViewId="0">
      <selection activeCell="B8" sqref="B8:B122"/>
    </sheetView>
  </sheetViews>
  <sheetFormatPr baseColWidth="10" defaultRowHeight="16" x14ac:dyDescent="0.2"/>
  <sheetData>
    <row r="1" spans="1:17" ht="18" x14ac:dyDescent="0.2">
      <c r="A1">
        <v>1971</v>
      </c>
      <c r="B1" s="1">
        <v>-1.1316000653161</v>
      </c>
      <c r="C1">
        <v>1968</v>
      </c>
      <c r="D1" s="2">
        <v>-1.66192046778262</v>
      </c>
      <c r="E1">
        <f>D1-1/8</f>
        <v>-1.78692046778262</v>
      </c>
      <c r="F1">
        <f t="shared" ref="F1:F2" si="0">F2-1/5</f>
        <v>1955.3999999999999</v>
      </c>
      <c r="G1" s="1">
        <v>-0.97185038962002546</v>
      </c>
      <c r="H1">
        <f>G1-1/8</f>
        <v>-1.0968503896200255</v>
      </c>
      <c r="I1">
        <v>1949</v>
      </c>
      <c r="J1" s="2">
        <v>-1.3252579924449117</v>
      </c>
      <c r="K1">
        <f>J1-1/8</f>
        <v>-1.4502579924449117</v>
      </c>
      <c r="L1">
        <v>1933</v>
      </c>
      <c r="M1" s="2">
        <v>-1.3261384708872943</v>
      </c>
      <c r="N1">
        <f>M1-1/4</f>
        <v>-1.5761384708872943</v>
      </c>
      <c r="O1">
        <v>1926</v>
      </c>
      <c r="P1" s="2">
        <v>-0.49569778664185171</v>
      </c>
      <c r="Q1">
        <f>P1-1/8</f>
        <v>-0.62069778664185171</v>
      </c>
    </row>
    <row r="2" spans="1:17" ht="18" x14ac:dyDescent="0.2">
      <c r="A2">
        <f>A1+1/8</f>
        <v>1971.125</v>
      </c>
      <c r="B2" s="2">
        <v>-0.95925430501560571</v>
      </c>
      <c r="C2">
        <f>C1+1/6</f>
        <v>1968.1666666666667</v>
      </c>
      <c r="D2" s="2">
        <v>-1.0437161811576312</v>
      </c>
      <c r="E2">
        <f t="shared" ref="E2:E29" si="1">D2-1/8</f>
        <v>-1.1687161811576312</v>
      </c>
      <c r="F2">
        <f t="shared" si="0"/>
        <v>1955.6</v>
      </c>
      <c r="G2" s="2">
        <v>-0.85484261247222637</v>
      </c>
      <c r="H2">
        <f t="shared" ref="H2:H65" si="2">G2-1/8</f>
        <v>-0.97984261247222637</v>
      </c>
      <c r="I2">
        <f>I1+1/8</f>
        <v>1949.125</v>
      </c>
      <c r="J2" s="2">
        <v>-1.6269707938540841</v>
      </c>
      <c r="K2">
        <f t="shared" ref="K2:K45" si="3">J2-1/8</f>
        <v>-1.7519707938540841</v>
      </c>
      <c r="L2">
        <f>L1+1/7</f>
        <v>1933.1428571428571</v>
      </c>
      <c r="M2" s="2">
        <v>-0.77683062656575674</v>
      </c>
      <c r="N2">
        <f t="shared" ref="N2:N65" si="4">M2-1/4</f>
        <v>-1.0268306265657567</v>
      </c>
      <c r="O2">
        <f>O1+1/6</f>
        <v>1926.1666666666667</v>
      </c>
      <c r="P2" s="2">
        <v>-0.77554049350235243</v>
      </c>
      <c r="Q2">
        <f t="shared" ref="Q2:Q61" si="5">P2-1/8</f>
        <v>-0.90054049350235243</v>
      </c>
    </row>
    <row r="3" spans="1:17" ht="18" x14ac:dyDescent="0.2">
      <c r="A3">
        <f t="shared" ref="A3:A8" si="6">A2+1/8</f>
        <v>1971.25</v>
      </c>
      <c r="B3" s="2">
        <v>-1.1478980694060501</v>
      </c>
      <c r="C3">
        <f t="shared" ref="C3:C6" si="7">C2+1/6</f>
        <v>1968.3333333333335</v>
      </c>
      <c r="D3" s="2">
        <v>-0.60788242310373319</v>
      </c>
      <c r="E3">
        <f t="shared" si="1"/>
        <v>-0.73288242310373319</v>
      </c>
      <c r="F3">
        <f>F4-1/5</f>
        <v>1955.8</v>
      </c>
      <c r="G3" s="2">
        <v>-1.0824183613792104</v>
      </c>
      <c r="H3">
        <f t="shared" si="2"/>
        <v>-1.2074183613792104</v>
      </c>
      <c r="I3">
        <f t="shared" ref="I3:I8" si="8">I2+1/8</f>
        <v>1949.25</v>
      </c>
      <c r="J3" s="2">
        <v>-1.5248595362293538</v>
      </c>
      <c r="K3">
        <f t="shared" si="3"/>
        <v>-1.6498595362293538</v>
      </c>
      <c r="L3">
        <f t="shared" ref="L3:L7" si="9">L2+1/7</f>
        <v>1933.2857142857142</v>
      </c>
      <c r="M3" s="2">
        <v>-0.11141164466657377</v>
      </c>
      <c r="N3">
        <f t="shared" si="4"/>
        <v>-0.36141164466657377</v>
      </c>
      <c r="O3">
        <f t="shared" ref="O3:O6" si="10">O2+1/6</f>
        <v>1926.3333333333335</v>
      </c>
      <c r="P3" s="2">
        <v>-0.85399321779129767</v>
      </c>
      <c r="Q3">
        <f t="shared" si="5"/>
        <v>-0.97899321779129767</v>
      </c>
    </row>
    <row r="4" spans="1:17" ht="18" x14ac:dyDescent="0.2">
      <c r="A4">
        <f t="shared" si="6"/>
        <v>1971.375</v>
      </c>
      <c r="B4" s="2">
        <v>-1.5464833202292054</v>
      </c>
      <c r="C4">
        <f t="shared" si="7"/>
        <v>1968.5000000000002</v>
      </c>
      <c r="D4" s="2">
        <v>-0.47576858441384312</v>
      </c>
      <c r="E4">
        <f t="shared" si="1"/>
        <v>-0.60076858441384307</v>
      </c>
      <c r="F4">
        <v>1956</v>
      </c>
      <c r="G4" s="2">
        <v>-1.0850398983177905</v>
      </c>
      <c r="H4">
        <f t="shared" si="2"/>
        <v>-1.2100398983177905</v>
      </c>
      <c r="I4">
        <f t="shared" si="8"/>
        <v>1949.375</v>
      </c>
      <c r="J4" s="2">
        <v>-1.1132537931665887</v>
      </c>
      <c r="K4">
        <f t="shared" si="3"/>
        <v>-1.2382537931665887</v>
      </c>
      <c r="L4">
        <f t="shared" si="9"/>
        <v>1933.4285714285713</v>
      </c>
      <c r="M4" s="2">
        <v>-0.6139973655805353</v>
      </c>
      <c r="N4">
        <f t="shared" si="4"/>
        <v>-0.8639973655805353</v>
      </c>
      <c r="O4">
        <f t="shared" si="10"/>
        <v>1926.5000000000002</v>
      </c>
      <c r="P4" s="2">
        <v>-1.0921337702647147</v>
      </c>
      <c r="Q4">
        <f t="shared" si="5"/>
        <v>-1.2171337702647147</v>
      </c>
    </row>
    <row r="5" spans="1:17" ht="18" x14ac:dyDescent="0.2">
      <c r="A5">
        <f t="shared" si="6"/>
        <v>1971.5</v>
      </c>
      <c r="B5" s="2">
        <v>-1.2834018878547166</v>
      </c>
      <c r="C5">
        <f t="shared" si="7"/>
        <v>1968.666666666667</v>
      </c>
      <c r="D5" s="2">
        <v>-0.83396268888597613</v>
      </c>
      <c r="E5">
        <f t="shared" si="1"/>
        <v>-0.95896268888597613</v>
      </c>
      <c r="F5">
        <f>F4+1/6</f>
        <v>1956.1666666666667</v>
      </c>
      <c r="G5" s="2">
        <v>-0.6823644914402236</v>
      </c>
      <c r="H5">
        <f t="shared" si="2"/>
        <v>-0.8073644914402236</v>
      </c>
      <c r="I5">
        <f t="shared" si="8"/>
        <v>1949.5</v>
      </c>
      <c r="J5" s="2">
        <v>-1.2054008064569599</v>
      </c>
      <c r="K5">
        <f t="shared" si="3"/>
        <v>-1.3304008064569599</v>
      </c>
      <c r="L5">
        <f t="shared" si="9"/>
        <v>1933.5714285714284</v>
      </c>
      <c r="M5" s="2">
        <v>-0.99582996798573076</v>
      </c>
      <c r="N5">
        <f t="shared" si="4"/>
        <v>-1.2458299679857308</v>
      </c>
      <c r="O5">
        <f t="shared" si="10"/>
        <v>1926.666666666667</v>
      </c>
      <c r="P5" s="2">
        <v>-0.66282500615673801</v>
      </c>
      <c r="Q5">
        <f t="shared" si="5"/>
        <v>-0.78782500615673801</v>
      </c>
    </row>
    <row r="6" spans="1:17" ht="18" x14ac:dyDescent="0.2">
      <c r="A6">
        <f t="shared" si="6"/>
        <v>1971.625</v>
      </c>
      <c r="B6" s="2">
        <v>-1.2436406390576888</v>
      </c>
      <c r="C6">
        <f t="shared" si="7"/>
        <v>1968.8333333333337</v>
      </c>
      <c r="D6" s="2">
        <v>-1.1645429614218381</v>
      </c>
      <c r="E6">
        <f t="shared" si="1"/>
        <v>-1.2895429614218381</v>
      </c>
      <c r="F6">
        <f t="shared" ref="F6:F9" si="11">F5+1/6</f>
        <v>1956.3333333333335</v>
      </c>
      <c r="G6" s="2">
        <v>-0.94559502144299512</v>
      </c>
      <c r="H6">
        <f t="shared" si="2"/>
        <v>-1.0705950214429951</v>
      </c>
      <c r="I6">
        <f t="shared" si="8"/>
        <v>1949.625</v>
      </c>
      <c r="J6" s="2">
        <v>-1.3177131699449447</v>
      </c>
      <c r="K6">
        <f t="shared" si="3"/>
        <v>-1.4427131699449447</v>
      </c>
      <c r="L6">
        <f t="shared" si="9"/>
        <v>1933.7142857142856</v>
      </c>
      <c r="M6" s="2">
        <v>-1.3741882309412718</v>
      </c>
      <c r="N6">
        <f t="shared" si="4"/>
        <v>-1.6241882309412718</v>
      </c>
      <c r="O6">
        <f t="shared" si="10"/>
        <v>1926.8333333333337</v>
      </c>
      <c r="P6" s="2">
        <v>-0.55646263830480625</v>
      </c>
      <c r="Q6">
        <f t="shared" si="5"/>
        <v>-0.68146263830480625</v>
      </c>
    </row>
    <row r="7" spans="1:17" ht="18" x14ac:dyDescent="0.2">
      <c r="A7">
        <f t="shared" si="6"/>
        <v>1971.75</v>
      </c>
      <c r="B7" s="2">
        <v>-1.2450180068953305</v>
      </c>
      <c r="C7">
        <v>1969</v>
      </c>
      <c r="D7" s="2">
        <v>-1.426739823220522</v>
      </c>
      <c r="E7">
        <f t="shared" si="1"/>
        <v>-1.551739823220522</v>
      </c>
      <c r="F7">
        <f t="shared" si="11"/>
        <v>1956.5000000000002</v>
      </c>
      <c r="G7" s="2">
        <v>-0.87813887815435732</v>
      </c>
      <c r="H7">
        <f t="shared" si="2"/>
        <v>-1.0031388781543573</v>
      </c>
      <c r="I7">
        <f t="shared" si="8"/>
        <v>1949.75</v>
      </c>
      <c r="J7" s="2">
        <v>-1.3755068779603503</v>
      </c>
      <c r="K7">
        <f t="shared" si="3"/>
        <v>-1.5005068779603503</v>
      </c>
      <c r="L7">
        <f t="shared" si="9"/>
        <v>1933.8571428571427</v>
      </c>
      <c r="M7" s="2">
        <v>-1.4450111411728368</v>
      </c>
      <c r="N7">
        <f t="shared" si="4"/>
        <v>-1.6950111411728368</v>
      </c>
      <c r="O7">
        <v>1927</v>
      </c>
      <c r="P7" s="2">
        <v>-1.1093251236303541</v>
      </c>
      <c r="Q7">
        <f t="shared" si="5"/>
        <v>-1.2343251236303541</v>
      </c>
    </row>
    <row r="8" spans="1:17" ht="18" x14ac:dyDescent="0.2">
      <c r="A8">
        <f t="shared" si="6"/>
        <v>1971.875</v>
      </c>
      <c r="B8" s="2">
        <v>-1.7226926609634456</v>
      </c>
      <c r="C8">
        <f>C7+1/7</f>
        <v>1969.1428571428571</v>
      </c>
      <c r="D8" s="2">
        <v>-1.3676186638087025</v>
      </c>
      <c r="E8">
        <f t="shared" si="1"/>
        <v>-1.4926186638087025</v>
      </c>
      <c r="F8">
        <f t="shared" si="11"/>
        <v>1956.666666666667</v>
      </c>
      <c r="G8" s="2">
        <v>-0.86331791190361828</v>
      </c>
      <c r="H8">
        <f t="shared" si="2"/>
        <v>-0.98831791190361828</v>
      </c>
      <c r="I8">
        <f t="shared" si="8"/>
        <v>1949.875</v>
      </c>
      <c r="J8" s="2">
        <v>-1.4262671621626974</v>
      </c>
      <c r="K8">
        <f t="shared" si="3"/>
        <v>-1.5512671621626974</v>
      </c>
      <c r="L8">
        <v>1934</v>
      </c>
      <c r="M8" s="2">
        <v>-1.1735106590684161</v>
      </c>
      <c r="N8">
        <f t="shared" si="4"/>
        <v>-1.4235106590684161</v>
      </c>
      <c r="O8">
        <f>O7+1/6</f>
        <v>1927.1666666666667</v>
      </c>
      <c r="P8" s="2">
        <v>-0.78562542443942429</v>
      </c>
      <c r="Q8">
        <f t="shared" si="5"/>
        <v>-0.91062542443942429</v>
      </c>
    </row>
    <row r="9" spans="1:17" ht="18" x14ac:dyDescent="0.2">
      <c r="A9">
        <v>1972</v>
      </c>
      <c r="B9" s="2">
        <v>-1.4603180397887459</v>
      </c>
      <c r="C9">
        <f t="shared" ref="C9:C13" si="12">C8+1/7</f>
        <v>1969.2857142857142</v>
      </c>
      <c r="D9" s="2">
        <v>-1.5821879279582396</v>
      </c>
      <c r="E9">
        <f t="shared" si="1"/>
        <v>-1.7071879279582396</v>
      </c>
      <c r="F9">
        <f t="shared" si="11"/>
        <v>1956.8333333333337</v>
      </c>
      <c r="G9" s="2">
        <v>-1.0394361249519786</v>
      </c>
      <c r="H9">
        <f t="shared" si="2"/>
        <v>-1.1644361249519786</v>
      </c>
      <c r="I9">
        <v>1950</v>
      </c>
      <c r="J9" s="2">
        <v>-1.784876728995975</v>
      </c>
      <c r="K9">
        <f t="shared" si="3"/>
        <v>-1.909876728995975</v>
      </c>
      <c r="L9">
        <f>L8+1/8</f>
        <v>1934.125</v>
      </c>
      <c r="M9" s="2">
        <v>-0.87337710286363279</v>
      </c>
      <c r="N9">
        <f t="shared" si="4"/>
        <v>-1.1233771028636328</v>
      </c>
      <c r="O9">
        <f t="shared" ref="O9:O12" si="13">O8+1/6</f>
        <v>1927.3333333333335</v>
      </c>
      <c r="P9" s="2">
        <v>-0.89507455869259123</v>
      </c>
      <c r="Q9">
        <f t="shared" si="5"/>
        <v>-1.0200745586925912</v>
      </c>
    </row>
    <row r="10" spans="1:17" ht="18" x14ac:dyDescent="0.2">
      <c r="A10">
        <f>A9+1/9</f>
        <v>1972.1111111111111</v>
      </c>
      <c r="B10" s="2">
        <v>-2.1824775472710525</v>
      </c>
      <c r="C10">
        <f t="shared" si="12"/>
        <v>1969.4285714285713</v>
      </c>
      <c r="D10" s="2">
        <v>-1.6285483471967561</v>
      </c>
      <c r="E10">
        <f t="shared" si="1"/>
        <v>-1.7535483471967561</v>
      </c>
      <c r="F10">
        <v>1957</v>
      </c>
      <c r="G10" s="2">
        <v>-1.4466454352186962</v>
      </c>
      <c r="H10">
        <f t="shared" si="2"/>
        <v>-1.5716454352186962</v>
      </c>
      <c r="I10">
        <f>I9+1/6</f>
        <v>1950.1666666666667</v>
      </c>
      <c r="J10" s="2">
        <v>-1.1993815944185899</v>
      </c>
      <c r="K10">
        <f t="shared" si="3"/>
        <v>-1.3243815944185899</v>
      </c>
      <c r="L10">
        <f t="shared" ref="L10:L15" si="14">L9+1/8</f>
        <v>1934.25</v>
      </c>
      <c r="M10" s="2">
        <v>-0.79055354519149335</v>
      </c>
      <c r="N10">
        <f t="shared" si="4"/>
        <v>-1.0405535451914933</v>
      </c>
      <c r="O10">
        <f t="shared" si="13"/>
        <v>1927.5000000000002</v>
      </c>
      <c r="P10" s="2">
        <v>-0.68095936670854251</v>
      </c>
      <c r="Q10">
        <f t="shared" si="5"/>
        <v>-0.80595936670854251</v>
      </c>
    </row>
    <row r="11" spans="1:17" ht="18" x14ac:dyDescent="0.2">
      <c r="A11">
        <f t="shared" ref="A11:A17" si="15">A10+1/9</f>
        <v>1972.2222222222222</v>
      </c>
      <c r="B11" s="2">
        <v>-1.87461559512505</v>
      </c>
      <c r="C11">
        <f t="shared" si="12"/>
        <v>1969.5714285714284</v>
      </c>
      <c r="D11" s="2">
        <v>-1.5400734423916511</v>
      </c>
      <c r="E11">
        <f t="shared" si="1"/>
        <v>-1.6650734423916511</v>
      </c>
      <c r="F11">
        <f>F10+1/5</f>
        <v>1957.2</v>
      </c>
      <c r="G11" s="2">
        <v>-0.9513836343894797</v>
      </c>
      <c r="H11">
        <f t="shared" si="2"/>
        <v>-1.0763836343894797</v>
      </c>
      <c r="I11">
        <f t="shared" ref="I11:I14" si="16">I10+1/6</f>
        <v>1950.3333333333335</v>
      </c>
      <c r="J11" s="2">
        <v>-1.4511532787893158</v>
      </c>
      <c r="K11">
        <f t="shared" si="3"/>
        <v>-1.5761532787893158</v>
      </c>
      <c r="L11">
        <f t="shared" si="14"/>
        <v>1934.375</v>
      </c>
      <c r="M11" s="2">
        <v>-0.87015932131734552</v>
      </c>
      <c r="N11">
        <f t="shared" si="4"/>
        <v>-1.1201593213173455</v>
      </c>
      <c r="O11">
        <f t="shared" si="13"/>
        <v>1927.666666666667</v>
      </c>
      <c r="P11" s="2">
        <v>-1.0209114591029735</v>
      </c>
      <c r="Q11">
        <f t="shared" si="5"/>
        <v>-1.1459114591029735</v>
      </c>
    </row>
    <row r="12" spans="1:17" ht="18" x14ac:dyDescent="0.2">
      <c r="A12">
        <f t="shared" si="15"/>
        <v>1972.3333333333333</v>
      </c>
      <c r="B12" s="2">
        <v>-1.8190315977912199</v>
      </c>
      <c r="C12">
        <f t="shared" si="12"/>
        <v>1969.7142857142856</v>
      </c>
      <c r="D12" s="2">
        <v>-1.48539866058865</v>
      </c>
      <c r="E12">
        <f t="shared" si="1"/>
        <v>-1.61039866058865</v>
      </c>
      <c r="F12">
        <f t="shared" ref="F12:F14" si="17">F11+1/5</f>
        <v>1957.4</v>
      </c>
      <c r="G12" s="2">
        <v>-0.83593833527600614</v>
      </c>
      <c r="H12">
        <f t="shared" si="2"/>
        <v>-0.96093833527600614</v>
      </c>
      <c r="I12">
        <f t="shared" si="16"/>
        <v>1950.5000000000002</v>
      </c>
      <c r="J12" s="2">
        <v>-1.3432568424577527</v>
      </c>
      <c r="K12">
        <f t="shared" si="3"/>
        <v>-1.4682568424577527</v>
      </c>
      <c r="L12">
        <f t="shared" si="14"/>
        <v>1934.5</v>
      </c>
      <c r="M12" s="2">
        <v>-1.2640058030864778</v>
      </c>
      <c r="N12">
        <f t="shared" si="4"/>
        <v>-1.5140058030864778</v>
      </c>
      <c r="O12">
        <f t="shared" si="13"/>
        <v>1927.8333333333337</v>
      </c>
      <c r="P12" s="2">
        <v>-1.3095232576258642</v>
      </c>
      <c r="Q12">
        <f t="shared" si="5"/>
        <v>-1.4345232576258642</v>
      </c>
    </row>
    <row r="13" spans="1:17" ht="18" x14ac:dyDescent="0.2">
      <c r="A13">
        <f t="shared" si="15"/>
        <v>1972.4444444444443</v>
      </c>
      <c r="B13" s="2">
        <v>-1.6450145632886155</v>
      </c>
      <c r="C13">
        <f t="shared" si="12"/>
        <v>1969.8571428571427</v>
      </c>
      <c r="D13" s="2">
        <v>-0.93996578329945968</v>
      </c>
      <c r="E13">
        <f t="shared" si="1"/>
        <v>-1.0649657832994597</v>
      </c>
      <c r="F13">
        <f t="shared" si="17"/>
        <v>1957.6000000000001</v>
      </c>
      <c r="G13" s="2">
        <v>-0.70178006631630407</v>
      </c>
      <c r="H13">
        <f t="shared" si="2"/>
        <v>-0.82678006631630407</v>
      </c>
      <c r="I13">
        <f t="shared" si="16"/>
        <v>1950.666666666667</v>
      </c>
      <c r="J13" s="2">
        <v>-1.1068826725710021</v>
      </c>
      <c r="K13">
        <f t="shared" si="3"/>
        <v>-1.2318826725710021</v>
      </c>
      <c r="L13">
        <f t="shared" si="14"/>
        <v>1934.625</v>
      </c>
      <c r="M13" s="2">
        <v>-1.1413366818733919</v>
      </c>
      <c r="N13">
        <f t="shared" si="4"/>
        <v>-1.3913366818733919</v>
      </c>
      <c r="O13">
        <v>1928</v>
      </c>
      <c r="P13" s="2">
        <v>-1.2720982005820503</v>
      </c>
      <c r="Q13">
        <f t="shared" si="5"/>
        <v>-1.3970982005820503</v>
      </c>
    </row>
    <row r="14" spans="1:17" ht="18" x14ac:dyDescent="0.2">
      <c r="A14">
        <f t="shared" si="15"/>
        <v>1972.5555555555554</v>
      </c>
      <c r="B14" s="2">
        <v>-1.6790330792909272</v>
      </c>
      <c r="C14">
        <v>1970</v>
      </c>
      <c r="D14" s="2">
        <v>-0.49713889195897737</v>
      </c>
      <c r="E14">
        <f t="shared" si="1"/>
        <v>-0.62213889195897742</v>
      </c>
      <c r="F14">
        <f t="shared" si="17"/>
        <v>1957.8000000000002</v>
      </c>
      <c r="G14" s="2">
        <v>-0.33913375278693542</v>
      </c>
      <c r="H14">
        <f t="shared" si="2"/>
        <v>-0.46413375278693542</v>
      </c>
      <c r="I14">
        <f t="shared" si="16"/>
        <v>1950.8333333333337</v>
      </c>
      <c r="J14" s="2">
        <v>-1.1926917965847663</v>
      </c>
      <c r="K14">
        <f t="shared" si="3"/>
        <v>-1.3176917965847663</v>
      </c>
      <c r="L14">
        <f t="shared" si="14"/>
        <v>1934.75</v>
      </c>
      <c r="M14" s="2">
        <v>-0.78745828519512173</v>
      </c>
      <c r="N14">
        <f t="shared" si="4"/>
        <v>-1.0374582851951217</v>
      </c>
      <c r="O14">
        <f>O13+1/7</f>
        <v>1928.1428571428571</v>
      </c>
      <c r="P14" s="2">
        <v>-1.3170545164016993</v>
      </c>
      <c r="Q14">
        <f t="shared" si="5"/>
        <v>-1.4420545164016993</v>
      </c>
    </row>
    <row r="15" spans="1:17" ht="18" x14ac:dyDescent="0.2">
      <c r="A15">
        <f t="shared" si="15"/>
        <v>1972.6666666666665</v>
      </c>
      <c r="B15" s="2">
        <v>-1.729534029191246</v>
      </c>
      <c r="C15">
        <f>C14+1/9</f>
        <v>1970.1111111111111</v>
      </c>
      <c r="D15" s="2">
        <v>-0.59321045139246475</v>
      </c>
      <c r="E15">
        <f t="shared" si="1"/>
        <v>-0.71821045139246475</v>
      </c>
      <c r="F15">
        <v>1958</v>
      </c>
      <c r="G15" s="2">
        <v>-0.71977871431504759</v>
      </c>
      <c r="H15">
        <f t="shared" si="2"/>
        <v>-0.84477871431504759</v>
      </c>
      <c r="I15">
        <v>1951</v>
      </c>
      <c r="J15" s="2">
        <v>-1.2855377786512403</v>
      </c>
      <c r="K15">
        <f t="shared" si="3"/>
        <v>-1.4105377786512403</v>
      </c>
      <c r="L15">
        <f t="shared" si="14"/>
        <v>1934.875</v>
      </c>
      <c r="M15" s="2">
        <v>-0.81257813213213104</v>
      </c>
      <c r="N15">
        <f t="shared" si="4"/>
        <v>-1.062578132132131</v>
      </c>
      <c r="O15">
        <f t="shared" ref="O15:O19" si="18">O14+1/7</f>
        <v>1928.2857142857142</v>
      </c>
      <c r="P15" s="2">
        <v>-1.1418526745475104</v>
      </c>
      <c r="Q15">
        <f t="shared" si="5"/>
        <v>-1.2668526745475104</v>
      </c>
    </row>
    <row r="16" spans="1:17" ht="18" x14ac:dyDescent="0.2">
      <c r="A16">
        <f t="shared" si="15"/>
        <v>1972.7777777777776</v>
      </c>
      <c r="B16" s="2">
        <v>-1.6349392575844206</v>
      </c>
      <c r="C16">
        <f t="shared" ref="C16:C22" si="19">C15+1/9</f>
        <v>1970.2222222222222</v>
      </c>
      <c r="D16" s="2">
        <v>-0.79257619695985992</v>
      </c>
      <c r="E16">
        <f t="shared" si="1"/>
        <v>-0.91757619695985992</v>
      </c>
      <c r="F16">
        <f>F15+1/6</f>
        <v>1958.1666666666667</v>
      </c>
      <c r="G16" s="2">
        <v>-1.0650770672525591</v>
      </c>
      <c r="H16">
        <f t="shared" si="2"/>
        <v>-1.1900770672525591</v>
      </c>
      <c r="I16">
        <f>I15+1/7</f>
        <v>1951.1428571428571</v>
      </c>
      <c r="J16" s="2">
        <v>-1.417984887201122</v>
      </c>
      <c r="K16">
        <f t="shared" si="3"/>
        <v>-1.542984887201122</v>
      </c>
      <c r="L16">
        <v>1935</v>
      </c>
      <c r="M16" s="2">
        <v>-0.61407534302203115</v>
      </c>
      <c r="N16">
        <f t="shared" si="4"/>
        <v>-0.86407534302203115</v>
      </c>
      <c r="O16">
        <f t="shared" si="18"/>
        <v>1928.4285714285713</v>
      </c>
      <c r="P16" s="2">
        <v>-0.75729939269182744</v>
      </c>
      <c r="Q16">
        <f t="shared" si="5"/>
        <v>-0.88229939269182744</v>
      </c>
    </row>
    <row r="17" spans="1:17" ht="18" x14ac:dyDescent="0.2">
      <c r="A17">
        <f t="shared" si="15"/>
        <v>1972.8888888888887</v>
      </c>
      <c r="B17" s="2">
        <v>-1.5624138649845767</v>
      </c>
      <c r="C17">
        <f t="shared" si="19"/>
        <v>1970.3333333333333</v>
      </c>
      <c r="D17" s="2">
        <v>-1.0190767763397299</v>
      </c>
      <c r="E17">
        <f t="shared" si="1"/>
        <v>-1.1440767763397299</v>
      </c>
      <c r="F17">
        <f t="shared" ref="F17:F20" si="20">F16+1/6</f>
        <v>1958.3333333333335</v>
      </c>
      <c r="G17" s="2">
        <v>-1.2146523450566102</v>
      </c>
      <c r="H17">
        <f t="shared" si="2"/>
        <v>-1.3396523450566102</v>
      </c>
      <c r="I17">
        <f t="shared" ref="I17:I21" si="21">I16+1/7</f>
        <v>1951.2857142857142</v>
      </c>
      <c r="J17" s="2">
        <v>-1.0660718856739226</v>
      </c>
      <c r="K17">
        <f t="shared" si="3"/>
        <v>-1.1910718856739226</v>
      </c>
      <c r="L17">
        <f>L16+1/6</f>
        <v>1935.1666666666667</v>
      </c>
      <c r="M17" s="2">
        <v>-0.68226045418019687</v>
      </c>
      <c r="N17">
        <f t="shared" si="4"/>
        <v>-0.93226045418019687</v>
      </c>
      <c r="O17">
        <f t="shared" si="18"/>
        <v>1928.5714285714284</v>
      </c>
      <c r="P17" s="2">
        <v>-0.97855307976986017</v>
      </c>
      <c r="Q17">
        <f t="shared" si="5"/>
        <v>-1.1035530797698603</v>
      </c>
    </row>
    <row r="18" spans="1:17" ht="18" x14ac:dyDescent="0.2">
      <c r="A18">
        <v>1973</v>
      </c>
      <c r="B18" s="2">
        <v>-1.5305739833741807</v>
      </c>
      <c r="C18">
        <f t="shared" si="19"/>
        <v>1970.4444444444443</v>
      </c>
      <c r="D18" s="2">
        <v>-0.921744428871347</v>
      </c>
      <c r="E18">
        <f t="shared" si="1"/>
        <v>-1.046744428871347</v>
      </c>
      <c r="F18">
        <f t="shared" si="20"/>
        <v>1958.5000000000002</v>
      </c>
      <c r="G18" s="2">
        <v>-0.90445747674379251</v>
      </c>
      <c r="H18">
        <f t="shared" si="2"/>
        <v>-1.0294574767437925</v>
      </c>
      <c r="I18">
        <f t="shared" si="21"/>
        <v>1951.4285714285713</v>
      </c>
      <c r="J18" s="2">
        <v>-0.40732250019884969</v>
      </c>
      <c r="K18">
        <f t="shared" si="3"/>
        <v>-0.53232250019884964</v>
      </c>
      <c r="L18">
        <f t="shared" ref="L18:L21" si="22">L17+1/6</f>
        <v>1935.3333333333335</v>
      </c>
      <c r="M18" s="2">
        <v>-1.312927455983709</v>
      </c>
      <c r="N18">
        <f t="shared" si="4"/>
        <v>-1.562927455983709</v>
      </c>
      <c r="O18">
        <f t="shared" si="18"/>
        <v>1928.7142857142856</v>
      </c>
      <c r="P18" s="2">
        <v>-0.75225290549316426</v>
      </c>
      <c r="Q18">
        <f t="shared" si="5"/>
        <v>-0.87725290549316426</v>
      </c>
    </row>
    <row r="19" spans="1:17" ht="18" x14ac:dyDescent="0.2">
      <c r="A19">
        <f>A18+1/8</f>
        <v>1973.125</v>
      </c>
      <c r="B19" s="2">
        <v>-1.8384614715634577</v>
      </c>
      <c r="C19">
        <f t="shared" si="19"/>
        <v>1970.5555555555554</v>
      </c>
      <c r="D19" s="2">
        <v>-1.5215320854431813</v>
      </c>
      <c r="E19">
        <f t="shared" si="1"/>
        <v>-1.6465320854431813</v>
      </c>
      <c r="F19">
        <f t="shared" si="20"/>
        <v>1958.666666666667</v>
      </c>
      <c r="G19" s="2">
        <v>-0.76210824319442216</v>
      </c>
      <c r="H19">
        <f t="shared" si="2"/>
        <v>-0.88710824319442216</v>
      </c>
      <c r="I19">
        <f t="shared" si="21"/>
        <v>1951.5714285714284</v>
      </c>
      <c r="J19" s="2">
        <v>-0.37254536934808541</v>
      </c>
      <c r="K19">
        <f t="shared" si="3"/>
        <v>-0.49754536934808541</v>
      </c>
      <c r="L19">
        <f t="shared" si="22"/>
        <v>1935.5000000000002</v>
      </c>
      <c r="M19" s="2">
        <v>-0.74828330744962979</v>
      </c>
      <c r="N19">
        <f t="shared" si="4"/>
        <v>-0.99828330744962979</v>
      </c>
      <c r="O19">
        <f t="shared" si="18"/>
        <v>1928.8571428571427</v>
      </c>
      <c r="P19" s="2">
        <v>-0.47537641430568511</v>
      </c>
      <c r="Q19">
        <f t="shared" si="5"/>
        <v>-0.60037641430568511</v>
      </c>
    </row>
    <row r="20" spans="1:17" ht="18" x14ac:dyDescent="0.2">
      <c r="A20">
        <f t="shared" ref="A20:A25" si="23">A19+1/8</f>
        <v>1973.25</v>
      </c>
      <c r="B20" s="2">
        <v>-2.0359848030654413</v>
      </c>
      <c r="C20">
        <f t="shared" si="19"/>
        <v>1970.6666666666665</v>
      </c>
      <c r="D20" s="2">
        <v>-1.6475427588711198</v>
      </c>
      <c r="E20">
        <f t="shared" si="1"/>
        <v>-1.7725427588711198</v>
      </c>
      <c r="F20">
        <f t="shared" si="20"/>
        <v>1958.8333333333337</v>
      </c>
      <c r="G20" s="2">
        <v>-0.71263226361463961</v>
      </c>
      <c r="H20">
        <f t="shared" si="2"/>
        <v>-0.83763226361463961</v>
      </c>
      <c r="I20">
        <f t="shared" si="21"/>
        <v>1951.7142857142856</v>
      </c>
      <c r="J20" s="2">
        <v>-0.92421384940174711</v>
      </c>
      <c r="K20">
        <f t="shared" si="3"/>
        <v>-1.0492138494017471</v>
      </c>
      <c r="L20">
        <f t="shared" si="22"/>
        <v>1935.666666666667</v>
      </c>
      <c r="M20" s="2">
        <v>-0.87793514693739172</v>
      </c>
      <c r="N20">
        <f t="shared" si="4"/>
        <v>-1.1279351469373917</v>
      </c>
      <c r="O20">
        <v>1929</v>
      </c>
      <c r="P20" s="2">
        <v>-1.0541105124818626</v>
      </c>
      <c r="Q20">
        <f t="shared" si="5"/>
        <v>-1.1791105124818626</v>
      </c>
    </row>
    <row r="21" spans="1:17" ht="18" x14ac:dyDescent="0.2">
      <c r="A21">
        <f t="shared" si="23"/>
        <v>1973.375</v>
      </c>
      <c r="B21" s="2">
        <v>-1.7951278754324029</v>
      </c>
      <c r="C21">
        <f t="shared" si="19"/>
        <v>1970.7777777777776</v>
      </c>
      <c r="D21" s="2">
        <v>-1.3952169908094263</v>
      </c>
      <c r="E21">
        <f t="shared" si="1"/>
        <v>-1.5202169908094263</v>
      </c>
      <c r="F21">
        <v>1959</v>
      </c>
      <c r="G21" s="2">
        <v>-0.65080524314279486</v>
      </c>
      <c r="H21">
        <f t="shared" si="2"/>
        <v>-0.77580524314279486</v>
      </c>
      <c r="I21">
        <f t="shared" si="21"/>
        <v>1951.8571428571427</v>
      </c>
      <c r="J21" s="2">
        <v>-1.3694987766973234</v>
      </c>
      <c r="K21">
        <f t="shared" si="3"/>
        <v>-1.4944987766973234</v>
      </c>
      <c r="L21">
        <f t="shared" si="22"/>
        <v>1935.8333333333337</v>
      </c>
      <c r="M21" s="2">
        <v>-1.2696647229825988</v>
      </c>
      <c r="N21">
        <f t="shared" si="4"/>
        <v>-1.5196647229825988</v>
      </c>
      <c r="O21">
        <f>O20+1/6</f>
        <v>1929.1666666666667</v>
      </c>
      <c r="P21" s="2">
        <v>-1.3083018657744203</v>
      </c>
      <c r="Q21">
        <f t="shared" si="5"/>
        <v>-1.4333018657744203</v>
      </c>
    </row>
    <row r="22" spans="1:17" ht="18" x14ac:dyDescent="0.2">
      <c r="A22">
        <f t="shared" si="23"/>
        <v>1973.5</v>
      </c>
      <c r="B22" s="2">
        <v>-1.71567335514198</v>
      </c>
      <c r="C22">
        <f t="shared" si="19"/>
        <v>1970.8888888888887</v>
      </c>
      <c r="D22" s="3">
        <v>-1.0756987896459906</v>
      </c>
      <c r="E22">
        <f t="shared" si="1"/>
        <v>-1.2006987896459906</v>
      </c>
      <c r="F22">
        <f>F21+1/5</f>
        <v>1959.2</v>
      </c>
      <c r="G22" s="2">
        <v>-0.66009152816715333</v>
      </c>
      <c r="H22">
        <f t="shared" si="2"/>
        <v>-0.78509152816715333</v>
      </c>
      <c r="I22">
        <v>1952</v>
      </c>
      <c r="J22" s="2">
        <v>-1.350125927802788</v>
      </c>
      <c r="K22">
        <f t="shared" si="3"/>
        <v>-1.475125927802788</v>
      </c>
      <c r="L22">
        <v>1936</v>
      </c>
      <c r="M22" s="2">
        <v>-1.5145770186849521</v>
      </c>
      <c r="N22">
        <f t="shared" si="4"/>
        <v>-1.7645770186849521</v>
      </c>
      <c r="O22">
        <f t="shared" ref="O22:O25" si="24">O21+1/6</f>
        <v>1929.3333333333335</v>
      </c>
      <c r="P22" s="2">
        <v>-1.2083118407803008</v>
      </c>
      <c r="Q22">
        <f t="shared" si="5"/>
        <v>-1.3333118407803008</v>
      </c>
    </row>
    <row r="23" spans="1:17" ht="18" x14ac:dyDescent="0.2">
      <c r="A23">
        <f t="shared" si="23"/>
        <v>1973.625</v>
      </c>
      <c r="B23" s="2">
        <v>-1.7283212071638578</v>
      </c>
      <c r="C23">
        <v>1971</v>
      </c>
      <c r="D23" s="3">
        <v>-1.0218374695764547</v>
      </c>
      <c r="E23">
        <f t="shared" si="1"/>
        <v>-1.1468374695764547</v>
      </c>
      <c r="F23">
        <f t="shared" ref="F23:F25" si="25">F22+1/5</f>
        <v>1959.4</v>
      </c>
      <c r="G23" s="2">
        <v>-0.67576913519681225</v>
      </c>
      <c r="H23">
        <f t="shared" si="2"/>
        <v>-0.80076913519681225</v>
      </c>
      <c r="I23">
        <f>I22+1/7</f>
        <v>1952.1428571428571</v>
      </c>
      <c r="J23" s="2">
        <v>-0.80355143522259675</v>
      </c>
      <c r="K23">
        <f t="shared" si="3"/>
        <v>-0.92855143522259675</v>
      </c>
      <c r="L23">
        <f>L22+1/6</f>
        <v>1936.1666666666667</v>
      </c>
      <c r="M23" s="3">
        <v>-1.2524768585627246</v>
      </c>
      <c r="N23">
        <f t="shared" si="4"/>
        <v>-1.5024768585627246</v>
      </c>
      <c r="O23">
        <f t="shared" si="24"/>
        <v>1929.5000000000002</v>
      </c>
      <c r="P23" s="2">
        <v>-0.78667223779189022</v>
      </c>
      <c r="Q23">
        <f t="shared" si="5"/>
        <v>-0.91167223779189022</v>
      </c>
    </row>
    <row r="24" spans="1:17" ht="18" x14ac:dyDescent="0.2">
      <c r="A24">
        <f t="shared" si="23"/>
        <v>1973.75</v>
      </c>
      <c r="B24" s="2">
        <v>-1.4144082820676802</v>
      </c>
      <c r="C24">
        <f>C23+1/8</f>
        <v>1971.125</v>
      </c>
      <c r="D24" s="3">
        <v>-1.1141285489204129</v>
      </c>
      <c r="E24">
        <f t="shared" si="1"/>
        <v>-1.2391285489204129</v>
      </c>
      <c r="F24">
        <f t="shared" si="25"/>
        <v>1959.6000000000001</v>
      </c>
      <c r="G24" s="2">
        <v>-0.57327869711175139</v>
      </c>
      <c r="H24">
        <f t="shared" si="2"/>
        <v>-0.69827869711175139</v>
      </c>
      <c r="I24">
        <f t="shared" ref="I24:I28" si="26">I23+1/7</f>
        <v>1952.2857142857142</v>
      </c>
      <c r="J24" s="2">
        <v>-1.0008722398503334</v>
      </c>
      <c r="K24">
        <f t="shared" si="3"/>
        <v>-1.1258722398503334</v>
      </c>
      <c r="L24">
        <f t="shared" ref="L24:L27" si="27">L23+1/6</f>
        <v>1936.3333333333335</v>
      </c>
      <c r="M24" s="3">
        <v>-1.5006905696475803</v>
      </c>
      <c r="N24">
        <f t="shared" si="4"/>
        <v>-1.7506905696475803</v>
      </c>
      <c r="O24">
        <f t="shared" si="24"/>
        <v>1929.666666666667</v>
      </c>
      <c r="P24" s="2">
        <v>-0.51327138142687101</v>
      </c>
      <c r="Q24">
        <f t="shared" si="5"/>
        <v>-0.63827138142687101</v>
      </c>
    </row>
    <row r="25" spans="1:17" ht="18" x14ac:dyDescent="0.2">
      <c r="A25">
        <f t="shared" si="23"/>
        <v>1973.875</v>
      </c>
      <c r="B25" s="2">
        <v>-1.2420875740768389</v>
      </c>
      <c r="C25">
        <f t="shared" ref="C25:C29" si="28">C24+1/8</f>
        <v>1971.25</v>
      </c>
      <c r="D25" s="3">
        <v>-1.2149865761581942</v>
      </c>
      <c r="E25">
        <f t="shared" si="1"/>
        <v>-1.3399865761581942</v>
      </c>
      <c r="F25">
        <f t="shared" si="25"/>
        <v>1959.8000000000002</v>
      </c>
      <c r="G25" s="2">
        <v>-0.85114989578356437</v>
      </c>
      <c r="H25">
        <f t="shared" si="2"/>
        <v>-0.97614989578356437</v>
      </c>
      <c r="I25">
        <f t="shared" si="26"/>
        <v>1952.4285714285713</v>
      </c>
      <c r="J25" s="2">
        <v>-1.0434946891705601</v>
      </c>
      <c r="K25">
        <f t="shared" si="3"/>
        <v>-1.1684946891705601</v>
      </c>
      <c r="L25">
        <f t="shared" si="27"/>
        <v>1936.5000000000002</v>
      </c>
      <c r="M25" s="3">
        <v>-0.95233219158259819</v>
      </c>
      <c r="N25">
        <f t="shared" si="4"/>
        <v>-1.2023321915825982</v>
      </c>
      <c r="O25">
        <f t="shared" si="24"/>
        <v>1929.8333333333337</v>
      </c>
      <c r="P25" s="2">
        <v>-0.9268902886711432</v>
      </c>
      <c r="Q25">
        <f t="shared" si="5"/>
        <v>-1.0518902886711432</v>
      </c>
    </row>
    <row r="26" spans="1:17" ht="19" thickBot="1" x14ac:dyDescent="0.25">
      <c r="A26">
        <v>1974</v>
      </c>
      <c r="B26" s="2">
        <v>-1.1182915350061111</v>
      </c>
      <c r="C26">
        <f t="shared" si="28"/>
        <v>1971.375</v>
      </c>
      <c r="D26" s="2">
        <v>-1.4008572070073799</v>
      </c>
      <c r="E26">
        <f t="shared" si="1"/>
        <v>-1.5258572070073799</v>
      </c>
      <c r="F26">
        <v>1960</v>
      </c>
      <c r="G26" s="2">
        <v>-0.69155088049354685</v>
      </c>
      <c r="H26">
        <f t="shared" si="2"/>
        <v>-0.81655088049354685</v>
      </c>
      <c r="I26">
        <f t="shared" si="26"/>
        <v>1952.5714285714284</v>
      </c>
      <c r="J26" s="2">
        <v>-0.79823230303786441</v>
      </c>
      <c r="K26">
        <f t="shared" si="3"/>
        <v>-0.92323230303786441</v>
      </c>
      <c r="L26">
        <f t="shared" si="27"/>
        <v>1936.666666666667</v>
      </c>
      <c r="M26" s="3">
        <v>-1.2035106615570734</v>
      </c>
      <c r="N26">
        <f t="shared" si="4"/>
        <v>-1.4535106615570734</v>
      </c>
      <c r="O26">
        <v>1930</v>
      </c>
      <c r="P26" s="2">
        <v>-1.2715079927154664</v>
      </c>
      <c r="Q26">
        <f t="shared" si="5"/>
        <v>-1.3965079927154664</v>
      </c>
    </row>
    <row r="27" spans="1:17" ht="18" x14ac:dyDescent="0.2">
      <c r="A27">
        <f>A26+1/7</f>
        <v>1974.1428571428571</v>
      </c>
      <c r="B27" s="2">
        <v>-1.0707595129366783</v>
      </c>
      <c r="C27">
        <f t="shared" si="28"/>
        <v>1971.5</v>
      </c>
      <c r="D27" s="2">
        <v>-1.3277199375640705</v>
      </c>
      <c r="E27">
        <f t="shared" si="1"/>
        <v>-1.4527199375640705</v>
      </c>
      <c r="F27">
        <f>F26+1/5</f>
        <v>1960.2</v>
      </c>
      <c r="G27" s="2">
        <v>-0.48506560534202675</v>
      </c>
      <c r="H27">
        <f t="shared" si="2"/>
        <v>-0.61006560534202681</v>
      </c>
      <c r="I27">
        <f t="shared" si="26"/>
        <v>1952.7142857142856</v>
      </c>
      <c r="J27" s="2">
        <v>-1.2694045288254827</v>
      </c>
      <c r="K27">
        <f t="shared" si="3"/>
        <v>-1.3944045288254827</v>
      </c>
      <c r="L27">
        <f t="shared" si="27"/>
        <v>1936.8333333333337</v>
      </c>
      <c r="M27" s="1">
        <v>-1.0995170091367505</v>
      </c>
      <c r="N27">
        <f t="shared" si="4"/>
        <v>-1.3495170091367505</v>
      </c>
      <c r="O27">
        <f>O26+1/10</f>
        <v>1930.1</v>
      </c>
      <c r="P27" s="2">
        <v>-1.0699233482881971</v>
      </c>
      <c r="Q27">
        <f t="shared" si="5"/>
        <v>-1.1949233482881971</v>
      </c>
    </row>
    <row r="28" spans="1:17" ht="18" x14ac:dyDescent="0.2">
      <c r="A28">
        <f t="shared" ref="A28:A32" si="29">A27+1/7</f>
        <v>1974.2857142857142</v>
      </c>
      <c r="B28" s="2">
        <v>-1.2264384604504379</v>
      </c>
      <c r="C28">
        <f t="shared" si="28"/>
        <v>1971.625</v>
      </c>
      <c r="D28" s="2">
        <v>-1.3714185706650182</v>
      </c>
      <c r="E28">
        <f t="shared" si="1"/>
        <v>-1.4964185706650182</v>
      </c>
      <c r="F28">
        <f t="shared" ref="F28:F30" si="30">F27+1/5</f>
        <v>1960.4</v>
      </c>
      <c r="G28" s="2">
        <v>-0.44503550192334301</v>
      </c>
      <c r="H28">
        <f t="shared" si="2"/>
        <v>-0.57003550192334296</v>
      </c>
      <c r="I28">
        <f t="shared" si="26"/>
        <v>1952.8571428571427</v>
      </c>
      <c r="J28" s="2">
        <v>-1.3118074898291676</v>
      </c>
      <c r="K28">
        <f t="shared" si="3"/>
        <v>-1.4368074898291676</v>
      </c>
      <c r="L28">
        <v>1937</v>
      </c>
      <c r="M28" s="2">
        <v>-1.2700479782098117</v>
      </c>
      <c r="N28">
        <f t="shared" si="4"/>
        <v>-1.5200479782098117</v>
      </c>
      <c r="O28">
        <f t="shared" ref="O28:O35" si="31">O27+1/10</f>
        <v>1930.1999999999998</v>
      </c>
      <c r="P28" s="2">
        <v>-1.3709042686969781</v>
      </c>
      <c r="Q28">
        <f t="shared" si="5"/>
        <v>-1.4959042686969781</v>
      </c>
    </row>
    <row r="29" spans="1:17" ht="18" x14ac:dyDescent="0.2">
      <c r="A29">
        <f t="shared" si="29"/>
        <v>1974.4285714285713</v>
      </c>
      <c r="B29" s="2">
        <v>-1.0304478771172076</v>
      </c>
      <c r="C29">
        <f t="shared" si="28"/>
        <v>1971.75</v>
      </c>
      <c r="D29" s="2">
        <v>-1.52937082683235</v>
      </c>
      <c r="E29">
        <f t="shared" si="1"/>
        <v>-1.65437082683235</v>
      </c>
      <c r="F29">
        <f t="shared" si="30"/>
        <v>1960.6000000000001</v>
      </c>
      <c r="G29" s="2">
        <v>-1.1758588709335662</v>
      </c>
      <c r="H29">
        <f t="shared" si="2"/>
        <v>-1.3008588709335662</v>
      </c>
      <c r="I29">
        <v>1953</v>
      </c>
      <c r="J29" s="2">
        <v>-0.74710425217167487</v>
      </c>
      <c r="K29">
        <f t="shared" si="3"/>
        <v>-0.87210425217167487</v>
      </c>
      <c r="L29">
        <f>L28+1/6</f>
        <v>1937.1666666666667</v>
      </c>
      <c r="M29" s="2">
        <v>-1.3789185903782735</v>
      </c>
      <c r="N29">
        <f t="shared" si="4"/>
        <v>-1.6289185903782735</v>
      </c>
      <c r="O29">
        <f t="shared" si="31"/>
        <v>1930.2999999999997</v>
      </c>
      <c r="P29" s="2">
        <v>-1.2975919731519299</v>
      </c>
      <c r="Q29">
        <f t="shared" si="5"/>
        <v>-1.4225919731519299</v>
      </c>
    </row>
    <row r="30" spans="1:17" ht="18" x14ac:dyDescent="0.2">
      <c r="A30">
        <f t="shared" si="29"/>
        <v>1974.5714285714284</v>
      </c>
      <c r="B30" s="2">
        <v>-1.0488818706614014</v>
      </c>
      <c r="F30">
        <f t="shared" si="30"/>
        <v>1960.8000000000002</v>
      </c>
      <c r="G30" s="2">
        <v>-0.90899461235849732</v>
      </c>
      <c r="H30">
        <f t="shared" si="2"/>
        <v>-1.0339946123584973</v>
      </c>
      <c r="I30">
        <f>I29+1/7</f>
        <v>1953.1428571428571</v>
      </c>
      <c r="J30" s="2">
        <v>-1.2747969921274769</v>
      </c>
      <c r="K30">
        <f t="shared" si="3"/>
        <v>-1.3997969921274769</v>
      </c>
      <c r="L30">
        <f t="shared" ref="L30:L33" si="32">L29+1/6</f>
        <v>1937.3333333333335</v>
      </c>
      <c r="M30" s="2">
        <v>-1.3159993054743766</v>
      </c>
      <c r="N30">
        <f t="shared" si="4"/>
        <v>-1.5659993054743766</v>
      </c>
      <c r="O30">
        <f t="shared" si="31"/>
        <v>1930.3999999999996</v>
      </c>
      <c r="P30" s="2">
        <v>-1.185940751949899</v>
      </c>
      <c r="Q30">
        <f t="shared" si="5"/>
        <v>-1.310940751949899</v>
      </c>
    </row>
    <row r="31" spans="1:17" ht="18" x14ac:dyDescent="0.2">
      <c r="A31">
        <f t="shared" si="29"/>
        <v>1974.7142857142856</v>
      </c>
      <c r="B31" s="2">
        <v>-1.0708517278407064</v>
      </c>
      <c r="F31">
        <v>1961</v>
      </c>
      <c r="G31" s="2">
        <v>-0.30123196888866527</v>
      </c>
      <c r="H31">
        <f t="shared" si="2"/>
        <v>-0.42623196888866527</v>
      </c>
      <c r="I31">
        <f t="shared" ref="I31:I35" si="33">I30+1/7</f>
        <v>1953.2857142857142</v>
      </c>
      <c r="J31" s="2">
        <v>-0.55834894626970288</v>
      </c>
      <c r="K31">
        <f t="shared" si="3"/>
        <v>-0.68334894626970288</v>
      </c>
      <c r="L31">
        <f t="shared" si="32"/>
        <v>1937.5000000000002</v>
      </c>
      <c r="M31" s="2">
        <v>-1.0786057830486024</v>
      </c>
      <c r="N31">
        <f t="shared" si="4"/>
        <v>-1.3286057830486024</v>
      </c>
      <c r="O31">
        <f t="shared" si="31"/>
        <v>1930.4999999999995</v>
      </c>
      <c r="P31" s="2">
        <v>-0.8911346290385973</v>
      </c>
      <c r="Q31">
        <f t="shared" si="5"/>
        <v>-1.0161346290385973</v>
      </c>
    </row>
    <row r="32" spans="1:17" ht="18" x14ac:dyDescent="0.2">
      <c r="A32">
        <f t="shared" si="29"/>
        <v>1974.8571428571427</v>
      </c>
      <c r="B32" s="2">
        <v>-1.4335149454018621</v>
      </c>
      <c r="F32">
        <f>F31+1/6</f>
        <v>1961.1666666666667</v>
      </c>
      <c r="G32" s="2">
        <v>-0.1168801662761409</v>
      </c>
      <c r="H32">
        <f t="shared" si="2"/>
        <v>-0.2418801662761409</v>
      </c>
      <c r="I32">
        <f t="shared" si="33"/>
        <v>1953.4285714285713</v>
      </c>
      <c r="J32" s="2">
        <v>-1.4332888691581216</v>
      </c>
      <c r="K32">
        <f t="shared" si="3"/>
        <v>-1.5582888691581216</v>
      </c>
      <c r="L32">
        <f t="shared" si="32"/>
        <v>1937.666666666667</v>
      </c>
      <c r="M32" s="2">
        <v>-1.367404351730354</v>
      </c>
      <c r="N32">
        <f t="shared" si="4"/>
        <v>-1.617404351730354</v>
      </c>
      <c r="O32">
        <f t="shared" si="31"/>
        <v>1930.5999999999995</v>
      </c>
      <c r="P32" s="2">
        <v>-0.8966696932129582</v>
      </c>
      <c r="Q32">
        <f t="shared" si="5"/>
        <v>-1.0216696932129583</v>
      </c>
    </row>
    <row r="33" spans="1:17" ht="18" x14ac:dyDescent="0.2">
      <c r="A33">
        <v>1975</v>
      </c>
      <c r="B33" s="2">
        <v>-1.5323267539616563</v>
      </c>
      <c r="F33">
        <f t="shared" ref="F33:F36" si="34">F32+1/6</f>
        <v>1961.3333333333335</v>
      </c>
      <c r="G33" s="2">
        <v>-0.2401027517735968</v>
      </c>
      <c r="H33">
        <f t="shared" si="2"/>
        <v>-0.3651027517735968</v>
      </c>
      <c r="I33">
        <f t="shared" si="33"/>
        <v>1953.5714285714284</v>
      </c>
      <c r="J33" s="2">
        <v>-1.4921024453429363</v>
      </c>
      <c r="K33">
        <f t="shared" si="3"/>
        <v>-1.6171024453429363</v>
      </c>
      <c r="L33">
        <f t="shared" si="32"/>
        <v>1937.8333333333337</v>
      </c>
      <c r="M33" s="2">
        <v>-1.3356125497813636</v>
      </c>
      <c r="N33">
        <f t="shared" si="4"/>
        <v>-1.5856125497813636</v>
      </c>
      <c r="O33">
        <f t="shared" si="31"/>
        <v>1930.6999999999994</v>
      </c>
      <c r="P33" s="2">
        <v>-0.64559439665803364</v>
      </c>
      <c r="Q33">
        <f t="shared" si="5"/>
        <v>-0.77059439665803364</v>
      </c>
    </row>
    <row r="34" spans="1:17" ht="18" x14ac:dyDescent="0.2">
      <c r="A34">
        <f>A33+1/8</f>
        <v>1975.125</v>
      </c>
      <c r="B34" s="2">
        <v>-1.7249985427574419</v>
      </c>
      <c r="F34">
        <f t="shared" si="34"/>
        <v>1961.5000000000002</v>
      </c>
      <c r="G34" s="2">
        <v>-0.56681970038390928</v>
      </c>
      <c r="H34">
        <f t="shared" si="2"/>
        <v>-0.69181970038390928</v>
      </c>
      <c r="I34">
        <f t="shared" si="33"/>
        <v>1953.7142857142856</v>
      </c>
      <c r="J34" s="2">
        <v>-1.5240148142821648</v>
      </c>
      <c r="K34">
        <f t="shared" si="3"/>
        <v>-1.6490148142821648</v>
      </c>
      <c r="L34">
        <v>1938</v>
      </c>
      <c r="M34" s="2">
        <v>-1.5100496558577907</v>
      </c>
      <c r="N34">
        <f t="shared" si="4"/>
        <v>-1.7600496558577907</v>
      </c>
      <c r="O34">
        <f t="shared" si="31"/>
        <v>1930.7999999999993</v>
      </c>
      <c r="P34" s="2">
        <v>-0.63023128639673476</v>
      </c>
      <c r="Q34">
        <f t="shared" si="5"/>
        <v>-0.75523128639673476</v>
      </c>
    </row>
    <row r="35" spans="1:17" ht="18" x14ac:dyDescent="0.2">
      <c r="A35">
        <f t="shared" ref="A35:A40" si="35">A34+1/8</f>
        <v>1975.25</v>
      </c>
      <c r="B35" s="2">
        <v>-1.7051156397189744</v>
      </c>
      <c r="F35">
        <f t="shared" si="34"/>
        <v>1961.666666666667</v>
      </c>
      <c r="G35" s="2">
        <v>-0.35035250466453066</v>
      </c>
      <c r="H35">
        <f t="shared" si="2"/>
        <v>-0.47535250466453066</v>
      </c>
      <c r="I35">
        <f t="shared" si="33"/>
        <v>1953.8571428571427</v>
      </c>
      <c r="J35" s="2">
        <v>-1.4254375912727937</v>
      </c>
      <c r="K35">
        <f t="shared" si="3"/>
        <v>-1.5504375912727937</v>
      </c>
      <c r="L35">
        <f>L34+1/6</f>
        <v>1938.1666666666667</v>
      </c>
      <c r="M35" s="2">
        <v>-1.4056063362118123</v>
      </c>
      <c r="N35">
        <f t="shared" si="4"/>
        <v>-1.6556063362118123</v>
      </c>
      <c r="O35">
        <f t="shared" si="31"/>
        <v>1930.8999999999992</v>
      </c>
      <c r="P35" s="2">
        <v>-0.69940919278327629</v>
      </c>
      <c r="Q35">
        <f t="shared" si="5"/>
        <v>-0.82440919278327629</v>
      </c>
    </row>
    <row r="36" spans="1:17" ht="18" x14ac:dyDescent="0.2">
      <c r="A36">
        <f t="shared" si="35"/>
        <v>1975.375</v>
      </c>
      <c r="B36" s="2">
        <v>-1.9748542905695143</v>
      </c>
      <c r="F36">
        <f t="shared" si="34"/>
        <v>1961.8333333333337</v>
      </c>
      <c r="G36" s="2">
        <v>0.34754145543441456</v>
      </c>
      <c r="H36">
        <f t="shared" si="2"/>
        <v>0.22254145543441456</v>
      </c>
      <c r="I36">
        <v>1954</v>
      </c>
      <c r="J36" s="2">
        <v>-0.87139847578919971</v>
      </c>
      <c r="K36">
        <f t="shared" si="3"/>
        <v>-0.99639847578919971</v>
      </c>
      <c r="L36">
        <f t="shared" ref="L36:L39" si="36">L35+1/6</f>
        <v>1938.3333333333335</v>
      </c>
      <c r="M36" s="2">
        <v>-1.0668680980865748</v>
      </c>
      <c r="N36">
        <f t="shared" si="4"/>
        <v>-1.3168680980865748</v>
      </c>
      <c r="O36">
        <v>1931</v>
      </c>
      <c r="P36" s="2">
        <v>-1.0239939255411796</v>
      </c>
      <c r="Q36">
        <f t="shared" si="5"/>
        <v>-1.1489939255411796</v>
      </c>
    </row>
    <row r="37" spans="1:17" ht="18" x14ac:dyDescent="0.2">
      <c r="A37">
        <f t="shared" si="35"/>
        <v>1975.5</v>
      </c>
      <c r="B37" s="2">
        <v>-2.0238023791662973</v>
      </c>
      <c r="F37">
        <v>1962</v>
      </c>
      <c r="G37" s="2">
        <v>-0.16801124735378753</v>
      </c>
      <c r="H37">
        <f t="shared" si="2"/>
        <v>-0.29301124735378753</v>
      </c>
      <c r="I37">
        <f>I36+1/8</f>
        <v>1954.125</v>
      </c>
      <c r="J37" s="2">
        <v>-0.91652115258267375</v>
      </c>
      <c r="K37">
        <f t="shared" si="3"/>
        <v>-1.0415211525826737</v>
      </c>
      <c r="L37">
        <f t="shared" si="36"/>
        <v>1938.5000000000002</v>
      </c>
      <c r="M37" s="2">
        <v>-1.4056392182820343</v>
      </c>
      <c r="N37">
        <f t="shared" si="4"/>
        <v>-1.6556392182820343</v>
      </c>
      <c r="O37">
        <f>O36+1/10</f>
        <v>1931.1</v>
      </c>
      <c r="P37" s="2">
        <v>-1.2465023418310817</v>
      </c>
      <c r="Q37">
        <f t="shared" si="5"/>
        <v>-1.3715023418310817</v>
      </c>
    </row>
    <row r="38" spans="1:17" ht="18" x14ac:dyDescent="0.2">
      <c r="A38">
        <f t="shared" si="35"/>
        <v>1975.625</v>
      </c>
      <c r="B38" s="2">
        <v>-1.4316215356288939</v>
      </c>
      <c r="F38">
        <f>F37+1/6</f>
        <v>1962.1666666666667</v>
      </c>
      <c r="G38" s="2">
        <v>0.12301379623212033</v>
      </c>
      <c r="H38">
        <f t="shared" si="2"/>
        <v>-1.9862037678796685E-3</v>
      </c>
      <c r="I38">
        <f t="shared" ref="I38:I43" si="37">I37+1/8</f>
        <v>1954.25</v>
      </c>
      <c r="J38" s="2">
        <v>-1.0430006636960054</v>
      </c>
      <c r="K38">
        <f t="shared" si="3"/>
        <v>-1.1680006636960054</v>
      </c>
      <c r="L38">
        <f t="shared" si="36"/>
        <v>1938.666666666667</v>
      </c>
      <c r="M38" s="2">
        <v>-1.4327894377862946</v>
      </c>
      <c r="N38">
        <f t="shared" si="4"/>
        <v>-1.6827894377862946</v>
      </c>
      <c r="O38">
        <f t="shared" ref="O38:O45" si="38">O37+1/10</f>
        <v>1931.1999999999998</v>
      </c>
      <c r="P38" s="2">
        <v>-1.2217676392053258</v>
      </c>
      <c r="Q38">
        <f t="shared" si="5"/>
        <v>-1.3467676392053258</v>
      </c>
    </row>
    <row r="39" spans="1:17" ht="18" x14ac:dyDescent="0.2">
      <c r="A39">
        <f t="shared" si="35"/>
        <v>1975.75</v>
      </c>
      <c r="B39" s="2">
        <v>-1.4150704370163196</v>
      </c>
      <c r="F39">
        <f t="shared" ref="F39:F42" si="39">F38+1/6</f>
        <v>1962.3333333333335</v>
      </c>
      <c r="G39" s="2">
        <v>-0.47860802271286457</v>
      </c>
      <c r="H39">
        <f t="shared" si="2"/>
        <v>-0.60360802271286462</v>
      </c>
      <c r="I39">
        <f t="shared" si="37"/>
        <v>1954.375</v>
      </c>
      <c r="J39" s="2">
        <v>-1.0303474097146224</v>
      </c>
      <c r="K39">
        <f t="shared" si="3"/>
        <v>-1.1553474097146224</v>
      </c>
      <c r="L39">
        <f t="shared" si="36"/>
        <v>1938.8333333333337</v>
      </c>
      <c r="M39" s="2">
        <v>-1.0888434385549051</v>
      </c>
      <c r="N39">
        <f t="shared" si="4"/>
        <v>-1.3388434385549051</v>
      </c>
      <c r="O39">
        <f t="shared" si="38"/>
        <v>1931.2999999999997</v>
      </c>
      <c r="P39" s="2">
        <v>-1.1692806716634458</v>
      </c>
      <c r="Q39">
        <f t="shared" si="5"/>
        <v>-1.2942806716634458</v>
      </c>
    </row>
    <row r="40" spans="1:17" ht="18" x14ac:dyDescent="0.2">
      <c r="A40">
        <f t="shared" si="35"/>
        <v>1975.875</v>
      </c>
      <c r="B40" s="2">
        <v>-1.4312684864642991</v>
      </c>
      <c r="F40">
        <f t="shared" si="39"/>
        <v>1962.5000000000002</v>
      </c>
      <c r="G40" s="2">
        <v>-0.3550496354441704</v>
      </c>
      <c r="H40">
        <f t="shared" si="2"/>
        <v>-0.4800496354441704</v>
      </c>
      <c r="I40">
        <f t="shared" si="37"/>
        <v>1954.5</v>
      </c>
      <c r="J40" s="2">
        <v>-1.0193755190637315</v>
      </c>
      <c r="K40">
        <f t="shared" si="3"/>
        <v>-1.1443755190637315</v>
      </c>
      <c r="L40">
        <v>1939</v>
      </c>
      <c r="M40" s="2">
        <v>-1.1139792518495688</v>
      </c>
      <c r="N40">
        <f t="shared" si="4"/>
        <v>-1.3639792518495688</v>
      </c>
      <c r="O40">
        <f t="shared" si="38"/>
        <v>1931.3999999999996</v>
      </c>
      <c r="P40" s="2">
        <v>-1.0066657827634171</v>
      </c>
      <c r="Q40">
        <f t="shared" si="5"/>
        <v>-1.1316657827634171</v>
      </c>
    </row>
    <row r="41" spans="1:17" ht="18" x14ac:dyDescent="0.2">
      <c r="A41">
        <v>1976</v>
      </c>
      <c r="B41" s="2">
        <v>-1.4807789281257373</v>
      </c>
      <c r="F41">
        <f t="shared" si="39"/>
        <v>1962.666666666667</v>
      </c>
      <c r="G41" s="2">
        <v>-0.2765133219485752</v>
      </c>
      <c r="H41">
        <f t="shared" si="2"/>
        <v>-0.4015133219485752</v>
      </c>
      <c r="I41">
        <f t="shared" si="37"/>
        <v>1954.625</v>
      </c>
      <c r="J41" s="2">
        <v>-1.2334038995953929</v>
      </c>
      <c r="K41">
        <f t="shared" si="3"/>
        <v>-1.3584038995953929</v>
      </c>
      <c r="L41">
        <f>1939+1/6</f>
        <v>1939.1666666666667</v>
      </c>
      <c r="M41" s="2">
        <v>-1.6866625432269038</v>
      </c>
      <c r="N41">
        <f t="shared" si="4"/>
        <v>-1.9366625432269038</v>
      </c>
      <c r="O41">
        <f t="shared" si="38"/>
        <v>1931.4999999999995</v>
      </c>
      <c r="P41" s="2">
        <v>-0.9371639626912891</v>
      </c>
      <c r="Q41">
        <f t="shared" si="5"/>
        <v>-1.0621639626912891</v>
      </c>
    </row>
    <row r="42" spans="1:17" ht="18" x14ac:dyDescent="0.2">
      <c r="A42">
        <f>A41+1/8</f>
        <v>1976.125</v>
      </c>
      <c r="B42" s="2">
        <v>-1.5100607499674263</v>
      </c>
      <c r="F42">
        <f t="shared" si="39"/>
        <v>1962.8333333333337</v>
      </c>
      <c r="G42" s="2">
        <v>-0.13249292678061803</v>
      </c>
      <c r="H42">
        <f t="shared" si="2"/>
        <v>-0.25749292678061803</v>
      </c>
      <c r="I42">
        <f t="shared" si="37"/>
        <v>1954.75</v>
      </c>
      <c r="J42" s="2">
        <v>-0.90940167076423406</v>
      </c>
      <c r="K42">
        <f t="shared" si="3"/>
        <v>-1.0344016707642341</v>
      </c>
      <c r="L42">
        <f t="shared" ref="L42:L45" si="40">1939+1/6</f>
        <v>1939.1666666666667</v>
      </c>
      <c r="M42" s="2">
        <v>-1.2670495886957727</v>
      </c>
      <c r="N42">
        <f t="shared" si="4"/>
        <v>-1.5170495886957727</v>
      </c>
      <c r="O42">
        <f t="shared" si="38"/>
        <v>1931.5999999999995</v>
      </c>
      <c r="P42" s="2">
        <v>-0.69585206101446617</v>
      </c>
      <c r="Q42">
        <f t="shared" si="5"/>
        <v>-0.82085206101446617</v>
      </c>
    </row>
    <row r="43" spans="1:17" ht="18" x14ac:dyDescent="0.2">
      <c r="A43">
        <f t="shared" ref="A43:A48" si="41">A42+1/8</f>
        <v>1976.25</v>
      </c>
      <c r="B43" s="2">
        <v>-1.7180932453126294</v>
      </c>
      <c r="F43">
        <v>1963</v>
      </c>
      <c r="G43" s="2">
        <v>-0.49710150424255134</v>
      </c>
      <c r="H43">
        <f t="shared" si="2"/>
        <v>-0.62210150424255128</v>
      </c>
      <c r="I43">
        <f t="shared" si="37"/>
        <v>1954.875</v>
      </c>
      <c r="J43" s="2">
        <v>-0.90836119715691677</v>
      </c>
      <c r="K43">
        <f t="shared" si="3"/>
        <v>-1.0333611971569168</v>
      </c>
      <c r="L43">
        <f t="shared" si="40"/>
        <v>1939.1666666666667</v>
      </c>
      <c r="M43" s="2">
        <v>-1.3846034450294458</v>
      </c>
      <c r="N43">
        <f t="shared" si="4"/>
        <v>-1.6346034450294458</v>
      </c>
      <c r="O43">
        <f t="shared" si="38"/>
        <v>1931.6999999999994</v>
      </c>
      <c r="P43" s="2">
        <v>-0.60824820599495188</v>
      </c>
      <c r="Q43">
        <f t="shared" si="5"/>
        <v>-0.73324820599495188</v>
      </c>
    </row>
    <row r="44" spans="1:17" ht="18" x14ac:dyDescent="0.2">
      <c r="A44">
        <f t="shared" si="41"/>
        <v>1976.375</v>
      </c>
      <c r="B44" s="2">
        <v>-1.9288654042118605</v>
      </c>
      <c r="F44">
        <f>F43+1/6</f>
        <v>1963.1666666666667</v>
      </c>
      <c r="G44" s="2">
        <v>-0.11983603654548641</v>
      </c>
      <c r="H44">
        <f t="shared" si="2"/>
        <v>-0.24483603654548641</v>
      </c>
      <c r="I44">
        <v>1955</v>
      </c>
      <c r="J44" s="2">
        <v>-0.61927952918549112</v>
      </c>
      <c r="K44">
        <f t="shared" si="3"/>
        <v>-0.74427952918549112</v>
      </c>
      <c r="L44">
        <f t="shared" si="40"/>
        <v>1939.1666666666667</v>
      </c>
      <c r="M44" s="2">
        <v>-1.6755463799798715</v>
      </c>
      <c r="N44">
        <f t="shared" si="4"/>
        <v>-1.9255463799798715</v>
      </c>
      <c r="O44">
        <f t="shared" si="38"/>
        <v>1931.7999999999993</v>
      </c>
      <c r="P44" s="2">
        <v>-0.41003974077467131</v>
      </c>
      <c r="Q44">
        <f t="shared" si="5"/>
        <v>-0.53503974077467131</v>
      </c>
    </row>
    <row r="45" spans="1:17" ht="18" x14ac:dyDescent="0.2">
      <c r="A45">
        <f t="shared" si="41"/>
        <v>1976.5</v>
      </c>
      <c r="B45" s="2">
        <v>-2.384266034491497</v>
      </c>
      <c r="F45">
        <f t="shared" ref="F45:F48" si="42">F44+1/6</f>
        <v>1963.3333333333335</v>
      </c>
      <c r="G45" s="2">
        <v>-0.70801078711437837</v>
      </c>
      <c r="H45">
        <f t="shared" si="2"/>
        <v>-0.83301078711437837</v>
      </c>
      <c r="I45">
        <f>I44+1/5</f>
        <v>1955.2</v>
      </c>
      <c r="J45" s="2">
        <v>-0.44918143723893761</v>
      </c>
      <c r="K45">
        <f t="shared" si="3"/>
        <v>-0.57418143723893755</v>
      </c>
      <c r="L45">
        <f t="shared" si="40"/>
        <v>1939.1666666666667</v>
      </c>
      <c r="M45" s="2">
        <v>-1.9298600039858544</v>
      </c>
      <c r="N45">
        <f t="shared" si="4"/>
        <v>-2.1798600039858544</v>
      </c>
      <c r="O45">
        <f t="shared" si="38"/>
        <v>1931.8999999999992</v>
      </c>
      <c r="P45" s="2">
        <v>-0.8083145587705729</v>
      </c>
      <c r="Q45">
        <f t="shared" si="5"/>
        <v>-0.9333145587705729</v>
      </c>
    </row>
    <row r="46" spans="1:17" ht="18" x14ac:dyDescent="0.2">
      <c r="A46">
        <f t="shared" si="41"/>
        <v>1976.625</v>
      </c>
      <c r="B46" s="2">
        <v>-2.2495827301033016</v>
      </c>
      <c r="F46">
        <f t="shared" si="42"/>
        <v>1963.5000000000002</v>
      </c>
      <c r="G46" s="2">
        <v>-0.32623454664228496</v>
      </c>
      <c r="H46">
        <f t="shared" si="2"/>
        <v>-0.45123454664228496</v>
      </c>
      <c r="L46">
        <v>1940</v>
      </c>
      <c r="M46" s="2">
        <v>-1.9536096103755609</v>
      </c>
      <c r="N46">
        <f t="shared" si="4"/>
        <v>-2.2036096103755609</v>
      </c>
      <c r="O46">
        <v>1932</v>
      </c>
      <c r="P46" s="2">
        <v>-0.76747482520371024</v>
      </c>
      <c r="Q46">
        <f t="shared" si="5"/>
        <v>-0.89247482520371024</v>
      </c>
    </row>
    <row r="47" spans="1:17" ht="18" x14ac:dyDescent="0.2">
      <c r="A47">
        <f t="shared" si="41"/>
        <v>1976.75</v>
      </c>
      <c r="B47" s="2">
        <v>-1.800783739852589</v>
      </c>
      <c r="F47">
        <f t="shared" si="42"/>
        <v>1963.666666666667</v>
      </c>
      <c r="G47" s="2">
        <v>-0.4995822373554249</v>
      </c>
      <c r="H47">
        <f t="shared" si="2"/>
        <v>-0.62458223735542484</v>
      </c>
      <c r="L47">
        <f>L46+1/6</f>
        <v>1940.1666666666667</v>
      </c>
      <c r="M47" s="2">
        <v>-1.4718222257127604</v>
      </c>
      <c r="N47">
        <f t="shared" si="4"/>
        <v>-1.7218222257127604</v>
      </c>
      <c r="O47">
        <f>O46+1/7</f>
        <v>1932.1428571428571</v>
      </c>
      <c r="P47" s="2">
        <v>-1.0355839953018111</v>
      </c>
      <c r="Q47">
        <f t="shared" si="5"/>
        <v>-1.1605839953018111</v>
      </c>
    </row>
    <row r="48" spans="1:17" ht="18" x14ac:dyDescent="0.2">
      <c r="A48">
        <f t="shared" si="41"/>
        <v>1976.875</v>
      </c>
      <c r="B48" s="2">
        <v>-1.5137262542130598</v>
      </c>
      <c r="F48">
        <f t="shared" si="42"/>
        <v>1963.8333333333337</v>
      </c>
      <c r="G48" s="2">
        <v>-0.3378741948912703</v>
      </c>
      <c r="H48">
        <f t="shared" si="2"/>
        <v>-0.4628741948912703</v>
      </c>
      <c r="L48">
        <f t="shared" ref="L48:L51" si="43">L47+1/6</f>
        <v>1940.3333333333335</v>
      </c>
      <c r="M48" s="2">
        <v>-1.0235390906283097</v>
      </c>
      <c r="N48">
        <f t="shared" si="4"/>
        <v>-1.2735390906283097</v>
      </c>
      <c r="O48">
        <f t="shared" ref="O48:O52" si="44">O47+1/7</f>
        <v>1932.2857142857142</v>
      </c>
      <c r="P48" s="2">
        <v>-1.6038280554357822</v>
      </c>
      <c r="Q48">
        <f t="shared" si="5"/>
        <v>-1.7288280554357822</v>
      </c>
    </row>
    <row r="49" spans="1:17" ht="18" x14ac:dyDescent="0.2">
      <c r="A49">
        <v>1977</v>
      </c>
      <c r="B49" s="2">
        <v>-1.355486624585172</v>
      </c>
      <c r="F49">
        <v>1964</v>
      </c>
      <c r="G49" s="2">
        <v>-0.67874066155868618</v>
      </c>
      <c r="H49">
        <f t="shared" si="2"/>
        <v>-0.80374066155868618</v>
      </c>
      <c r="L49">
        <f t="shared" si="43"/>
        <v>1940.5000000000002</v>
      </c>
      <c r="M49" s="2">
        <v>-1.4570220059058612</v>
      </c>
      <c r="N49">
        <f t="shared" si="4"/>
        <v>-1.7070220059058612</v>
      </c>
      <c r="O49">
        <f t="shared" si="44"/>
        <v>1932.4285714285713</v>
      </c>
      <c r="P49" s="2">
        <v>-1.2562264805761183</v>
      </c>
      <c r="Q49">
        <f t="shared" si="5"/>
        <v>-1.3812264805761183</v>
      </c>
    </row>
    <row r="50" spans="1:17" ht="18" x14ac:dyDescent="0.2">
      <c r="A50">
        <f>A49+1/8</f>
        <v>1977.125</v>
      </c>
      <c r="B50" s="2">
        <v>-1.8347002644397894</v>
      </c>
      <c r="F50">
        <f>F49+1/6</f>
        <v>1964.1666666666667</v>
      </c>
      <c r="G50" s="2">
        <v>-0.25311665526016619</v>
      </c>
      <c r="H50">
        <f t="shared" si="2"/>
        <v>-0.37811665526016619</v>
      </c>
      <c r="L50">
        <f t="shared" si="43"/>
        <v>1940.666666666667</v>
      </c>
      <c r="M50" s="2">
        <v>-1.4908957487779044</v>
      </c>
      <c r="N50">
        <f t="shared" si="4"/>
        <v>-1.7408957487779044</v>
      </c>
      <c r="O50">
        <f t="shared" si="44"/>
        <v>1932.5714285714284</v>
      </c>
      <c r="P50" s="2">
        <v>-0.83958657107105472</v>
      </c>
      <c r="Q50">
        <f t="shared" si="5"/>
        <v>-0.96458657107105472</v>
      </c>
    </row>
    <row r="51" spans="1:17" ht="18" x14ac:dyDescent="0.2">
      <c r="A51">
        <f t="shared" ref="A51:A56" si="45">A50+1/8</f>
        <v>1977.25</v>
      </c>
      <c r="B51" s="2">
        <v>-1.4709848753328629</v>
      </c>
      <c r="F51">
        <f t="shared" ref="F51:F54" si="46">F50+1/6</f>
        <v>1964.3333333333335</v>
      </c>
      <c r="G51" s="2">
        <v>-0.39929658112654481</v>
      </c>
      <c r="H51">
        <f t="shared" si="2"/>
        <v>-0.52429658112654476</v>
      </c>
      <c r="L51">
        <f t="shared" si="43"/>
        <v>1940.8333333333337</v>
      </c>
      <c r="M51" s="2">
        <v>-1.4320845473763366</v>
      </c>
      <c r="N51">
        <f t="shared" si="4"/>
        <v>-1.6820845473763366</v>
      </c>
      <c r="O51">
        <f t="shared" si="44"/>
        <v>1932.7142857142856</v>
      </c>
      <c r="P51" s="2">
        <v>-0.74693870765509418</v>
      </c>
      <c r="Q51">
        <f t="shared" si="5"/>
        <v>-0.87193870765509418</v>
      </c>
    </row>
    <row r="52" spans="1:17" ht="18" x14ac:dyDescent="0.2">
      <c r="A52">
        <f t="shared" si="45"/>
        <v>1977.375</v>
      </c>
      <c r="B52" s="2">
        <v>-0.96006048528508647</v>
      </c>
      <c r="F52">
        <f t="shared" si="46"/>
        <v>1964.5000000000002</v>
      </c>
      <c r="G52" s="2">
        <v>-0.60804370711668776</v>
      </c>
      <c r="H52">
        <f t="shared" si="2"/>
        <v>-0.73304370711668776</v>
      </c>
      <c r="L52">
        <v>1941</v>
      </c>
      <c r="M52" s="2">
        <v>-1.0954181326140835</v>
      </c>
      <c r="N52">
        <f t="shared" si="4"/>
        <v>-1.3454181326140835</v>
      </c>
      <c r="O52">
        <f t="shared" si="44"/>
        <v>1932.8571428571427</v>
      </c>
      <c r="P52" s="2">
        <v>-0.45109376426378051</v>
      </c>
      <c r="Q52">
        <f t="shared" si="5"/>
        <v>-0.57609376426378045</v>
      </c>
    </row>
    <row r="53" spans="1:17" ht="18" x14ac:dyDescent="0.2">
      <c r="A53">
        <f t="shared" si="45"/>
        <v>1977.5</v>
      </c>
      <c r="B53" s="2">
        <v>-1.4136370069979294</v>
      </c>
      <c r="F53">
        <f t="shared" si="46"/>
        <v>1964.666666666667</v>
      </c>
      <c r="G53" s="2">
        <v>-0.93198846293721038</v>
      </c>
      <c r="H53">
        <f t="shared" si="2"/>
        <v>-1.0569884629372104</v>
      </c>
      <c r="L53">
        <f>L52+1/7</f>
        <v>1941.1428571428571</v>
      </c>
      <c r="M53" s="2">
        <v>-1.422596299544292</v>
      </c>
      <c r="N53">
        <f t="shared" si="4"/>
        <v>-1.672596299544292</v>
      </c>
      <c r="O53">
        <v>1933</v>
      </c>
      <c r="P53" s="2">
        <v>-0.91476388705129164</v>
      </c>
      <c r="Q53">
        <f t="shared" si="5"/>
        <v>-1.0397638870512917</v>
      </c>
    </row>
    <row r="54" spans="1:17" ht="18" x14ac:dyDescent="0.2">
      <c r="A54">
        <f t="shared" si="45"/>
        <v>1977.625</v>
      </c>
      <c r="B54" s="2">
        <v>-1.8203182019256974</v>
      </c>
      <c r="F54">
        <f t="shared" si="46"/>
        <v>1964.8333333333337</v>
      </c>
      <c r="G54" s="2">
        <v>-0.79487038443326807</v>
      </c>
      <c r="H54">
        <f t="shared" si="2"/>
        <v>-0.91987038443326807</v>
      </c>
      <c r="L54">
        <f t="shared" ref="L54:L58" si="47">L53+1/7</f>
        <v>1941.2857142857142</v>
      </c>
      <c r="M54" s="2">
        <v>-1.9705693222034366</v>
      </c>
      <c r="N54">
        <f t="shared" si="4"/>
        <v>-2.2205693222034366</v>
      </c>
      <c r="O54">
        <f>O53+1/8</f>
        <v>1933.125</v>
      </c>
      <c r="P54" s="2">
        <v>-0.41298809895417238</v>
      </c>
      <c r="Q54">
        <f t="shared" si="5"/>
        <v>-0.53798809895417232</v>
      </c>
    </row>
    <row r="55" spans="1:17" ht="18" x14ac:dyDescent="0.2">
      <c r="A55">
        <f t="shared" si="45"/>
        <v>1977.75</v>
      </c>
      <c r="B55" s="2">
        <v>-1.3154459305129877</v>
      </c>
      <c r="F55">
        <v>1965</v>
      </c>
      <c r="G55" s="2">
        <v>-0.52624395688885128</v>
      </c>
      <c r="H55">
        <f t="shared" si="2"/>
        <v>-0.65124395688885128</v>
      </c>
      <c r="L55">
        <f t="shared" si="47"/>
        <v>1941.4285714285713</v>
      </c>
      <c r="M55" s="2">
        <v>-1.7554925067226972</v>
      </c>
      <c r="N55">
        <f t="shared" si="4"/>
        <v>-2.005492506722697</v>
      </c>
      <c r="O55">
        <f t="shared" ref="O55:O60" si="48">O54+1/8</f>
        <v>1933.25</v>
      </c>
      <c r="P55" s="2">
        <v>-0.6720483762661944</v>
      </c>
      <c r="Q55">
        <f t="shared" si="5"/>
        <v>-0.7970483762661944</v>
      </c>
    </row>
    <row r="56" spans="1:17" ht="18" x14ac:dyDescent="0.2">
      <c r="A56">
        <f t="shared" si="45"/>
        <v>1977.875</v>
      </c>
      <c r="B56" s="2">
        <v>-1.4420506797472759</v>
      </c>
      <c r="F56">
        <f>F55+1/6</f>
        <v>1965.1666666666667</v>
      </c>
      <c r="G56" s="2">
        <v>-0.21548233802650868</v>
      </c>
      <c r="H56">
        <f t="shared" si="2"/>
        <v>-0.34048233802650868</v>
      </c>
      <c r="L56">
        <f t="shared" si="47"/>
        <v>1941.5714285714284</v>
      </c>
      <c r="M56" s="2">
        <v>-1.4200982739634309</v>
      </c>
      <c r="N56">
        <f t="shared" si="4"/>
        <v>-1.6700982739634309</v>
      </c>
      <c r="O56">
        <f t="shared" si="48"/>
        <v>1933.375</v>
      </c>
      <c r="P56" s="2">
        <v>-1.2252280470998831</v>
      </c>
      <c r="Q56">
        <f t="shared" si="5"/>
        <v>-1.3502280470998831</v>
      </c>
    </row>
    <row r="57" spans="1:17" ht="18" x14ac:dyDescent="0.2">
      <c r="A57">
        <v>1978</v>
      </c>
      <c r="B57" s="2">
        <v>-1.5411904851620117</v>
      </c>
      <c r="F57">
        <f t="shared" ref="F57:F60" si="49">F56+1/6</f>
        <v>1965.3333333333335</v>
      </c>
      <c r="G57" s="2">
        <v>-0.40441945661590611</v>
      </c>
      <c r="H57">
        <f t="shared" si="2"/>
        <v>-0.52941945661590606</v>
      </c>
      <c r="L57">
        <f t="shared" si="47"/>
        <v>1941.7142857142856</v>
      </c>
      <c r="M57" s="2">
        <v>-0.99198717602853836</v>
      </c>
      <c r="N57">
        <f t="shared" si="4"/>
        <v>-1.2419871760285384</v>
      </c>
      <c r="O57">
        <f t="shared" si="48"/>
        <v>1933.5</v>
      </c>
      <c r="P57" s="2">
        <v>-1.2223878456375119</v>
      </c>
      <c r="Q57">
        <f t="shared" si="5"/>
        <v>-1.3473878456375119</v>
      </c>
    </row>
    <row r="58" spans="1:17" ht="18" x14ac:dyDescent="0.2">
      <c r="A58">
        <f>A57+1/8</f>
        <v>1978.125</v>
      </c>
      <c r="B58" s="2">
        <v>-1.4324807483790736</v>
      </c>
      <c r="F58">
        <f t="shared" si="49"/>
        <v>1965.5000000000002</v>
      </c>
      <c r="G58" s="2">
        <v>-0.74654467312259842</v>
      </c>
      <c r="H58">
        <f t="shared" si="2"/>
        <v>-0.87154467312259842</v>
      </c>
      <c r="L58">
        <f t="shared" si="47"/>
        <v>1941.8571428571427</v>
      </c>
      <c r="M58" s="2">
        <v>-1.1572254976664749</v>
      </c>
      <c r="N58">
        <f t="shared" si="4"/>
        <v>-1.4072254976664749</v>
      </c>
      <c r="O58">
        <f t="shared" si="48"/>
        <v>1933.625</v>
      </c>
      <c r="P58" s="3">
        <v>-1.1353531539596395</v>
      </c>
      <c r="Q58">
        <f t="shared" si="5"/>
        <v>-1.2603531539596395</v>
      </c>
    </row>
    <row r="59" spans="1:17" ht="18" x14ac:dyDescent="0.2">
      <c r="A59">
        <f t="shared" ref="A59:A64" si="50">A58+1/8</f>
        <v>1978.25</v>
      </c>
      <c r="B59" s="2">
        <v>-1.5915266601150995</v>
      </c>
      <c r="F59">
        <f t="shared" si="49"/>
        <v>1965.666666666667</v>
      </c>
      <c r="G59" s="2">
        <v>-0.94798060591611555</v>
      </c>
      <c r="H59">
        <f t="shared" si="2"/>
        <v>-1.0729806059161155</v>
      </c>
      <c r="L59">
        <v>1942</v>
      </c>
      <c r="M59" s="2">
        <v>-1.0040982495448867</v>
      </c>
      <c r="N59">
        <f t="shared" si="4"/>
        <v>-1.2540982495448867</v>
      </c>
      <c r="O59">
        <f t="shared" si="48"/>
        <v>1933.75</v>
      </c>
      <c r="P59" s="3">
        <v>-0.88213379466284281</v>
      </c>
      <c r="Q59">
        <f t="shared" si="5"/>
        <v>-1.0071337946628427</v>
      </c>
    </row>
    <row r="60" spans="1:17" ht="18" x14ac:dyDescent="0.2">
      <c r="A60">
        <f t="shared" si="50"/>
        <v>1978.375</v>
      </c>
      <c r="B60" s="2">
        <v>-1.689712262772221</v>
      </c>
      <c r="F60">
        <f t="shared" si="49"/>
        <v>1965.8333333333337</v>
      </c>
      <c r="G60" s="2">
        <v>-1.1668771221606455</v>
      </c>
      <c r="H60">
        <f t="shared" si="2"/>
        <v>-1.2918771221606455</v>
      </c>
      <c r="L60">
        <f>L59+1/9</f>
        <v>1942.1111111111111</v>
      </c>
      <c r="M60" s="2">
        <v>-1.1554157696970595</v>
      </c>
      <c r="N60">
        <f t="shared" si="4"/>
        <v>-1.4054157696970595</v>
      </c>
      <c r="O60">
        <f t="shared" si="48"/>
        <v>1933.875</v>
      </c>
      <c r="P60" s="3">
        <v>-0.50110911305657746</v>
      </c>
      <c r="Q60">
        <f t="shared" si="5"/>
        <v>-0.62610911305657746</v>
      </c>
    </row>
    <row r="61" spans="1:17" ht="18" x14ac:dyDescent="0.2">
      <c r="A61">
        <f t="shared" si="50"/>
        <v>1978.5</v>
      </c>
      <c r="B61" s="2">
        <v>-1.9803414337945058</v>
      </c>
      <c r="F61">
        <v>1966</v>
      </c>
      <c r="G61" s="2">
        <v>-0.9092084442803201</v>
      </c>
      <c r="H61">
        <f t="shared" si="2"/>
        <v>-1.0342084442803201</v>
      </c>
      <c r="L61">
        <f t="shared" ref="L61:L67" si="51">L60+1/9</f>
        <v>1942.2222222222222</v>
      </c>
      <c r="M61" s="2">
        <v>-1.8572402048396803</v>
      </c>
      <c r="N61">
        <f t="shared" si="4"/>
        <v>-2.1072402048396803</v>
      </c>
      <c r="O61">
        <v>1934</v>
      </c>
      <c r="P61" s="3">
        <v>-0.59816094801906428</v>
      </c>
      <c r="Q61">
        <f t="shared" si="5"/>
        <v>-0.72316094801906428</v>
      </c>
    </row>
    <row r="62" spans="1:17" ht="18" x14ac:dyDescent="0.2">
      <c r="A62">
        <f t="shared" si="50"/>
        <v>1978.625</v>
      </c>
      <c r="B62" s="2">
        <v>-1.6382066236000159</v>
      </c>
      <c r="F62">
        <f>F61+1/6</f>
        <v>1966.1666666666667</v>
      </c>
      <c r="G62" s="2">
        <v>-0.83024941628645998</v>
      </c>
      <c r="H62">
        <f t="shared" si="2"/>
        <v>-0.95524941628645998</v>
      </c>
      <c r="L62">
        <f t="shared" si="51"/>
        <v>1942.3333333333333</v>
      </c>
      <c r="M62" s="2">
        <v>-1.6267051740329999</v>
      </c>
      <c r="N62">
        <f t="shared" si="4"/>
        <v>-1.8767051740329999</v>
      </c>
    </row>
    <row r="63" spans="1:17" ht="18" x14ac:dyDescent="0.2">
      <c r="A63">
        <f t="shared" si="50"/>
        <v>1978.75</v>
      </c>
      <c r="B63" s="2">
        <v>-1.6680974406113243</v>
      </c>
      <c r="F63">
        <f t="shared" ref="F63:F66" si="52">F62+1/6</f>
        <v>1966.3333333333335</v>
      </c>
      <c r="G63" s="2">
        <v>-0.80371031930999703</v>
      </c>
      <c r="H63">
        <f t="shared" si="2"/>
        <v>-0.92871031930999703</v>
      </c>
      <c r="L63">
        <f t="shared" si="51"/>
        <v>1942.4444444444443</v>
      </c>
      <c r="M63" s="2">
        <v>-1.4930994545363789</v>
      </c>
      <c r="N63">
        <f t="shared" si="4"/>
        <v>-1.7430994545363789</v>
      </c>
    </row>
    <row r="64" spans="1:17" ht="18" x14ac:dyDescent="0.2">
      <c r="A64">
        <f t="shared" si="50"/>
        <v>1978.875</v>
      </c>
      <c r="B64" s="2">
        <v>-1.4369191061936435</v>
      </c>
      <c r="F64">
        <f t="shared" si="52"/>
        <v>1966.5000000000002</v>
      </c>
      <c r="G64" s="2">
        <v>-0.69561984843813129</v>
      </c>
      <c r="H64">
        <f t="shared" si="2"/>
        <v>-0.82061984843813129</v>
      </c>
      <c r="L64">
        <f t="shared" si="51"/>
        <v>1942.5555555555554</v>
      </c>
      <c r="M64" s="2">
        <v>-1.5986576281262828</v>
      </c>
      <c r="N64">
        <f t="shared" si="4"/>
        <v>-1.8486576281262828</v>
      </c>
    </row>
    <row r="65" spans="1:14" ht="18" x14ac:dyDescent="0.2">
      <c r="A65">
        <v>1979</v>
      </c>
      <c r="B65" s="2">
        <v>-1.1693557035996704</v>
      </c>
      <c r="F65">
        <f t="shared" si="52"/>
        <v>1966.666666666667</v>
      </c>
      <c r="G65" s="2">
        <v>-0.98301823394514165</v>
      </c>
      <c r="H65">
        <f t="shared" si="2"/>
        <v>-1.1080182339451417</v>
      </c>
      <c r="L65">
        <f t="shared" si="51"/>
        <v>1942.6666666666665</v>
      </c>
      <c r="M65" s="2">
        <v>-1.4397011477713479</v>
      </c>
      <c r="N65">
        <f t="shared" si="4"/>
        <v>-1.6897011477713479</v>
      </c>
    </row>
    <row r="66" spans="1:14" ht="18" x14ac:dyDescent="0.2">
      <c r="A66">
        <f>A65+1/6</f>
        <v>1979.1666666666667</v>
      </c>
      <c r="B66" s="2">
        <v>-0.96386199505731307</v>
      </c>
      <c r="F66">
        <f t="shared" si="52"/>
        <v>1966.8333333333337</v>
      </c>
      <c r="G66" s="2">
        <v>-0.99158595482597489</v>
      </c>
      <c r="H66">
        <f t="shared" ref="H66:H74" si="53">G66-1/8</f>
        <v>-1.1165859548259749</v>
      </c>
      <c r="L66">
        <f t="shared" si="51"/>
        <v>1942.7777777777776</v>
      </c>
      <c r="M66" s="2">
        <v>-0.99342032841221206</v>
      </c>
      <c r="N66">
        <f t="shared" ref="N66:N110" si="54">M66-1/4</f>
        <v>-1.2434203284122121</v>
      </c>
    </row>
    <row r="67" spans="1:14" ht="18" x14ac:dyDescent="0.2">
      <c r="A67">
        <f t="shared" ref="A67:A70" si="55">A66+1/6</f>
        <v>1979.3333333333335</v>
      </c>
      <c r="B67" s="2">
        <v>-1.2875649248597441</v>
      </c>
      <c r="F67">
        <v>1967</v>
      </c>
      <c r="G67" s="2">
        <v>-0.78578974975979787</v>
      </c>
      <c r="H67">
        <f t="shared" si="53"/>
        <v>-0.91078974975979787</v>
      </c>
      <c r="L67">
        <f t="shared" si="51"/>
        <v>1942.8888888888887</v>
      </c>
      <c r="M67" s="2">
        <v>-1.0268248188482878</v>
      </c>
      <c r="N67">
        <f t="shared" si="54"/>
        <v>-1.2768248188482878</v>
      </c>
    </row>
    <row r="68" spans="1:14" ht="18" x14ac:dyDescent="0.2">
      <c r="A68">
        <f t="shared" si="55"/>
        <v>1979.5000000000002</v>
      </c>
      <c r="B68" s="2">
        <v>-1.5289684460252462</v>
      </c>
      <c r="F68">
        <f>F67+1/5</f>
        <v>1967.2</v>
      </c>
      <c r="G68" s="2">
        <v>-1.2906627752886215</v>
      </c>
      <c r="H68">
        <f t="shared" si="53"/>
        <v>-1.4156627752886215</v>
      </c>
      <c r="L68">
        <v>1943</v>
      </c>
      <c r="M68" s="2">
        <v>-1.1549107010984505</v>
      </c>
      <c r="N68">
        <f t="shared" si="54"/>
        <v>-1.4049107010984505</v>
      </c>
    </row>
    <row r="69" spans="1:14" ht="18" x14ac:dyDescent="0.2">
      <c r="A69">
        <f t="shared" si="55"/>
        <v>1979.666666666667</v>
      </c>
      <c r="B69" s="2">
        <v>-1.5465568731993149</v>
      </c>
      <c r="F69">
        <f t="shared" ref="F69:F71" si="56">F68+1/5</f>
        <v>1967.4</v>
      </c>
      <c r="G69" s="2">
        <v>-1.2938083367951811</v>
      </c>
      <c r="H69">
        <f t="shared" si="53"/>
        <v>-1.4188083367951811</v>
      </c>
      <c r="L69">
        <f>L68+1/10</f>
        <v>1943.1</v>
      </c>
      <c r="M69" s="2">
        <v>-0.97537535650361085</v>
      </c>
      <c r="N69">
        <f t="shared" si="54"/>
        <v>-1.2253753565036107</v>
      </c>
    </row>
    <row r="70" spans="1:14" ht="18" x14ac:dyDescent="0.2">
      <c r="A70">
        <f t="shared" si="55"/>
        <v>1979.8333333333337</v>
      </c>
      <c r="B70" s="2">
        <v>-1.6128373156668219</v>
      </c>
      <c r="F70">
        <f t="shared" si="56"/>
        <v>1967.6000000000001</v>
      </c>
      <c r="G70" s="2">
        <v>-1.294710430745958</v>
      </c>
      <c r="H70">
        <f t="shared" si="53"/>
        <v>-1.419710430745958</v>
      </c>
      <c r="L70">
        <f t="shared" ref="L70:L77" si="57">L69+1/10</f>
        <v>1943.1999999999998</v>
      </c>
      <c r="M70" s="2">
        <v>-1.3426443552044274</v>
      </c>
      <c r="N70">
        <f t="shared" si="54"/>
        <v>-1.5926443552044274</v>
      </c>
    </row>
    <row r="71" spans="1:14" ht="18" x14ac:dyDescent="0.2">
      <c r="A71">
        <v>1980</v>
      </c>
      <c r="B71" s="2">
        <v>-1.010384363220326</v>
      </c>
      <c r="F71">
        <f t="shared" si="56"/>
        <v>1967.8000000000002</v>
      </c>
      <c r="G71" s="2">
        <v>-1.039113811459992</v>
      </c>
      <c r="H71">
        <f t="shared" si="53"/>
        <v>-1.164113811459992</v>
      </c>
      <c r="L71">
        <f t="shared" si="57"/>
        <v>1943.2999999999997</v>
      </c>
      <c r="M71" s="2">
        <v>-1.4557560462023162</v>
      </c>
      <c r="N71">
        <f t="shared" si="54"/>
        <v>-1.7057560462023162</v>
      </c>
    </row>
    <row r="72" spans="1:14" ht="18" x14ac:dyDescent="0.2">
      <c r="A72">
        <f>A71+1/7</f>
        <v>1980.1428571428571</v>
      </c>
      <c r="B72" s="2">
        <v>-1.6694416090467428</v>
      </c>
      <c r="F72">
        <v>1968</v>
      </c>
      <c r="G72" s="2">
        <v>-1.2097968352248132</v>
      </c>
      <c r="H72">
        <f t="shared" si="53"/>
        <v>-1.3347968352248132</v>
      </c>
      <c r="L72">
        <f t="shared" si="57"/>
        <v>1943.3999999999996</v>
      </c>
      <c r="M72" s="2">
        <v>-1.8916877145431963</v>
      </c>
      <c r="N72">
        <f t="shared" si="54"/>
        <v>-2.1416877145431963</v>
      </c>
    </row>
    <row r="73" spans="1:14" ht="18" x14ac:dyDescent="0.2">
      <c r="A73">
        <f t="shared" ref="A73:A77" si="58">A72+1/7</f>
        <v>1980.2857142857142</v>
      </c>
      <c r="B73" s="2">
        <v>-1.2281799524066368</v>
      </c>
      <c r="F73">
        <f>F72+1/6</f>
        <v>1968.1666666666667</v>
      </c>
      <c r="G73" s="2">
        <v>-1.1243308321550405</v>
      </c>
      <c r="H73">
        <f t="shared" si="53"/>
        <v>-1.2493308321550405</v>
      </c>
      <c r="L73">
        <f t="shared" si="57"/>
        <v>1943.4999999999995</v>
      </c>
      <c r="M73" s="2">
        <v>-1.7788986725358853</v>
      </c>
      <c r="N73">
        <f t="shared" si="54"/>
        <v>-2.0288986725358855</v>
      </c>
    </row>
    <row r="74" spans="1:14" ht="18" x14ac:dyDescent="0.2">
      <c r="A74">
        <f t="shared" si="58"/>
        <v>1980.4285714285713</v>
      </c>
      <c r="B74" s="2">
        <v>-1.8809008988252733</v>
      </c>
      <c r="F74">
        <f>F73+1/6</f>
        <v>1968.3333333333335</v>
      </c>
      <c r="G74" s="2">
        <v>-0.70851955961802449</v>
      </c>
      <c r="H74">
        <f t="shared" si="53"/>
        <v>-0.83351955961802449</v>
      </c>
      <c r="L74">
        <f t="shared" si="57"/>
        <v>1943.5999999999995</v>
      </c>
      <c r="M74" s="2">
        <v>-1.3515750243011082</v>
      </c>
      <c r="N74">
        <f t="shared" si="54"/>
        <v>-1.6015750243011082</v>
      </c>
    </row>
    <row r="75" spans="1:14" ht="18" x14ac:dyDescent="0.2">
      <c r="A75">
        <f t="shared" si="58"/>
        <v>1980.5714285714284</v>
      </c>
      <c r="B75" s="2">
        <v>-1.3526417362386676</v>
      </c>
      <c r="L75">
        <f t="shared" si="57"/>
        <v>1943.6999999999994</v>
      </c>
      <c r="M75" s="2">
        <v>-1.3106980581131942</v>
      </c>
      <c r="N75">
        <f t="shared" si="54"/>
        <v>-1.5606980581131942</v>
      </c>
    </row>
    <row r="76" spans="1:14" ht="18" x14ac:dyDescent="0.2">
      <c r="A76">
        <f t="shared" si="58"/>
        <v>1980.7142857142856</v>
      </c>
      <c r="B76" s="2">
        <v>-1.2012744337903467</v>
      </c>
      <c r="L76">
        <f t="shared" si="57"/>
        <v>1943.7999999999993</v>
      </c>
      <c r="M76" s="2">
        <v>-1.3468089958675382</v>
      </c>
      <c r="N76">
        <f t="shared" si="54"/>
        <v>-1.5968089958675382</v>
      </c>
    </row>
    <row r="77" spans="1:14" ht="18" x14ac:dyDescent="0.2">
      <c r="A77">
        <f t="shared" si="58"/>
        <v>1980.8571428571427</v>
      </c>
      <c r="B77" s="2">
        <v>-1.6247104810239352</v>
      </c>
      <c r="L77">
        <f t="shared" si="57"/>
        <v>1943.8999999999992</v>
      </c>
      <c r="M77" s="2">
        <v>-1.6813260361688831</v>
      </c>
      <c r="N77">
        <f t="shared" si="54"/>
        <v>-1.9313260361688831</v>
      </c>
    </row>
    <row r="78" spans="1:14" ht="18" x14ac:dyDescent="0.2">
      <c r="A78">
        <v>1981</v>
      </c>
      <c r="B78" s="2">
        <v>-1.7056689291431453</v>
      </c>
      <c r="L78">
        <v>1944</v>
      </c>
      <c r="M78" s="2">
        <v>-1.4583734589919832</v>
      </c>
      <c r="N78">
        <f t="shared" si="54"/>
        <v>-1.7083734589919832</v>
      </c>
    </row>
    <row r="79" spans="1:14" ht="18" x14ac:dyDescent="0.2">
      <c r="A79">
        <f>A78+1/6</f>
        <v>1981.1666666666667</v>
      </c>
      <c r="B79" s="2">
        <v>-1.6062898028841608</v>
      </c>
      <c r="L79">
        <f>L78+1/9</f>
        <v>1944.1111111111111</v>
      </c>
      <c r="M79" s="2">
        <v>-1.1407024091433464</v>
      </c>
      <c r="N79">
        <f t="shared" si="54"/>
        <v>-1.3907024091433464</v>
      </c>
    </row>
    <row r="80" spans="1:14" ht="18" x14ac:dyDescent="0.2">
      <c r="A80">
        <f t="shared" ref="A80:A83" si="59">A79+1/6</f>
        <v>1981.3333333333335</v>
      </c>
      <c r="B80" s="2">
        <v>-1.5567960882221556</v>
      </c>
      <c r="L80">
        <f t="shared" ref="L80:L86" si="60">L79+1/9</f>
        <v>1944.2222222222222</v>
      </c>
      <c r="M80" s="2">
        <v>-1.6318969999820438</v>
      </c>
      <c r="N80">
        <f t="shared" si="54"/>
        <v>-1.8818969999820438</v>
      </c>
    </row>
    <row r="81" spans="1:14" ht="18" x14ac:dyDescent="0.2">
      <c r="A81">
        <f t="shared" si="59"/>
        <v>1981.5000000000002</v>
      </c>
      <c r="B81" s="2">
        <v>-1.6165555977965109</v>
      </c>
      <c r="L81">
        <f t="shared" si="60"/>
        <v>1944.3333333333333</v>
      </c>
      <c r="M81" s="2">
        <v>-1.5600401154528196</v>
      </c>
      <c r="N81">
        <f t="shared" si="54"/>
        <v>-1.8100401154528196</v>
      </c>
    </row>
    <row r="82" spans="1:14" ht="18" x14ac:dyDescent="0.2">
      <c r="A82">
        <f t="shared" si="59"/>
        <v>1981.666666666667</v>
      </c>
      <c r="B82" s="2">
        <v>-1.5854465103896578</v>
      </c>
      <c r="L82">
        <f t="shared" si="60"/>
        <v>1944.4444444444443</v>
      </c>
      <c r="M82" s="2">
        <v>-1.4984752683152653</v>
      </c>
      <c r="N82">
        <f t="shared" si="54"/>
        <v>-1.7484752683152653</v>
      </c>
    </row>
    <row r="83" spans="1:14" ht="18" x14ac:dyDescent="0.2">
      <c r="A83">
        <f t="shared" si="59"/>
        <v>1981.8333333333337</v>
      </c>
      <c r="B83" s="2">
        <v>-1.3200626587355158</v>
      </c>
      <c r="L83">
        <f t="shared" si="60"/>
        <v>1944.5555555555554</v>
      </c>
      <c r="M83" s="2">
        <v>-1.24467096228312</v>
      </c>
      <c r="N83">
        <f t="shared" si="54"/>
        <v>-1.49467096228312</v>
      </c>
    </row>
    <row r="84" spans="1:14" ht="18" x14ac:dyDescent="0.2">
      <c r="A84">
        <v>1982</v>
      </c>
      <c r="B84" s="2">
        <v>-1.394028075406798</v>
      </c>
      <c r="L84">
        <f t="shared" si="60"/>
        <v>1944.6666666666665</v>
      </c>
      <c r="M84" s="2">
        <v>-1.289366497992009</v>
      </c>
      <c r="N84">
        <f t="shared" si="54"/>
        <v>-1.539366497992009</v>
      </c>
    </row>
    <row r="85" spans="1:14" ht="18" x14ac:dyDescent="0.2">
      <c r="A85">
        <f>A84+1/5</f>
        <v>1982.2</v>
      </c>
      <c r="B85" s="2">
        <v>-1.508254055811002</v>
      </c>
      <c r="L85">
        <f t="shared" si="60"/>
        <v>1944.7777777777776</v>
      </c>
      <c r="M85" s="2">
        <v>-1.0837122167906701</v>
      </c>
      <c r="N85">
        <f t="shared" si="54"/>
        <v>-1.3337122167906701</v>
      </c>
    </row>
    <row r="86" spans="1:14" ht="18" x14ac:dyDescent="0.2">
      <c r="A86">
        <f t="shared" ref="A86:A88" si="61">A85+1/5</f>
        <v>1982.4</v>
      </c>
      <c r="B86" s="2">
        <v>-1.555874957568443</v>
      </c>
      <c r="L86">
        <f t="shared" si="60"/>
        <v>1944.8888888888887</v>
      </c>
      <c r="M86" s="2">
        <v>-1.1493903579739888</v>
      </c>
      <c r="N86">
        <f t="shared" si="54"/>
        <v>-1.3993903579739888</v>
      </c>
    </row>
    <row r="87" spans="1:14" ht="18" x14ac:dyDescent="0.2">
      <c r="A87">
        <f t="shared" si="61"/>
        <v>1982.6000000000001</v>
      </c>
      <c r="B87" s="2">
        <v>-1.2774298907831438</v>
      </c>
      <c r="L87">
        <v>1945</v>
      </c>
      <c r="M87" s="2">
        <v>-1.5018315665167199</v>
      </c>
      <c r="N87">
        <f t="shared" si="54"/>
        <v>-1.7518315665167199</v>
      </c>
    </row>
    <row r="88" spans="1:14" ht="18" x14ac:dyDescent="0.2">
      <c r="A88">
        <f t="shared" si="61"/>
        <v>1982.8000000000002</v>
      </c>
      <c r="B88" s="2">
        <v>-0.952424699152703</v>
      </c>
      <c r="L88">
        <f>L87+1/7</f>
        <v>1945.1428571428571</v>
      </c>
      <c r="M88" s="2">
        <v>-1.5743405277923455</v>
      </c>
      <c r="N88">
        <f t="shared" si="54"/>
        <v>-1.8243405277923455</v>
      </c>
    </row>
    <row r="89" spans="1:14" ht="18" x14ac:dyDescent="0.2">
      <c r="A89">
        <v>1983</v>
      </c>
      <c r="B89" s="2">
        <v>-0.8097457871968301</v>
      </c>
      <c r="L89">
        <f t="shared" ref="L89:L93" si="62">L88+1/7</f>
        <v>1945.2857142857142</v>
      </c>
      <c r="M89" s="2">
        <v>-1.8502954610210038</v>
      </c>
      <c r="N89">
        <f t="shared" si="54"/>
        <v>-2.1002954610210036</v>
      </c>
    </row>
    <row r="90" spans="1:14" ht="18" x14ac:dyDescent="0.2">
      <c r="A90">
        <f>A89+1/4</f>
        <v>1983.25</v>
      </c>
      <c r="B90" s="2">
        <v>-1.1179852043254734</v>
      </c>
      <c r="L90">
        <f t="shared" si="62"/>
        <v>1945.4285714285713</v>
      </c>
      <c r="M90" s="2">
        <v>-1.4142771357781387</v>
      </c>
      <c r="N90">
        <f t="shared" si="54"/>
        <v>-1.6642771357781387</v>
      </c>
    </row>
    <row r="91" spans="1:14" ht="18" x14ac:dyDescent="0.2">
      <c r="A91">
        <f t="shared" ref="A91:A92" si="63">A90+1/4</f>
        <v>1983.5</v>
      </c>
      <c r="B91" s="2">
        <v>-1.0889245505873999</v>
      </c>
      <c r="L91">
        <f t="shared" si="62"/>
        <v>1945.5714285714284</v>
      </c>
      <c r="M91" s="2">
        <v>-1.5500049123234834</v>
      </c>
      <c r="N91">
        <f t="shared" si="54"/>
        <v>-1.8000049123234834</v>
      </c>
    </row>
    <row r="92" spans="1:14" ht="18" x14ac:dyDescent="0.2">
      <c r="A92">
        <f t="shared" si="63"/>
        <v>1983.75</v>
      </c>
      <c r="B92" s="2">
        <v>-1.0573336135743505</v>
      </c>
      <c r="L92">
        <f t="shared" si="62"/>
        <v>1945.7142857142856</v>
      </c>
      <c r="M92" s="2">
        <v>-1.2553070978927126</v>
      </c>
      <c r="N92">
        <f t="shared" si="54"/>
        <v>-1.5053070978927126</v>
      </c>
    </row>
    <row r="93" spans="1:14" ht="18" x14ac:dyDescent="0.2">
      <c r="A93">
        <v>1984</v>
      </c>
      <c r="B93" s="2">
        <v>-1.0866895230390996</v>
      </c>
      <c r="L93">
        <f t="shared" si="62"/>
        <v>1945.8571428571427</v>
      </c>
      <c r="M93" s="2">
        <v>-0.86823130596080289</v>
      </c>
      <c r="N93">
        <f t="shared" si="54"/>
        <v>-1.1182313059608029</v>
      </c>
    </row>
    <row r="94" spans="1:14" ht="18" x14ac:dyDescent="0.2">
      <c r="A94">
        <f>A93+1/4</f>
        <v>1984.25</v>
      </c>
      <c r="B94" s="2">
        <v>-1.3723507752297546</v>
      </c>
      <c r="L94">
        <v>1946</v>
      </c>
      <c r="M94" s="2">
        <v>-1.4156973376849253</v>
      </c>
      <c r="N94">
        <f t="shared" si="54"/>
        <v>-1.6656973376849253</v>
      </c>
    </row>
    <row r="95" spans="1:14" ht="18" x14ac:dyDescent="0.2">
      <c r="A95">
        <f t="shared" ref="A95:A97" si="64">A94+1/4</f>
        <v>1984.5</v>
      </c>
      <c r="B95" s="2">
        <v>-1.1058732273173977</v>
      </c>
      <c r="L95">
        <f>L94+1/8</f>
        <v>1946.125</v>
      </c>
      <c r="M95" s="2">
        <v>-1.8409122334624688</v>
      </c>
      <c r="N95">
        <f t="shared" si="54"/>
        <v>-2.0909122334624688</v>
      </c>
    </row>
    <row r="96" spans="1:14" ht="18" x14ac:dyDescent="0.2">
      <c r="A96">
        <f t="shared" si="64"/>
        <v>1984.75</v>
      </c>
      <c r="B96" s="2">
        <v>-1.0409812531011593</v>
      </c>
      <c r="L96">
        <f t="shared" ref="L96:L101" si="65">L95+1/8</f>
        <v>1946.25</v>
      </c>
      <c r="M96" s="2">
        <v>-1.4417780805021669</v>
      </c>
      <c r="N96">
        <f t="shared" si="54"/>
        <v>-1.6917780805021669</v>
      </c>
    </row>
    <row r="97" spans="1:14" ht="18" x14ac:dyDescent="0.2">
      <c r="A97">
        <f t="shared" si="64"/>
        <v>1985</v>
      </c>
      <c r="B97" s="2">
        <v>-1.4191741784632343</v>
      </c>
      <c r="L97">
        <f t="shared" si="65"/>
        <v>1946.375</v>
      </c>
      <c r="M97" s="2">
        <v>-1.7440230888658801</v>
      </c>
      <c r="N97">
        <f t="shared" si="54"/>
        <v>-1.9940230888658801</v>
      </c>
    </row>
    <row r="98" spans="1:14" ht="18" x14ac:dyDescent="0.2">
      <c r="A98">
        <f>A97+1/5</f>
        <v>1985.2</v>
      </c>
      <c r="B98" s="2">
        <v>-1.6433245253139299</v>
      </c>
      <c r="L98">
        <f t="shared" si="65"/>
        <v>1946.5</v>
      </c>
      <c r="M98" s="2">
        <v>-1.6624735817912317</v>
      </c>
      <c r="N98">
        <f t="shared" si="54"/>
        <v>-1.9124735817912317</v>
      </c>
    </row>
    <row r="99" spans="1:14" ht="18" x14ac:dyDescent="0.2">
      <c r="A99">
        <f t="shared" ref="A99:A101" si="66">A98+1/5</f>
        <v>1985.4</v>
      </c>
      <c r="B99" s="2">
        <v>-1.5469479336426826</v>
      </c>
      <c r="L99">
        <f t="shared" si="65"/>
        <v>1946.625</v>
      </c>
      <c r="M99" s="2">
        <v>-1.3314201364158653</v>
      </c>
      <c r="N99">
        <f t="shared" si="54"/>
        <v>-1.5814201364158653</v>
      </c>
    </row>
    <row r="100" spans="1:14" ht="18" x14ac:dyDescent="0.2">
      <c r="A100">
        <f t="shared" si="66"/>
        <v>1985.6000000000001</v>
      </c>
      <c r="B100" s="2">
        <v>-1.3103854403420301</v>
      </c>
      <c r="L100">
        <f t="shared" si="65"/>
        <v>1946.75</v>
      </c>
      <c r="M100" s="2">
        <v>-1.1661551550071492</v>
      </c>
      <c r="N100">
        <f t="shared" si="54"/>
        <v>-1.4161551550071492</v>
      </c>
    </row>
    <row r="101" spans="1:14" ht="18" x14ac:dyDescent="0.2">
      <c r="A101">
        <f t="shared" si="66"/>
        <v>1985.8000000000002</v>
      </c>
      <c r="B101" s="2">
        <v>-1.1390073764212196</v>
      </c>
      <c r="L101">
        <f t="shared" si="65"/>
        <v>1946.875</v>
      </c>
      <c r="M101" s="2">
        <v>-1.5635670463048259</v>
      </c>
      <c r="N101">
        <f t="shared" si="54"/>
        <v>-1.8135670463048259</v>
      </c>
    </row>
    <row r="102" spans="1:14" ht="18" x14ac:dyDescent="0.2">
      <c r="A102">
        <v>1986</v>
      </c>
      <c r="B102" s="2">
        <v>-1.1736744264517804</v>
      </c>
      <c r="L102">
        <v>1947</v>
      </c>
      <c r="M102" s="2">
        <v>-1.572950982092566</v>
      </c>
      <c r="N102">
        <f t="shared" si="54"/>
        <v>-1.822950982092566</v>
      </c>
    </row>
    <row r="103" spans="1:14" ht="18" x14ac:dyDescent="0.2">
      <c r="A103">
        <f>A102+1/5</f>
        <v>1986.2</v>
      </c>
      <c r="B103" s="2">
        <v>-1.1325196174706276</v>
      </c>
      <c r="L103">
        <f>L102+1/8</f>
        <v>1947.125</v>
      </c>
      <c r="M103" s="2">
        <v>-1.8384560439924897</v>
      </c>
      <c r="N103">
        <f t="shared" si="54"/>
        <v>-2.0884560439924895</v>
      </c>
    </row>
    <row r="104" spans="1:14" ht="18" x14ac:dyDescent="0.2">
      <c r="A104">
        <f t="shared" ref="A104:A106" si="67">A103+1/5</f>
        <v>1986.4</v>
      </c>
      <c r="B104" s="2">
        <v>-1.2792672892946924</v>
      </c>
      <c r="L104">
        <f t="shared" ref="L104:L109" si="68">L103+1/8</f>
        <v>1947.25</v>
      </c>
      <c r="M104" s="2">
        <v>-1.8929892374703814</v>
      </c>
      <c r="N104">
        <f t="shared" si="54"/>
        <v>-2.1429892374703812</v>
      </c>
    </row>
    <row r="105" spans="1:14" ht="18" x14ac:dyDescent="0.2">
      <c r="A105">
        <f t="shared" si="67"/>
        <v>1986.6000000000001</v>
      </c>
      <c r="B105" s="2">
        <v>-1.346575054675631</v>
      </c>
      <c r="L105">
        <f t="shared" si="68"/>
        <v>1947.375</v>
      </c>
      <c r="M105" s="2">
        <v>-1.8633068962078294</v>
      </c>
      <c r="N105">
        <f t="shared" si="54"/>
        <v>-2.1133068962078294</v>
      </c>
    </row>
    <row r="106" spans="1:14" ht="18" x14ac:dyDescent="0.2">
      <c r="A106">
        <f t="shared" si="67"/>
        <v>1986.8000000000002</v>
      </c>
      <c r="B106" s="2">
        <v>-1.0556815614187731</v>
      </c>
      <c r="L106">
        <f t="shared" si="68"/>
        <v>1947.5</v>
      </c>
      <c r="M106" s="2">
        <v>-1.1250459402278672</v>
      </c>
      <c r="N106">
        <f t="shared" si="54"/>
        <v>-1.3750459402278672</v>
      </c>
    </row>
    <row r="107" spans="1:14" ht="18" x14ac:dyDescent="0.2">
      <c r="A107">
        <v>1987</v>
      </c>
      <c r="B107" s="2">
        <v>-0.70306146854616069</v>
      </c>
      <c r="L107">
        <f t="shared" si="68"/>
        <v>1947.625</v>
      </c>
      <c r="M107" s="2">
        <v>-1.0741513754651359</v>
      </c>
      <c r="N107">
        <f t="shared" si="54"/>
        <v>-1.3241513754651359</v>
      </c>
    </row>
    <row r="108" spans="1:14" ht="18" x14ac:dyDescent="0.2">
      <c r="A108">
        <f>A107+1/4</f>
        <v>1987.25</v>
      </c>
      <c r="B108" s="2">
        <v>-0.74938983406734616</v>
      </c>
      <c r="L108">
        <f t="shared" si="68"/>
        <v>1947.75</v>
      </c>
      <c r="M108" s="2">
        <v>-0.9661504687601441</v>
      </c>
      <c r="N108">
        <f t="shared" si="54"/>
        <v>-1.2161504687601441</v>
      </c>
    </row>
    <row r="109" spans="1:14" ht="18" x14ac:dyDescent="0.2">
      <c r="A109">
        <f t="shared" ref="A109:A110" si="69">A108+1/4</f>
        <v>1987.5</v>
      </c>
      <c r="B109" s="2">
        <v>-1.1173531172403512</v>
      </c>
      <c r="L109">
        <f t="shared" si="68"/>
        <v>1947.875</v>
      </c>
      <c r="M109" s="2">
        <v>-1.2895693550713783</v>
      </c>
      <c r="N109">
        <f t="shared" si="54"/>
        <v>-1.5395693550713783</v>
      </c>
    </row>
    <row r="110" spans="1:14" ht="18" x14ac:dyDescent="0.2">
      <c r="A110">
        <f t="shared" si="69"/>
        <v>1987.75</v>
      </c>
      <c r="B110" s="2">
        <v>-1.425758149485147</v>
      </c>
      <c r="L110">
        <v>1948</v>
      </c>
      <c r="M110" s="2">
        <v>-1.4123315289770066</v>
      </c>
      <c r="N110">
        <f t="shared" si="54"/>
        <v>-1.6623315289770066</v>
      </c>
    </row>
    <row r="111" spans="1:14" ht="18" x14ac:dyDescent="0.2">
      <c r="A111">
        <v>1988</v>
      </c>
      <c r="B111" s="2">
        <v>-1.4966670061610865</v>
      </c>
    </row>
    <row r="112" spans="1:14" ht="18" x14ac:dyDescent="0.2">
      <c r="A112">
        <f>A111+1/4</f>
        <v>1988.25</v>
      </c>
      <c r="B112" s="2">
        <v>-1.2343845998904157</v>
      </c>
    </row>
    <row r="113" spans="1:2" ht="18" x14ac:dyDescent="0.2">
      <c r="A113">
        <f t="shared" ref="A113:A114" si="70">A112+1/4</f>
        <v>1988.5</v>
      </c>
      <c r="B113" s="2">
        <v>-1.0795975553357737</v>
      </c>
    </row>
    <row r="114" spans="1:2" ht="18" x14ac:dyDescent="0.2">
      <c r="A114">
        <f t="shared" si="70"/>
        <v>1988.75</v>
      </c>
      <c r="B114" s="2">
        <v>-1.0463656920404383</v>
      </c>
    </row>
    <row r="115" spans="1:2" ht="18" x14ac:dyDescent="0.2">
      <c r="A115">
        <v>1989</v>
      </c>
      <c r="B115" s="2">
        <v>-1.382663721440355</v>
      </c>
    </row>
    <row r="116" spans="1:2" ht="18" x14ac:dyDescent="0.2">
      <c r="A116">
        <f>A115+1/5</f>
        <v>1989.2</v>
      </c>
      <c r="B116" s="2">
        <v>-1.1951274524461661</v>
      </c>
    </row>
    <row r="117" spans="1:2" ht="18" x14ac:dyDescent="0.2">
      <c r="A117">
        <f t="shared" ref="A117:A119" si="71">A116+1/5</f>
        <v>1989.4</v>
      </c>
      <c r="B117" s="2">
        <v>-0.69686718314574425</v>
      </c>
    </row>
    <row r="118" spans="1:2" ht="18" x14ac:dyDescent="0.2">
      <c r="A118">
        <f t="shared" si="71"/>
        <v>1989.6000000000001</v>
      </c>
      <c r="B118" s="2">
        <v>-1.0990225408524699</v>
      </c>
    </row>
    <row r="119" spans="1:2" ht="18" x14ac:dyDescent="0.2">
      <c r="A119">
        <f t="shared" si="71"/>
        <v>1989.8000000000002</v>
      </c>
      <c r="B119" s="2">
        <v>-1.0888876595338557</v>
      </c>
    </row>
    <row r="120" spans="1:2" ht="18" x14ac:dyDescent="0.2">
      <c r="A120">
        <v>1990</v>
      </c>
      <c r="B120" s="2">
        <v>-1.2288302686113852</v>
      </c>
    </row>
    <row r="121" spans="1:2" ht="18" x14ac:dyDescent="0.2">
      <c r="A121">
        <f>A120+1/6</f>
        <v>1990.1666666666667</v>
      </c>
      <c r="B121" s="2">
        <v>-1.5694678214091302</v>
      </c>
    </row>
    <row r="122" spans="1:2" ht="18" x14ac:dyDescent="0.2">
      <c r="A122">
        <f>A121+1/6</f>
        <v>1990.3333333333335</v>
      </c>
      <c r="B122" s="2">
        <v>-1.545975043491485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2025-04-20T20:17:45Z</dcterms:created>
  <dcterms:modified xsi:type="dcterms:W3CDTF">2025-04-20T21:03:54Z</dcterms:modified>
</cp:coreProperties>
</file>