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1_{E3936B3F-85DE-484E-82C1-E82EED4BAC60}" xr6:coauthVersionLast="47" xr6:coauthVersionMax="47" xr10:uidLastSave="{00000000-0000-0000-0000-000000000000}"/>
  <bookViews>
    <workbookView xWindow="-28920" yWindow="-120" windowWidth="29040" windowHeight="15720" xr2:uid="{40B1D6E9-CF4A-49DC-8B28-A8725F820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22" i="1"/>
  <c r="D82" i="1"/>
  <c r="D83" i="1"/>
  <c r="D118" i="1"/>
  <c r="D11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20" i="1"/>
  <c r="D121" i="1"/>
  <c r="D122" i="1"/>
  <c r="D124" i="1"/>
  <c r="D125" i="1"/>
  <c r="D126" i="1"/>
  <c r="D127" i="1"/>
  <c r="D128" i="1"/>
  <c r="D129" i="1"/>
  <c r="D130" i="1"/>
  <c r="D131" i="1"/>
  <c r="D132" i="1"/>
  <c r="D134" i="1"/>
  <c r="D135" i="1"/>
  <c r="D136" i="1"/>
  <c r="D137" i="1"/>
  <c r="D138" i="1"/>
  <c r="D139" i="1"/>
  <c r="D140" i="1"/>
  <c r="D141" i="1"/>
  <c r="D142" i="1"/>
  <c r="D143" i="1"/>
  <c r="D144" i="1"/>
  <c r="D146" i="1"/>
  <c r="D147" i="1"/>
  <c r="D148" i="1"/>
  <c r="D149" i="1"/>
  <c r="D150" i="1"/>
  <c r="D152" i="1"/>
  <c r="D153" i="1"/>
  <c r="D154" i="1"/>
  <c r="D155" i="1"/>
  <c r="D156" i="1"/>
  <c r="D157" i="1"/>
  <c r="D158" i="1"/>
  <c r="D160" i="1"/>
  <c r="D161" i="1"/>
  <c r="D162" i="1"/>
  <c r="D163" i="1"/>
  <c r="D164" i="1"/>
  <c r="D165" i="1"/>
  <c r="D166" i="1"/>
  <c r="D167" i="1"/>
  <c r="D169" i="1"/>
  <c r="D170" i="1"/>
  <c r="D171" i="1"/>
  <c r="D172" i="1"/>
  <c r="D173" i="1"/>
  <c r="D175" i="1"/>
  <c r="D176" i="1"/>
  <c r="D177" i="1"/>
  <c r="D178" i="1"/>
  <c r="D179" i="1"/>
  <c r="D180" i="1"/>
  <c r="D181" i="1"/>
  <c r="D182" i="1"/>
  <c r="D183" i="1"/>
  <c r="D185" i="1"/>
  <c r="D186" i="1"/>
  <c r="D187" i="1"/>
  <c r="D188" i="1"/>
  <c r="D189" i="1"/>
  <c r="D190" i="1"/>
  <c r="D194" i="1"/>
  <c r="D195" i="1"/>
  <c r="D196" i="1"/>
  <c r="D197" i="1"/>
  <c r="D198" i="1"/>
  <c r="D200" i="1"/>
  <c r="D201" i="1"/>
  <c r="D202" i="1"/>
  <c r="D203" i="1"/>
  <c r="D204" i="1"/>
  <c r="D205" i="1"/>
  <c r="D206" i="1"/>
  <c r="D208" i="1"/>
  <c r="D209" i="1"/>
  <c r="D210" i="1"/>
  <c r="D212" i="1"/>
  <c r="D213" i="1"/>
  <c r="D214" i="1"/>
  <c r="D215" i="1"/>
  <c r="D216" i="1"/>
  <c r="D217" i="1"/>
  <c r="D219" i="1"/>
  <c r="D220" i="1"/>
  <c r="D221" i="1"/>
  <c r="D222" i="1"/>
  <c r="D224" i="1"/>
  <c r="D225" i="1"/>
  <c r="D226" i="1"/>
  <c r="D227" i="1"/>
  <c r="D228" i="1"/>
  <c r="D229" i="1"/>
  <c r="D231" i="1"/>
  <c r="D232" i="1"/>
  <c r="D233" i="1"/>
  <c r="D234" i="1"/>
  <c r="D235" i="1"/>
  <c r="D236" i="1"/>
  <c r="D239" i="1"/>
  <c r="D241" i="1"/>
  <c r="D242" i="1"/>
  <c r="D243" i="1"/>
  <c r="D244" i="1"/>
  <c r="D245" i="1"/>
  <c r="D246" i="1"/>
  <c r="D247" i="1"/>
  <c r="D249" i="1"/>
  <c r="D250" i="1"/>
  <c r="D251" i="1"/>
  <c r="D252" i="1"/>
  <c r="D253" i="1"/>
  <c r="D254" i="1"/>
  <c r="D255" i="1"/>
  <c r="D257" i="1"/>
  <c r="D258" i="1"/>
  <c r="D259" i="1"/>
  <c r="D260" i="1"/>
  <c r="D262" i="1"/>
  <c r="D263" i="1"/>
  <c r="D264" i="1"/>
  <c r="D266" i="1"/>
  <c r="D267" i="1"/>
  <c r="D268" i="1"/>
  <c r="D270" i="1"/>
  <c r="D271" i="1"/>
  <c r="D272" i="1"/>
  <c r="D274" i="1"/>
  <c r="D275" i="1"/>
  <c r="D276" i="1"/>
  <c r="D277" i="1"/>
  <c r="D278" i="1"/>
  <c r="D279" i="1"/>
  <c r="D281" i="1"/>
  <c r="D282" i="1"/>
  <c r="D283" i="1"/>
  <c r="D284" i="1"/>
  <c r="D285" i="1"/>
  <c r="D287" i="1"/>
  <c r="D288" i="1"/>
  <c r="D289" i="1"/>
  <c r="D290" i="1"/>
  <c r="D291" i="1"/>
  <c r="D292" i="1"/>
  <c r="D294" i="1"/>
  <c r="D295" i="1"/>
  <c r="D296" i="1"/>
  <c r="D297" i="1"/>
  <c r="D298" i="1"/>
  <c r="D299" i="1"/>
  <c r="D301" i="1"/>
  <c r="D302" i="1"/>
  <c r="D303" i="1"/>
  <c r="D304" i="1"/>
  <c r="D305" i="1"/>
  <c r="D306" i="1"/>
  <c r="D308" i="1"/>
  <c r="D309" i="1"/>
  <c r="D310" i="1"/>
  <c r="D313" i="1"/>
  <c r="D314" i="1"/>
  <c r="D315" i="1"/>
  <c r="D316" i="1"/>
  <c r="D318" i="1"/>
  <c r="D319" i="1"/>
  <c r="D320" i="1"/>
  <c r="D321" i="1"/>
  <c r="D322" i="1"/>
  <c r="D323" i="1"/>
  <c r="D324" i="1"/>
  <c r="D325" i="1"/>
  <c r="D326" i="1"/>
  <c r="D328" i="1"/>
  <c r="D329" i="1"/>
  <c r="D330" i="1"/>
  <c r="D331" i="1"/>
  <c r="D332" i="1"/>
  <c r="D333" i="1"/>
  <c r="D334" i="1"/>
  <c r="D335" i="1"/>
  <c r="D336" i="1"/>
  <c r="D337" i="1"/>
  <c r="D339" i="1"/>
  <c r="D343" i="1"/>
  <c r="D344" i="1"/>
  <c r="D345" i="1"/>
  <c r="D346" i="1"/>
  <c r="D347" i="1"/>
  <c r="D349" i="1"/>
  <c r="D350" i="1"/>
  <c r="D351" i="1"/>
  <c r="D352" i="1"/>
  <c r="D353" i="1"/>
  <c r="D354" i="1"/>
  <c r="D355" i="1"/>
  <c r="D356" i="1"/>
  <c r="D358" i="1"/>
  <c r="D359" i="1"/>
  <c r="D360" i="1"/>
  <c r="D361" i="1"/>
  <c r="D362" i="1"/>
  <c r="D363" i="1"/>
  <c r="D364" i="1"/>
  <c r="D365" i="1"/>
  <c r="D366" i="1"/>
  <c r="D367" i="1"/>
  <c r="D369" i="1"/>
  <c r="D370" i="1"/>
  <c r="D371" i="1"/>
  <c r="D372" i="1"/>
  <c r="D373" i="1"/>
  <c r="D375" i="1"/>
  <c r="D376" i="1"/>
  <c r="D377" i="1"/>
  <c r="D378" i="1"/>
  <c r="D379" i="1"/>
  <c r="D380" i="1"/>
  <c r="D382" i="1"/>
  <c r="D383" i="1"/>
  <c r="D384" i="1"/>
  <c r="D385" i="1"/>
  <c r="D386" i="1"/>
  <c r="D387" i="1"/>
  <c r="D388" i="1"/>
  <c r="D390" i="1"/>
  <c r="D391" i="1"/>
  <c r="D392" i="1"/>
  <c r="D393" i="1"/>
  <c r="D394" i="1"/>
  <c r="D395" i="1"/>
  <c r="D396" i="1"/>
  <c r="D398" i="1"/>
  <c r="D399" i="1"/>
  <c r="D400" i="1"/>
  <c r="D401" i="1"/>
  <c r="D402" i="1"/>
  <c r="D403" i="1"/>
  <c r="D405" i="1"/>
  <c r="D406" i="1"/>
  <c r="D407" i="1"/>
  <c r="D408" i="1"/>
  <c r="D409" i="1"/>
  <c r="D410" i="1"/>
  <c r="D411" i="1"/>
  <c r="D412" i="1"/>
  <c r="D414" i="1"/>
  <c r="D415" i="1"/>
  <c r="D416" i="1"/>
  <c r="D417" i="1"/>
  <c r="D418" i="1"/>
  <c r="D419" i="1"/>
  <c r="D421" i="1"/>
  <c r="D422" i="1"/>
  <c r="D423" i="1"/>
  <c r="D424" i="1"/>
  <c r="D425" i="1"/>
  <c r="D426" i="1"/>
  <c r="D428" i="1"/>
  <c r="D429" i="1"/>
  <c r="D430" i="1"/>
  <c r="D431" i="1"/>
  <c r="D432" i="1"/>
  <c r="D433" i="1"/>
  <c r="D434" i="1"/>
  <c r="D436" i="1"/>
  <c r="D437" i="1"/>
  <c r="D438" i="1"/>
  <c r="D440" i="1"/>
  <c r="D441" i="1"/>
  <c r="D442" i="1"/>
  <c r="D443" i="1"/>
  <c r="D444" i="1"/>
  <c r="D445" i="1"/>
  <c r="D447" i="1"/>
  <c r="D449" i="1"/>
  <c r="D450" i="1"/>
  <c r="D452" i="1"/>
  <c r="D455" i="1"/>
  <c r="D456" i="1"/>
  <c r="D457" i="1"/>
  <c r="D460" i="1"/>
  <c r="D461" i="1"/>
  <c r="D464" i="1"/>
  <c r="D465" i="1"/>
  <c r="D466" i="1"/>
  <c r="D468" i="1"/>
  <c r="D469" i="1"/>
  <c r="D470" i="1"/>
  <c r="D471" i="1"/>
  <c r="D472" i="1"/>
  <c r="D474" i="1"/>
  <c r="D475" i="1"/>
  <c r="D476" i="1"/>
  <c r="D477" i="1"/>
  <c r="D478" i="1"/>
  <c r="D480" i="1"/>
  <c r="D481" i="1"/>
  <c r="D482" i="1"/>
  <c r="D483" i="1"/>
  <c r="D484" i="1"/>
  <c r="D485" i="1"/>
  <c r="D487" i="1"/>
  <c r="D488" i="1"/>
  <c r="D489" i="1"/>
  <c r="D490" i="1"/>
  <c r="D491" i="1"/>
  <c r="D492" i="1"/>
  <c r="D494" i="1"/>
  <c r="D495" i="1"/>
  <c r="D496" i="1"/>
  <c r="D497" i="1"/>
  <c r="D498" i="1"/>
  <c r="D499" i="1"/>
  <c r="D501" i="1"/>
  <c r="D502" i="1"/>
  <c r="D503" i="1"/>
  <c r="D504" i="1"/>
  <c r="D505" i="1"/>
  <c r="D507" i="1"/>
  <c r="D508" i="1"/>
  <c r="D509" i="1"/>
  <c r="D510" i="1"/>
  <c r="D511" i="1"/>
  <c r="D513" i="1"/>
  <c r="D514" i="1"/>
  <c r="D515" i="1"/>
  <c r="D516" i="1"/>
  <c r="D517" i="1"/>
  <c r="D518" i="1"/>
  <c r="D520" i="1"/>
  <c r="D521" i="1"/>
  <c r="D522" i="1"/>
  <c r="D523" i="1"/>
  <c r="D524" i="1"/>
  <c r="D525" i="1"/>
  <c r="D527" i="1"/>
  <c r="D528" i="1"/>
  <c r="D529" i="1"/>
  <c r="D530" i="1"/>
  <c r="D531" i="1"/>
  <c r="D532" i="1"/>
  <c r="D533" i="1"/>
  <c r="D535" i="1"/>
  <c r="D536" i="1"/>
  <c r="D537" i="1"/>
  <c r="D538" i="1"/>
  <c r="D539" i="1"/>
  <c r="D541" i="1"/>
  <c r="D542" i="1"/>
  <c r="D543" i="1"/>
  <c r="D544" i="1"/>
  <c r="D545" i="1"/>
  <c r="D546" i="1"/>
  <c r="D548" i="1"/>
  <c r="D549" i="1"/>
  <c r="D550" i="1"/>
  <c r="D551" i="1"/>
  <c r="D552" i="1"/>
  <c r="D553" i="1"/>
  <c r="D554" i="1"/>
  <c r="D555" i="1"/>
  <c r="D557" i="1"/>
  <c r="D558" i="1"/>
  <c r="D559" i="1"/>
  <c r="D561" i="1"/>
  <c r="D562" i="1"/>
  <c r="D563" i="1"/>
  <c r="D564" i="1"/>
  <c r="D565" i="1"/>
  <c r="D567" i="1"/>
  <c r="D568" i="1"/>
  <c r="D569" i="1"/>
  <c r="D570" i="1"/>
  <c r="D572" i="1"/>
  <c r="D573" i="1"/>
  <c r="D574" i="1"/>
  <c r="D45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D123" i="1" s="1"/>
  <c r="E124" i="1"/>
  <c r="E125" i="1"/>
  <c r="E126" i="1"/>
  <c r="E127" i="1"/>
  <c r="E128" i="1"/>
  <c r="E129" i="1"/>
  <c r="E130" i="1"/>
  <c r="E131" i="1"/>
  <c r="E132" i="1"/>
  <c r="E133" i="1"/>
  <c r="D133" i="1" s="1"/>
  <c r="E134" i="1"/>
  <c r="E135" i="1"/>
  <c r="E136" i="1"/>
  <c r="E137" i="1"/>
  <c r="E138" i="1"/>
  <c r="E139" i="1"/>
  <c r="E140" i="1"/>
  <c r="E141" i="1"/>
  <c r="E142" i="1"/>
  <c r="E143" i="1"/>
  <c r="E144" i="1"/>
  <c r="E145" i="1"/>
  <c r="D145" i="1" s="1"/>
  <c r="E146" i="1"/>
  <c r="E147" i="1"/>
  <c r="E148" i="1"/>
  <c r="E149" i="1"/>
  <c r="E150" i="1"/>
  <c r="E151" i="1"/>
  <c r="D151" i="1" s="1"/>
  <c r="E152" i="1"/>
  <c r="E153" i="1"/>
  <c r="E154" i="1"/>
  <c r="E155" i="1"/>
  <c r="E156" i="1"/>
  <c r="E157" i="1"/>
  <c r="E158" i="1"/>
  <c r="E159" i="1"/>
  <c r="D159" i="1" s="1"/>
  <c r="E160" i="1"/>
  <c r="E161" i="1"/>
  <c r="E162" i="1"/>
  <c r="E163" i="1"/>
  <c r="E164" i="1"/>
  <c r="E165" i="1"/>
  <c r="E166" i="1"/>
  <c r="E167" i="1"/>
  <c r="E168" i="1"/>
  <c r="D168" i="1" s="1"/>
  <c r="E169" i="1"/>
  <c r="E170" i="1"/>
  <c r="E171" i="1"/>
  <c r="E172" i="1"/>
  <c r="E173" i="1"/>
  <c r="E174" i="1"/>
  <c r="D174" i="1" s="1"/>
  <c r="E175" i="1"/>
  <c r="E176" i="1"/>
  <c r="E177" i="1"/>
  <c r="E178" i="1"/>
  <c r="E179" i="1"/>
  <c r="E180" i="1"/>
  <c r="E181" i="1"/>
  <c r="E182" i="1"/>
  <c r="E183" i="1"/>
  <c r="E184" i="1"/>
  <c r="D184" i="1" s="1"/>
  <c r="E185" i="1"/>
  <c r="E186" i="1"/>
  <c r="E187" i="1"/>
  <c r="E188" i="1"/>
  <c r="E189" i="1"/>
  <c r="E190" i="1"/>
  <c r="E191" i="1"/>
  <c r="D192" i="1" s="1"/>
  <c r="E192" i="1"/>
  <c r="E193" i="1"/>
  <c r="E194" i="1"/>
  <c r="E195" i="1"/>
  <c r="E196" i="1"/>
  <c r="E197" i="1"/>
  <c r="E198" i="1"/>
  <c r="E199" i="1"/>
  <c r="D193" i="1" s="1"/>
  <c r="E200" i="1"/>
  <c r="E201" i="1"/>
  <c r="E202" i="1"/>
  <c r="E203" i="1"/>
  <c r="E204" i="1"/>
  <c r="E205" i="1"/>
  <c r="E206" i="1"/>
  <c r="E207" i="1"/>
  <c r="D207" i="1" s="1"/>
  <c r="E208" i="1"/>
  <c r="E209" i="1"/>
  <c r="E210" i="1"/>
  <c r="E211" i="1"/>
  <c r="D211" i="1" s="1"/>
  <c r="E212" i="1"/>
  <c r="E213" i="1"/>
  <c r="E214" i="1"/>
  <c r="E215" i="1"/>
  <c r="E216" i="1"/>
  <c r="E217" i="1"/>
  <c r="E218" i="1"/>
  <c r="D218" i="1" s="1"/>
  <c r="E219" i="1"/>
  <c r="E220" i="1"/>
  <c r="E221" i="1"/>
  <c r="E222" i="1"/>
  <c r="E223" i="1"/>
  <c r="D223" i="1" s="1"/>
  <c r="E224" i="1"/>
  <c r="E225" i="1"/>
  <c r="E226" i="1"/>
  <c r="E227" i="1"/>
  <c r="E228" i="1"/>
  <c r="E229" i="1"/>
  <c r="E230" i="1"/>
  <c r="D230" i="1" s="1"/>
  <c r="E231" i="1"/>
  <c r="E232" i="1"/>
  <c r="E233" i="1"/>
  <c r="E234" i="1"/>
  <c r="E235" i="1"/>
  <c r="E236" i="1"/>
  <c r="E237" i="1"/>
  <c r="D237" i="1" s="1"/>
  <c r="E238" i="1"/>
  <c r="E239" i="1"/>
  <c r="E240" i="1"/>
  <c r="D240" i="1" s="1"/>
  <c r="E241" i="1"/>
  <c r="E242" i="1"/>
  <c r="E243" i="1"/>
  <c r="E244" i="1"/>
  <c r="E245" i="1"/>
  <c r="E246" i="1"/>
  <c r="E247" i="1"/>
  <c r="E248" i="1"/>
  <c r="D248" i="1" s="1"/>
  <c r="E249" i="1"/>
  <c r="E250" i="1"/>
  <c r="E251" i="1"/>
  <c r="E252" i="1"/>
  <c r="E253" i="1"/>
  <c r="E254" i="1"/>
  <c r="E255" i="1"/>
  <c r="E256" i="1"/>
  <c r="D256" i="1" s="1"/>
  <c r="E257" i="1"/>
  <c r="E258" i="1"/>
  <c r="E259" i="1"/>
  <c r="E260" i="1"/>
  <c r="E261" i="1"/>
  <c r="D261" i="1" s="1"/>
  <c r="E262" i="1"/>
  <c r="E263" i="1"/>
  <c r="E264" i="1"/>
  <c r="E265" i="1"/>
  <c r="D265" i="1" s="1"/>
  <c r="E266" i="1"/>
  <c r="E267" i="1"/>
  <c r="E268" i="1"/>
  <c r="E269" i="1"/>
  <c r="D269" i="1" s="1"/>
  <c r="E270" i="1"/>
  <c r="E271" i="1"/>
  <c r="E272" i="1"/>
  <c r="E273" i="1"/>
  <c r="D273" i="1" s="1"/>
  <c r="E274" i="1"/>
  <c r="E275" i="1"/>
  <c r="E276" i="1"/>
  <c r="E277" i="1"/>
  <c r="E278" i="1"/>
  <c r="E279" i="1"/>
  <c r="E280" i="1"/>
  <c r="D280" i="1" s="1"/>
  <c r="E281" i="1"/>
  <c r="E282" i="1"/>
  <c r="E283" i="1"/>
  <c r="E284" i="1"/>
  <c r="E285" i="1"/>
  <c r="E286" i="1"/>
  <c r="D286" i="1" s="1"/>
  <c r="E287" i="1"/>
  <c r="E288" i="1"/>
  <c r="E289" i="1"/>
  <c r="E290" i="1"/>
  <c r="E291" i="1"/>
  <c r="E292" i="1"/>
  <c r="E293" i="1"/>
  <c r="D293" i="1" s="1"/>
  <c r="E294" i="1"/>
  <c r="E295" i="1"/>
  <c r="E296" i="1"/>
  <c r="E297" i="1"/>
  <c r="E298" i="1"/>
  <c r="E299" i="1"/>
  <c r="E300" i="1"/>
  <c r="D300" i="1" s="1"/>
  <c r="E301" i="1"/>
  <c r="E302" i="1"/>
  <c r="E303" i="1"/>
  <c r="E304" i="1"/>
  <c r="E305" i="1"/>
  <c r="E306" i="1"/>
  <c r="E307" i="1"/>
  <c r="D307" i="1" s="1"/>
  <c r="E308" i="1"/>
  <c r="E309" i="1"/>
  <c r="E310" i="1"/>
  <c r="E311" i="1"/>
  <c r="D311" i="1" s="1"/>
  <c r="E312" i="1"/>
  <c r="E313" i="1"/>
  <c r="E314" i="1"/>
  <c r="E315" i="1"/>
  <c r="E316" i="1"/>
  <c r="E317" i="1"/>
  <c r="D312" i="1" s="1"/>
  <c r="E318" i="1"/>
  <c r="E319" i="1"/>
  <c r="E320" i="1"/>
  <c r="E321" i="1"/>
  <c r="E322" i="1"/>
  <c r="E323" i="1"/>
  <c r="E324" i="1"/>
  <c r="E325" i="1"/>
  <c r="E326" i="1"/>
  <c r="E327" i="1"/>
  <c r="D327" i="1" s="1"/>
  <c r="E328" i="1"/>
  <c r="E329" i="1"/>
  <c r="E330" i="1"/>
  <c r="E331" i="1"/>
  <c r="E332" i="1"/>
  <c r="E333" i="1"/>
  <c r="E334" i="1"/>
  <c r="E335" i="1"/>
  <c r="E336" i="1"/>
  <c r="E337" i="1"/>
  <c r="E338" i="1"/>
  <c r="D338" i="1" s="1"/>
  <c r="E339" i="1"/>
  <c r="E340" i="1"/>
  <c r="D340" i="1" s="1"/>
  <c r="E341" i="1"/>
  <c r="E342" i="1"/>
  <c r="D341" i="1" s="1"/>
  <c r="E343" i="1"/>
  <c r="E344" i="1"/>
  <c r="E345" i="1"/>
  <c r="E346" i="1"/>
  <c r="E347" i="1"/>
  <c r="E348" i="1"/>
  <c r="D348" i="1" s="1"/>
  <c r="E349" i="1"/>
  <c r="E350" i="1"/>
  <c r="E351" i="1"/>
  <c r="E352" i="1"/>
  <c r="E353" i="1"/>
  <c r="E354" i="1"/>
  <c r="E355" i="1"/>
  <c r="E356" i="1"/>
  <c r="E357" i="1"/>
  <c r="D357" i="1" s="1"/>
  <c r="E358" i="1"/>
  <c r="E359" i="1"/>
  <c r="E360" i="1"/>
  <c r="E361" i="1"/>
  <c r="E362" i="1"/>
  <c r="E363" i="1"/>
  <c r="E364" i="1"/>
  <c r="E365" i="1"/>
  <c r="E366" i="1"/>
  <c r="E367" i="1"/>
  <c r="E368" i="1"/>
  <c r="D368" i="1" s="1"/>
  <c r="E369" i="1"/>
  <c r="E370" i="1"/>
  <c r="E371" i="1"/>
  <c r="E372" i="1"/>
  <c r="E373" i="1"/>
  <c r="E374" i="1"/>
  <c r="D374" i="1" s="1"/>
  <c r="E375" i="1"/>
  <c r="E376" i="1"/>
  <c r="E377" i="1"/>
  <c r="E378" i="1"/>
  <c r="E379" i="1"/>
  <c r="E380" i="1"/>
  <c r="E381" i="1"/>
  <c r="D381" i="1" s="1"/>
  <c r="E382" i="1"/>
  <c r="E383" i="1"/>
  <c r="E384" i="1"/>
  <c r="E385" i="1"/>
  <c r="E386" i="1"/>
  <c r="E387" i="1"/>
  <c r="E388" i="1"/>
  <c r="E389" i="1"/>
  <c r="D389" i="1" s="1"/>
  <c r="E390" i="1"/>
  <c r="E391" i="1"/>
  <c r="E392" i="1"/>
  <c r="E393" i="1"/>
  <c r="E394" i="1"/>
  <c r="E395" i="1"/>
  <c r="E396" i="1"/>
  <c r="E397" i="1"/>
  <c r="D397" i="1" s="1"/>
  <c r="E398" i="1"/>
  <c r="E399" i="1"/>
  <c r="E400" i="1"/>
  <c r="E401" i="1"/>
  <c r="E402" i="1"/>
  <c r="E403" i="1"/>
  <c r="E404" i="1"/>
  <c r="D404" i="1" s="1"/>
  <c r="E405" i="1"/>
  <c r="E406" i="1"/>
  <c r="E407" i="1"/>
  <c r="E408" i="1"/>
  <c r="E409" i="1"/>
  <c r="E410" i="1"/>
  <c r="E411" i="1"/>
  <c r="E412" i="1"/>
  <c r="E413" i="1"/>
  <c r="D413" i="1" s="1"/>
  <c r="E414" i="1"/>
  <c r="E415" i="1"/>
  <c r="E416" i="1"/>
  <c r="E417" i="1"/>
  <c r="E418" i="1"/>
  <c r="E419" i="1"/>
  <c r="E420" i="1"/>
  <c r="D420" i="1" s="1"/>
  <c r="E421" i="1"/>
  <c r="E422" i="1"/>
  <c r="E423" i="1"/>
  <c r="E424" i="1"/>
  <c r="E425" i="1"/>
  <c r="E426" i="1"/>
  <c r="E427" i="1"/>
  <c r="D427" i="1" s="1"/>
  <c r="E428" i="1"/>
  <c r="E429" i="1"/>
  <c r="E430" i="1"/>
  <c r="E431" i="1"/>
  <c r="E432" i="1"/>
  <c r="E433" i="1"/>
  <c r="E434" i="1"/>
  <c r="E435" i="1"/>
  <c r="D435" i="1" s="1"/>
  <c r="E436" i="1"/>
  <c r="E437" i="1"/>
  <c r="E438" i="1"/>
  <c r="E439" i="1"/>
  <c r="D439" i="1" s="1"/>
  <c r="E440" i="1"/>
  <c r="E441" i="1"/>
  <c r="E442" i="1"/>
  <c r="E443" i="1"/>
  <c r="E444" i="1"/>
  <c r="E445" i="1"/>
  <c r="E446" i="1"/>
  <c r="D446" i="1" s="1"/>
  <c r="E447" i="1"/>
  <c r="E448" i="1"/>
  <c r="D448" i="1" s="1"/>
  <c r="E449" i="1"/>
  <c r="E450" i="1"/>
  <c r="E451" i="1"/>
  <c r="D451" i="1" s="1"/>
  <c r="E452" i="1"/>
  <c r="E453" i="1"/>
  <c r="D453" i="1" s="1"/>
  <c r="E454" i="1"/>
  <c r="D454" i="1" s="1"/>
  <c r="E455" i="1"/>
  <c r="E456" i="1"/>
  <c r="E457" i="1"/>
  <c r="E458" i="1"/>
  <c r="D458" i="1" s="1"/>
  <c r="E459" i="1"/>
  <c r="E460" i="1"/>
  <c r="E461" i="1"/>
  <c r="E462" i="1"/>
  <c r="D462" i="1" s="1"/>
  <c r="E463" i="1"/>
  <c r="E464" i="1"/>
  <c r="E465" i="1"/>
  <c r="E466" i="1"/>
  <c r="E467" i="1"/>
  <c r="D467" i="1" s="1"/>
  <c r="E468" i="1"/>
  <c r="E469" i="1"/>
  <c r="E470" i="1"/>
  <c r="E471" i="1"/>
  <c r="E472" i="1"/>
  <c r="E473" i="1"/>
  <c r="D473" i="1" s="1"/>
  <c r="E474" i="1"/>
  <c r="E475" i="1"/>
  <c r="E476" i="1"/>
  <c r="E477" i="1"/>
  <c r="E478" i="1"/>
  <c r="E479" i="1"/>
  <c r="D479" i="1" s="1"/>
  <c r="E480" i="1"/>
  <c r="E481" i="1"/>
  <c r="E482" i="1"/>
  <c r="E483" i="1"/>
  <c r="E484" i="1"/>
  <c r="E485" i="1"/>
  <c r="E486" i="1"/>
  <c r="D486" i="1" s="1"/>
  <c r="E487" i="1"/>
  <c r="E488" i="1"/>
  <c r="E489" i="1"/>
  <c r="E490" i="1"/>
  <c r="E491" i="1"/>
  <c r="E492" i="1"/>
  <c r="E493" i="1"/>
  <c r="D493" i="1" s="1"/>
  <c r="E494" i="1"/>
  <c r="E495" i="1"/>
  <c r="E496" i="1"/>
  <c r="E497" i="1"/>
  <c r="E498" i="1"/>
  <c r="E499" i="1"/>
  <c r="E500" i="1"/>
  <c r="D500" i="1" s="1"/>
  <c r="E501" i="1"/>
  <c r="E502" i="1"/>
  <c r="E503" i="1"/>
  <c r="E504" i="1"/>
  <c r="E505" i="1"/>
  <c r="E506" i="1"/>
  <c r="D506" i="1" s="1"/>
  <c r="E507" i="1"/>
  <c r="E508" i="1"/>
  <c r="E509" i="1"/>
  <c r="E510" i="1"/>
  <c r="E511" i="1"/>
  <c r="E512" i="1"/>
  <c r="D512" i="1" s="1"/>
  <c r="E513" i="1"/>
  <c r="E514" i="1"/>
  <c r="E515" i="1"/>
  <c r="E516" i="1"/>
  <c r="E517" i="1"/>
  <c r="E518" i="1"/>
  <c r="E519" i="1"/>
  <c r="D519" i="1" s="1"/>
  <c r="E520" i="1"/>
  <c r="E521" i="1"/>
  <c r="E522" i="1"/>
  <c r="E523" i="1"/>
  <c r="E524" i="1"/>
  <c r="E525" i="1"/>
  <c r="E526" i="1"/>
  <c r="D526" i="1" s="1"/>
  <c r="E527" i="1"/>
  <c r="E528" i="1"/>
  <c r="E529" i="1"/>
  <c r="E530" i="1"/>
  <c r="E531" i="1"/>
  <c r="E532" i="1"/>
  <c r="E533" i="1"/>
  <c r="E534" i="1"/>
  <c r="D534" i="1" s="1"/>
  <c r="E535" i="1"/>
  <c r="E536" i="1"/>
  <c r="E537" i="1"/>
  <c r="E538" i="1"/>
  <c r="E539" i="1"/>
  <c r="E540" i="1"/>
  <c r="D540" i="1" s="1"/>
  <c r="E541" i="1"/>
  <c r="E542" i="1"/>
  <c r="E543" i="1"/>
  <c r="E544" i="1"/>
  <c r="E545" i="1"/>
  <c r="E546" i="1"/>
  <c r="E547" i="1"/>
  <c r="D547" i="1" s="1"/>
  <c r="E548" i="1"/>
  <c r="E549" i="1"/>
  <c r="E550" i="1"/>
  <c r="E551" i="1"/>
  <c r="E552" i="1"/>
  <c r="E553" i="1"/>
  <c r="E554" i="1"/>
  <c r="E555" i="1"/>
  <c r="E556" i="1"/>
  <c r="D556" i="1" s="1"/>
  <c r="E557" i="1"/>
  <c r="E558" i="1"/>
  <c r="E559" i="1"/>
  <c r="E560" i="1"/>
  <c r="D560" i="1" s="1"/>
  <c r="E561" i="1"/>
  <c r="E562" i="1"/>
  <c r="E563" i="1"/>
  <c r="E564" i="1"/>
  <c r="E565" i="1"/>
  <c r="E566" i="1"/>
  <c r="D566" i="1" s="1"/>
  <c r="E567" i="1"/>
  <c r="E568" i="1"/>
  <c r="E569" i="1"/>
  <c r="E570" i="1"/>
  <c r="E571" i="1"/>
  <c r="D571" i="1" s="1"/>
  <c r="E572" i="1"/>
  <c r="E573" i="1"/>
  <c r="E574" i="1"/>
  <c r="E575" i="1"/>
  <c r="D575" i="1" s="1"/>
  <c r="E2" i="1"/>
  <c r="D199" i="1" l="1"/>
  <c r="D191" i="1"/>
  <c r="D342" i="1"/>
  <c r="D317" i="1"/>
  <c r="D238" i="1"/>
  <c r="D463" i="1"/>
</calcChain>
</file>

<file path=xl/sharedStrings.xml><?xml version="1.0" encoding="utf-8"?>
<sst xmlns="http://schemas.openxmlformats.org/spreadsheetml/2006/main" count="691" uniqueCount="581">
  <si>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</si>
  <si>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</si>
  <si>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</si>
  <si>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</si>
  <si>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</si>
  <si>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</si>
  <si>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</si>
  <si>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</si>
  <si>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</si>
  <si>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</si>
  <si>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</si>
  <si>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</si>
  <si>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</si>
  <si>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</si>
  <si>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</si>
  <si>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</si>
  <si>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</si>
  <si>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</si>
  <si>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</si>
  <si>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</si>
  <si>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</si>
  <si>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</si>
  <si>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</si>
  <si>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</si>
  <si>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</si>
  <si>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</si>
  <si>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</si>
  <si>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</si>
  <si>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</si>
  <si>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</si>
  <si>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</si>
  <si>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</si>
  <si>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</si>
  <si>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</si>
  <si>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</si>
  <si>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</si>
  <si>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</si>
  <si>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</si>
  <si>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</si>
  <si>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</si>
  <si>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</si>
  <si>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</si>
  <si>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</si>
  <si>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</si>
  <si>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</si>
  <si>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</si>
  <si>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</si>
  <si>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</si>
  <si>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</si>
  <si>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</si>
  <si>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</si>
  <si>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</si>
  <si>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</si>
  <si>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</si>
  <si>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</si>
  <si>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</si>
  <si>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</si>
  <si>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</si>
  <si>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</si>
  <si>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</si>
  <si>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</si>
  <si>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</si>
  <si>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</si>
  <si>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</si>
  <si>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</si>
  <si>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</si>
  <si>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</si>
  <si>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</si>
  <si>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</si>
  <si>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</si>
  <si>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</si>
  <si>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</si>
  <si>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</si>
  <si>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</si>
  <si>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</si>
  <si>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</si>
  <si>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</si>
  <si>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</si>
  <si>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</si>
  <si>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</si>
  <si>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</si>
  <si>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</si>
  <si>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</si>
  <si>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</si>
  <si>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</si>
  <si>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</si>
  <si>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</si>
  <si>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</si>
  <si>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</si>
  <si>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</si>
  <si>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</si>
  <si>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</si>
  <si>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</si>
  <si>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</si>
  <si>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</si>
  <si>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</si>
  <si>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</si>
  <si>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</si>
  <si>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</si>
  <si>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</si>
  <si>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</si>
  <si>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</si>
  <si>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</si>
  <si>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</si>
  <si>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</si>
  <si>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</si>
  <si>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</si>
  <si>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</si>
  <si>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</si>
  <si>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</si>
  <si>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</si>
  <si>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</si>
  <si>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</si>
  <si>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</si>
  <si>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</si>
  <si>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</si>
  <si>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</si>
  <si>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</si>
  <si>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</si>
  <si>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</si>
  <si>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</si>
  <si>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</si>
  <si>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</si>
  <si>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</si>
  <si>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</si>
  <si>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</si>
  <si>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</si>
  <si>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</si>
  <si>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</si>
  <si>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</si>
  <si>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</si>
  <si>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1A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</si>
  <si>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</si>
  <si>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</si>
  <si>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</si>
  <si>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</si>
  <si>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</si>
  <si>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</si>
  <si>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</si>
  <si>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</si>
  <si>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</si>
  <si>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</si>
  <si>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</si>
  <si>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</si>
  <si>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</si>
  <si>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</si>
  <si>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</si>
  <si>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</si>
  <si>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</si>
  <si>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</si>
  <si>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</si>
  <si>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</si>
  <si>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</si>
  <si>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</si>
  <si>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</si>
  <si>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</si>
  <si>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</si>
  <si>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</si>
  <si>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</si>
  <si>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</si>
  <si>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</si>
  <si>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</si>
  <si>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</si>
  <si>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</si>
  <si>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</si>
  <si>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</si>
  <si>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</si>
  <si>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</si>
  <si>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</si>
  <si>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</si>
  <si>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</si>
  <si>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</si>
  <si>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</si>
  <si>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</si>
  <si>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</si>
  <si>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</si>
  <si>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</si>
  <si>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</si>
  <si>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</si>
  <si>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</si>
  <si>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</si>
  <si>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</si>
  <si>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</si>
  <si>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</si>
  <si>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</si>
  <si>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</si>
  <si>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</si>
  <si>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</si>
  <si>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</si>
  <si>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</si>
  <si>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</si>
  <si>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</si>
  <si>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</si>
  <si>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</si>
  <si>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</si>
  <si>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</si>
  <si>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</si>
  <si>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</si>
  <si>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</si>
  <si>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</si>
  <si>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</si>
  <si>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</si>
  <si>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</si>
  <si>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</si>
  <si>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</si>
  <si>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</si>
  <si>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</si>
  <si>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</si>
  <si>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</si>
  <si>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</si>
  <si>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</si>
  <si>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</si>
  <si>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</si>
  <si>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</si>
  <si>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</si>
  <si>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</si>
  <si>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</si>
  <si>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</si>
  <si>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</si>
  <si>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</si>
  <si>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</si>
  <si>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</si>
  <si>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</si>
  <si>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</si>
  <si>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</si>
  <si>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</si>
  <si>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</si>
  <si>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</si>
  <si>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</si>
  <si>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</si>
  <si>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</si>
  <si>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</si>
  <si>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</si>
  <si>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</si>
  <si>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</si>
  <si>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</si>
  <si>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</si>
  <si>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</si>
  <si>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</si>
  <si>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</si>
  <si>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</si>
  <si>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</si>
  <si>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</si>
  <si>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</si>
  <si>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</si>
  <si>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</si>
  <si>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</si>
  <si>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</si>
  <si>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</si>
  <si>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</si>
  <si>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</si>
  <si>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</si>
  <si>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</si>
  <si>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</si>
  <si>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</si>
  <si>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</si>
  <si>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</si>
  <si>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</si>
  <si>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</si>
  <si>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</si>
  <si>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</si>
  <si>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</si>
  <si>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</si>
  <si>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</si>
  <si>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</si>
  <si>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</si>
  <si>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</si>
  <si>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</si>
  <si>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</si>
  <si>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</si>
  <si>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</si>
  <si>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</si>
  <si>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I 1A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</si>
  <si>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</si>
  <si>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</si>
  <si>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</si>
  <si>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</si>
  <si>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</si>
  <si>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</si>
  <si>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</si>
  <si>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</si>
  <si>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</si>
  <si>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</si>
  <si>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</si>
  <si>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</si>
  <si>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</si>
  <si>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</si>
  <si>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</si>
  <si>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</si>
  <si>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</si>
  <si>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</si>
  <si>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</si>
  <si>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</si>
  <si>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</si>
  <si>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</si>
  <si>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</si>
  <si>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</si>
  <si>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</si>
  <si>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</si>
  <si>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</si>
  <si>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</si>
  <si>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</si>
  <si>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</si>
  <si>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</si>
  <si>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</si>
  <si>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</si>
  <si>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</si>
  <si>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</si>
  <si>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</si>
  <si>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</si>
  <si>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</si>
  <si>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</si>
  <si>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</si>
  <si>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</si>
  <si>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</si>
  <si>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</si>
  <si>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</si>
  <si>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</si>
  <si>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</si>
  <si>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</si>
  <si>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</si>
  <si>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</si>
  <si>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</si>
  <si>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</si>
  <si>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</si>
  <si>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</si>
  <si>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</si>
  <si>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</si>
  <si>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</si>
  <si>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</si>
  <si>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</si>
  <si>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</si>
  <si>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</si>
  <si>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</si>
  <si>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</si>
  <si>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</si>
  <si>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</si>
  <si>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</si>
  <si>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</si>
  <si>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</si>
  <si>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</si>
  <si>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</si>
  <si>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</si>
  <si>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</si>
  <si>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</si>
  <si>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</si>
  <si>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</si>
  <si>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</si>
  <si>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</si>
  <si>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</si>
  <si>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</si>
  <si>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</si>
  <si>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</si>
  <si>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</si>
  <si>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</si>
  <si>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</si>
  <si>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</si>
  <si>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</si>
  <si>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</si>
  <si>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</si>
  <si>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</si>
  <si>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</si>
  <si>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</si>
  <si>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</si>
  <si>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</si>
  <si>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</si>
  <si>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</si>
  <si>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</si>
  <si>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</si>
  <si>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</si>
  <si>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</si>
  <si>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</si>
  <si>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</si>
  <si>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</si>
  <si>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</si>
  <si>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</si>
  <si>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</si>
  <si>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</si>
  <si>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</si>
  <si>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</si>
  <si>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</si>
  <si>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</si>
  <si>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</si>
  <si>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</si>
  <si>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</si>
  <si>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</si>
  <si>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</si>
  <si>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</si>
  <si>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</si>
  <si>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</si>
  <si>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</si>
  <si>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</si>
  <si>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</si>
  <si>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</si>
  <si>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</si>
  <si>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</si>
  <si>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</si>
  <si>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</si>
  <si>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</si>
  <si>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</si>
  <si>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</si>
  <si>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</si>
  <si>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</si>
  <si>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</si>
  <si>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</si>
  <si>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</si>
  <si>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</si>
  <si>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</si>
  <si>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</si>
  <si>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</si>
  <si>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</si>
  <si>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</si>
  <si>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</si>
  <si>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</si>
  <si>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</si>
  <si>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</si>
  <si>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</si>
  <si>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</si>
  <si>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</si>
  <si>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</si>
  <si>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1A</t>
  </si>
  <si>
    <t>J 29A</t>
  </si>
  <si>
    <t>J 30A</t>
  </si>
  <si>
    <t>H 1A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</si>
  <si>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</si>
  <si>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</si>
  <si>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</si>
  <si>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</si>
  <si>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</si>
  <si>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</si>
  <si>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</si>
  <si>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</si>
  <si>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</si>
  <si>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</si>
  <si>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</si>
  <si>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</si>
  <si>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</si>
  <si>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</si>
  <si>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</si>
  <si>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</si>
  <si>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</si>
  <si>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</si>
  <si>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</si>
  <si>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</si>
  <si>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</si>
  <si>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</si>
  <si>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</si>
  <si>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</si>
  <si>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</si>
  <si>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</si>
  <si>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</si>
  <si>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</si>
  <si>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</si>
  <si>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</si>
  <si>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</si>
  <si>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</si>
  <si>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</si>
  <si>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</si>
  <si>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</si>
  <si>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</si>
  <si>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</si>
  <si>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</si>
  <si>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</si>
  <si>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</si>
  <si>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</si>
  <si>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</si>
  <si>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</si>
  <si>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</si>
  <si>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</si>
  <si>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</si>
  <si>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</si>
  <si>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</si>
  <si>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</si>
  <si>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</si>
  <si>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</si>
  <si>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</si>
  <si>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</si>
  <si>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</si>
  <si>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</si>
  <si>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</si>
  <si>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</si>
  <si>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</si>
  <si>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</si>
  <si>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</si>
  <si>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</si>
  <si>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</si>
  <si>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</si>
  <si>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</si>
  <si>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</si>
  <si>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</si>
  <si>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</si>
  <si>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</si>
  <si>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</si>
  <si>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</si>
  <si>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</si>
  <si>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</si>
  <si>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</si>
  <si>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</si>
  <si>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</si>
  <si>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</si>
  <si>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</si>
  <si>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</si>
  <si>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</si>
  <si>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</si>
  <si>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</si>
  <si>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</si>
  <si>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</si>
  <si>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</si>
  <si>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</si>
  <si>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</si>
  <si>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</si>
  <si>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</si>
  <si>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</si>
  <si>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</si>
  <si>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</si>
  <si>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</si>
  <si>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</si>
  <si>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</si>
  <si>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</si>
  <si>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</si>
  <si>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</si>
  <si>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</si>
  <si>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</si>
  <si>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</si>
  <si>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</si>
  <si>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</si>
  <si>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</si>
  <si>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</si>
  <si>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</si>
  <si>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</si>
  <si>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</si>
  <si>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</si>
  <si>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</si>
  <si>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</si>
  <si>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</si>
  <si>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</si>
  <si>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age1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</si>
  <si>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</si>
  <si>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</si>
  <si>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</si>
  <si>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</si>
  <si>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</si>
  <si>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</si>
  <si>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</si>
  <si>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</si>
  <si>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</si>
  <si>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</si>
  <si>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</si>
  <si>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</si>
  <si>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</si>
  <si>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</si>
  <si>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</si>
  <si>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</si>
  <si>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</si>
  <si>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</si>
  <si>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</si>
  <si>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</si>
  <si>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</si>
  <si>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</si>
  <si>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</si>
  <si>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</si>
  <si>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</si>
  <si>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</si>
  <si>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</si>
  <si>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</si>
  <si>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</si>
  <si>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</si>
  <si>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</si>
  <si>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</si>
  <si>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</si>
  <si>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88A</t>
  </si>
  <si>
    <t>M 107A</t>
  </si>
  <si>
    <t>M 108A</t>
  </si>
  <si>
    <t>M 109A</t>
  </si>
  <si>
    <t>M 110A</t>
  </si>
  <si>
    <t>age2</t>
  </si>
  <si>
    <t>count</t>
  </si>
  <si>
    <t>silindi</t>
  </si>
  <si>
    <t>eklendi</t>
  </si>
  <si>
    <t>sample _name</t>
  </si>
  <si>
    <t>sample _name_extra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</si>
</sst>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2580-95E4-41F9-9B0C-DADB87EC220D}">
  <dimension ref="A1:F575"/>
  <sheetViews>
    <sheetView tabSelected="1" zoomScale="130" zoomScaleNormal="130" workbookViewId="0">
      <selection activeCell="C2" sqref="C2"/>
    </sheetView>
  </sheetViews>
  <sheetFormatPr defaultRowHeight="14.5" x14ac:dyDescent="0.35"/>
  <cols>
    <col min="2" max="2" width="8.7265625" style="1"/>
    <col min="4" max="4" width="8.7265625" style="4"/>
    <col min="6" max="6" width="50.1796875" bestFit="1" customWidth="1"/>
  </cols>
  <sheetData>
    <row r="1" spans="1:5" x14ac:dyDescent="0.35">
      <c r="A1" t="s">
        <v>579</v>
      </c>
      <c r="B1" s="1" t="s">
        <v>536</v>
      </c>
      <c r="C1" t="s">
        <v>580</v>
      </c>
      <c r="D1" s="4" t="s">
        <v>575</v>
      </c>
      <c r="E1" t="s">
        <v>576</v>
      </c>
    </row>
    <row r="2" spans="1:5" x14ac:dyDescent="0.35">
      <c r="A2" t="s">
        <v>252</v>
      </c>
      <c r="D2" s="4">
        <f>E11-0.95</f>
        <v>5.0000000000000044E-2</v>
      </c>
      <c r="E2">
        <f>SUM($B$2:B2)</f>
        <v>0</v>
      </c>
    </row>
    <row r="3" spans="1:5" x14ac:dyDescent="0.35">
      <c r="A3" t="s">
        <v>253</v>
      </c>
      <c r="D3" s="4" t="str">
        <f t="shared" ref="D3:D65" si="0">IF(ISNUMBER(B3),E3, "")</f>
        <v/>
      </c>
      <c r="E3">
        <f>SUM($B$2:B3)</f>
        <v>0</v>
      </c>
    </row>
    <row r="4" spans="1:5" x14ac:dyDescent="0.35">
      <c r="A4" t="s">
        <v>254</v>
      </c>
      <c r="D4" s="4" t="str">
        <f t="shared" si="0"/>
        <v/>
      </c>
      <c r="E4">
        <f>SUM($B$2:B4)</f>
        <v>0</v>
      </c>
    </row>
    <row r="5" spans="1:5" x14ac:dyDescent="0.35">
      <c r="A5" t="s">
        <v>255</v>
      </c>
      <c r="D5" s="4" t="str">
        <f t="shared" si="0"/>
        <v/>
      </c>
      <c r="E5">
        <f>SUM($B$2:B5)</f>
        <v>0</v>
      </c>
    </row>
    <row r="6" spans="1:5" x14ac:dyDescent="0.35">
      <c r="A6" t="s">
        <v>256</v>
      </c>
      <c r="D6" s="4" t="str">
        <f t="shared" si="0"/>
        <v/>
      </c>
      <c r="E6">
        <f>SUM($B$2:B6)</f>
        <v>0</v>
      </c>
    </row>
    <row r="7" spans="1:5" x14ac:dyDescent="0.35">
      <c r="A7" t="s">
        <v>257</v>
      </c>
      <c r="D7" s="4" t="str">
        <f t="shared" si="0"/>
        <v/>
      </c>
      <c r="E7">
        <f>SUM($B$2:B7)</f>
        <v>0</v>
      </c>
    </row>
    <row r="8" spans="1:5" x14ac:dyDescent="0.35">
      <c r="A8" t="s">
        <v>258</v>
      </c>
      <c r="D8" s="4" t="str">
        <f t="shared" si="0"/>
        <v/>
      </c>
      <c r="E8">
        <f>SUM($B$2:B8)</f>
        <v>0</v>
      </c>
    </row>
    <row r="9" spans="1:5" x14ac:dyDescent="0.35">
      <c r="A9" t="s">
        <v>259</v>
      </c>
      <c r="D9" s="4" t="str">
        <f t="shared" si="0"/>
        <v/>
      </c>
      <c r="E9">
        <f>SUM($B$2:B9)</f>
        <v>0</v>
      </c>
    </row>
    <row r="10" spans="1:5" x14ac:dyDescent="0.35">
      <c r="A10" t="s">
        <v>260</v>
      </c>
      <c r="D10" s="4" t="str">
        <f t="shared" si="0"/>
        <v/>
      </c>
      <c r="E10">
        <f>SUM($B$2:B10)</f>
        <v>0</v>
      </c>
    </row>
    <row r="11" spans="1:5" x14ac:dyDescent="0.35">
      <c r="A11" t="s">
        <v>261</v>
      </c>
      <c r="B11" s="1">
        <v>1</v>
      </c>
      <c r="D11" s="4">
        <f t="shared" si="0"/>
        <v>1</v>
      </c>
      <c r="E11">
        <f>SUM($B$2:B11)</f>
        <v>1</v>
      </c>
    </row>
    <row r="12" spans="1:5" x14ac:dyDescent="0.35">
      <c r="A12" t="s">
        <v>262</v>
      </c>
      <c r="D12" s="4" t="str">
        <f t="shared" si="0"/>
        <v/>
      </c>
      <c r="E12">
        <f>SUM($B$2:B12)</f>
        <v>1</v>
      </c>
    </row>
    <row r="13" spans="1:5" x14ac:dyDescent="0.35">
      <c r="A13" t="s">
        <v>263</v>
      </c>
      <c r="D13" s="4" t="str">
        <f t="shared" si="0"/>
        <v/>
      </c>
      <c r="E13">
        <f>SUM($B$2:B13)</f>
        <v>1</v>
      </c>
    </row>
    <row r="14" spans="1:5" x14ac:dyDescent="0.35">
      <c r="A14" t="s">
        <v>264</v>
      </c>
      <c r="D14" s="4" t="str">
        <f t="shared" si="0"/>
        <v/>
      </c>
      <c r="E14">
        <f>SUM($B$2:B14)</f>
        <v>1</v>
      </c>
    </row>
    <row r="15" spans="1:5" x14ac:dyDescent="0.35">
      <c r="A15" t="s">
        <v>265</v>
      </c>
      <c r="D15" s="4" t="str">
        <f t="shared" si="0"/>
        <v/>
      </c>
      <c r="E15">
        <f>SUM($B$2:B15)</f>
        <v>1</v>
      </c>
    </row>
    <row r="16" spans="1:5" x14ac:dyDescent="0.35">
      <c r="A16" t="s">
        <v>266</v>
      </c>
      <c r="D16" s="4" t="str">
        <f t="shared" si="0"/>
        <v/>
      </c>
      <c r="E16">
        <f>SUM($B$2:B16)</f>
        <v>1</v>
      </c>
    </row>
    <row r="17" spans="1:5" x14ac:dyDescent="0.35">
      <c r="A17" t="s">
        <v>267</v>
      </c>
      <c r="D17" s="4" t="str">
        <f t="shared" si="0"/>
        <v/>
      </c>
      <c r="E17">
        <f>SUM($B$2:B17)</f>
        <v>1</v>
      </c>
    </row>
    <row r="18" spans="1:5" x14ac:dyDescent="0.35">
      <c r="A18" t="s">
        <v>268</v>
      </c>
      <c r="D18" s="4" t="str">
        <f t="shared" si="0"/>
        <v/>
      </c>
      <c r="E18">
        <f>SUM($B$2:B18)</f>
        <v>1</v>
      </c>
    </row>
    <row r="19" spans="1:5" x14ac:dyDescent="0.35">
      <c r="A19" t="s">
        <v>269</v>
      </c>
      <c r="D19" s="4" t="str">
        <f t="shared" si="0"/>
        <v/>
      </c>
      <c r="E19">
        <f>SUM($B$2:B19)</f>
        <v>1</v>
      </c>
    </row>
    <row r="20" spans="1:5" x14ac:dyDescent="0.35">
      <c r="A20" t="s">
        <v>270</v>
      </c>
      <c r="D20" s="4" t="str">
        <f t="shared" si="0"/>
        <v/>
      </c>
      <c r="E20">
        <f>SUM($B$2:B20)</f>
        <v>1</v>
      </c>
    </row>
    <row r="21" spans="1:5" x14ac:dyDescent="0.35">
      <c r="A21" s="2" t="s">
        <v>271</v>
      </c>
      <c r="B21" s="3">
        <v>1</v>
      </c>
      <c r="C21" s="2"/>
      <c r="D21" s="4">
        <f t="shared" si="0"/>
        <v>2</v>
      </c>
      <c r="E21">
        <f>SUM($B$2:B21)</f>
        <v>2</v>
      </c>
    </row>
    <row r="22" spans="1:5" x14ac:dyDescent="0.35">
      <c r="A22" t="s">
        <v>191</v>
      </c>
      <c r="D22" s="4">
        <f>E21+0.05</f>
        <v>2.0499999999999998</v>
      </c>
      <c r="E22">
        <f>SUM($B$2:B22)</f>
        <v>2</v>
      </c>
    </row>
    <row r="23" spans="1:5" x14ac:dyDescent="0.35">
      <c r="A23" t="s">
        <v>192</v>
      </c>
      <c r="D23" s="4" t="str">
        <f t="shared" si="0"/>
        <v/>
      </c>
      <c r="E23">
        <f>SUM($B$2:B23)</f>
        <v>2</v>
      </c>
    </row>
    <row r="24" spans="1:5" x14ac:dyDescent="0.35">
      <c r="A24" t="s">
        <v>193</v>
      </c>
      <c r="D24" s="4" t="str">
        <f t="shared" si="0"/>
        <v/>
      </c>
      <c r="E24">
        <f>SUM($B$2:B24)</f>
        <v>2</v>
      </c>
    </row>
    <row r="25" spans="1:5" x14ac:dyDescent="0.35">
      <c r="A25" t="s">
        <v>194</v>
      </c>
      <c r="D25" s="4" t="str">
        <f t="shared" si="0"/>
        <v/>
      </c>
      <c r="E25">
        <f>SUM($B$2:B25)</f>
        <v>2</v>
      </c>
    </row>
    <row r="26" spans="1:5" x14ac:dyDescent="0.35">
      <c r="A26" t="s">
        <v>195</v>
      </c>
      <c r="D26" s="4" t="str">
        <f t="shared" si="0"/>
        <v/>
      </c>
      <c r="E26">
        <f>SUM($B$2:B26)</f>
        <v>2</v>
      </c>
    </row>
    <row r="27" spans="1:5" x14ac:dyDescent="0.35">
      <c r="A27" t="s">
        <v>196</v>
      </c>
      <c r="D27" s="4" t="str">
        <f t="shared" si="0"/>
        <v/>
      </c>
      <c r="E27">
        <f>SUM($B$2:B27)</f>
        <v>2</v>
      </c>
    </row>
    <row r="28" spans="1:5" x14ac:dyDescent="0.35">
      <c r="A28" t="s">
        <v>197</v>
      </c>
      <c r="D28" s="4" t="str">
        <f t="shared" si="0"/>
        <v/>
      </c>
      <c r="E28">
        <f>SUM($B$2:B28)</f>
        <v>2</v>
      </c>
    </row>
    <row r="29" spans="1:5" x14ac:dyDescent="0.35">
      <c r="A29" t="s">
        <v>198</v>
      </c>
      <c r="D29" s="4" t="str">
        <f t="shared" si="0"/>
        <v/>
      </c>
      <c r="E29">
        <f>SUM($B$2:B29)</f>
        <v>2</v>
      </c>
    </row>
    <row r="30" spans="1:5" x14ac:dyDescent="0.35">
      <c r="A30" t="s">
        <v>199</v>
      </c>
      <c r="D30" s="4" t="str">
        <f t="shared" si="0"/>
        <v/>
      </c>
      <c r="E30">
        <f>SUM($B$2:B30)</f>
        <v>2</v>
      </c>
    </row>
    <row r="31" spans="1:5" x14ac:dyDescent="0.35">
      <c r="A31" t="s">
        <v>200</v>
      </c>
      <c r="B31" s="1">
        <v>1</v>
      </c>
      <c r="D31" s="4">
        <f t="shared" si="0"/>
        <v>3</v>
      </c>
      <c r="E31">
        <f>SUM($B$2:B31)</f>
        <v>3</v>
      </c>
    </row>
    <row r="32" spans="1:5" x14ac:dyDescent="0.35">
      <c r="A32" t="s">
        <v>201</v>
      </c>
      <c r="D32" s="4" t="str">
        <f t="shared" si="0"/>
        <v/>
      </c>
      <c r="E32">
        <f>SUM($B$2:B32)</f>
        <v>3</v>
      </c>
    </row>
    <row r="33" spans="1:5" x14ac:dyDescent="0.35">
      <c r="A33" t="s">
        <v>202</v>
      </c>
      <c r="D33" s="4" t="str">
        <f t="shared" si="0"/>
        <v/>
      </c>
      <c r="E33">
        <f>SUM($B$2:B33)</f>
        <v>3</v>
      </c>
    </row>
    <row r="34" spans="1:5" x14ac:dyDescent="0.35">
      <c r="A34" t="s">
        <v>203</v>
      </c>
      <c r="D34" s="4" t="str">
        <f t="shared" si="0"/>
        <v/>
      </c>
      <c r="E34">
        <f>SUM($B$2:B34)</f>
        <v>3</v>
      </c>
    </row>
    <row r="35" spans="1:5" x14ac:dyDescent="0.35">
      <c r="A35" t="s">
        <v>204</v>
      </c>
      <c r="D35" s="4" t="str">
        <f t="shared" si="0"/>
        <v/>
      </c>
      <c r="E35">
        <f>SUM($B$2:B35)</f>
        <v>3</v>
      </c>
    </row>
    <row r="36" spans="1:5" x14ac:dyDescent="0.35">
      <c r="A36" t="s">
        <v>205</v>
      </c>
      <c r="D36" s="4" t="str">
        <f t="shared" si="0"/>
        <v/>
      </c>
      <c r="E36">
        <f>SUM($B$2:B36)</f>
        <v>3</v>
      </c>
    </row>
    <row r="37" spans="1:5" x14ac:dyDescent="0.35">
      <c r="A37" t="s">
        <v>206</v>
      </c>
      <c r="D37" s="4" t="str">
        <f t="shared" si="0"/>
        <v/>
      </c>
      <c r="E37">
        <f>SUM($B$2:B37)</f>
        <v>3</v>
      </c>
    </row>
    <row r="38" spans="1:5" x14ac:dyDescent="0.35">
      <c r="A38" t="s">
        <v>207</v>
      </c>
      <c r="D38" s="4" t="str">
        <f t="shared" si="0"/>
        <v/>
      </c>
      <c r="E38">
        <f>SUM($B$2:B38)</f>
        <v>3</v>
      </c>
    </row>
    <row r="39" spans="1:5" x14ac:dyDescent="0.35">
      <c r="A39" t="s">
        <v>208</v>
      </c>
      <c r="D39" s="4" t="str">
        <f t="shared" si="0"/>
        <v/>
      </c>
      <c r="E39">
        <f>SUM($B$2:B39)</f>
        <v>3</v>
      </c>
    </row>
    <row r="40" spans="1:5" x14ac:dyDescent="0.35">
      <c r="A40" t="s">
        <v>209</v>
      </c>
      <c r="B40" s="1">
        <v>1</v>
      </c>
      <c r="D40" s="4">
        <f t="shared" si="0"/>
        <v>4</v>
      </c>
      <c r="E40">
        <f>SUM($B$2:B40)</f>
        <v>4</v>
      </c>
    </row>
    <row r="41" spans="1:5" x14ac:dyDescent="0.35">
      <c r="A41" t="s">
        <v>210</v>
      </c>
      <c r="D41" s="4" t="str">
        <f t="shared" si="0"/>
        <v/>
      </c>
      <c r="E41">
        <f>SUM($B$2:B41)</f>
        <v>4</v>
      </c>
    </row>
    <row r="42" spans="1:5" x14ac:dyDescent="0.35">
      <c r="A42" t="s">
        <v>211</v>
      </c>
      <c r="D42" s="4" t="str">
        <f t="shared" si="0"/>
        <v/>
      </c>
      <c r="E42">
        <f>SUM($B$2:B42)</f>
        <v>4</v>
      </c>
    </row>
    <row r="43" spans="1:5" x14ac:dyDescent="0.35">
      <c r="A43" t="s">
        <v>212</v>
      </c>
      <c r="D43" s="4" t="str">
        <f t="shared" si="0"/>
        <v/>
      </c>
      <c r="E43">
        <f>SUM($B$2:B43)</f>
        <v>4</v>
      </c>
    </row>
    <row r="44" spans="1:5" x14ac:dyDescent="0.35">
      <c r="A44" t="s">
        <v>213</v>
      </c>
      <c r="D44" s="4" t="str">
        <f t="shared" si="0"/>
        <v/>
      </c>
      <c r="E44">
        <f>SUM($B$2:B44)</f>
        <v>4</v>
      </c>
    </row>
    <row r="45" spans="1:5" x14ac:dyDescent="0.35">
      <c r="A45" t="s">
        <v>214</v>
      </c>
      <c r="D45" s="4" t="str">
        <f t="shared" si="0"/>
        <v/>
      </c>
      <c r="E45">
        <f>SUM($B$2:B45)</f>
        <v>4</v>
      </c>
    </row>
    <row r="46" spans="1:5" x14ac:dyDescent="0.35">
      <c r="A46" t="s">
        <v>215</v>
      </c>
      <c r="B46" s="1">
        <v>1</v>
      </c>
      <c r="D46" s="4">
        <f t="shared" si="0"/>
        <v>5</v>
      </c>
      <c r="E46">
        <f>SUM($B$2:B46)</f>
        <v>5</v>
      </c>
    </row>
    <row r="47" spans="1:5" x14ac:dyDescent="0.35">
      <c r="A47" t="s">
        <v>216</v>
      </c>
      <c r="D47" s="4" t="str">
        <f t="shared" si="0"/>
        <v/>
      </c>
      <c r="E47">
        <f>SUM($B$2:B47)</f>
        <v>5</v>
      </c>
    </row>
    <row r="48" spans="1:5" x14ac:dyDescent="0.35">
      <c r="A48" t="s">
        <v>217</v>
      </c>
      <c r="D48" s="4" t="str">
        <f t="shared" si="0"/>
        <v/>
      </c>
      <c r="E48">
        <f>SUM($B$2:B48)</f>
        <v>5</v>
      </c>
    </row>
    <row r="49" spans="1:5" x14ac:dyDescent="0.35">
      <c r="A49" t="s">
        <v>218</v>
      </c>
      <c r="D49" s="4" t="str">
        <f t="shared" si="0"/>
        <v/>
      </c>
      <c r="E49">
        <f>SUM($B$2:B49)</f>
        <v>5</v>
      </c>
    </row>
    <row r="50" spans="1:5" x14ac:dyDescent="0.35">
      <c r="A50" t="s">
        <v>219</v>
      </c>
      <c r="D50" s="4" t="str">
        <f t="shared" si="0"/>
        <v/>
      </c>
      <c r="E50">
        <f>SUM($B$2:B50)</f>
        <v>5</v>
      </c>
    </row>
    <row r="51" spans="1:5" x14ac:dyDescent="0.35">
      <c r="A51" t="s">
        <v>220</v>
      </c>
      <c r="D51" s="4" t="str">
        <f t="shared" si="0"/>
        <v/>
      </c>
      <c r="E51">
        <f>SUM($B$2:B51)</f>
        <v>5</v>
      </c>
    </row>
    <row r="52" spans="1:5" x14ac:dyDescent="0.35">
      <c r="A52" t="s">
        <v>221</v>
      </c>
      <c r="D52" s="4" t="str">
        <f t="shared" si="0"/>
        <v/>
      </c>
      <c r="E52">
        <f>SUM($B$2:B52)</f>
        <v>5</v>
      </c>
    </row>
    <row r="53" spans="1:5" x14ac:dyDescent="0.35">
      <c r="A53" t="s">
        <v>222</v>
      </c>
      <c r="D53" s="4" t="str">
        <f t="shared" si="0"/>
        <v/>
      </c>
      <c r="E53">
        <f>SUM($B$2:B53)</f>
        <v>5</v>
      </c>
    </row>
    <row r="54" spans="1:5" x14ac:dyDescent="0.35">
      <c r="A54" t="s">
        <v>223</v>
      </c>
      <c r="D54" s="4" t="str">
        <f t="shared" si="0"/>
        <v/>
      </c>
      <c r="E54">
        <f>SUM($B$2:B54)</f>
        <v>5</v>
      </c>
    </row>
    <row r="55" spans="1:5" x14ac:dyDescent="0.35">
      <c r="A55" t="s">
        <v>224</v>
      </c>
      <c r="D55" s="4" t="str">
        <f t="shared" si="0"/>
        <v/>
      </c>
      <c r="E55">
        <f>SUM($B$2:B55)</f>
        <v>5</v>
      </c>
    </row>
    <row r="56" spans="1:5" x14ac:dyDescent="0.35">
      <c r="A56" t="s">
        <v>225</v>
      </c>
      <c r="D56" s="4" t="str">
        <f t="shared" si="0"/>
        <v/>
      </c>
      <c r="E56">
        <f>SUM($B$2:B56)</f>
        <v>5</v>
      </c>
    </row>
    <row r="57" spans="1:5" x14ac:dyDescent="0.35">
      <c r="A57" t="s">
        <v>226</v>
      </c>
      <c r="B57" s="1">
        <v>1</v>
      </c>
      <c r="D57" s="4">
        <f t="shared" si="0"/>
        <v>6</v>
      </c>
      <c r="E57">
        <f>SUM($B$2:B57)</f>
        <v>6</v>
      </c>
    </row>
    <row r="58" spans="1:5" x14ac:dyDescent="0.35">
      <c r="A58" t="s">
        <v>227</v>
      </c>
      <c r="D58" s="4" t="str">
        <f t="shared" si="0"/>
        <v/>
      </c>
      <c r="E58">
        <f>SUM($B$2:B58)</f>
        <v>6</v>
      </c>
    </row>
    <row r="59" spans="1:5" x14ac:dyDescent="0.35">
      <c r="A59" t="s">
        <v>228</v>
      </c>
      <c r="D59" s="4" t="str">
        <f t="shared" si="0"/>
        <v/>
      </c>
      <c r="E59">
        <f>SUM($B$2:B59)</f>
        <v>6</v>
      </c>
    </row>
    <row r="60" spans="1:5" x14ac:dyDescent="0.35">
      <c r="A60" t="s">
        <v>229</v>
      </c>
      <c r="D60" s="4" t="str">
        <f t="shared" si="0"/>
        <v/>
      </c>
      <c r="E60">
        <f>SUM($B$2:B60)</f>
        <v>6</v>
      </c>
    </row>
    <row r="61" spans="1:5" x14ac:dyDescent="0.35">
      <c r="A61" t="s">
        <v>230</v>
      </c>
      <c r="D61" s="4" t="str">
        <f t="shared" si="0"/>
        <v/>
      </c>
      <c r="E61">
        <f>SUM($B$2:B61)</f>
        <v>6</v>
      </c>
    </row>
    <row r="62" spans="1:5" x14ac:dyDescent="0.35">
      <c r="A62" t="s">
        <v>231</v>
      </c>
      <c r="D62" s="4" t="str">
        <f t="shared" si="0"/>
        <v/>
      </c>
      <c r="E62">
        <f>SUM($B$2:B62)</f>
        <v>6</v>
      </c>
    </row>
    <row r="63" spans="1:5" x14ac:dyDescent="0.35">
      <c r="A63" t="s">
        <v>232</v>
      </c>
      <c r="D63" s="4" t="str">
        <f t="shared" si="0"/>
        <v/>
      </c>
      <c r="E63">
        <f>SUM($B$2:B63)</f>
        <v>6</v>
      </c>
    </row>
    <row r="64" spans="1:5" x14ac:dyDescent="0.35">
      <c r="A64" t="s">
        <v>233</v>
      </c>
      <c r="D64" s="4" t="str">
        <f t="shared" si="0"/>
        <v/>
      </c>
      <c r="E64">
        <f>SUM($B$2:B64)</f>
        <v>6</v>
      </c>
    </row>
    <row r="65" spans="1:5" x14ac:dyDescent="0.35">
      <c r="A65" t="s">
        <v>234</v>
      </c>
      <c r="D65" s="4" t="str">
        <f t="shared" si="0"/>
        <v/>
      </c>
      <c r="E65">
        <f>SUM($B$2:B65)</f>
        <v>6</v>
      </c>
    </row>
    <row r="66" spans="1:5" x14ac:dyDescent="0.35">
      <c r="A66" t="s">
        <v>235</v>
      </c>
      <c r="D66" s="4" t="str">
        <f t="shared" ref="D66:D129" si="1">IF(ISNUMBER(B66),E66, "")</f>
        <v/>
      </c>
      <c r="E66">
        <f>SUM($B$2:B66)</f>
        <v>6</v>
      </c>
    </row>
    <row r="67" spans="1:5" x14ac:dyDescent="0.35">
      <c r="A67" t="s">
        <v>236</v>
      </c>
      <c r="B67" s="1">
        <v>1</v>
      </c>
      <c r="D67" s="4">
        <f t="shared" si="1"/>
        <v>7</v>
      </c>
      <c r="E67">
        <f>SUM($B$2:B67)</f>
        <v>7</v>
      </c>
    </row>
    <row r="68" spans="1:5" x14ac:dyDescent="0.35">
      <c r="A68" t="s">
        <v>237</v>
      </c>
      <c r="D68" s="4" t="str">
        <f t="shared" si="1"/>
        <v/>
      </c>
      <c r="E68">
        <f>SUM($B$2:B68)</f>
        <v>7</v>
      </c>
    </row>
    <row r="69" spans="1:5" x14ac:dyDescent="0.35">
      <c r="A69" t="s">
        <v>238</v>
      </c>
      <c r="D69" s="4" t="str">
        <f t="shared" si="1"/>
        <v/>
      </c>
      <c r="E69">
        <f>SUM($B$2:B69)</f>
        <v>7</v>
      </c>
    </row>
    <row r="70" spans="1:5" x14ac:dyDescent="0.35">
      <c r="A70" t="s">
        <v>239</v>
      </c>
      <c r="D70" s="4" t="str">
        <f t="shared" si="1"/>
        <v/>
      </c>
      <c r="E70">
        <f>SUM($B$2:B70)</f>
        <v>7</v>
      </c>
    </row>
    <row r="71" spans="1:5" x14ac:dyDescent="0.35">
      <c r="A71" t="s">
        <v>240</v>
      </c>
      <c r="D71" s="4" t="str">
        <f t="shared" si="1"/>
        <v/>
      </c>
      <c r="E71">
        <f>SUM($B$2:B71)</f>
        <v>7</v>
      </c>
    </row>
    <row r="72" spans="1:5" x14ac:dyDescent="0.35">
      <c r="A72" t="s">
        <v>241</v>
      </c>
      <c r="D72" s="4" t="str">
        <f t="shared" si="1"/>
        <v/>
      </c>
      <c r="E72">
        <f>SUM($B$2:B72)</f>
        <v>7</v>
      </c>
    </row>
    <row r="73" spans="1:5" x14ac:dyDescent="0.35">
      <c r="A73" t="s">
        <v>242</v>
      </c>
      <c r="D73" s="4" t="str">
        <f t="shared" si="1"/>
        <v/>
      </c>
      <c r="E73">
        <f>SUM($B$2:B73)</f>
        <v>7</v>
      </c>
    </row>
    <row r="74" spans="1:5" x14ac:dyDescent="0.35">
      <c r="A74" t="s">
        <v>243</v>
      </c>
      <c r="D74" s="4" t="str">
        <f t="shared" si="1"/>
        <v/>
      </c>
      <c r="E74">
        <f>SUM($B$2:B74)</f>
        <v>7</v>
      </c>
    </row>
    <row r="75" spans="1:5" x14ac:dyDescent="0.35">
      <c r="A75" t="s">
        <v>244</v>
      </c>
      <c r="B75" s="1">
        <v>1</v>
      </c>
      <c r="D75" s="4">
        <f t="shared" si="1"/>
        <v>8</v>
      </c>
      <c r="E75">
        <f>SUM($B$2:B75)</f>
        <v>8</v>
      </c>
    </row>
    <row r="76" spans="1:5" x14ac:dyDescent="0.35">
      <c r="A76" t="s">
        <v>245</v>
      </c>
      <c r="D76" s="4" t="str">
        <f t="shared" si="1"/>
        <v/>
      </c>
      <c r="E76">
        <f>SUM($B$2:B76)</f>
        <v>8</v>
      </c>
    </row>
    <row r="77" spans="1:5" x14ac:dyDescent="0.35">
      <c r="A77" t="s">
        <v>246</v>
      </c>
      <c r="D77" s="4" t="str">
        <f t="shared" si="1"/>
        <v/>
      </c>
      <c r="E77">
        <f>SUM($B$2:B77)</f>
        <v>8</v>
      </c>
    </row>
    <row r="78" spans="1:5" x14ac:dyDescent="0.35">
      <c r="A78" t="s">
        <v>247</v>
      </c>
      <c r="D78" s="4" t="str">
        <f t="shared" si="1"/>
        <v/>
      </c>
      <c r="E78">
        <f>SUM($B$2:B78)</f>
        <v>8</v>
      </c>
    </row>
    <row r="79" spans="1:5" x14ac:dyDescent="0.35">
      <c r="A79" t="s">
        <v>248</v>
      </c>
      <c r="D79" s="4" t="str">
        <f t="shared" si="1"/>
        <v/>
      </c>
      <c r="E79">
        <f>SUM($B$2:B79)</f>
        <v>8</v>
      </c>
    </row>
    <row r="80" spans="1:5" x14ac:dyDescent="0.35">
      <c r="A80" t="s">
        <v>249</v>
      </c>
      <c r="D80" s="4" t="str">
        <f t="shared" si="1"/>
        <v/>
      </c>
      <c r="E80">
        <f>SUM($B$2:B80)</f>
        <v>8</v>
      </c>
    </row>
    <row r="81" spans="1:5" x14ac:dyDescent="0.35">
      <c r="A81" t="s">
        <v>250</v>
      </c>
      <c r="D81" s="4" t="str">
        <f t="shared" si="1"/>
        <v/>
      </c>
      <c r="E81">
        <f>SUM($B$2:B81)</f>
        <v>8</v>
      </c>
    </row>
    <row r="82" spans="1:5" x14ac:dyDescent="0.35">
      <c r="A82" s="2" t="s">
        <v>251</v>
      </c>
      <c r="B82" s="3"/>
      <c r="C82" s="2"/>
      <c r="D82" s="4">
        <f>E82+0.95</f>
        <v>8.9499999999999993</v>
      </c>
      <c r="E82">
        <f>SUM($B$2:B82)</f>
        <v>8</v>
      </c>
    </row>
    <row r="83" spans="1:5" x14ac:dyDescent="0.35">
      <c r="A83" t="s">
        <v>131</v>
      </c>
      <c r="C83" t="s">
        <v>131</v>
      </c>
      <c r="D83" s="4">
        <f>E85-0.1</f>
        <v>7.9</v>
      </c>
      <c r="E83">
        <f>SUM($B$2:B83)</f>
        <v>8</v>
      </c>
    </row>
    <row r="84" spans="1:5" x14ac:dyDescent="0.35">
      <c r="A84" t="s">
        <v>132</v>
      </c>
      <c r="C84" t="s">
        <v>132</v>
      </c>
      <c r="D84" s="4" t="str">
        <f t="shared" si="1"/>
        <v/>
      </c>
      <c r="E84">
        <f>SUM($B$2:B84)</f>
        <v>8</v>
      </c>
    </row>
    <row r="85" spans="1:5" x14ac:dyDescent="0.35">
      <c r="A85" t="s">
        <v>133</v>
      </c>
      <c r="B85" s="1">
        <v>0</v>
      </c>
      <c r="C85" t="s">
        <v>133</v>
      </c>
      <c r="D85" s="4">
        <f t="shared" si="1"/>
        <v>8</v>
      </c>
      <c r="E85">
        <f>SUM($B$2:B85)</f>
        <v>8</v>
      </c>
    </row>
    <row r="86" spans="1:5" x14ac:dyDescent="0.35">
      <c r="A86" t="s">
        <v>134</v>
      </c>
      <c r="C86" t="s">
        <v>134</v>
      </c>
      <c r="D86" s="4" t="str">
        <f t="shared" si="1"/>
        <v/>
      </c>
      <c r="E86">
        <f>SUM($B$2:B86)</f>
        <v>8</v>
      </c>
    </row>
    <row r="87" spans="1:5" x14ac:dyDescent="0.35">
      <c r="A87" t="s">
        <v>135</v>
      </c>
      <c r="C87" t="s">
        <v>135</v>
      </c>
      <c r="D87" s="4" t="str">
        <f t="shared" si="1"/>
        <v/>
      </c>
      <c r="E87">
        <f>SUM($B$2:B87)</f>
        <v>8</v>
      </c>
    </row>
    <row r="88" spans="1:5" x14ac:dyDescent="0.35">
      <c r="A88" t="s">
        <v>136</v>
      </c>
      <c r="C88" t="s">
        <v>136</v>
      </c>
      <c r="D88" s="4" t="str">
        <f t="shared" si="1"/>
        <v/>
      </c>
      <c r="E88">
        <f>SUM($B$2:B88)</f>
        <v>8</v>
      </c>
    </row>
    <row r="89" spans="1:5" x14ac:dyDescent="0.35">
      <c r="A89" t="s">
        <v>137</v>
      </c>
      <c r="C89" t="s">
        <v>137</v>
      </c>
      <c r="D89" s="4" t="str">
        <f t="shared" si="1"/>
        <v/>
      </c>
      <c r="E89">
        <f>SUM($B$2:B89)</f>
        <v>8</v>
      </c>
    </row>
    <row r="90" spans="1:5" x14ac:dyDescent="0.35">
      <c r="A90" t="s">
        <v>138</v>
      </c>
      <c r="C90" t="s">
        <v>138</v>
      </c>
      <c r="D90" s="4" t="str">
        <f t="shared" si="1"/>
        <v/>
      </c>
      <c r="E90">
        <f>SUM($B$2:B90)</f>
        <v>8</v>
      </c>
    </row>
    <row r="91" spans="1:5" x14ac:dyDescent="0.35">
      <c r="A91" t="s">
        <v>139</v>
      </c>
      <c r="B91" s="1">
        <v>1</v>
      </c>
      <c r="C91" t="s">
        <v>139</v>
      </c>
      <c r="D91" s="4">
        <f t="shared" si="1"/>
        <v>9</v>
      </c>
      <c r="E91">
        <f>SUM($B$2:B91)</f>
        <v>9</v>
      </c>
    </row>
    <row r="92" spans="1:5" x14ac:dyDescent="0.35">
      <c r="A92" t="s">
        <v>140</v>
      </c>
      <c r="C92" t="s">
        <v>140</v>
      </c>
      <c r="D92" s="4" t="str">
        <f t="shared" si="1"/>
        <v/>
      </c>
      <c r="E92">
        <f>SUM($B$2:B92)</f>
        <v>9</v>
      </c>
    </row>
    <row r="93" spans="1:5" x14ac:dyDescent="0.35">
      <c r="A93" t="s">
        <v>141</v>
      </c>
      <c r="C93" t="s">
        <v>141</v>
      </c>
      <c r="D93" s="4" t="str">
        <f t="shared" si="1"/>
        <v/>
      </c>
      <c r="E93">
        <f>SUM($B$2:B93)</f>
        <v>9</v>
      </c>
    </row>
    <row r="94" spans="1:5" x14ac:dyDescent="0.35">
      <c r="A94" t="s">
        <v>142</v>
      </c>
      <c r="C94" t="s">
        <v>142</v>
      </c>
      <c r="D94" s="4" t="str">
        <f t="shared" si="1"/>
        <v/>
      </c>
      <c r="E94">
        <f>SUM($B$2:B94)</f>
        <v>9</v>
      </c>
    </row>
    <row r="95" spans="1:5" x14ac:dyDescent="0.35">
      <c r="A95" t="s">
        <v>143</v>
      </c>
      <c r="C95" t="s">
        <v>143</v>
      </c>
      <c r="D95" s="4" t="str">
        <f t="shared" si="1"/>
        <v/>
      </c>
      <c r="E95">
        <f>SUM($B$2:B95)</f>
        <v>9</v>
      </c>
    </row>
    <row r="96" spans="1:5" x14ac:dyDescent="0.35">
      <c r="A96" t="s">
        <v>144</v>
      </c>
      <c r="C96" t="s">
        <v>144</v>
      </c>
      <c r="D96" s="4" t="str">
        <f t="shared" si="1"/>
        <v/>
      </c>
      <c r="E96">
        <f>SUM($B$2:B96)</f>
        <v>9</v>
      </c>
    </row>
    <row r="97" spans="1:5" x14ac:dyDescent="0.35">
      <c r="A97" t="s">
        <v>145</v>
      </c>
      <c r="B97" s="1">
        <v>1</v>
      </c>
      <c r="C97" t="s">
        <v>145</v>
      </c>
      <c r="D97" s="4">
        <f t="shared" si="1"/>
        <v>10</v>
      </c>
      <c r="E97">
        <f>SUM($B$2:B97)</f>
        <v>10</v>
      </c>
    </row>
    <row r="98" spans="1:5" x14ac:dyDescent="0.35">
      <c r="A98" t="s">
        <v>146</v>
      </c>
      <c r="C98" t="s">
        <v>146</v>
      </c>
      <c r="D98" s="4" t="str">
        <f t="shared" si="1"/>
        <v/>
      </c>
      <c r="E98">
        <f>SUM($B$2:B98)</f>
        <v>10</v>
      </c>
    </row>
    <row r="99" spans="1:5" x14ac:dyDescent="0.35">
      <c r="A99" t="s">
        <v>147</v>
      </c>
      <c r="C99" t="s">
        <v>147</v>
      </c>
      <c r="D99" s="4" t="str">
        <f t="shared" si="1"/>
        <v/>
      </c>
      <c r="E99">
        <f>SUM($B$2:B99)</f>
        <v>10</v>
      </c>
    </row>
    <row r="100" spans="1:5" x14ac:dyDescent="0.35">
      <c r="A100" t="s">
        <v>148</v>
      </c>
      <c r="C100" t="s">
        <v>148</v>
      </c>
      <c r="D100" s="4" t="str">
        <f t="shared" si="1"/>
        <v/>
      </c>
      <c r="E100">
        <f>SUM($B$2:B100)</f>
        <v>10</v>
      </c>
    </row>
    <row r="101" spans="1:5" x14ac:dyDescent="0.35">
      <c r="A101" t="s">
        <v>149</v>
      </c>
      <c r="B101" s="1">
        <v>1</v>
      </c>
      <c r="C101" t="s">
        <v>149</v>
      </c>
      <c r="D101" s="4">
        <f t="shared" si="1"/>
        <v>11</v>
      </c>
      <c r="E101">
        <f>SUM($B$2:B101)</f>
        <v>11</v>
      </c>
    </row>
    <row r="102" spans="1:5" x14ac:dyDescent="0.35">
      <c r="A102" t="s">
        <v>150</v>
      </c>
      <c r="C102" t="s">
        <v>150</v>
      </c>
      <c r="D102" s="4" t="str">
        <f t="shared" si="1"/>
        <v/>
      </c>
      <c r="E102">
        <f>SUM($B$2:B102)</f>
        <v>11</v>
      </c>
    </row>
    <row r="103" spans="1:5" x14ac:dyDescent="0.35">
      <c r="A103" t="s">
        <v>151</v>
      </c>
      <c r="C103" t="s">
        <v>151</v>
      </c>
      <c r="D103" s="4" t="str">
        <f t="shared" si="1"/>
        <v/>
      </c>
      <c r="E103">
        <f>SUM($B$2:B103)</f>
        <v>11</v>
      </c>
    </row>
    <row r="104" spans="1:5" x14ac:dyDescent="0.35">
      <c r="A104" t="s">
        <v>152</v>
      </c>
      <c r="C104" t="s">
        <v>152</v>
      </c>
      <c r="D104" s="4" t="str">
        <f t="shared" si="1"/>
        <v/>
      </c>
      <c r="E104">
        <f>SUM($B$2:B104)</f>
        <v>11</v>
      </c>
    </row>
    <row r="105" spans="1:5" x14ac:dyDescent="0.35">
      <c r="A105" t="s">
        <v>153</v>
      </c>
      <c r="C105" t="s">
        <v>153</v>
      </c>
      <c r="D105" s="4" t="str">
        <f t="shared" si="1"/>
        <v/>
      </c>
      <c r="E105">
        <f>SUM($B$2:B105)</f>
        <v>11</v>
      </c>
    </row>
    <row r="106" spans="1:5" x14ac:dyDescent="0.35">
      <c r="A106" t="s">
        <v>154</v>
      </c>
      <c r="C106" t="s">
        <v>154</v>
      </c>
      <c r="D106" s="4" t="str">
        <f t="shared" si="1"/>
        <v/>
      </c>
      <c r="E106">
        <f>SUM($B$2:B106)</f>
        <v>11</v>
      </c>
    </row>
    <row r="107" spans="1:5" x14ac:dyDescent="0.35">
      <c r="A107" t="s">
        <v>155</v>
      </c>
      <c r="C107" t="s">
        <v>155</v>
      </c>
      <c r="D107" s="4" t="str">
        <f t="shared" si="1"/>
        <v/>
      </c>
      <c r="E107">
        <f>SUM($B$2:B107)</f>
        <v>11</v>
      </c>
    </row>
    <row r="108" spans="1:5" x14ac:dyDescent="0.35">
      <c r="A108" t="s">
        <v>156</v>
      </c>
      <c r="B108" s="1">
        <v>1</v>
      </c>
      <c r="C108" t="s">
        <v>156</v>
      </c>
      <c r="D108" s="4">
        <f t="shared" si="1"/>
        <v>12</v>
      </c>
      <c r="E108">
        <f>SUM($B$2:B108)</f>
        <v>12</v>
      </c>
    </row>
    <row r="109" spans="1:5" x14ac:dyDescent="0.35">
      <c r="A109" t="s">
        <v>119</v>
      </c>
      <c r="C109" t="s">
        <v>119</v>
      </c>
      <c r="D109" s="4" t="str">
        <f t="shared" si="1"/>
        <v/>
      </c>
      <c r="E109">
        <f>SUM($B$2:B109)</f>
        <v>12</v>
      </c>
    </row>
    <row r="110" spans="1:5" x14ac:dyDescent="0.35">
      <c r="A110" t="s">
        <v>120</v>
      </c>
      <c r="C110" t="s">
        <v>120</v>
      </c>
      <c r="D110" s="4" t="str">
        <f t="shared" si="1"/>
        <v/>
      </c>
      <c r="E110">
        <f>SUM($B$2:B110)</f>
        <v>12</v>
      </c>
    </row>
    <row r="111" spans="1:5" x14ac:dyDescent="0.35">
      <c r="A111" t="s">
        <v>121</v>
      </c>
      <c r="C111" t="s">
        <v>121</v>
      </c>
      <c r="D111" s="4" t="str">
        <f t="shared" si="1"/>
        <v/>
      </c>
      <c r="E111">
        <f>SUM($B$2:B111)</f>
        <v>12</v>
      </c>
    </row>
    <row r="112" spans="1:5" x14ac:dyDescent="0.35">
      <c r="A112" t="s">
        <v>122</v>
      </c>
      <c r="C112" t="s">
        <v>122</v>
      </c>
      <c r="D112" s="4" t="str">
        <f t="shared" si="1"/>
        <v/>
      </c>
      <c r="E112">
        <f>SUM($B$2:B112)</f>
        <v>12</v>
      </c>
    </row>
    <row r="113" spans="1:5" x14ac:dyDescent="0.35">
      <c r="A113" t="s">
        <v>123</v>
      </c>
      <c r="C113" t="s">
        <v>123</v>
      </c>
      <c r="D113" s="4" t="str">
        <f t="shared" si="1"/>
        <v/>
      </c>
      <c r="E113">
        <f>SUM($B$2:B113)</f>
        <v>12</v>
      </c>
    </row>
    <row r="114" spans="1:5" x14ac:dyDescent="0.35">
      <c r="A114" t="s">
        <v>124</v>
      </c>
      <c r="B114" s="1">
        <v>1</v>
      </c>
      <c r="C114" t="s">
        <v>124</v>
      </c>
      <c r="D114" s="4">
        <f t="shared" si="1"/>
        <v>13</v>
      </c>
      <c r="E114">
        <f>SUM($B$2:B114)</f>
        <v>13</v>
      </c>
    </row>
    <row r="115" spans="1:5" x14ac:dyDescent="0.35">
      <c r="A115" t="s">
        <v>125</v>
      </c>
      <c r="C115" t="s">
        <v>125</v>
      </c>
      <c r="D115" s="4" t="str">
        <f t="shared" si="1"/>
        <v/>
      </c>
      <c r="E115">
        <f>SUM($B$2:B115)</f>
        <v>13</v>
      </c>
    </row>
    <row r="116" spans="1:5" x14ac:dyDescent="0.35">
      <c r="A116" t="s">
        <v>126</v>
      </c>
      <c r="C116" t="s">
        <v>126</v>
      </c>
      <c r="D116" s="4" t="str">
        <f t="shared" si="1"/>
        <v/>
      </c>
      <c r="E116">
        <f>SUM($B$2:B116)</f>
        <v>13</v>
      </c>
    </row>
    <row r="117" spans="1:5" x14ac:dyDescent="0.35">
      <c r="A117" t="s">
        <v>127</v>
      </c>
      <c r="C117" t="s">
        <v>127</v>
      </c>
      <c r="D117" s="4" t="str">
        <f t="shared" si="1"/>
        <v/>
      </c>
      <c r="E117">
        <f>SUM($B$2:B117)</f>
        <v>13</v>
      </c>
    </row>
    <row r="118" spans="1:5" x14ac:dyDescent="0.35">
      <c r="A118" t="s">
        <v>128</v>
      </c>
      <c r="C118" t="s">
        <v>128</v>
      </c>
      <c r="D118" s="4">
        <f>E119-0.1</f>
        <v>13.9</v>
      </c>
      <c r="E118">
        <f>SUM($B$2:B118)</f>
        <v>13</v>
      </c>
    </row>
    <row r="119" spans="1:5" x14ac:dyDescent="0.35">
      <c r="A119" t="s">
        <v>129</v>
      </c>
      <c r="B119" s="1">
        <v>1</v>
      </c>
      <c r="C119" t="s">
        <v>129</v>
      </c>
      <c r="D119" s="4">
        <f>E119+0.2</f>
        <v>14.2</v>
      </c>
      <c r="E119">
        <f>SUM($B$2:B119)</f>
        <v>14</v>
      </c>
    </row>
    <row r="120" spans="1:5" x14ac:dyDescent="0.35">
      <c r="A120" s="2" t="s">
        <v>130</v>
      </c>
      <c r="B120" s="3"/>
      <c r="C120" s="2" t="s">
        <v>130</v>
      </c>
      <c r="D120" s="4" t="str">
        <f t="shared" si="1"/>
        <v/>
      </c>
      <c r="E120">
        <f>SUM($B$2:B120)</f>
        <v>14</v>
      </c>
    </row>
    <row r="121" spans="1:5" x14ac:dyDescent="0.35">
      <c r="A121" t="s">
        <v>131</v>
      </c>
      <c r="C121" t="s">
        <v>157</v>
      </c>
      <c r="D121" s="4" t="str">
        <f t="shared" si="1"/>
        <v/>
      </c>
      <c r="E121">
        <f>SUM($B$2:B121)</f>
        <v>14</v>
      </c>
    </row>
    <row r="122" spans="1:5" x14ac:dyDescent="0.35">
      <c r="A122" t="s">
        <v>132</v>
      </c>
      <c r="C122" t="s">
        <v>158</v>
      </c>
      <c r="D122" s="4" t="str">
        <f t="shared" si="1"/>
        <v/>
      </c>
      <c r="E122">
        <f>SUM($B$2:B122)</f>
        <v>14</v>
      </c>
    </row>
    <row r="123" spans="1:5" x14ac:dyDescent="0.35">
      <c r="A123" t="s">
        <v>133</v>
      </c>
      <c r="B123" s="1">
        <v>1</v>
      </c>
      <c r="C123" t="s">
        <v>159</v>
      </c>
      <c r="D123" s="4">
        <f t="shared" si="1"/>
        <v>15</v>
      </c>
      <c r="E123">
        <f>SUM($B$2:B123)</f>
        <v>15</v>
      </c>
    </row>
    <row r="124" spans="1:5" x14ac:dyDescent="0.35">
      <c r="A124" t="s">
        <v>134</v>
      </c>
      <c r="C124" t="s">
        <v>160</v>
      </c>
      <c r="D124" s="4" t="str">
        <f t="shared" si="1"/>
        <v/>
      </c>
      <c r="E124">
        <f>SUM($B$2:B124)</f>
        <v>15</v>
      </c>
    </row>
    <row r="125" spans="1:5" x14ac:dyDescent="0.35">
      <c r="A125" t="s">
        <v>135</v>
      </c>
      <c r="C125" t="s">
        <v>161</v>
      </c>
      <c r="D125" s="4" t="str">
        <f t="shared" si="1"/>
        <v/>
      </c>
      <c r="E125">
        <f>SUM($B$2:B125)</f>
        <v>15</v>
      </c>
    </row>
    <row r="126" spans="1:5" x14ac:dyDescent="0.35">
      <c r="A126" t="s">
        <v>136</v>
      </c>
      <c r="C126" t="s">
        <v>162</v>
      </c>
      <c r="D126" s="4" t="str">
        <f t="shared" si="1"/>
        <v/>
      </c>
      <c r="E126">
        <f>SUM($B$2:B126)</f>
        <v>15</v>
      </c>
    </row>
    <row r="127" spans="1:5" x14ac:dyDescent="0.35">
      <c r="A127" t="s">
        <v>137</v>
      </c>
      <c r="C127" t="s">
        <v>163</v>
      </c>
      <c r="D127" s="4" t="str">
        <f t="shared" si="1"/>
        <v/>
      </c>
      <c r="E127">
        <f>SUM($B$2:B127)</f>
        <v>15</v>
      </c>
    </row>
    <row r="128" spans="1:5" x14ac:dyDescent="0.35">
      <c r="A128" t="s">
        <v>138</v>
      </c>
      <c r="B128" s="1">
        <v>1</v>
      </c>
      <c r="C128" t="s">
        <v>164</v>
      </c>
      <c r="D128" s="4">
        <f t="shared" si="1"/>
        <v>16</v>
      </c>
      <c r="E128">
        <f>SUM($B$2:B128)</f>
        <v>16</v>
      </c>
    </row>
    <row r="129" spans="1:5" x14ac:dyDescent="0.35">
      <c r="A129" t="s">
        <v>139</v>
      </c>
      <c r="C129" t="s">
        <v>165</v>
      </c>
      <c r="D129" s="4" t="str">
        <f t="shared" si="1"/>
        <v/>
      </c>
      <c r="E129">
        <f>SUM($B$2:B129)</f>
        <v>16</v>
      </c>
    </row>
    <row r="130" spans="1:5" x14ac:dyDescent="0.35">
      <c r="A130" t="s">
        <v>140</v>
      </c>
      <c r="C130" t="s">
        <v>166</v>
      </c>
      <c r="D130" s="4" t="str">
        <f t="shared" ref="D130:D191" si="2">IF(ISNUMBER(B130),E130, "")</f>
        <v/>
      </c>
      <c r="E130">
        <f>SUM($B$2:B130)</f>
        <v>16</v>
      </c>
    </row>
    <row r="131" spans="1:5" x14ac:dyDescent="0.35">
      <c r="A131" t="s">
        <v>141</v>
      </c>
      <c r="C131" t="s">
        <v>167</v>
      </c>
      <c r="D131" s="4" t="str">
        <f t="shared" si="2"/>
        <v/>
      </c>
      <c r="E131">
        <f>SUM($B$2:B131)</f>
        <v>16</v>
      </c>
    </row>
    <row r="132" spans="1:5" x14ac:dyDescent="0.35">
      <c r="A132" t="s">
        <v>142</v>
      </c>
      <c r="C132" t="s">
        <v>168</v>
      </c>
      <c r="D132" s="4" t="str">
        <f t="shared" si="2"/>
        <v/>
      </c>
      <c r="E132">
        <f>SUM($B$2:B132)</f>
        <v>16</v>
      </c>
    </row>
    <row r="133" spans="1:5" x14ac:dyDescent="0.35">
      <c r="A133" t="s">
        <v>143</v>
      </c>
      <c r="B133" s="1">
        <v>1</v>
      </c>
      <c r="C133" t="s">
        <v>169</v>
      </c>
      <c r="D133" s="4">
        <f t="shared" si="2"/>
        <v>17</v>
      </c>
      <c r="E133">
        <f>SUM($B$2:B133)</f>
        <v>17</v>
      </c>
    </row>
    <row r="134" spans="1:5" x14ac:dyDescent="0.35">
      <c r="A134" t="s">
        <v>144</v>
      </c>
      <c r="C134" t="s">
        <v>170</v>
      </c>
      <c r="D134" s="4" t="str">
        <f t="shared" si="2"/>
        <v/>
      </c>
      <c r="E134">
        <f>SUM($B$2:B134)</f>
        <v>17</v>
      </c>
    </row>
    <row r="135" spans="1:5" x14ac:dyDescent="0.35">
      <c r="A135" t="s">
        <v>145</v>
      </c>
      <c r="C135" t="s">
        <v>171</v>
      </c>
      <c r="D135" s="4" t="str">
        <f t="shared" si="2"/>
        <v/>
      </c>
      <c r="E135">
        <f>SUM($B$2:B135)</f>
        <v>17</v>
      </c>
    </row>
    <row r="136" spans="1:5" x14ac:dyDescent="0.35">
      <c r="A136" t="s">
        <v>146</v>
      </c>
      <c r="C136" t="s">
        <v>172</v>
      </c>
      <c r="D136" s="4" t="str">
        <f t="shared" si="2"/>
        <v/>
      </c>
      <c r="E136">
        <f>SUM($B$2:B136)</f>
        <v>17</v>
      </c>
    </row>
    <row r="137" spans="1:5" x14ac:dyDescent="0.35">
      <c r="A137" t="s">
        <v>147</v>
      </c>
      <c r="C137" t="s">
        <v>173</v>
      </c>
      <c r="D137" s="4" t="str">
        <f t="shared" si="2"/>
        <v/>
      </c>
      <c r="E137">
        <f>SUM($B$2:B137)</f>
        <v>17</v>
      </c>
    </row>
    <row r="138" spans="1:5" x14ac:dyDescent="0.35">
      <c r="A138" t="s">
        <v>148</v>
      </c>
      <c r="C138" t="s">
        <v>174</v>
      </c>
      <c r="D138" s="4" t="str">
        <f t="shared" si="2"/>
        <v/>
      </c>
      <c r="E138">
        <f>SUM($B$2:B138)</f>
        <v>17</v>
      </c>
    </row>
    <row r="139" spans="1:5" x14ac:dyDescent="0.35">
      <c r="A139" t="s">
        <v>149</v>
      </c>
      <c r="C139" t="s">
        <v>175</v>
      </c>
      <c r="D139" s="4" t="str">
        <f t="shared" si="2"/>
        <v/>
      </c>
      <c r="E139">
        <f>SUM($B$2:B139)</f>
        <v>17</v>
      </c>
    </row>
    <row r="140" spans="1:5" x14ac:dyDescent="0.35">
      <c r="A140" t="s">
        <v>150</v>
      </c>
      <c r="C140" t="s">
        <v>176</v>
      </c>
      <c r="D140" s="4" t="str">
        <f t="shared" si="2"/>
        <v/>
      </c>
      <c r="E140">
        <f>SUM($B$2:B140)</f>
        <v>17</v>
      </c>
    </row>
    <row r="141" spans="1:5" x14ac:dyDescent="0.35">
      <c r="A141" t="s">
        <v>151</v>
      </c>
      <c r="B141" s="1">
        <v>1</v>
      </c>
      <c r="C141" t="s">
        <v>177</v>
      </c>
      <c r="D141" s="4">
        <f t="shared" si="2"/>
        <v>18</v>
      </c>
      <c r="E141">
        <f>SUM($B$2:B141)</f>
        <v>18</v>
      </c>
    </row>
    <row r="142" spans="1:5" x14ac:dyDescent="0.35">
      <c r="A142" t="s">
        <v>152</v>
      </c>
      <c r="C142" t="s">
        <v>178</v>
      </c>
      <c r="D142" s="4" t="str">
        <f t="shared" si="2"/>
        <v/>
      </c>
      <c r="E142">
        <f>SUM($B$2:B142)</f>
        <v>18</v>
      </c>
    </row>
    <row r="143" spans="1:5" x14ac:dyDescent="0.35">
      <c r="A143" t="s">
        <v>153</v>
      </c>
      <c r="C143" t="s">
        <v>179</v>
      </c>
      <c r="D143" s="4" t="str">
        <f t="shared" si="2"/>
        <v/>
      </c>
      <c r="E143">
        <f>SUM($B$2:B143)</f>
        <v>18</v>
      </c>
    </row>
    <row r="144" spans="1:5" x14ac:dyDescent="0.35">
      <c r="A144" t="s">
        <v>154</v>
      </c>
      <c r="C144" t="s">
        <v>180</v>
      </c>
      <c r="D144" s="4" t="str">
        <f t="shared" si="2"/>
        <v/>
      </c>
      <c r="E144">
        <f>SUM($B$2:B144)</f>
        <v>18</v>
      </c>
    </row>
    <row r="145" spans="1:5" x14ac:dyDescent="0.35">
      <c r="A145" t="s">
        <v>155</v>
      </c>
      <c r="B145" s="1">
        <v>1</v>
      </c>
      <c r="C145" t="s">
        <v>181</v>
      </c>
      <c r="D145" s="4">
        <f t="shared" si="2"/>
        <v>19</v>
      </c>
      <c r="E145">
        <f>SUM($B$2:B145)</f>
        <v>19</v>
      </c>
    </row>
    <row r="146" spans="1:5" x14ac:dyDescent="0.35">
      <c r="A146" t="s">
        <v>156</v>
      </c>
      <c r="C146" t="s">
        <v>182</v>
      </c>
      <c r="D146" s="4" t="str">
        <f t="shared" si="2"/>
        <v/>
      </c>
      <c r="E146">
        <f>SUM($B$2:B146)</f>
        <v>19</v>
      </c>
    </row>
    <row r="147" spans="1:5" x14ac:dyDescent="0.35">
      <c r="A147" t="s">
        <v>119</v>
      </c>
      <c r="C147" t="s">
        <v>183</v>
      </c>
      <c r="D147" s="4" t="str">
        <f t="shared" si="2"/>
        <v/>
      </c>
      <c r="E147">
        <f>SUM($B$2:B147)</f>
        <v>19</v>
      </c>
    </row>
    <row r="148" spans="1:5" x14ac:dyDescent="0.35">
      <c r="A148" t="s">
        <v>120</v>
      </c>
      <c r="C148" t="s">
        <v>184</v>
      </c>
      <c r="D148" s="4" t="str">
        <f t="shared" si="2"/>
        <v/>
      </c>
      <c r="E148">
        <f>SUM($B$2:B148)</f>
        <v>19</v>
      </c>
    </row>
    <row r="149" spans="1:5" x14ac:dyDescent="0.35">
      <c r="A149" t="s">
        <v>121</v>
      </c>
      <c r="C149" t="s">
        <v>185</v>
      </c>
      <c r="D149" s="4" t="str">
        <f t="shared" si="2"/>
        <v/>
      </c>
      <c r="E149">
        <f>SUM($B$2:B149)</f>
        <v>19</v>
      </c>
    </row>
    <row r="150" spans="1:5" x14ac:dyDescent="0.35">
      <c r="A150" t="s">
        <v>122</v>
      </c>
      <c r="C150" t="s">
        <v>186</v>
      </c>
      <c r="D150" s="4" t="str">
        <f t="shared" si="2"/>
        <v/>
      </c>
      <c r="E150">
        <f>SUM($B$2:B150)</f>
        <v>19</v>
      </c>
    </row>
    <row r="151" spans="1:5" x14ac:dyDescent="0.35">
      <c r="A151" t="s">
        <v>123</v>
      </c>
      <c r="B151" s="1">
        <v>1</v>
      </c>
      <c r="C151" t="s">
        <v>187</v>
      </c>
      <c r="D151" s="4">
        <f t="shared" si="2"/>
        <v>20</v>
      </c>
      <c r="E151">
        <f>SUM($B$2:B151)</f>
        <v>20</v>
      </c>
    </row>
    <row r="152" spans="1:5" x14ac:dyDescent="0.35">
      <c r="A152" t="s">
        <v>124</v>
      </c>
      <c r="C152" t="s">
        <v>188</v>
      </c>
      <c r="D152" s="4" t="str">
        <f t="shared" si="2"/>
        <v/>
      </c>
      <c r="E152">
        <f>SUM($B$2:B152)</f>
        <v>20</v>
      </c>
    </row>
    <row r="153" spans="1:5" x14ac:dyDescent="0.35">
      <c r="A153" t="s">
        <v>125</v>
      </c>
      <c r="C153" t="s">
        <v>189</v>
      </c>
      <c r="D153" s="4" t="str">
        <f t="shared" si="2"/>
        <v/>
      </c>
      <c r="E153">
        <f>SUM($B$2:B153)</f>
        <v>20</v>
      </c>
    </row>
    <row r="154" spans="1:5" x14ac:dyDescent="0.35">
      <c r="A154" t="s">
        <v>126</v>
      </c>
      <c r="C154" t="s">
        <v>190</v>
      </c>
      <c r="D154" s="4" t="str">
        <f t="shared" si="2"/>
        <v/>
      </c>
      <c r="E154">
        <f>SUM($B$2:B154)</f>
        <v>20</v>
      </c>
    </row>
    <row r="155" spans="1:5" x14ac:dyDescent="0.35">
      <c r="A155" t="s">
        <v>127</v>
      </c>
      <c r="C155" t="s">
        <v>537</v>
      </c>
      <c r="D155" s="4" t="str">
        <f t="shared" si="2"/>
        <v/>
      </c>
      <c r="E155">
        <f>SUM($B$2:B155)</f>
        <v>20</v>
      </c>
    </row>
    <row r="156" spans="1:5" x14ac:dyDescent="0.35">
      <c r="A156" t="s">
        <v>128</v>
      </c>
      <c r="C156" t="s">
        <v>538</v>
      </c>
      <c r="D156" s="4" t="str">
        <f t="shared" si="2"/>
        <v/>
      </c>
      <c r="E156">
        <f>SUM($B$2:B156)</f>
        <v>20</v>
      </c>
    </row>
    <row r="157" spans="1:5" x14ac:dyDescent="0.35">
      <c r="A157" t="s">
        <v>129</v>
      </c>
      <c r="C157" t="s">
        <v>539</v>
      </c>
      <c r="D157" s="4" t="str">
        <f t="shared" si="2"/>
        <v/>
      </c>
      <c r="E157">
        <f>SUM($B$2:B157)</f>
        <v>20</v>
      </c>
    </row>
    <row r="158" spans="1:5" x14ac:dyDescent="0.35">
      <c r="A158" t="s">
        <v>130</v>
      </c>
      <c r="C158" t="s">
        <v>540</v>
      </c>
      <c r="D158" s="4" t="str">
        <f t="shared" si="2"/>
        <v/>
      </c>
      <c r="E158">
        <f>SUM($B$2:B158)</f>
        <v>20</v>
      </c>
    </row>
    <row r="159" spans="1:5" x14ac:dyDescent="0.35">
      <c r="A159" t="s">
        <v>157</v>
      </c>
      <c r="B159" s="1">
        <v>1</v>
      </c>
      <c r="C159" t="s">
        <v>541</v>
      </c>
      <c r="D159" s="4">
        <f t="shared" si="2"/>
        <v>21</v>
      </c>
      <c r="E159">
        <f>SUM($B$2:B159)</f>
        <v>21</v>
      </c>
    </row>
    <row r="160" spans="1:5" x14ac:dyDescent="0.35">
      <c r="A160" t="s">
        <v>158</v>
      </c>
      <c r="C160" t="s">
        <v>542</v>
      </c>
      <c r="D160" s="4" t="str">
        <f t="shared" si="2"/>
        <v/>
      </c>
      <c r="E160">
        <f>SUM($B$2:B160)</f>
        <v>21</v>
      </c>
    </row>
    <row r="161" spans="1:5" x14ac:dyDescent="0.35">
      <c r="A161" t="s">
        <v>159</v>
      </c>
      <c r="C161" t="s">
        <v>543</v>
      </c>
      <c r="D161" s="4" t="str">
        <f t="shared" si="2"/>
        <v/>
      </c>
      <c r="E161">
        <f>SUM($B$2:B161)</f>
        <v>21</v>
      </c>
    </row>
    <row r="162" spans="1:5" x14ac:dyDescent="0.35">
      <c r="A162" t="s">
        <v>160</v>
      </c>
      <c r="C162" t="s">
        <v>544</v>
      </c>
      <c r="D162" s="4" t="str">
        <f t="shared" si="2"/>
        <v/>
      </c>
      <c r="E162">
        <f>SUM($B$2:B162)</f>
        <v>21</v>
      </c>
    </row>
    <row r="163" spans="1:5" x14ac:dyDescent="0.35">
      <c r="A163" t="s">
        <v>161</v>
      </c>
      <c r="C163" t="s">
        <v>545</v>
      </c>
      <c r="D163" s="4" t="str">
        <f t="shared" si="2"/>
        <v/>
      </c>
      <c r="E163">
        <f>SUM($B$2:B163)</f>
        <v>21</v>
      </c>
    </row>
    <row r="164" spans="1:5" x14ac:dyDescent="0.35">
      <c r="A164" t="s">
        <v>162</v>
      </c>
      <c r="C164" t="s">
        <v>546</v>
      </c>
      <c r="D164" s="4" t="str">
        <f t="shared" si="2"/>
        <v/>
      </c>
      <c r="E164">
        <f>SUM($B$2:B164)</f>
        <v>21</v>
      </c>
    </row>
    <row r="165" spans="1:5" x14ac:dyDescent="0.35">
      <c r="A165" t="s">
        <v>163</v>
      </c>
      <c r="C165" t="s">
        <v>547</v>
      </c>
      <c r="D165" s="4" t="str">
        <f t="shared" si="2"/>
        <v/>
      </c>
      <c r="E165">
        <f>SUM($B$2:B165)</f>
        <v>21</v>
      </c>
    </row>
    <row r="166" spans="1:5" x14ac:dyDescent="0.35">
      <c r="A166" t="s">
        <v>164</v>
      </c>
      <c r="C166" t="s">
        <v>548</v>
      </c>
      <c r="D166" s="4" t="str">
        <f t="shared" si="2"/>
        <v/>
      </c>
      <c r="E166">
        <f>SUM($B$2:B166)</f>
        <v>21</v>
      </c>
    </row>
    <row r="167" spans="1:5" x14ac:dyDescent="0.35">
      <c r="A167" t="s">
        <v>165</v>
      </c>
      <c r="C167" t="s">
        <v>549</v>
      </c>
      <c r="D167" s="4" t="str">
        <f t="shared" si="2"/>
        <v/>
      </c>
      <c r="E167">
        <f>SUM($B$2:B167)</f>
        <v>21</v>
      </c>
    </row>
    <row r="168" spans="1:5" x14ac:dyDescent="0.35">
      <c r="A168" t="s">
        <v>166</v>
      </c>
      <c r="B168" s="1">
        <v>1</v>
      </c>
      <c r="C168" t="s">
        <v>550</v>
      </c>
      <c r="D168" s="4">
        <f t="shared" si="2"/>
        <v>22</v>
      </c>
      <c r="E168">
        <f>SUM($B$2:B168)</f>
        <v>22</v>
      </c>
    </row>
    <row r="169" spans="1:5" x14ac:dyDescent="0.35">
      <c r="A169" t="s">
        <v>167</v>
      </c>
      <c r="C169" t="s">
        <v>551</v>
      </c>
      <c r="D169" s="4" t="str">
        <f t="shared" si="2"/>
        <v/>
      </c>
      <c r="E169">
        <f>SUM($B$2:B169)</f>
        <v>22</v>
      </c>
    </row>
    <row r="170" spans="1:5" x14ac:dyDescent="0.35">
      <c r="A170" t="s">
        <v>168</v>
      </c>
      <c r="C170" t="s">
        <v>570</v>
      </c>
      <c r="D170" s="4" t="str">
        <f t="shared" si="2"/>
        <v/>
      </c>
      <c r="E170">
        <f>SUM($B$2:B170)</f>
        <v>22</v>
      </c>
    </row>
    <row r="171" spans="1:5" x14ac:dyDescent="0.35">
      <c r="A171" t="s">
        <v>169</v>
      </c>
      <c r="C171" t="s">
        <v>552</v>
      </c>
      <c r="D171" s="4" t="str">
        <f t="shared" si="2"/>
        <v/>
      </c>
      <c r="E171">
        <f>SUM($B$2:B171)</f>
        <v>22</v>
      </c>
    </row>
    <row r="172" spans="1:5" x14ac:dyDescent="0.35">
      <c r="A172" t="s">
        <v>170</v>
      </c>
      <c r="C172" t="s">
        <v>553</v>
      </c>
      <c r="D172" s="4" t="str">
        <f t="shared" si="2"/>
        <v/>
      </c>
      <c r="E172">
        <f>SUM($B$2:B172)</f>
        <v>22</v>
      </c>
    </row>
    <row r="173" spans="1:5" x14ac:dyDescent="0.35">
      <c r="A173" t="s">
        <v>171</v>
      </c>
      <c r="C173" t="s">
        <v>554</v>
      </c>
      <c r="D173" s="4" t="str">
        <f t="shared" si="2"/>
        <v/>
      </c>
      <c r="E173">
        <f>SUM($B$2:B173)</f>
        <v>22</v>
      </c>
    </row>
    <row r="174" spans="1:5" x14ac:dyDescent="0.35">
      <c r="A174" t="s">
        <v>172</v>
      </c>
      <c r="B174" s="1">
        <v>1</v>
      </c>
      <c r="C174" t="s">
        <v>555</v>
      </c>
      <c r="D174" s="4">
        <f t="shared" si="2"/>
        <v>23</v>
      </c>
      <c r="E174">
        <f>SUM($B$2:B174)</f>
        <v>23</v>
      </c>
    </row>
    <row r="175" spans="1:5" x14ac:dyDescent="0.35">
      <c r="A175" t="s">
        <v>173</v>
      </c>
      <c r="C175" t="s">
        <v>556</v>
      </c>
      <c r="D175" s="4" t="str">
        <f t="shared" si="2"/>
        <v/>
      </c>
      <c r="E175">
        <f>SUM($B$2:B175)</f>
        <v>23</v>
      </c>
    </row>
    <row r="176" spans="1:5" x14ac:dyDescent="0.35">
      <c r="A176" t="s">
        <v>174</v>
      </c>
      <c r="C176" t="s">
        <v>557</v>
      </c>
      <c r="D176" s="4" t="str">
        <f t="shared" si="2"/>
        <v/>
      </c>
      <c r="E176">
        <f>SUM($B$2:B176)</f>
        <v>23</v>
      </c>
    </row>
    <row r="177" spans="1:5" x14ac:dyDescent="0.35">
      <c r="A177" t="s">
        <v>175</v>
      </c>
      <c r="C177" t="s">
        <v>558</v>
      </c>
      <c r="D177" s="4" t="str">
        <f t="shared" si="2"/>
        <v/>
      </c>
      <c r="E177">
        <f>SUM($B$2:B177)</f>
        <v>23</v>
      </c>
    </row>
    <row r="178" spans="1:5" x14ac:dyDescent="0.35">
      <c r="A178" t="s">
        <v>176</v>
      </c>
      <c r="C178" t="s">
        <v>559</v>
      </c>
      <c r="D178" s="4" t="str">
        <f t="shared" si="2"/>
        <v/>
      </c>
      <c r="E178">
        <f>SUM($B$2:B178)</f>
        <v>23</v>
      </c>
    </row>
    <row r="179" spans="1:5" x14ac:dyDescent="0.35">
      <c r="A179" t="s">
        <v>177</v>
      </c>
      <c r="C179" t="s">
        <v>560</v>
      </c>
      <c r="D179" s="4" t="str">
        <f t="shared" si="2"/>
        <v/>
      </c>
      <c r="E179">
        <f>SUM($B$2:B179)</f>
        <v>23</v>
      </c>
    </row>
    <row r="180" spans="1:5" x14ac:dyDescent="0.35">
      <c r="A180" t="s">
        <v>178</v>
      </c>
      <c r="C180" t="s">
        <v>561</v>
      </c>
      <c r="D180" s="4" t="str">
        <f t="shared" si="2"/>
        <v/>
      </c>
      <c r="E180">
        <f>SUM($B$2:B180)</f>
        <v>23</v>
      </c>
    </row>
    <row r="181" spans="1:5" x14ac:dyDescent="0.35">
      <c r="A181" t="s">
        <v>179</v>
      </c>
      <c r="C181" t="s">
        <v>562</v>
      </c>
      <c r="D181" s="4" t="str">
        <f t="shared" si="2"/>
        <v/>
      </c>
      <c r="E181">
        <f>SUM($B$2:B181)</f>
        <v>23</v>
      </c>
    </row>
    <row r="182" spans="1:5" x14ac:dyDescent="0.35">
      <c r="A182" t="s">
        <v>180</v>
      </c>
      <c r="C182" t="s">
        <v>563</v>
      </c>
      <c r="D182" s="4" t="str">
        <f t="shared" si="2"/>
        <v/>
      </c>
      <c r="E182">
        <f>SUM($B$2:B182)</f>
        <v>23</v>
      </c>
    </row>
    <row r="183" spans="1:5" x14ac:dyDescent="0.35">
      <c r="A183" t="s">
        <v>181</v>
      </c>
      <c r="C183" t="s">
        <v>564</v>
      </c>
      <c r="D183" s="4" t="str">
        <f t="shared" si="2"/>
        <v/>
      </c>
      <c r="E183">
        <f>SUM($B$2:B183)</f>
        <v>23</v>
      </c>
    </row>
    <row r="184" spans="1:5" x14ac:dyDescent="0.35">
      <c r="A184" t="s">
        <v>182</v>
      </c>
      <c r="B184" s="1">
        <v>1</v>
      </c>
      <c r="C184" t="s">
        <v>565</v>
      </c>
      <c r="D184" s="4">
        <f t="shared" si="2"/>
        <v>24</v>
      </c>
      <c r="E184">
        <f>SUM($B$2:B184)</f>
        <v>24</v>
      </c>
    </row>
    <row r="185" spans="1:5" x14ac:dyDescent="0.35">
      <c r="A185" t="s">
        <v>183</v>
      </c>
      <c r="C185" t="s">
        <v>566</v>
      </c>
      <c r="D185" s="4" t="str">
        <f t="shared" si="2"/>
        <v/>
      </c>
      <c r="E185">
        <f>SUM($B$2:B185)</f>
        <v>24</v>
      </c>
    </row>
    <row r="186" spans="1:5" x14ac:dyDescent="0.35">
      <c r="A186" t="s">
        <v>184</v>
      </c>
      <c r="C186" t="s">
        <v>567</v>
      </c>
      <c r="D186" s="4" t="str">
        <f t="shared" si="2"/>
        <v/>
      </c>
      <c r="E186">
        <f>SUM($B$2:B186)</f>
        <v>24</v>
      </c>
    </row>
    <row r="187" spans="1:5" x14ac:dyDescent="0.35">
      <c r="A187" t="s">
        <v>185</v>
      </c>
      <c r="C187" t="s">
        <v>568</v>
      </c>
      <c r="D187" s="4" t="str">
        <f t="shared" si="2"/>
        <v/>
      </c>
      <c r="E187">
        <f>SUM($B$2:B187)</f>
        <v>24</v>
      </c>
    </row>
    <row r="188" spans="1:5" x14ac:dyDescent="0.35">
      <c r="A188" t="s">
        <v>186</v>
      </c>
      <c r="C188" t="s">
        <v>569</v>
      </c>
      <c r="D188" s="4" t="str">
        <f t="shared" si="2"/>
        <v/>
      </c>
      <c r="E188">
        <f>SUM($B$2:B188)</f>
        <v>24</v>
      </c>
    </row>
    <row r="189" spans="1:5" x14ac:dyDescent="0.35">
      <c r="A189" t="s">
        <v>187</v>
      </c>
      <c r="C189" t="s">
        <v>571</v>
      </c>
      <c r="D189" s="4" t="str">
        <f t="shared" si="2"/>
        <v/>
      </c>
      <c r="E189">
        <f>SUM($B$2:B189)</f>
        <v>24</v>
      </c>
    </row>
    <row r="190" spans="1:5" x14ac:dyDescent="0.35">
      <c r="A190" t="s">
        <v>188</v>
      </c>
      <c r="C190" t="s">
        <v>572</v>
      </c>
      <c r="D190" s="4" t="str">
        <f t="shared" si="2"/>
        <v/>
      </c>
      <c r="E190">
        <f>SUM($B$2:B190)</f>
        <v>24</v>
      </c>
    </row>
    <row r="191" spans="1:5" x14ac:dyDescent="0.35">
      <c r="A191" t="s">
        <v>189</v>
      </c>
      <c r="B191" s="1">
        <v>1</v>
      </c>
      <c r="C191" t="s">
        <v>573</v>
      </c>
      <c r="D191" s="4">
        <f t="shared" si="2"/>
        <v>25</v>
      </c>
      <c r="E191">
        <f>SUM($B$2:B191)</f>
        <v>25</v>
      </c>
    </row>
    <row r="192" spans="1:5" x14ac:dyDescent="0.35">
      <c r="A192" s="2" t="s">
        <v>190</v>
      </c>
      <c r="B192" s="3"/>
      <c r="C192" s="2" t="s">
        <v>574</v>
      </c>
      <c r="D192" s="4">
        <f>E191+0.05</f>
        <v>25.05</v>
      </c>
      <c r="E192">
        <f>SUM($B$2:B192)</f>
        <v>25</v>
      </c>
    </row>
    <row r="193" spans="1:5" x14ac:dyDescent="0.35">
      <c r="A193" t="s">
        <v>74</v>
      </c>
      <c r="D193" s="4">
        <f>E199-0.55</f>
        <v>25.45</v>
      </c>
      <c r="E193">
        <f>SUM($B$2:B193)</f>
        <v>25</v>
      </c>
    </row>
    <row r="194" spans="1:5" x14ac:dyDescent="0.35">
      <c r="A194" t="s">
        <v>75</v>
      </c>
      <c r="D194" s="4" t="str">
        <f t="shared" ref="D194:D257" si="3">IF(ISNUMBER(B194),E194, "")</f>
        <v/>
      </c>
      <c r="E194">
        <f>SUM($B$2:B194)</f>
        <v>25</v>
      </c>
    </row>
    <row r="195" spans="1:5" x14ac:dyDescent="0.35">
      <c r="A195" t="s">
        <v>76</v>
      </c>
      <c r="D195" s="4" t="str">
        <f t="shared" si="3"/>
        <v/>
      </c>
      <c r="E195">
        <f>SUM($B$2:B195)</f>
        <v>25</v>
      </c>
    </row>
    <row r="196" spans="1:5" x14ac:dyDescent="0.35">
      <c r="A196" t="s">
        <v>77</v>
      </c>
      <c r="D196" s="4" t="str">
        <f t="shared" si="3"/>
        <v/>
      </c>
      <c r="E196">
        <f>SUM($B$2:B196)</f>
        <v>25</v>
      </c>
    </row>
    <row r="197" spans="1:5" x14ac:dyDescent="0.35">
      <c r="A197" t="s">
        <v>78</v>
      </c>
      <c r="D197" s="4" t="str">
        <f t="shared" si="3"/>
        <v/>
      </c>
      <c r="E197">
        <f>SUM($B$2:B197)</f>
        <v>25</v>
      </c>
    </row>
    <row r="198" spans="1:5" x14ac:dyDescent="0.35">
      <c r="A198" t="s">
        <v>79</v>
      </c>
      <c r="D198" s="4" t="str">
        <f t="shared" si="3"/>
        <v/>
      </c>
      <c r="E198">
        <f>SUM($B$2:B198)</f>
        <v>25</v>
      </c>
    </row>
    <row r="199" spans="1:5" x14ac:dyDescent="0.35">
      <c r="A199" t="s">
        <v>80</v>
      </c>
      <c r="B199" s="1">
        <v>1</v>
      </c>
      <c r="D199" s="4">
        <f t="shared" si="3"/>
        <v>26</v>
      </c>
      <c r="E199">
        <f>SUM($B$2:B199)</f>
        <v>26</v>
      </c>
    </row>
    <row r="200" spans="1:5" x14ac:dyDescent="0.35">
      <c r="A200" t="s">
        <v>81</v>
      </c>
      <c r="D200" s="4" t="str">
        <f t="shared" si="3"/>
        <v/>
      </c>
      <c r="E200">
        <f>SUM($B$2:B200)</f>
        <v>26</v>
      </c>
    </row>
    <row r="201" spans="1:5" x14ac:dyDescent="0.35">
      <c r="A201" t="s">
        <v>82</v>
      </c>
      <c r="D201" s="4" t="str">
        <f t="shared" si="3"/>
        <v/>
      </c>
      <c r="E201">
        <f>SUM($B$2:B201)</f>
        <v>26</v>
      </c>
    </row>
    <row r="202" spans="1:5" x14ac:dyDescent="0.35">
      <c r="A202" t="s">
        <v>83</v>
      </c>
      <c r="D202" s="4" t="str">
        <f t="shared" si="3"/>
        <v/>
      </c>
      <c r="E202">
        <f>SUM($B$2:B202)</f>
        <v>26</v>
      </c>
    </row>
    <row r="203" spans="1:5" x14ac:dyDescent="0.35">
      <c r="A203" t="s">
        <v>84</v>
      </c>
      <c r="D203" s="4" t="str">
        <f t="shared" si="3"/>
        <v/>
      </c>
      <c r="E203">
        <f>SUM($B$2:B203)</f>
        <v>26</v>
      </c>
    </row>
    <row r="204" spans="1:5" x14ac:dyDescent="0.35">
      <c r="A204" t="s">
        <v>85</v>
      </c>
      <c r="D204" s="4" t="str">
        <f t="shared" si="3"/>
        <v/>
      </c>
      <c r="E204">
        <f>SUM($B$2:B204)</f>
        <v>26</v>
      </c>
    </row>
    <row r="205" spans="1:5" x14ac:dyDescent="0.35">
      <c r="A205" t="s">
        <v>86</v>
      </c>
      <c r="D205" s="4" t="str">
        <f t="shared" si="3"/>
        <v/>
      </c>
      <c r="E205">
        <f>SUM($B$2:B205)</f>
        <v>26</v>
      </c>
    </row>
    <row r="206" spans="1:5" x14ac:dyDescent="0.35">
      <c r="A206" t="s">
        <v>87</v>
      </c>
      <c r="D206" s="4" t="str">
        <f t="shared" si="3"/>
        <v/>
      </c>
      <c r="E206">
        <f>SUM($B$2:B206)</f>
        <v>26</v>
      </c>
    </row>
    <row r="207" spans="1:5" x14ac:dyDescent="0.35">
      <c r="A207" t="s">
        <v>88</v>
      </c>
      <c r="B207" s="1">
        <v>1</v>
      </c>
      <c r="D207" s="4">
        <f t="shared" si="3"/>
        <v>27</v>
      </c>
      <c r="E207">
        <f>SUM($B$2:B207)</f>
        <v>27</v>
      </c>
    </row>
    <row r="208" spans="1:5" x14ac:dyDescent="0.35">
      <c r="A208" t="s">
        <v>89</v>
      </c>
      <c r="D208" s="4" t="str">
        <f t="shared" si="3"/>
        <v/>
      </c>
      <c r="E208">
        <f>SUM($B$2:B208)</f>
        <v>27</v>
      </c>
    </row>
    <row r="209" spans="1:5" x14ac:dyDescent="0.35">
      <c r="A209" t="s">
        <v>90</v>
      </c>
      <c r="D209" s="4" t="str">
        <f t="shared" si="3"/>
        <v/>
      </c>
      <c r="E209">
        <f>SUM($B$2:B209)</f>
        <v>27</v>
      </c>
    </row>
    <row r="210" spans="1:5" x14ac:dyDescent="0.35">
      <c r="A210" t="s">
        <v>91</v>
      </c>
      <c r="D210" s="4" t="str">
        <f t="shared" si="3"/>
        <v/>
      </c>
      <c r="E210">
        <f>SUM($B$2:B210)</f>
        <v>27</v>
      </c>
    </row>
    <row r="211" spans="1:5" x14ac:dyDescent="0.35">
      <c r="A211" t="s">
        <v>92</v>
      </c>
      <c r="B211" s="1">
        <v>1</v>
      </c>
      <c r="D211" s="4">
        <f t="shared" si="3"/>
        <v>28</v>
      </c>
      <c r="E211">
        <f>SUM($B$2:B211)</f>
        <v>28</v>
      </c>
    </row>
    <row r="212" spans="1:5" x14ac:dyDescent="0.35">
      <c r="A212" t="s">
        <v>93</v>
      </c>
      <c r="D212" s="4" t="str">
        <f t="shared" si="3"/>
        <v/>
      </c>
      <c r="E212">
        <f>SUM($B$2:B212)</f>
        <v>28</v>
      </c>
    </row>
    <row r="213" spans="1:5" x14ac:dyDescent="0.35">
      <c r="A213" t="s">
        <v>94</v>
      </c>
      <c r="D213" s="4" t="str">
        <f t="shared" si="3"/>
        <v/>
      </c>
      <c r="E213">
        <f>SUM($B$2:B213)</f>
        <v>28</v>
      </c>
    </row>
    <row r="214" spans="1:5" x14ac:dyDescent="0.35">
      <c r="A214" t="s">
        <v>95</v>
      </c>
      <c r="D214" s="4" t="str">
        <f t="shared" si="3"/>
        <v/>
      </c>
      <c r="E214">
        <f>SUM($B$2:B214)</f>
        <v>28</v>
      </c>
    </row>
    <row r="215" spans="1:5" x14ac:dyDescent="0.35">
      <c r="A215" t="s">
        <v>96</v>
      </c>
      <c r="D215" s="4" t="str">
        <f t="shared" si="3"/>
        <v/>
      </c>
      <c r="E215">
        <f>SUM($B$2:B215)</f>
        <v>28</v>
      </c>
    </row>
    <row r="216" spans="1:5" x14ac:dyDescent="0.35">
      <c r="A216" t="s">
        <v>97</v>
      </c>
      <c r="D216" s="4" t="str">
        <f t="shared" si="3"/>
        <v/>
      </c>
      <c r="E216">
        <f>SUM($B$2:B216)</f>
        <v>28</v>
      </c>
    </row>
    <row r="217" spans="1:5" x14ac:dyDescent="0.35">
      <c r="A217" t="s">
        <v>98</v>
      </c>
      <c r="D217" s="4" t="str">
        <f t="shared" si="3"/>
        <v/>
      </c>
      <c r="E217">
        <f>SUM($B$2:B217)</f>
        <v>28</v>
      </c>
    </row>
    <row r="218" spans="1:5" x14ac:dyDescent="0.35">
      <c r="A218" t="s">
        <v>99</v>
      </c>
      <c r="B218" s="1">
        <v>1</v>
      </c>
      <c r="D218" s="4">
        <f t="shared" si="3"/>
        <v>29</v>
      </c>
      <c r="E218">
        <f>SUM($B$2:B218)</f>
        <v>29</v>
      </c>
    </row>
    <row r="219" spans="1:5" x14ac:dyDescent="0.35">
      <c r="A219" t="s">
        <v>100</v>
      </c>
      <c r="D219" s="4" t="str">
        <f t="shared" si="3"/>
        <v/>
      </c>
      <c r="E219">
        <f>SUM($B$2:B219)</f>
        <v>29</v>
      </c>
    </row>
    <row r="220" spans="1:5" x14ac:dyDescent="0.35">
      <c r="A220" t="s">
        <v>101</v>
      </c>
      <c r="D220" s="4" t="str">
        <f t="shared" si="3"/>
        <v/>
      </c>
      <c r="E220">
        <f>SUM($B$2:B220)</f>
        <v>29</v>
      </c>
    </row>
    <row r="221" spans="1:5" x14ac:dyDescent="0.35">
      <c r="A221" t="s">
        <v>102</v>
      </c>
      <c r="D221" s="4" t="str">
        <f t="shared" si="3"/>
        <v/>
      </c>
      <c r="E221">
        <f>SUM($B$2:B221)</f>
        <v>29</v>
      </c>
    </row>
    <row r="222" spans="1:5" x14ac:dyDescent="0.35">
      <c r="A222" t="s">
        <v>103</v>
      </c>
      <c r="D222" s="4" t="str">
        <f t="shared" si="3"/>
        <v/>
      </c>
      <c r="E222">
        <f>SUM($B$2:B222)</f>
        <v>29</v>
      </c>
    </row>
    <row r="223" spans="1:5" x14ac:dyDescent="0.35">
      <c r="A223" t="s">
        <v>104</v>
      </c>
      <c r="B223" s="1">
        <v>1</v>
      </c>
      <c r="D223" s="4">
        <f t="shared" si="3"/>
        <v>30</v>
      </c>
      <c r="E223">
        <f>SUM($B$2:B223)</f>
        <v>30</v>
      </c>
    </row>
    <row r="224" spans="1:5" x14ac:dyDescent="0.35">
      <c r="A224" t="s">
        <v>105</v>
      </c>
      <c r="D224" s="4" t="str">
        <f t="shared" si="3"/>
        <v/>
      </c>
      <c r="E224">
        <f>SUM($B$2:B224)</f>
        <v>30</v>
      </c>
    </row>
    <row r="225" spans="1:5" x14ac:dyDescent="0.35">
      <c r="A225" t="s">
        <v>106</v>
      </c>
      <c r="D225" s="4" t="str">
        <f t="shared" si="3"/>
        <v/>
      </c>
      <c r="E225">
        <f>SUM($B$2:B225)</f>
        <v>30</v>
      </c>
    </row>
    <row r="226" spans="1:5" x14ac:dyDescent="0.35">
      <c r="A226" t="s">
        <v>107</v>
      </c>
      <c r="D226" s="4" t="str">
        <f t="shared" si="3"/>
        <v/>
      </c>
      <c r="E226">
        <f>SUM($B$2:B226)</f>
        <v>30</v>
      </c>
    </row>
    <row r="227" spans="1:5" x14ac:dyDescent="0.35">
      <c r="A227" t="s">
        <v>108</v>
      </c>
      <c r="D227" s="4" t="str">
        <f t="shared" si="3"/>
        <v/>
      </c>
      <c r="E227">
        <f>SUM($B$2:B227)</f>
        <v>30</v>
      </c>
    </row>
    <row r="228" spans="1:5" x14ac:dyDescent="0.35">
      <c r="A228" t="s">
        <v>109</v>
      </c>
      <c r="D228" s="4" t="str">
        <f t="shared" si="3"/>
        <v/>
      </c>
      <c r="E228">
        <f>SUM($B$2:B228)</f>
        <v>30</v>
      </c>
    </row>
    <row r="229" spans="1:5" x14ac:dyDescent="0.35">
      <c r="A229" t="s">
        <v>110</v>
      </c>
      <c r="D229" s="4" t="str">
        <f t="shared" si="3"/>
        <v/>
      </c>
      <c r="E229">
        <f>SUM($B$2:B229)</f>
        <v>30</v>
      </c>
    </row>
    <row r="230" spans="1:5" x14ac:dyDescent="0.35">
      <c r="A230" t="s">
        <v>111</v>
      </c>
      <c r="B230" s="1">
        <v>1</v>
      </c>
      <c r="D230" s="4">
        <f t="shared" si="3"/>
        <v>31</v>
      </c>
      <c r="E230">
        <f>SUM($B$2:B230)</f>
        <v>31</v>
      </c>
    </row>
    <row r="231" spans="1:5" x14ac:dyDescent="0.35">
      <c r="A231" t="s">
        <v>112</v>
      </c>
      <c r="D231" s="4" t="str">
        <f t="shared" si="3"/>
        <v/>
      </c>
      <c r="E231">
        <f>SUM($B$2:B231)</f>
        <v>31</v>
      </c>
    </row>
    <row r="232" spans="1:5" x14ac:dyDescent="0.35">
      <c r="A232" t="s">
        <v>113</v>
      </c>
      <c r="D232" s="4" t="str">
        <f t="shared" si="3"/>
        <v/>
      </c>
      <c r="E232">
        <f>SUM($B$2:B232)</f>
        <v>31</v>
      </c>
    </row>
    <row r="233" spans="1:5" x14ac:dyDescent="0.35">
      <c r="A233" t="s">
        <v>114</v>
      </c>
      <c r="D233" s="4" t="str">
        <f t="shared" si="3"/>
        <v/>
      </c>
      <c r="E233">
        <f>SUM($B$2:B233)</f>
        <v>31</v>
      </c>
    </row>
    <row r="234" spans="1:5" x14ac:dyDescent="0.35">
      <c r="A234" t="s">
        <v>115</v>
      </c>
      <c r="D234" s="4" t="str">
        <f t="shared" si="3"/>
        <v/>
      </c>
      <c r="E234">
        <f>SUM($B$2:B234)</f>
        <v>31</v>
      </c>
    </row>
    <row r="235" spans="1:5" x14ac:dyDescent="0.35">
      <c r="A235" t="s">
        <v>116</v>
      </c>
      <c r="D235" s="4" t="str">
        <f t="shared" si="3"/>
        <v/>
      </c>
      <c r="E235">
        <f>SUM($B$2:B235)</f>
        <v>31</v>
      </c>
    </row>
    <row r="236" spans="1:5" x14ac:dyDescent="0.35">
      <c r="A236" t="s">
        <v>117</v>
      </c>
      <c r="B236" s="1">
        <v>1</v>
      </c>
      <c r="D236" s="4">
        <f t="shared" si="3"/>
        <v>32</v>
      </c>
      <c r="E236">
        <f>SUM($B$2:B236)</f>
        <v>32</v>
      </c>
    </row>
    <row r="237" spans="1:5" x14ac:dyDescent="0.35">
      <c r="A237" s="2" t="s">
        <v>118</v>
      </c>
      <c r="B237" s="3"/>
      <c r="C237" s="2"/>
      <c r="D237" s="4">
        <f>E237+0.1</f>
        <v>32.1</v>
      </c>
      <c r="E237">
        <f>SUM($B$2:B237)</f>
        <v>32</v>
      </c>
    </row>
    <row r="238" spans="1:5" x14ac:dyDescent="0.35">
      <c r="A238" t="s">
        <v>0</v>
      </c>
      <c r="D238" s="4">
        <f>E240-0.25</f>
        <v>32.75</v>
      </c>
      <c r="E238">
        <f>SUM($B$2:B238)</f>
        <v>32</v>
      </c>
    </row>
    <row r="239" spans="1:5" x14ac:dyDescent="0.35">
      <c r="A239" t="s">
        <v>1</v>
      </c>
      <c r="D239" s="4" t="str">
        <f t="shared" si="3"/>
        <v/>
      </c>
      <c r="E239">
        <f>SUM($B$2:B239)</f>
        <v>32</v>
      </c>
    </row>
    <row r="240" spans="1:5" x14ac:dyDescent="0.35">
      <c r="A240" t="s">
        <v>2</v>
      </c>
      <c r="B240" s="1">
        <v>1</v>
      </c>
      <c r="D240" s="4">
        <f t="shared" si="3"/>
        <v>33</v>
      </c>
      <c r="E240">
        <f>SUM($B$2:B240)</f>
        <v>33</v>
      </c>
    </row>
    <row r="241" spans="1:5" x14ac:dyDescent="0.35">
      <c r="A241" t="s">
        <v>3</v>
      </c>
      <c r="D241" s="4" t="str">
        <f t="shared" si="3"/>
        <v/>
      </c>
      <c r="E241">
        <f>SUM($B$2:B241)</f>
        <v>33</v>
      </c>
    </row>
    <row r="242" spans="1:5" x14ac:dyDescent="0.35">
      <c r="A242" t="s">
        <v>4</v>
      </c>
      <c r="D242" s="4" t="str">
        <f t="shared" si="3"/>
        <v/>
      </c>
      <c r="E242">
        <f>SUM($B$2:B242)</f>
        <v>33</v>
      </c>
    </row>
    <row r="243" spans="1:5" x14ac:dyDescent="0.35">
      <c r="A243" t="s">
        <v>5</v>
      </c>
      <c r="D243" s="4" t="str">
        <f t="shared" si="3"/>
        <v/>
      </c>
      <c r="E243">
        <f>SUM($B$2:B243)</f>
        <v>33</v>
      </c>
    </row>
    <row r="244" spans="1:5" x14ac:dyDescent="0.35">
      <c r="A244" t="s">
        <v>6</v>
      </c>
      <c r="D244" s="4" t="str">
        <f t="shared" si="3"/>
        <v/>
      </c>
      <c r="E244">
        <f>SUM($B$2:B244)</f>
        <v>33</v>
      </c>
    </row>
    <row r="245" spans="1:5" x14ac:dyDescent="0.35">
      <c r="A245" t="s">
        <v>7</v>
      </c>
      <c r="D245" s="4" t="str">
        <f t="shared" si="3"/>
        <v/>
      </c>
      <c r="E245">
        <f>SUM($B$2:B245)</f>
        <v>33</v>
      </c>
    </row>
    <row r="246" spans="1:5" x14ac:dyDescent="0.35">
      <c r="A246" t="s">
        <v>8</v>
      </c>
      <c r="D246" s="4" t="str">
        <f t="shared" si="3"/>
        <v/>
      </c>
      <c r="E246">
        <f>SUM($B$2:B246)</f>
        <v>33</v>
      </c>
    </row>
    <row r="247" spans="1:5" x14ac:dyDescent="0.35">
      <c r="A247" t="s">
        <v>9</v>
      </c>
      <c r="D247" s="4" t="str">
        <f t="shared" si="3"/>
        <v/>
      </c>
      <c r="E247">
        <f>SUM($B$2:B247)</f>
        <v>33</v>
      </c>
    </row>
    <row r="248" spans="1:5" x14ac:dyDescent="0.35">
      <c r="A248" t="s">
        <v>10</v>
      </c>
      <c r="B248" s="1">
        <v>1</v>
      </c>
      <c r="D248" s="4">
        <f t="shared" si="3"/>
        <v>34</v>
      </c>
      <c r="E248">
        <f>SUM($B$2:B248)</f>
        <v>34</v>
      </c>
    </row>
    <row r="249" spans="1:5" x14ac:dyDescent="0.35">
      <c r="A249" t="s">
        <v>11</v>
      </c>
      <c r="D249" s="4" t="str">
        <f t="shared" si="3"/>
        <v/>
      </c>
      <c r="E249">
        <f>SUM($B$2:B249)</f>
        <v>34</v>
      </c>
    </row>
    <row r="250" spans="1:5" x14ac:dyDescent="0.35">
      <c r="A250" t="s">
        <v>12</v>
      </c>
      <c r="D250" s="4" t="str">
        <f t="shared" si="3"/>
        <v/>
      </c>
      <c r="E250">
        <f>SUM($B$2:B250)</f>
        <v>34</v>
      </c>
    </row>
    <row r="251" spans="1:5" x14ac:dyDescent="0.35">
      <c r="A251" t="s">
        <v>13</v>
      </c>
      <c r="D251" s="4" t="str">
        <f t="shared" si="3"/>
        <v/>
      </c>
      <c r="E251">
        <f>SUM($B$2:B251)</f>
        <v>34</v>
      </c>
    </row>
    <row r="252" spans="1:5" x14ac:dyDescent="0.35">
      <c r="A252" t="s">
        <v>14</v>
      </c>
      <c r="D252" s="4" t="str">
        <f t="shared" si="3"/>
        <v/>
      </c>
      <c r="E252">
        <f>SUM($B$2:B252)</f>
        <v>34</v>
      </c>
    </row>
    <row r="253" spans="1:5" x14ac:dyDescent="0.35">
      <c r="A253" t="s">
        <v>15</v>
      </c>
      <c r="D253" s="4" t="str">
        <f t="shared" si="3"/>
        <v/>
      </c>
      <c r="E253">
        <f>SUM($B$2:B253)</f>
        <v>34</v>
      </c>
    </row>
    <row r="254" spans="1:5" x14ac:dyDescent="0.35">
      <c r="A254" t="s">
        <v>16</v>
      </c>
      <c r="D254" s="4" t="str">
        <f t="shared" si="3"/>
        <v/>
      </c>
      <c r="E254">
        <f>SUM($B$2:B254)</f>
        <v>34</v>
      </c>
    </row>
    <row r="255" spans="1:5" x14ac:dyDescent="0.35">
      <c r="A255" t="s">
        <v>17</v>
      </c>
      <c r="D255" s="4" t="str">
        <f t="shared" si="3"/>
        <v/>
      </c>
      <c r="E255">
        <f>SUM($B$2:B255)</f>
        <v>34</v>
      </c>
    </row>
    <row r="256" spans="1:5" x14ac:dyDescent="0.35">
      <c r="A256" t="s">
        <v>18</v>
      </c>
      <c r="B256" s="1">
        <v>1</v>
      </c>
      <c r="D256" s="4">
        <f t="shared" si="3"/>
        <v>35</v>
      </c>
      <c r="E256">
        <f>SUM($B$2:B256)</f>
        <v>35</v>
      </c>
    </row>
    <row r="257" spans="1:5" x14ac:dyDescent="0.35">
      <c r="A257" t="s">
        <v>19</v>
      </c>
      <c r="D257" s="4" t="str">
        <f t="shared" si="3"/>
        <v/>
      </c>
      <c r="E257">
        <f>SUM($B$2:B257)</f>
        <v>35</v>
      </c>
    </row>
    <row r="258" spans="1:5" x14ac:dyDescent="0.35">
      <c r="A258" t="s">
        <v>20</v>
      </c>
      <c r="D258" s="4" t="str">
        <f t="shared" ref="D258:D321" si="4">IF(ISNUMBER(B258),E258, "")</f>
        <v/>
      </c>
      <c r="E258">
        <f>SUM($B$2:B258)</f>
        <v>35</v>
      </c>
    </row>
    <row r="259" spans="1:5" x14ac:dyDescent="0.35">
      <c r="A259" t="s">
        <v>21</v>
      </c>
      <c r="D259" s="4" t="str">
        <f t="shared" si="4"/>
        <v/>
      </c>
      <c r="E259">
        <f>SUM($B$2:B259)</f>
        <v>35</v>
      </c>
    </row>
    <row r="260" spans="1:5" x14ac:dyDescent="0.35">
      <c r="A260" t="s">
        <v>22</v>
      </c>
      <c r="D260" s="4" t="str">
        <f t="shared" si="4"/>
        <v/>
      </c>
      <c r="E260">
        <f>SUM($B$2:B260)</f>
        <v>35</v>
      </c>
    </row>
    <row r="261" spans="1:5" x14ac:dyDescent="0.35">
      <c r="A261" t="s">
        <v>23</v>
      </c>
      <c r="B261" s="1">
        <v>1</v>
      </c>
      <c r="D261" s="4">
        <f t="shared" si="4"/>
        <v>36</v>
      </c>
      <c r="E261">
        <f>SUM($B$2:B261)</f>
        <v>36</v>
      </c>
    </row>
    <row r="262" spans="1:5" x14ac:dyDescent="0.35">
      <c r="A262" t="s">
        <v>24</v>
      </c>
      <c r="D262" s="4" t="str">
        <f t="shared" si="4"/>
        <v/>
      </c>
      <c r="E262">
        <f>SUM($B$2:B262)</f>
        <v>36</v>
      </c>
    </row>
    <row r="263" spans="1:5" x14ac:dyDescent="0.35">
      <c r="A263" t="s">
        <v>25</v>
      </c>
      <c r="D263" s="4" t="str">
        <f t="shared" si="4"/>
        <v/>
      </c>
      <c r="E263">
        <f>SUM($B$2:B263)</f>
        <v>36</v>
      </c>
    </row>
    <row r="264" spans="1:5" x14ac:dyDescent="0.35">
      <c r="A264" t="s">
        <v>26</v>
      </c>
      <c r="D264" s="4" t="str">
        <f t="shared" si="4"/>
        <v/>
      </c>
      <c r="E264">
        <f>SUM($B$2:B264)</f>
        <v>36</v>
      </c>
    </row>
    <row r="265" spans="1:5" x14ac:dyDescent="0.35">
      <c r="A265" t="s">
        <v>27</v>
      </c>
      <c r="B265" s="1">
        <v>1</v>
      </c>
      <c r="D265" s="4">
        <f t="shared" si="4"/>
        <v>37</v>
      </c>
      <c r="E265">
        <f>SUM($B$2:B265)</f>
        <v>37</v>
      </c>
    </row>
    <row r="266" spans="1:5" x14ac:dyDescent="0.35">
      <c r="A266" t="s">
        <v>28</v>
      </c>
      <c r="D266" s="4" t="str">
        <f t="shared" si="4"/>
        <v/>
      </c>
      <c r="E266">
        <f>SUM($B$2:B266)</f>
        <v>37</v>
      </c>
    </row>
    <row r="267" spans="1:5" x14ac:dyDescent="0.35">
      <c r="A267" t="s">
        <v>29</v>
      </c>
      <c r="D267" s="4" t="str">
        <f t="shared" si="4"/>
        <v/>
      </c>
      <c r="E267">
        <f>SUM($B$2:B267)</f>
        <v>37</v>
      </c>
    </row>
    <row r="268" spans="1:5" x14ac:dyDescent="0.35">
      <c r="A268" t="s">
        <v>30</v>
      </c>
      <c r="D268" s="4" t="str">
        <f t="shared" si="4"/>
        <v/>
      </c>
      <c r="E268">
        <f>SUM($B$2:B268)</f>
        <v>37</v>
      </c>
    </row>
    <row r="269" spans="1:5" x14ac:dyDescent="0.35">
      <c r="A269" t="s">
        <v>31</v>
      </c>
      <c r="B269" s="1">
        <v>1</v>
      </c>
      <c r="D269" s="4">
        <f t="shared" si="4"/>
        <v>38</v>
      </c>
      <c r="E269">
        <f>SUM($B$2:B269)</f>
        <v>38</v>
      </c>
    </row>
    <row r="270" spans="1:5" x14ac:dyDescent="0.35">
      <c r="A270" t="s">
        <v>32</v>
      </c>
      <c r="D270" s="4" t="str">
        <f t="shared" si="4"/>
        <v/>
      </c>
      <c r="E270">
        <f>SUM($B$2:B270)</f>
        <v>38</v>
      </c>
    </row>
    <row r="271" spans="1:5" x14ac:dyDescent="0.35">
      <c r="A271" t="s">
        <v>33</v>
      </c>
      <c r="D271" s="4" t="str">
        <f t="shared" si="4"/>
        <v/>
      </c>
      <c r="E271">
        <f>SUM($B$2:B271)</f>
        <v>38</v>
      </c>
    </row>
    <row r="272" spans="1:5" x14ac:dyDescent="0.35">
      <c r="A272" t="s">
        <v>34</v>
      </c>
      <c r="D272" s="4" t="str">
        <f t="shared" si="4"/>
        <v/>
      </c>
      <c r="E272">
        <f>SUM($B$2:B272)</f>
        <v>38</v>
      </c>
    </row>
    <row r="273" spans="1:5" x14ac:dyDescent="0.35">
      <c r="A273" t="s">
        <v>35</v>
      </c>
      <c r="B273" s="1">
        <v>1</v>
      </c>
      <c r="D273" s="4">
        <f t="shared" si="4"/>
        <v>39</v>
      </c>
      <c r="E273">
        <f>SUM($B$2:B273)</f>
        <v>39</v>
      </c>
    </row>
    <row r="274" spans="1:5" x14ac:dyDescent="0.35">
      <c r="A274" t="s">
        <v>36</v>
      </c>
      <c r="D274" s="4" t="str">
        <f t="shared" si="4"/>
        <v/>
      </c>
      <c r="E274">
        <f>SUM($B$2:B274)</f>
        <v>39</v>
      </c>
    </row>
    <row r="275" spans="1:5" x14ac:dyDescent="0.35">
      <c r="A275" t="s">
        <v>37</v>
      </c>
      <c r="D275" s="4" t="str">
        <f t="shared" si="4"/>
        <v/>
      </c>
      <c r="E275">
        <f>SUM($B$2:B275)</f>
        <v>39</v>
      </c>
    </row>
    <row r="276" spans="1:5" x14ac:dyDescent="0.35">
      <c r="A276" t="s">
        <v>38</v>
      </c>
      <c r="D276" s="4" t="str">
        <f t="shared" si="4"/>
        <v/>
      </c>
      <c r="E276">
        <f>SUM($B$2:B276)</f>
        <v>39</v>
      </c>
    </row>
    <row r="277" spans="1:5" x14ac:dyDescent="0.35">
      <c r="A277" t="s">
        <v>39</v>
      </c>
      <c r="D277" s="4" t="str">
        <f t="shared" si="4"/>
        <v/>
      </c>
      <c r="E277">
        <f>SUM($B$2:B277)</f>
        <v>39</v>
      </c>
    </row>
    <row r="278" spans="1:5" x14ac:dyDescent="0.35">
      <c r="A278" t="s">
        <v>40</v>
      </c>
      <c r="D278" s="4" t="str">
        <f t="shared" si="4"/>
        <v/>
      </c>
      <c r="E278">
        <f>SUM($B$2:B278)</f>
        <v>39</v>
      </c>
    </row>
    <row r="279" spans="1:5" x14ac:dyDescent="0.35">
      <c r="A279" t="s">
        <v>41</v>
      </c>
      <c r="D279" s="4" t="str">
        <f t="shared" si="4"/>
        <v/>
      </c>
      <c r="E279">
        <f>SUM($B$2:B279)</f>
        <v>39</v>
      </c>
    </row>
    <row r="280" spans="1:5" x14ac:dyDescent="0.35">
      <c r="A280" t="s">
        <v>42</v>
      </c>
      <c r="B280" s="1">
        <v>1</v>
      </c>
      <c r="D280" s="4">
        <f t="shared" si="4"/>
        <v>40</v>
      </c>
      <c r="E280">
        <f>SUM($B$2:B280)</f>
        <v>40</v>
      </c>
    </row>
    <row r="281" spans="1:5" x14ac:dyDescent="0.35">
      <c r="A281" t="s">
        <v>43</v>
      </c>
      <c r="D281" s="4" t="str">
        <f t="shared" si="4"/>
        <v/>
      </c>
      <c r="E281">
        <f>SUM($B$2:B281)</f>
        <v>40</v>
      </c>
    </row>
    <row r="282" spans="1:5" x14ac:dyDescent="0.35">
      <c r="A282" t="s">
        <v>44</v>
      </c>
      <c r="D282" s="4" t="str">
        <f t="shared" si="4"/>
        <v/>
      </c>
      <c r="E282">
        <f>SUM($B$2:B282)</f>
        <v>40</v>
      </c>
    </row>
    <row r="283" spans="1:5" x14ac:dyDescent="0.35">
      <c r="A283" t="s">
        <v>45</v>
      </c>
      <c r="D283" s="4" t="str">
        <f t="shared" si="4"/>
        <v/>
      </c>
      <c r="E283">
        <f>SUM($B$2:B283)</f>
        <v>40</v>
      </c>
    </row>
    <row r="284" spans="1:5" x14ac:dyDescent="0.35">
      <c r="A284" t="s">
        <v>46</v>
      </c>
      <c r="D284" s="4" t="str">
        <f t="shared" si="4"/>
        <v/>
      </c>
      <c r="E284">
        <f>SUM($B$2:B284)</f>
        <v>40</v>
      </c>
    </row>
    <row r="285" spans="1:5" x14ac:dyDescent="0.35">
      <c r="A285" t="s">
        <v>47</v>
      </c>
      <c r="D285" s="4" t="str">
        <f t="shared" si="4"/>
        <v/>
      </c>
      <c r="E285">
        <f>SUM($B$2:B285)</f>
        <v>40</v>
      </c>
    </row>
    <row r="286" spans="1:5" x14ac:dyDescent="0.35">
      <c r="A286" t="s">
        <v>48</v>
      </c>
      <c r="B286" s="1">
        <v>1</v>
      </c>
      <c r="D286" s="4">
        <f t="shared" si="4"/>
        <v>41</v>
      </c>
      <c r="E286">
        <f>SUM($B$2:B286)</f>
        <v>41</v>
      </c>
    </row>
    <row r="287" spans="1:5" x14ac:dyDescent="0.35">
      <c r="A287" t="s">
        <v>49</v>
      </c>
      <c r="D287" s="4" t="str">
        <f t="shared" si="4"/>
        <v/>
      </c>
      <c r="E287">
        <f>SUM($B$2:B287)</f>
        <v>41</v>
      </c>
    </row>
    <row r="288" spans="1:5" x14ac:dyDescent="0.35">
      <c r="A288" t="s">
        <v>50</v>
      </c>
      <c r="D288" s="4" t="str">
        <f t="shared" si="4"/>
        <v/>
      </c>
      <c r="E288">
        <f>SUM($B$2:B288)</f>
        <v>41</v>
      </c>
    </row>
    <row r="289" spans="1:5" x14ac:dyDescent="0.35">
      <c r="A289" t="s">
        <v>51</v>
      </c>
      <c r="D289" s="4" t="str">
        <f t="shared" si="4"/>
        <v/>
      </c>
      <c r="E289">
        <f>SUM($B$2:B289)</f>
        <v>41</v>
      </c>
    </row>
    <row r="290" spans="1:5" x14ac:dyDescent="0.35">
      <c r="A290" t="s">
        <v>52</v>
      </c>
      <c r="D290" s="4" t="str">
        <f t="shared" si="4"/>
        <v/>
      </c>
      <c r="E290">
        <f>SUM($B$2:B290)</f>
        <v>41</v>
      </c>
    </row>
    <row r="291" spans="1:5" x14ac:dyDescent="0.35">
      <c r="A291" t="s">
        <v>53</v>
      </c>
      <c r="D291" s="4" t="str">
        <f t="shared" si="4"/>
        <v/>
      </c>
      <c r="E291">
        <f>SUM($B$2:B291)</f>
        <v>41</v>
      </c>
    </row>
    <row r="292" spans="1:5" x14ac:dyDescent="0.35">
      <c r="A292" t="s">
        <v>54</v>
      </c>
      <c r="D292" s="4" t="str">
        <f t="shared" si="4"/>
        <v/>
      </c>
      <c r="E292">
        <f>SUM($B$2:B292)</f>
        <v>41</v>
      </c>
    </row>
    <row r="293" spans="1:5" x14ac:dyDescent="0.35">
      <c r="A293" t="s">
        <v>55</v>
      </c>
      <c r="B293" s="1">
        <v>1</v>
      </c>
      <c r="D293" s="4">
        <f t="shared" si="4"/>
        <v>42</v>
      </c>
      <c r="E293">
        <f>SUM($B$2:B293)</f>
        <v>42</v>
      </c>
    </row>
    <row r="294" spans="1:5" x14ac:dyDescent="0.35">
      <c r="A294" t="s">
        <v>56</v>
      </c>
      <c r="D294" s="4" t="str">
        <f t="shared" si="4"/>
        <v/>
      </c>
      <c r="E294">
        <f>SUM($B$2:B294)</f>
        <v>42</v>
      </c>
    </row>
    <row r="295" spans="1:5" x14ac:dyDescent="0.35">
      <c r="A295" t="s">
        <v>57</v>
      </c>
      <c r="D295" s="4" t="str">
        <f t="shared" si="4"/>
        <v/>
      </c>
      <c r="E295">
        <f>SUM($B$2:B295)</f>
        <v>42</v>
      </c>
    </row>
    <row r="296" spans="1:5" x14ac:dyDescent="0.35">
      <c r="A296" t="s">
        <v>58</v>
      </c>
      <c r="D296" s="4" t="str">
        <f t="shared" si="4"/>
        <v/>
      </c>
      <c r="E296">
        <f>SUM($B$2:B296)</f>
        <v>42</v>
      </c>
    </row>
    <row r="297" spans="1:5" x14ac:dyDescent="0.35">
      <c r="A297" t="s">
        <v>59</v>
      </c>
      <c r="D297" s="4" t="str">
        <f t="shared" si="4"/>
        <v/>
      </c>
      <c r="E297">
        <f>SUM($B$2:B297)</f>
        <v>42</v>
      </c>
    </row>
    <row r="298" spans="1:5" x14ac:dyDescent="0.35">
      <c r="A298" t="s">
        <v>60</v>
      </c>
      <c r="D298" s="4" t="str">
        <f t="shared" si="4"/>
        <v/>
      </c>
      <c r="E298">
        <f>SUM($B$2:B298)</f>
        <v>42</v>
      </c>
    </row>
    <row r="299" spans="1:5" x14ac:dyDescent="0.35">
      <c r="A299" t="s">
        <v>61</v>
      </c>
      <c r="D299" s="4" t="str">
        <f t="shared" si="4"/>
        <v/>
      </c>
      <c r="E299">
        <f>SUM($B$2:B299)</f>
        <v>42</v>
      </c>
    </row>
    <row r="300" spans="1:5" x14ac:dyDescent="0.35">
      <c r="A300" t="s">
        <v>62</v>
      </c>
      <c r="B300" s="1">
        <v>1</v>
      </c>
      <c r="D300" s="4">
        <f t="shared" si="4"/>
        <v>43</v>
      </c>
      <c r="E300">
        <f>SUM($B$2:B300)</f>
        <v>43</v>
      </c>
    </row>
    <row r="301" spans="1:5" x14ac:dyDescent="0.35">
      <c r="A301" t="s">
        <v>63</v>
      </c>
      <c r="D301" s="4" t="str">
        <f t="shared" si="4"/>
        <v/>
      </c>
      <c r="E301">
        <f>SUM($B$2:B301)</f>
        <v>43</v>
      </c>
    </row>
    <row r="302" spans="1:5" x14ac:dyDescent="0.35">
      <c r="A302" t="s">
        <v>64</v>
      </c>
      <c r="D302" s="4" t="str">
        <f t="shared" si="4"/>
        <v/>
      </c>
      <c r="E302">
        <f>SUM($B$2:B302)</f>
        <v>43</v>
      </c>
    </row>
    <row r="303" spans="1:5" x14ac:dyDescent="0.35">
      <c r="A303" t="s">
        <v>65</v>
      </c>
      <c r="D303" s="4" t="str">
        <f t="shared" si="4"/>
        <v/>
      </c>
      <c r="E303">
        <f>SUM($B$2:B303)</f>
        <v>43</v>
      </c>
    </row>
    <row r="304" spans="1:5" x14ac:dyDescent="0.35">
      <c r="A304" t="s">
        <v>66</v>
      </c>
      <c r="D304" s="4" t="str">
        <f t="shared" si="4"/>
        <v/>
      </c>
      <c r="E304">
        <f>SUM($B$2:B304)</f>
        <v>43</v>
      </c>
    </row>
    <row r="305" spans="1:5" x14ac:dyDescent="0.35">
      <c r="A305" t="s">
        <v>67</v>
      </c>
      <c r="D305" s="4" t="str">
        <f t="shared" si="4"/>
        <v/>
      </c>
      <c r="E305">
        <f>SUM($B$2:B305)</f>
        <v>43</v>
      </c>
    </row>
    <row r="306" spans="1:5" x14ac:dyDescent="0.35">
      <c r="A306" t="s">
        <v>68</v>
      </c>
      <c r="D306" s="4" t="str">
        <f t="shared" si="4"/>
        <v/>
      </c>
      <c r="E306">
        <f>SUM($B$2:B306)</f>
        <v>43</v>
      </c>
    </row>
    <row r="307" spans="1:5" x14ac:dyDescent="0.35">
      <c r="A307" t="s">
        <v>69</v>
      </c>
      <c r="B307" s="1">
        <v>1</v>
      </c>
      <c r="D307" s="4">
        <f t="shared" si="4"/>
        <v>44</v>
      </c>
      <c r="E307">
        <f>SUM($B$2:B307)</f>
        <v>44</v>
      </c>
    </row>
    <row r="308" spans="1:5" x14ac:dyDescent="0.35">
      <c r="A308" t="s">
        <v>70</v>
      </c>
      <c r="D308" s="4" t="str">
        <f t="shared" si="4"/>
        <v/>
      </c>
      <c r="E308">
        <f>SUM($B$2:B308)</f>
        <v>44</v>
      </c>
    </row>
    <row r="309" spans="1:5" x14ac:dyDescent="0.35">
      <c r="A309" t="s">
        <v>71</v>
      </c>
      <c r="D309" s="4" t="str">
        <f t="shared" si="4"/>
        <v/>
      </c>
      <c r="E309">
        <f>SUM($B$2:B309)</f>
        <v>44</v>
      </c>
    </row>
    <row r="310" spans="1:5" x14ac:dyDescent="0.35">
      <c r="A310" t="s">
        <v>72</v>
      </c>
      <c r="D310" s="4" t="str">
        <f t="shared" si="4"/>
        <v/>
      </c>
      <c r="E310">
        <f>SUM($B$2:B310)</f>
        <v>44</v>
      </c>
    </row>
    <row r="311" spans="1:5" x14ac:dyDescent="0.35">
      <c r="A311" s="2" t="s">
        <v>73</v>
      </c>
      <c r="B311" s="3"/>
      <c r="C311" s="2"/>
      <c r="D311" s="4">
        <f>E311+0.8</f>
        <v>44.8</v>
      </c>
      <c r="E311">
        <f>SUM($B$2:B311)</f>
        <v>44</v>
      </c>
    </row>
    <row r="312" spans="1:5" x14ac:dyDescent="0.35">
      <c r="A312" t="s">
        <v>420</v>
      </c>
      <c r="D312" s="4">
        <f>E317-0.7</f>
        <v>46.3</v>
      </c>
      <c r="E312">
        <f>SUM($B$2:B312)</f>
        <v>44</v>
      </c>
    </row>
    <row r="313" spans="1:5" x14ac:dyDescent="0.35">
      <c r="A313" t="s">
        <v>394</v>
      </c>
      <c r="D313" s="4" t="str">
        <f t="shared" si="4"/>
        <v/>
      </c>
      <c r="E313">
        <f>SUM($B$2:B313)</f>
        <v>44</v>
      </c>
    </row>
    <row r="314" spans="1:5" x14ac:dyDescent="0.35">
      <c r="A314" t="s">
        <v>395</v>
      </c>
      <c r="D314" s="4" t="str">
        <f t="shared" si="4"/>
        <v/>
      </c>
      <c r="E314">
        <f>SUM($B$2:B314)</f>
        <v>44</v>
      </c>
    </row>
    <row r="315" spans="1:5" x14ac:dyDescent="0.35">
      <c r="A315" t="s">
        <v>396</v>
      </c>
      <c r="D315" s="4" t="str">
        <f t="shared" si="4"/>
        <v/>
      </c>
      <c r="E315">
        <f>SUM($B$2:B315)</f>
        <v>44</v>
      </c>
    </row>
    <row r="316" spans="1:5" x14ac:dyDescent="0.35">
      <c r="A316" t="s">
        <v>397</v>
      </c>
      <c r="D316" s="4" t="str">
        <f t="shared" si="4"/>
        <v/>
      </c>
      <c r="E316">
        <f>SUM($B$2:B316)</f>
        <v>44</v>
      </c>
    </row>
    <row r="317" spans="1:5" x14ac:dyDescent="0.35">
      <c r="A317" t="s">
        <v>398</v>
      </c>
      <c r="B317" s="1">
        <v>3</v>
      </c>
      <c r="D317" s="4">
        <f t="shared" si="4"/>
        <v>47</v>
      </c>
      <c r="E317">
        <f>SUM($B$2:B317)</f>
        <v>47</v>
      </c>
    </row>
    <row r="318" spans="1:5" x14ac:dyDescent="0.35">
      <c r="A318" t="s">
        <v>399</v>
      </c>
      <c r="D318" s="4" t="str">
        <f t="shared" si="4"/>
        <v/>
      </c>
      <c r="E318">
        <f>SUM($B$2:B318)</f>
        <v>47</v>
      </c>
    </row>
    <row r="319" spans="1:5" x14ac:dyDescent="0.35">
      <c r="A319" t="s">
        <v>400</v>
      </c>
      <c r="D319" s="4" t="str">
        <f t="shared" si="4"/>
        <v/>
      </c>
      <c r="E319">
        <f>SUM($B$2:B319)</f>
        <v>47</v>
      </c>
    </row>
    <row r="320" spans="1:5" x14ac:dyDescent="0.35">
      <c r="A320" t="s">
        <v>401</v>
      </c>
      <c r="D320" s="4" t="str">
        <f t="shared" si="4"/>
        <v/>
      </c>
      <c r="E320">
        <f>SUM($B$2:B320)</f>
        <v>47</v>
      </c>
    </row>
    <row r="321" spans="1:5" x14ac:dyDescent="0.35">
      <c r="A321" t="s">
        <v>402</v>
      </c>
      <c r="D321" s="4" t="str">
        <f t="shared" si="4"/>
        <v/>
      </c>
      <c r="E321">
        <f>SUM($B$2:B321)</f>
        <v>47</v>
      </c>
    </row>
    <row r="322" spans="1:5" x14ac:dyDescent="0.35">
      <c r="A322" t="s">
        <v>403</v>
      </c>
      <c r="D322" s="4" t="str">
        <f t="shared" ref="D322:D385" si="5">IF(ISNUMBER(B322),E322, "")</f>
        <v/>
      </c>
      <c r="E322">
        <f>SUM($B$2:B322)</f>
        <v>47</v>
      </c>
    </row>
    <row r="323" spans="1:5" x14ac:dyDescent="0.35">
      <c r="A323" t="s">
        <v>404</v>
      </c>
      <c r="D323" s="4" t="str">
        <f t="shared" si="5"/>
        <v/>
      </c>
      <c r="E323">
        <f>SUM($B$2:B323)</f>
        <v>47</v>
      </c>
    </row>
    <row r="324" spans="1:5" x14ac:dyDescent="0.35">
      <c r="A324" t="s">
        <v>405</v>
      </c>
      <c r="D324" s="4" t="str">
        <f t="shared" si="5"/>
        <v/>
      </c>
      <c r="E324">
        <f>SUM($B$2:B324)</f>
        <v>47</v>
      </c>
    </row>
    <row r="325" spans="1:5" x14ac:dyDescent="0.35">
      <c r="A325" t="s">
        <v>406</v>
      </c>
      <c r="D325" s="4" t="str">
        <f t="shared" si="5"/>
        <v/>
      </c>
      <c r="E325">
        <f>SUM($B$2:B325)</f>
        <v>47</v>
      </c>
    </row>
    <row r="326" spans="1:5" x14ac:dyDescent="0.35">
      <c r="A326" t="s">
        <v>407</v>
      </c>
      <c r="D326" s="4" t="str">
        <f t="shared" si="5"/>
        <v/>
      </c>
      <c r="E326">
        <f>SUM($B$2:B326)</f>
        <v>47</v>
      </c>
    </row>
    <row r="327" spans="1:5" x14ac:dyDescent="0.35">
      <c r="A327" t="s">
        <v>408</v>
      </c>
      <c r="B327" s="1">
        <v>1</v>
      </c>
      <c r="D327" s="4">
        <f t="shared" si="5"/>
        <v>48</v>
      </c>
      <c r="E327">
        <f>SUM($B$2:B327)</f>
        <v>48</v>
      </c>
    </row>
    <row r="328" spans="1:5" x14ac:dyDescent="0.35">
      <c r="A328" t="s">
        <v>409</v>
      </c>
      <c r="D328" s="4" t="str">
        <f t="shared" si="5"/>
        <v/>
      </c>
      <c r="E328">
        <f>SUM($B$2:B328)</f>
        <v>48</v>
      </c>
    </row>
    <row r="329" spans="1:5" x14ac:dyDescent="0.35">
      <c r="A329" t="s">
        <v>410</v>
      </c>
      <c r="D329" s="4" t="str">
        <f t="shared" si="5"/>
        <v/>
      </c>
      <c r="E329">
        <f>SUM($B$2:B329)</f>
        <v>48</v>
      </c>
    </row>
    <row r="330" spans="1:5" x14ac:dyDescent="0.35">
      <c r="A330" t="s">
        <v>411</v>
      </c>
      <c r="D330" s="4" t="str">
        <f t="shared" si="5"/>
        <v/>
      </c>
      <c r="E330">
        <f>SUM($B$2:B330)</f>
        <v>48</v>
      </c>
    </row>
    <row r="331" spans="1:5" x14ac:dyDescent="0.35">
      <c r="A331" t="s">
        <v>412</v>
      </c>
      <c r="D331" s="4" t="str">
        <f t="shared" si="5"/>
        <v/>
      </c>
      <c r="E331">
        <f>SUM($B$2:B331)</f>
        <v>48</v>
      </c>
    </row>
    <row r="332" spans="1:5" x14ac:dyDescent="0.35">
      <c r="A332" t="s">
        <v>413</v>
      </c>
      <c r="D332" s="4" t="str">
        <f t="shared" si="5"/>
        <v/>
      </c>
      <c r="E332">
        <f>SUM($B$2:B332)</f>
        <v>48</v>
      </c>
    </row>
    <row r="333" spans="1:5" x14ac:dyDescent="0.35">
      <c r="A333" t="s">
        <v>414</v>
      </c>
      <c r="D333" s="4" t="str">
        <f t="shared" si="5"/>
        <v/>
      </c>
      <c r="E333">
        <f>SUM($B$2:B333)</f>
        <v>48</v>
      </c>
    </row>
    <row r="334" spans="1:5" x14ac:dyDescent="0.35">
      <c r="A334" t="s">
        <v>415</v>
      </c>
      <c r="D334" s="4" t="str">
        <f t="shared" si="5"/>
        <v/>
      </c>
      <c r="E334">
        <f>SUM($B$2:B334)</f>
        <v>48</v>
      </c>
    </row>
    <row r="335" spans="1:5" x14ac:dyDescent="0.35">
      <c r="A335" t="s">
        <v>416</v>
      </c>
      <c r="D335" s="4" t="str">
        <f t="shared" si="5"/>
        <v/>
      </c>
      <c r="E335">
        <f>SUM($B$2:B335)</f>
        <v>48</v>
      </c>
    </row>
    <row r="336" spans="1:5" x14ac:dyDescent="0.35">
      <c r="A336" t="s">
        <v>417</v>
      </c>
      <c r="D336" s="4" t="str">
        <f t="shared" si="5"/>
        <v/>
      </c>
      <c r="E336">
        <f>SUM($B$2:B336)</f>
        <v>48</v>
      </c>
    </row>
    <row r="337" spans="1:5" x14ac:dyDescent="0.35">
      <c r="A337" t="s">
        <v>418</v>
      </c>
      <c r="D337" s="4" t="str">
        <f t="shared" si="5"/>
        <v/>
      </c>
      <c r="E337">
        <f>SUM($B$2:B337)</f>
        <v>48</v>
      </c>
    </row>
    <row r="338" spans="1:5" x14ac:dyDescent="0.35">
      <c r="A338" t="s">
        <v>419</v>
      </c>
      <c r="B338" s="1">
        <v>1</v>
      </c>
      <c r="D338" s="4">
        <f t="shared" si="5"/>
        <v>49</v>
      </c>
      <c r="E338">
        <f>SUM($B$2:B338)</f>
        <v>49</v>
      </c>
    </row>
    <row r="339" spans="1:5" x14ac:dyDescent="0.35">
      <c r="A339" t="s">
        <v>421</v>
      </c>
      <c r="D339" s="4" t="str">
        <f t="shared" si="5"/>
        <v/>
      </c>
      <c r="E339">
        <f>SUM($B$2:B339)</f>
        <v>49</v>
      </c>
    </row>
    <row r="340" spans="1:5" x14ac:dyDescent="0.35">
      <c r="A340" s="2" t="s">
        <v>422</v>
      </c>
      <c r="B340" s="3"/>
      <c r="C340" s="2"/>
      <c r="D340" s="4">
        <f>E340+0.3</f>
        <v>49.3</v>
      </c>
      <c r="E340">
        <f>SUM($B$2:B340)</f>
        <v>49</v>
      </c>
    </row>
    <row r="341" spans="1:5" x14ac:dyDescent="0.35">
      <c r="A341" t="s">
        <v>272</v>
      </c>
      <c r="D341" s="4">
        <f>E342-0.1</f>
        <v>47.9</v>
      </c>
      <c r="E341">
        <f>SUM($B$2:B341)</f>
        <v>49</v>
      </c>
    </row>
    <row r="342" spans="1:5" x14ac:dyDescent="0.35">
      <c r="A342" t="s">
        <v>273</v>
      </c>
      <c r="B342" s="1">
        <v>-1</v>
      </c>
      <c r="D342" s="4">
        <f>IF(ISNUMBER(B342),E342, "")</f>
        <v>48</v>
      </c>
      <c r="E342">
        <f>SUM($B$2:B342)</f>
        <v>48</v>
      </c>
    </row>
    <row r="343" spans="1:5" x14ac:dyDescent="0.35">
      <c r="A343" t="s">
        <v>274</v>
      </c>
      <c r="D343" s="4" t="str">
        <f t="shared" si="5"/>
        <v/>
      </c>
      <c r="E343">
        <f>SUM($B$2:B343)</f>
        <v>48</v>
      </c>
    </row>
    <row r="344" spans="1:5" x14ac:dyDescent="0.35">
      <c r="A344" t="s">
        <v>275</v>
      </c>
      <c r="D344" s="4" t="str">
        <f t="shared" si="5"/>
        <v/>
      </c>
      <c r="E344">
        <f>SUM($B$2:B344)</f>
        <v>48</v>
      </c>
    </row>
    <row r="345" spans="1:5" x14ac:dyDescent="0.35">
      <c r="A345" t="s">
        <v>276</v>
      </c>
      <c r="D345" s="4" t="str">
        <f t="shared" si="5"/>
        <v/>
      </c>
      <c r="E345">
        <f>SUM($B$2:B345)</f>
        <v>48</v>
      </c>
    </row>
    <row r="346" spans="1:5" x14ac:dyDescent="0.35">
      <c r="A346" t="s">
        <v>277</v>
      </c>
      <c r="D346" s="4" t="str">
        <f t="shared" si="5"/>
        <v/>
      </c>
      <c r="E346">
        <f>SUM($B$2:B346)</f>
        <v>48</v>
      </c>
    </row>
    <row r="347" spans="1:5" x14ac:dyDescent="0.35">
      <c r="A347" t="s">
        <v>278</v>
      </c>
      <c r="D347" s="4" t="str">
        <f t="shared" si="5"/>
        <v/>
      </c>
      <c r="E347">
        <f>SUM($B$2:B347)</f>
        <v>48</v>
      </c>
    </row>
    <row r="348" spans="1:5" x14ac:dyDescent="0.35">
      <c r="A348" t="s">
        <v>279</v>
      </c>
      <c r="B348" s="1">
        <v>1</v>
      </c>
      <c r="D348" s="4">
        <f t="shared" si="5"/>
        <v>49</v>
      </c>
      <c r="E348">
        <f>SUM($B$2:B348)</f>
        <v>49</v>
      </c>
    </row>
    <row r="349" spans="1:5" x14ac:dyDescent="0.35">
      <c r="A349" t="s">
        <v>280</v>
      </c>
      <c r="D349" s="4" t="str">
        <f t="shared" si="5"/>
        <v/>
      </c>
      <c r="E349">
        <f>SUM($B$2:B349)</f>
        <v>49</v>
      </c>
    </row>
    <row r="350" spans="1:5" x14ac:dyDescent="0.35">
      <c r="A350" t="s">
        <v>281</v>
      </c>
      <c r="D350" s="4" t="str">
        <f t="shared" si="5"/>
        <v/>
      </c>
      <c r="E350">
        <f>SUM($B$2:B350)</f>
        <v>49</v>
      </c>
    </row>
    <row r="351" spans="1:5" x14ac:dyDescent="0.35">
      <c r="A351" t="s">
        <v>282</v>
      </c>
      <c r="D351" s="4" t="str">
        <f t="shared" si="5"/>
        <v/>
      </c>
      <c r="E351">
        <f>SUM($B$2:B351)</f>
        <v>49</v>
      </c>
    </row>
    <row r="352" spans="1:5" x14ac:dyDescent="0.35">
      <c r="A352" t="s">
        <v>283</v>
      </c>
      <c r="D352" s="4" t="str">
        <f t="shared" si="5"/>
        <v/>
      </c>
      <c r="E352">
        <f>SUM($B$2:B352)</f>
        <v>49</v>
      </c>
    </row>
    <row r="353" spans="1:5" x14ac:dyDescent="0.35">
      <c r="A353" t="s">
        <v>284</v>
      </c>
      <c r="D353" s="4" t="str">
        <f t="shared" si="5"/>
        <v/>
      </c>
      <c r="E353">
        <f>SUM($B$2:B353)</f>
        <v>49</v>
      </c>
    </row>
    <row r="354" spans="1:5" x14ac:dyDescent="0.35">
      <c r="A354" t="s">
        <v>285</v>
      </c>
      <c r="D354" s="4" t="str">
        <f t="shared" si="5"/>
        <v/>
      </c>
      <c r="E354">
        <f>SUM($B$2:B354)</f>
        <v>49</v>
      </c>
    </row>
    <row r="355" spans="1:5" x14ac:dyDescent="0.35">
      <c r="A355" t="s">
        <v>286</v>
      </c>
      <c r="D355" s="4" t="str">
        <f t="shared" si="5"/>
        <v/>
      </c>
      <c r="E355">
        <f>SUM($B$2:B355)</f>
        <v>49</v>
      </c>
    </row>
    <row r="356" spans="1:5" x14ac:dyDescent="0.35">
      <c r="A356" t="s">
        <v>287</v>
      </c>
      <c r="D356" s="4" t="str">
        <f t="shared" si="5"/>
        <v/>
      </c>
      <c r="E356">
        <f>SUM($B$2:B356)</f>
        <v>49</v>
      </c>
    </row>
    <row r="357" spans="1:5" x14ac:dyDescent="0.35">
      <c r="A357" t="s">
        <v>288</v>
      </c>
      <c r="B357" s="1">
        <v>1</v>
      </c>
      <c r="D357" s="4">
        <f t="shared" si="5"/>
        <v>50</v>
      </c>
      <c r="E357">
        <f>SUM($B$2:B357)</f>
        <v>50</v>
      </c>
    </row>
    <row r="358" spans="1:5" x14ac:dyDescent="0.35">
      <c r="A358" t="s">
        <v>289</v>
      </c>
      <c r="D358" s="4" t="str">
        <f t="shared" si="5"/>
        <v/>
      </c>
      <c r="E358">
        <f>SUM($B$2:B358)</f>
        <v>50</v>
      </c>
    </row>
    <row r="359" spans="1:5" x14ac:dyDescent="0.35">
      <c r="A359" t="s">
        <v>290</v>
      </c>
      <c r="D359" s="4" t="str">
        <f t="shared" si="5"/>
        <v/>
      </c>
      <c r="E359">
        <f>SUM($B$2:B359)</f>
        <v>50</v>
      </c>
    </row>
    <row r="360" spans="1:5" x14ac:dyDescent="0.35">
      <c r="A360" t="s">
        <v>291</v>
      </c>
      <c r="D360" s="4" t="str">
        <f t="shared" si="5"/>
        <v/>
      </c>
      <c r="E360">
        <f>SUM($B$2:B360)</f>
        <v>50</v>
      </c>
    </row>
    <row r="361" spans="1:5" x14ac:dyDescent="0.35">
      <c r="A361" t="s">
        <v>292</v>
      </c>
      <c r="D361" s="4" t="str">
        <f t="shared" si="5"/>
        <v/>
      </c>
      <c r="E361">
        <f>SUM($B$2:B361)</f>
        <v>50</v>
      </c>
    </row>
    <row r="362" spans="1:5" x14ac:dyDescent="0.35">
      <c r="A362" t="s">
        <v>293</v>
      </c>
      <c r="D362" s="4" t="str">
        <f t="shared" si="5"/>
        <v/>
      </c>
      <c r="E362">
        <f>SUM($B$2:B362)</f>
        <v>50</v>
      </c>
    </row>
    <row r="363" spans="1:5" x14ac:dyDescent="0.35">
      <c r="A363" t="s">
        <v>294</v>
      </c>
      <c r="D363" s="4" t="str">
        <f t="shared" si="5"/>
        <v/>
      </c>
      <c r="E363">
        <f>SUM($B$2:B363)</f>
        <v>50</v>
      </c>
    </row>
    <row r="364" spans="1:5" x14ac:dyDescent="0.35">
      <c r="A364" t="s">
        <v>295</v>
      </c>
      <c r="D364" s="4" t="str">
        <f t="shared" si="5"/>
        <v/>
      </c>
      <c r="E364">
        <f>SUM($B$2:B364)</f>
        <v>50</v>
      </c>
    </row>
    <row r="365" spans="1:5" x14ac:dyDescent="0.35">
      <c r="A365" t="s">
        <v>296</v>
      </c>
      <c r="D365" s="4" t="str">
        <f t="shared" si="5"/>
        <v/>
      </c>
      <c r="E365">
        <f>SUM($B$2:B365)</f>
        <v>50</v>
      </c>
    </row>
    <row r="366" spans="1:5" x14ac:dyDescent="0.35">
      <c r="A366" t="s">
        <v>297</v>
      </c>
      <c r="D366" s="4" t="str">
        <f t="shared" si="5"/>
        <v/>
      </c>
      <c r="E366">
        <f>SUM($B$2:B366)</f>
        <v>50</v>
      </c>
    </row>
    <row r="367" spans="1:5" x14ac:dyDescent="0.35">
      <c r="A367" t="s">
        <v>298</v>
      </c>
      <c r="D367" s="4" t="str">
        <f t="shared" si="5"/>
        <v/>
      </c>
      <c r="E367">
        <f>SUM($B$2:B367)</f>
        <v>50</v>
      </c>
    </row>
    <row r="368" spans="1:5" x14ac:dyDescent="0.35">
      <c r="A368" t="s">
        <v>299</v>
      </c>
      <c r="B368" s="1">
        <v>1</v>
      </c>
      <c r="D368" s="4">
        <f t="shared" si="5"/>
        <v>51</v>
      </c>
      <c r="E368">
        <f>SUM($B$2:B368)</f>
        <v>51</v>
      </c>
    </row>
    <row r="369" spans="1:5" x14ac:dyDescent="0.35">
      <c r="A369" t="s">
        <v>300</v>
      </c>
      <c r="D369" s="4" t="str">
        <f t="shared" si="5"/>
        <v/>
      </c>
      <c r="E369">
        <f>SUM($B$2:B369)</f>
        <v>51</v>
      </c>
    </row>
    <row r="370" spans="1:5" x14ac:dyDescent="0.35">
      <c r="A370" t="s">
        <v>301</v>
      </c>
      <c r="D370" s="4" t="str">
        <f t="shared" si="5"/>
        <v/>
      </c>
      <c r="E370">
        <f>SUM($B$2:B370)</f>
        <v>51</v>
      </c>
    </row>
    <row r="371" spans="1:5" x14ac:dyDescent="0.35">
      <c r="A371" t="s">
        <v>302</v>
      </c>
      <c r="D371" s="4" t="str">
        <f t="shared" si="5"/>
        <v/>
      </c>
      <c r="E371">
        <f>SUM($B$2:B371)</f>
        <v>51</v>
      </c>
    </row>
    <row r="372" spans="1:5" x14ac:dyDescent="0.35">
      <c r="A372" t="s">
        <v>303</v>
      </c>
      <c r="D372" s="4" t="str">
        <f t="shared" si="5"/>
        <v/>
      </c>
      <c r="E372">
        <f>SUM($B$2:B372)</f>
        <v>51</v>
      </c>
    </row>
    <row r="373" spans="1:5" x14ac:dyDescent="0.35">
      <c r="A373" t="s">
        <v>304</v>
      </c>
      <c r="D373" s="4" t="str">
        <f t="shared" si="5"/>
        <v/>
      </c>
      <c r="E373">
        <f>SUM($B$2:B373)</f>
        <v>51</v>
      </c>
    </row>
    <row r="374" spans="1:5" x14ac:dyDescent="0.35">
      <c r="A374" t="s">
        <v>305</v>
      </c>
      <c r="B374" s="1">
        <v>1</v>
      </c>
      <c r="D374" s="4">
        <f t="shared" si="5"/>
        <v>52</v>
      </c>
      <c r="E374">
        <f>SUM($B$2:B374)</f>
        <v>52</v>
      </c>
    </row>
    <row r="375" spans="1:5" x14ac:dyDescent="0.35">
      <c r="A375" t="s">
        <v>306</v>
      </c>
      <c r="D375" s="4" t="str">
        <f t="shared" si="5"/>
        <v/>
      </c>
      <c r="E375">
        <f>SUM($B$2:B375)</f>
        <v>52</v>
      </c>
    </row>
    <row r="376" spans="1:5" x14ac:dyDescent="0.35">
      <c r="A376" t="s">
        <v>307</v>
      </c>
      <c r="D376" s="4" t="str">
        <f t="shared" si="5"/>
        <v/>
      </c>
      <c r="E376">
        <f>SUM($B$2:B376)</f>
        <v>52</v>
      </c>
    </row>
    <row r="377" spans="1:5" x14ac:dyDescent="0.35">
      <c r="A377" t="s">
        <v>308</v>
      </c>
      <c r="D377" s="4" t="str">
        <f t="shared" si="5"/>
        <v/>
      </c>
      <c r="E377">
        <f>SUM($B$2:B377)</f>
        <v>52</v>
      </c>
    </row>
    <row r="378" spans="1:5" x14ac:dyDescent="0.35">
      <c r="A378" t="s">
        <v>309</v>
      </c>
      <c r="D378" s="4" t="str">
        <f t="shared" si="5"/>
        <v/>
      </c>
      <c r="E378">
        <f>SUM($B$2:B378)</f>
        <v>52</v>
      </c>
    </row>
    <row r="379" spans="1:5" x14ac:dyDescent="0.35">
      <c r="A379" t="s">
        <v>310</v>
      </c>
      <c r="D379" s="4" t="str">
        <f t="shared" si="5"/>
        <v/>
      </c>
      <c r="E379">
        <f>SUM($B$2:B379)</f>
        <v>52</v>
      </c>
    </row>
    <row r="380" spans="1:5" x14ac:dyDescent="0.35">
      <c r="A380" t="s">
        <v>311</v>
      </c>
      <c r="D380" s="4" t="str">
        <f t="shared" si="5"/>
        <v/>
      </c>
      <c r="E380">
        <f>SUM($B$2:B380)</f>
        <v>52</v>
      </c>
    </row>
    <row r="381" spans="1:5" x14ac:dyDescent="0.35">
      <c r="A381" t="s">
        <v>312</v>
      </c>
      <c r="B381" s="1">
        <v>1</v>
      </c>
      <c r="D381" s="4">
        <f t="shared" si="5"/>
        <v>53</v>
      </c>
      <c r="E381">
        <f>SUM($B$2:B381)</f>
        <v>53</v>
      </c>
    </row>
    <row r="382" spans="1:5" x14ac:dyDescent="0.35">
      <c r="A382" t="s">
        <v>313</v>
      </c>
      <c r="D382" s="4" t="str">
        <f t="shared" si="5"/>
        <v/>
      </c>
      <c r="E382">
        <f>SUM($B$2:B382)</f>
        <v>53</v>
      </c>
    </row>
    <row r="383" spans="1:5" x14ac:dyDescent="0.35">
      <c r="A383" t="s">
        <v>314</v>
      </c>
      <c r="D383" s="4" t="str">
        <f t="shared" si="5"/>
        <v/>
      </c>
      <c r="E383">
        <f>SUM($B$2:B383)</f>
        <v>53</v>
      </c>
    </row>
    <row r="384" spans="1:5" x14ac:dyDescent="0.35">
      <c r="A384" t="s">
        <v>315</v>
      </c>
      <c r="D384" s="4" t="str">
        <f t="shared" si="5"/>
        <v/>
      </c>
      <c r="E384">
        <f>SUM($B$2:B384)</f>
        <v>53</v>
      </c>
    </row>
    <row r="385" spans="1:5" x14ac:dyDescent="0.35">
      <c r="A385" t="s">
        <v>316</v>
      </c>
      <c r="D385" s="4" t="str">
        <f t="shared" si="5"/>
        <v/>
      </c>
      <c r="E385">
        <f>SUM($B$2:B385)</f>
        <v>53</v>
      </c>
    </row>
    <row r="386" spans="1:5" x14ac:dyDescent="0.35">
      <c r="A386" t="s">
        <v>317</v>
      </c>
      <c r="D386" s="4" t="str">
        <f t="shared" ref="D386:D449" si="6">IF(ISNUMBER(B386),E386, "")</f>
        <v/>
      </c>
      <c r="E386">
        <f>SUM($B$2:B386)</f>
        <v>53</v>
      </c>
    </row>
    <row r="387" spans="1:5" x14ac:dyDescent="0.35">
      <c r="A387" t="s">
        <v>318</v>
      </c>
      <c r="D387" s="4" t="str">
        <f t="shared" si="6"/>
        <v/>
      </c>
      <c r="E387">
        <f>SUM($B$2:B387)</f>
        <v>53</v>
      </c>
    </row>
    <row r="388" spans="1:5" x14ac:dyDescent="0.35">
      <c r="A388" t="s">
        <v>319</v>
      </c>
      <c r="D388" s="4" t="str">
        <f t="shared" si="6"/>
        <v/>
      </c>
      <c r="E388">
        <f>SUM($B$2:B388)</f>
        <v>53</v>
      </c>
    </row>
    <row r="389" spans="1:5" x14ac:dyDescent="0.35">
      <c r="A389" t="s">
        <v>320</v>
      </c>
      <c r="B389" s="1">
        <v>1</v>
      </c>
      <c r="D389" s="4">
        <f t="shared" si="6"/>
        <v>54</v>
      </c>
      <c r="E389">
        <f>SUM($B$2:B389)</f>
        <v>54</v>
      </c>
    </row>
    <row r="390" spans="1:5" x14ac:dyDescent="0.35">
      <c r="A390" t="s">
        <v>321</v>
      </c>
      <c r="D390" s="4" t="str">
        <f t="shared" si="6"/>
        <v/>
      </c>
      <c r="E390">
        <f>SUM($B$2:B390)</f>
        <v>54</v>
      </c>
    </row>
    <row r="391" spans="1:5" x14ac:dyDescent="0.35">
      <c r="A391" t="s">
        <v>322</v>
      </c>
      <c r="D391" s="4" t="str">
        <f t="shared" si="6"/>
        <v/>
      </c>
      <c r="E391">
        <f>SUM($B$2:B391)</f>
        <v>54</v>
      </c>
    </row>
    <row r="392" spans="1:5" x14ac:dyDescent="0.35">
      <c r="A392" t="s">
        <v>323</v>
      </c>
      <c r="D392" s="4" t="str">
        <f t="shared" si="6"/>
        <v/>
      </c>
      <c r="E392">
        <f>SUM($B$2:B392)</f>
        <v>54</v>
      </c>
    </row>
    <row r="393" spans="1:5" x14ac:dyDescent="0.35">
      <c r="A393" t="s">
        <v>324</v>
      </c>
      <c r="D393" s="4" t="str">
        <f t="shared" si="6"/>
        <v/>
      </c>
      <c r="E393">
        <f>SUM($B$2:B393)</f>
        <v>54</v>
      </c>
    </row>
    <row r="394" spans="1:5" x14ac:dyDescent="0.35">
      <c r="A394" t="s">
        <v>325</v>
      </c>
      <c r="D394" s="4" t="str">
        <f t="shared" si="6"/>
        <v/>
      </c>
      <c r="E394">
        <f>SUM($B$2:B394)</f>
        <v>54</v>
      </c>
    </row>
    <row r="395" spans="1:5" x14ac:dyDescent="0.35">
      <c r="A395" t="s">
        <v>326</v>
      </c>
      <c r="D395" s="4" t="str">
        <f t="shared" si="6"/>
        <v/>
      </c>
      <c r="E395">
        <f>SUM($B$2:B395)</f>
        <v>54</v>
      </c>
    </row>
    <row r="396" spans="1:5" x14ac:dyDescent="0.35">
      <c r="A396" t="s">
        <v>327</v>
      </c>
      <c r="D396" s="4" t="str">
        <f t="shared" si="6"/>
        <v/>
      </c>
      <c r="E396">
        <f>SUM($B$2:B396)</f>
        <v>54</v>
      </c>
    </row>
    <row r="397" spans="1:5" x14ac:dyDescent="0.35">
      <c r="A397" t="s">
        <v>328</v>
      </c>
      <c r="B397" s="1">
        <v>1</v>
      </c>
      <c r="D397" s="4">
        <f t="shared" si="6"/>
        <v>55</v>
      </c>
      <c r="E397">
        <f>SUM($B$2:B397)</f>
        <v>55</v>
      </c>
    </row>
    <row r="398" spans="1:5" x14ac:dyDescent="0.35">
      <c r="A398" t="s">
        <v>329</v>
      </c>
      <c r="D398" s="4" t="str">
        <f t="shared" si="6"/>
        <v/>
      </c>
      <c r="E398">
        <f>SUM($B$2:B398)</f>
        <v>55</v>
      </c>
    </row>
    <row r="399" spans="1:5" x14ac:dyDescent="0.35">
      <c r="A399" t="s">
        <v>330</v>
      </c>
      <c r="D399" s="4" t="str">
        <f t="shared" si="6"/>
        <v/>
      </c>
      <c r="E399">
        <f>SUM($B$2:B399)</f>
        <v>55</v>
      </c>
    </row>
    <row r="400" spans="1:5" x14ac:dyDescent="0.35">
      <c r="A400" t="s">
        <v>331</v>
      </c>
      <c r="D400" s="4" t="str">
        <f t="shared" si="6"/>
        <v/>
      </c>
      <c r="E400">
        <f>SUM($B$2:B400)</f>
        <v>55</v>
      </c>
    </row>
    <row r="401" spans="1:5" x14ac:dyDescent="0.35">
      <c r="A401" t="s">
        <v>332</v>
      </c>
      <c r="D401" s="4" t="str">
        <f t="shared" si="6"/>
        <v/>
      </c>
      <c r="E401">
        <f>SUM($B$2:B401)</f>
        <v>55</v>
      </c>
    </row>
    <row r="402" spans="1:5" x14ac:dyDescent="0.35">
      <c r="A402" t="s">
        <v>333</v>
      </c>
      <c r="D402" s="4" t="str">
        <f t="shared" si="6"/>
        <v/>
      </c>
      <c r="E402">
        <f>SUM($B$2:B402)</f>
        <v>55</v>
      </c>
    </row>
    <row r="403" spans="1:5" x14ac:dyDescent="0.35">
      <c r="A403" t="s">
        <v>334</v>
      </c>
      <c r="D403" s="4" t="str">
        <f t="shared" si="6"/>
        <v/>
      </c>
      <c r="E403">
        <f>SUM($B$2:B403)</f>
        <v>55</v>
      </c>
    </row>
    <row r="404" spans="1:5" x14ac:dyDescent="0.35">
      <c r="A404" t="s">
        <v>335</v>
      </c>
      <c r="D404" s="4" t="str">
        <f t="shared" si="6"/>
        <v/>
      </c>
      <c r="E404">
        <f>SUM($B$2:B404)</f>
        <v>55</v>
      </c>
    </row>
    <row r="405" spans="1:5" x14ac:dyDescent="0.35">
      <c r="A405" t="s">
        <v>336</v>
      </c>
      <c r="D405" s="4" t="str">
        <f t="shared" si="6"/>
        <v/>
      </c>
      <c r="E405">
        <f>SUM($B$2:B405)</f>
        <v>55</v>
      </c>
    </row>
    <row r="406" spans="1:5" x14ac:dyDescent="0.35">
      <c r="A406" t="s">
        <v>337</v>
      </c>
      <c r="D406" s="4" t="str">
        <f t="shared" si="6"/>
        <v/>
      </c>
      <c r="E406">
        <f>SUM($B$2:B406)</f>
        <v>55</v>
      </c>
    </row>
    <row r="407" spans="1:5" x14ac:dyDescent="0.35">
      <c r="A407" t="s">
        <v>338</v>
      </c>
      <c r="D407" s="4" t="str">
        <f t="shared" si="6"/>
        <v/>
      </c>
      <c r="E407">
        <f>SUM($B$2:B407)</f>
        <v>55</v>
      </c>
    </row>
    <row r="408" spans="1:5" x14ac:dyDescent="0.35">
      <c r="A408" t="s">
        <v>339</v>
      </c>
      <c r="D408" s="4" t="str">
        <f t="shared" si="6"/>
        <v/>
      </c>
      <c r="E408">
        <f>SUM($B$2:B408)</f>
        <v>55</v>
      </c>
    </row>
    <row r="409" spans="1:5" x14ac:dyDescent="0.35">
      <c r="A409" t="s">
        <v>340</v>
      </c>
      <c r="D409" s="4" t="str">
        <f t="shared" si="6"/>
        <v/>
      </c>
      <c r="E409">
        <f>SUM($B$2:B409)</f>
        <v>55</v>
      </c>
    </row>
    <row r="410" spans="1:5" x14ac:dyDescent="0.35">
      <c r="A410" t="s">
        <v>341</v>
      </c>
      <c r="D410" s="4" t="str">
        <f t="shared" si="6"/>
        <v/>
      </c>
      <c r="E410">
        <f>SUM($B$2:B410)</f>
        <v>55</v>
      </c>
    </row>
    <row r="411" spans="1:5" x14ac:dyDescent="0.35">
      <c r="A411" t="s">
        <v>342</v>
      </c>
      <c r="D411" s="4" t="str">
        <f t="shared" si="6"/>
        <v/>
      </c>
      <c r="E411">
        <f>SUM($B$2:B411)</f>
        <v>55</v>
      </c>
    </row>
    <row r="412" spans="1:5" x14ac:dyDescent="0.35">
      <c r="A412" t="s">
        <v>343</v>
      </c>
      <c r="D412" s="4" t="str">
        <f t="shared" si="6"/>
        <v/>
      </c>
      <c r="E412">
        <f>SUM($B$2:B412)</f>
        <v>55</v>
      </c>
    </row>
    <row r="413" spans="1:5" x14ac:dyDescent="0.35">
      <c r="A413" t="s">
        <v>344</v>
      </c>
      <c r="B413" s="1">
        <v>1</v>
      </c>
      <c r="D413" s="4">
        <f t="shared" si="6"/>
        <v>56</v>
      </c>
      <c r="E413">
        <f>SUM($B$2:B413)</f>
        <v>56</v>
      </c>
    </row>
    <row r="414" spans="1:5" x14ac:dyDescent="0.35">
      <c r="A414" t="s">
        <v>345</v>
      </c>
      <c r="D414" s="4" t="str">
        <f t="shared" si="6"/>
        <v/>
      </c>
      <c r="E414">
        <f>SUM($B$2:B414)</f>
        <v>56</v>
      </c>
    </row>
    <row r="415" spans="1:5" x14ac:dyDescent="0.35">
      <c r="A415" t="s">
        <v>346</v>
      </c>
      <c r="D415" s="4" t="str">
        <f t="shared" si="6"/>
        <v/>
      </c>
      <c r="E415">
        <f>SUM($B$2:B415)</f>
        <v>56</v>
      </c>
    </row>
    <row r="416" spans="1:5" x14ac:dyDescent="0.35">
      <c r="A416" t="s">
        <v>347</v>
      </c>
      <c r="D416" s="4" t="str">
        <f t="shared" si="6"/>
        <v/>
      </c>
      <c r="E416">
        <f>SUM($B$2:B416)</f>
        <v>56</v>
      </c>
    </row>
    <row r="417" spans="1:6" x14ac:dyDescent="0.35">
      <c r="A417" t="s">
        <v>348</v>
      </c>
      <c r="D417" s="4" t="str">
        <f t="shared" si="6"/>
        <v/>
      </c>
      <c r="E417">
        <f>SUM($B$2:B417)</f>
        <v>56</v>
      </c>
    </row>
    <row r="418" spans="1:6" x14ac:dyDescent="0.35">
      <c r="A418" t="s">
        <v>349</v>
      </c>
      <c r="D418" s="4" t="str">
        <f t="shared" si="6"/>
        <v/>
      </c>
      <c r="E418">
        <f>SUM($B$2:B418)</f>
        <v>56</v>
      </c>
    </row>
    <row r="419" spans="1:6" x14ac:dyDescent="0.35">
      <c r="A419" t="s">
        <v>350</v>
      </c>
      <c r="D419" s="4" t="str">
        <f t="shared" si="6"/>
        <v/>
      </c>
      <c r="E419">
        <f>SUM($B$2:B419)</f>
        <v>56</v>
      </c>
    </row>
    <row r="420" spans="1:6" x14ac:dyDescent="0.35">
      <c r="A420" t="s">
        <v>351</v>
      </c>
      <c r="B420" s="1">
        <v>1</v>
      </c>
      <c r="D420" s="4">
        <f t="shared" si="6"/>
        <v>57</v>
      </c>
      <c r="E420">
        <f>SUM($B$2:B420)</f>
        <v>57</v>
      </c>
    </row>
    <row r="421" spans="1:6" x14ac:dyDescent="0.35">
      <c r="A421" t="s">
        <v>352</v>
      </c>
      <c r="D421" s="4" t="str">
        <f t="shared" si="6"/>
        <v/>
      </c>
      <c r="E421">
        <f>SUM($B$2:B421)</f>
        <v>57</v>
      </c>
    </row>
    <row r="422" spans="1:6" x14ac:dyDescent="0.35">
      <c r="A422" t="s">
        <v>353</v>
      </c>
      <c r="D422" s="4" t="str">
        <f t="shared" si="6"/>
        <v/>
      </c>
      <c r="E422">
        <f>SUM($B$2:B422)</f>
        <v>57</v>
      </c>
    </row>
    <row r="423" spans="1:6" x14ac:dyDescent="0.35">
      <c r="A423" t="s">
        <v>354</v>
      </c>
      <c r="D423" s="4" t="str">
        <f t="shared" si="6"/>
        <v/>
      </c>
      <c r="E423">
        <f>SUM($B$2:B423)</f>
        <v>57</v>
      </c>
    </row>
    <row r="424" spans="1:6" x14ac:dyDescent="0.35">
      <c r="A424" t="s">
        <v>355</v>
      </c>
      <c r="D424" s="4" t="str">
        <f t="shared" si="6"/>
        <v/>
      </c>
      <c r="E424">
        <f>SUM($B$2:B424)</f>
        <v>57</v>
      </c>
    </row>
    <row r="425" spans="1:6" x14ac:dyDescent="0.35">
      <c r="A425" t="s">
        <v>356</v>
      </c>
      <c r="D425" s="4" t="str">
        <f t="shared" si="6"/>
        <v/>
      </c>
      <c r="E425">
        <f>SUM($B$2:B425)</f>
        <v>57</v>
      </c>
    </row>
    <row r="426" spans="1:6" x14ac:dyDescent="0.35">
      <c r="A426" t="s">
        <v>357</v>
      </c>
      <c r="D426" s="4" t="str">
        <f t="shared" si="6"/>
        <v/>
      </c>
      <c r="E426">
        <f>SUM($B$2:B426)</f>
        <v>57</v>
      </c>
    </row>
    <row r="427" spans="1:6" x14ac:dyDescent="0.35">
      <c r="A427" t="s">
        <v>358</v>
      </c>
      <c r="B427" s="1">
        <v>1</v>
      </c>
      <c r="D427" s="4">
        <f t="shared" si="6"/>
        <v>58</v>
      </c>
      <c r="E427">
        <f>SUM($B$2:B427)</f>
        <v>58</v>
      </c>
    </row>
    <row r="428" spans="1:6" x14ac:dyDescent="0.35">
      <c r="A428" t="s">
        <v>359</v>
      </c>
      <c r="D428" s="4" t="str">
        <f t="shared" si="6"/>
        <v/>
      </c>
      <c r="E428">
        <f>SUM($B$2:B428)</f>
        <v>58</v>
      </c>
    </row>
    <row r="429" spans="1:6" x14ac:dyDescent="0.35">
      <c r="A429" t="s">
        <v>360</v>
      </c>
      <c r="D429" s="4" t="str">
        <f t="shared" si="6"/>
        <v/>
      </c>
      <c r="E429">
        <f>SUM($B$2:B429)</f>
        <v>58</v>
      </c>
    </row>
    <row r="430" spans="1:6" x14ac:dyDescent="0.35">
      <c r="A430" t="s">
        <v>361</v>
      </c>
      <c r="D430" s="4" t="str">
        <f t="shared" si="6"/>
        <v/>
      </c>
      <c r="E430">
        <f>SUM($B$2:B430)</f>
        <v>58</v>
      </c>
    </row>
    <row r="431" spans="1:6" x14ac:dyDescent="0.35">
      <c r="A431" s="8" t="s">
        <v>362</v>
      </c>
      <c r="B431" s="9">
        <v>1</v>
      </c>
      <c r="C431" s="8"/>
      <c r="D431" s="10">
        <f t="shared" si="6"/>
        <v>59</v>
      </c>
      <c r="E431" s="8">
        <f>SUM($B$2:B431)</f>
        <v>59</v>
      </c>
      <c r="F431" t="s">
        <v>578</v>
      </c>
    </row>
    <row r="432" spans="1:6" x14ac:dyDescent="0.35">
      <c r="A432" t="s">
        <v>363</v>
      </c>
      <c r="D432" s="4" t="str">
        <f t="shared" si="6"/>
        <v/>
      </c>
      <c r="E432">
        <f>SUM($B$2:B432)</f>
        <v>59</v>
      </c>
    </row>
    <row r="433" spans="1:6" x14ac:dyDescent="0.35">
      <c r="A433" t="s">
        <v>364</v>
      </c>
      <c r="D433" s="4" t="str">
        <f t="shared" si="6"/>
        <v/>
      </c>
      <c r="E433">
        <f>SUM($B$2:B433)</f>
        <v>59</v>
      </c>
    </row>
    <row r="434" spans="1:6" x14ac:dyDescent="0.35">
      <c r="A434" t="s">
        <v>365</v>
      </c>
      <c r="D434" s="4" t="str">
        <f t="shared" si="6"/>
        <v/>
      </c>
      <c r="E434">
        <f>SUM($B$2:B434)</f>
        <v>59</v>
      </c>
    </row>
    <row r="435" spans="1:6" x14ac:dyDescent="0.35">
      <c r="A435" s="5" t="s">
        <v>366</v>
      </c>
      <c r="B435" s="6"/>
      <c r="C435" s="5"/>
      <c r="D435" s="7" t="str">
        <f t="shared" si="6"/>
        <v/>
      </c>
      <c r="E435" s="5">
        <f>SUM($B$2:B435)</f>
        <v>59</v>
      </c>
      <c r="F435" t="s">
        <v>577</v>
      </c>
    </row>
    <row r="436" spans="1:6" x14ac:dyDescent="0.35">
      <c r="A436" t="s">
        <v>367</v>
      </c>
      <c r="D436" s="4" t="str">
        <f t="shared" si="6"/>
        <v/>
      </c>
      <c r="E436">
        <f>SUM($B$2:B436)</f>
        <v>59</v>
      </c>
    </row>
    <row r="437" spans="1:6" x14ac:dyDescent="0.35">
      <c r="A437" t="s">
        <v>368</v>
      </c>
      <c r="D437" s="4" t="str">
        <f t="shared" si="6"/>
        <v/>
      </c>
      <c r="E437">
        <f>SUM($B$2:B437)</f>
        <v>59</v>
      </c>
    </row>
    <row r="438" spans="1:6" x14ac:dyDescent="0.35">
      <c r="A438" t="s">
        <v>369</v>
      </c>
      <c r="D438" s="4" t="str">
        <f t="shared" si="6"/>
        <v/>
      </c>
      <c r="E438">
        <f>SUM($B$2:B438)</f>
        <v>59</v>
      </c>
    </row>
    <row r="439" spans="1:6" x14ac:dyDescent="0.35">
      <c r="A439" t="s">
        <v>370</v>
      </c>
      <c r="B439" s="1">
        <v>1</v>
      </c>
      <c r="D439" s="4">
        <f t="shared" si="6"/>
        <v>60</v>
      </c>
      <c r="E439">
        <f>SUM($B$2:B439)</f>
        <v>60</v>
      </c>
    </row>
    <row r="440" spans="1:6" x14ac:dyDescent="0.35">
      <c r="A440" t="s">
        <v>371</v>
      </c>
      <c r="D440" s="4" t="str">
        <f t="shared" si="6"/>
        <v/>
      </c>
      <c r="E440">
        <f>SUM($B$2:B440)</f>
        <v>60</v>
      </c>
    </row>
    <row r="441" spans="1:6" x14ac:dyDescent="0.35">
      <c r="A441" t="s">
        <v>372</v>
      </c>
      <c r="D441" s="4" t="str">
        <f t="shared" si="6"/>
        <v/>
      </c>
      <c r="E441">
        <f>SUM($B$2:B441)</f>
        <v>60</v>
      </c>
    </row>
    <row r="442" spans="1:6" x14ac:dyDescent="0.35">
      <c r="A442" t="s">
        <v>373</v>
      </c>
      <c r="D442" s="4" t="str">
        <f t="shared" si="6"/>
        <v/>
      </c>
      <c r="E442">
        <f>SUM($B$2:B442)</f>
        <v>60</v>
      </c>
    </row>
    <row r="443" spans="1:6" x14ac:dyDescent="0.35">
      <c r="A443" t="s">
        <v>374</v>
      </c>
      <c r="D443" s="4" t="str">
        <f t="shared" si="6"/>
        <v/>
      </c>
      <c r="E443">
        <f>SUM($B$2:B443)</f>
        <v>60</v>
      </c>
    </row>
    <row r="444" spans="1:6" x14ac:dyDescent="0.35">
      <c r="A444" t="s">
        <v>375</v>
      </c>
      <c r="D444" s="4" t="str">
        <f t="shared" si="6"/>
        <v/>
      </c>
      <c r="E444">
        <f>SUM($B$2:B444)</f>
        <v>60</v>
      </c>
    </row>
    <row r="445" spans="1:6" x14ac:dyDescent="0.35">
      <c r="A445" t="s">
        <v>376</v>
      </c>
      <c r="D445" s="4" t="str">
        <f t="shared" si="6"/>
        <v/>
      </c>
      <c r="E445">
        <f>SUM($B$2:B445)</f>
        <v>60</v>
      </c>
    </row>
    <row r="446" spans="1:6" x14ac:dyDescent="0.35">
      <c r="A446" t="s">
        <v>377</v>
      </c>
      <c r="C446" s="1"/>
      <c r="D446" s="4" t="str">
        <f t="shared" si="6"/>
        <v/>
      </c>
      <c r="E446">
        <f>SUM($B$2:B446)</f>
        <v>60</v>
      </c>
    </row>
    <row r="447" spans="1:6" x14ac:dyDescent="0.35">
      <c r="A447" t="s">
        <v>378</v>
      </c>
      <c r="D447" s="4" t="str">
        <f t="shared" si="6"/>
        <v/>
      </c>
      <c r="E447">
        <f>SUM($B$2:B447)</f>
        <v>60</v>
      </c>
    </row>
    <row r="448" spans="1:6" x14ac:dyDescent="0.35">
      <c r="A448" t="s">
        <v>379</v>
      </c>
      <c r="B448" s="1">
        <v>1</v>
      </c>
      <c r="D448" s="4">
        <f t="shared" si="6"/>
        <v>61</v>
      </c>
      <c r="E448">
        <f>SUM($B$2:B448)</f>
        <v>61</v>
      </c>
    </row>
    <row r="449" spans="1:5" x14ac:dyDescent="0.35">
      <c r="A449" t="s">
        <v>380</v>
      </c>
      <c r="D449" s="4" t="str">
        <f t="shared" si="6"/>
        <v/>
      </c>
      <c r="E449">
        <f>SUM($B$2:B449)</f>
        <v>61</v>
      </c>
    </row>
    <row r="450" spans="1:5" x14ac:dyDescent="0.35">
      <c r="A450" t="s">
        <v>381</v>
      </c>
      <c r="D450" s="4" t="str">
        <f t="shared" ref="D450:D458" si="7">IF(ISNUMBER(B450),E450, "")</f>
        <v/>
      </c>
      <c r="E450">
        <f>SUM($B$2:B450)</f>
        <v>61</v>
      </c>
    </row>
    <row r="451" spans="1:5" x14ac:dyDescent="0.35">
      <c r="A451" t="s">
        <v>382</v>
      </c>
      <c r="B451" s="1">
        <v>1</v>
      </c>
      <c r="D451" s="4">
        <f t="shared" si="7"/>
        <v>62</v>
      </c>
      <c r="E451">
        <f>SUM($B$2:B451)</f>
        <v>62</v>
      </c>
    </row>
    <row r="452" spans="1:5" x14ac:dyDescent="0.35">
      <c r="A452" t="s">
        <v>383</v>
      </c>
      <c r="D452" s="4" t="str">
        <f t="shared" si="7"/>
        <v/>
      </c>
      <c r="E452">
        <f>SUM($B$2:B452)</f>
        <v>62</v>
      </c>
    </row>
    <row r="453" spans="1:5" x14ac:dyDescent="0.35">
      <c r="A453" t="s">
        <v>384</v>
      </c>
      <c r="B453" s="1">
        <v>1</v>
      </c>
      <c r="D453" s="4">
        <f t="shared" si="7"/>
        <v>63</v>
      </c>
      <c r="E453">
        <f>SUM($B$2:B453)</f>
        <v>63</v>
      </c>
    </row>
    <row r="454" spans="1:5" x14ac:dyDescent="0.35">
      <c r="A454" t="s">
        <v>385</v>
      </c>
      <c r="D454" s="4" t="str">
        <f t="shared" si="7"/>
        <v/>
      </c>
      <c r="E454">
        <f>SUM($B$2:B454)</f>
        <v>63</v>
      </c>
    </row>
    <row r="455" spans="1:5" x14ac:dyDescent="0.35">
      <c r="A455" t="s">
        <v>386</v>
      </c>
      <c r="D455" s="4" t="str">
        <f t="shared" si="7"/>
        <v/>
      </c>
      <c r="E455">
        <f>SUM($B$2:B455)</f>
        <v>63</v>
      </c>
    </row>
    <row r="456" spans="1:5" x14ac:dyDescent="0.35">
      <c r="A456" t="s">
        <v>387</v>
      </c>
      <c r="D456" s="4" t="str">
        <f t="shared" si="7"/>
        <v/>
      </c>
      <c r="E456">
        <f>SUM($B$2:B456)</f>
        <v>63</v>
      </c>
    </row>
    <row r="457" spans="1:5" x14ac:dyDescent="0.35">
      <c r="A457" t="s">
        <v>388</v>
      </c>
      <c r="D457" s="4" t="str">
        <f t="shared" si="7"/>
        <v/>
      </c>
      <c r="E457">
        <f>SUM($B$2:B457)</f>
        <v>63</v>
      </c>
    </row>
    <row r="458" spans="1:5" x14ac:dyDescent="0.35">
      <c r="A458" t="s">
        <v>389</v>
      </c>
      <c r="B458" s="1">
        <v>1</v>
      </c>
      <c r="D458" s="4">
        <f t="shared" si="7"/>
        <v>64</v>
      </c>
      <c r="E458">
        <f>SUM($B$2:B458)</f>
        <v>64</v>
      </c>
    </row>
    <row r="459" spans="1:5" x14ac:dyDescent="0.35">
      <c r="A459" t="s">
        <v>390</v>
      </c>
      <c r="D459" s="4" t="str">
        <f>IF(ISNUMBER(B459),E459, "")</f>
        <v/>
      </c>
      <c r="E459">
        <f>SUM($B$2:B459)</f>
        <v>64</v>
      </c>
    </row>
    <row r="460" spans="1:5" x14ac:dyDescent="0.35">
      <c r="A460" t="s">
        <v>391</v>
      </c>
      <c r="D460" s="4" t="str">
        <f t="shared" ref="D460:D523" si="8">IF(ISNUMBER(B460),E460, "")</f>
        <v/>
      </c>
      <c r="E460">
        <f>SUM($B$2:B460)</f>
        <v>64</v>
      </c>
    </row>
    <row r="461" spans="1:5" x14ac:dyDescent="0.35">
      <c r="A461" t="s">
        <v>392</v>
      </c>
      <c r="D461" s="4" t="str">
        <f t="shared" si="8"/>
        <v/>
      </c>
      <c r="E461">
        <f>SUM($B$2:B461)</f>
        <v>64</v>
      </c>
    </row>
    <row r="462" spans="1:5" x14ac:dyDescent="0.35">
      <c r="A462" s="2" t="s">
        <v>393</v>
      </c>
      <c r="B462" s="3"/>
      <c r="C462" s="2"/>
      <c r="D462" s="4">
        <f>E462+0.7</f>
        <v>64.7</v>
      </c>
      <c r="E462">
        <f>SUM($B$2:B462)</f>
        <v>64</v>
      </c>
    </row>
    <row r="463" spans="1:5" x14ac:dyDescent="0.35">
      <c r="A463" t="s">
        <v>423</v>
      </c>
      <c r="D463" s="4">
        <f>E467-0.3</f>
        <v>62.7</v>
      </c>
      <c r="E463">
        <f>SUM($B$2:B463)</f>
        <v>64</v>
      </c>
    </row>
    <row r="464" spans="1:5" x14ac:dyDescent="0.35">
      <c r="A464" t="s">
        <v>424</v>
      </c>
      <c r="D464" s="4" t="str">
        <f t="shared" si="8"/>
        <v/>
      </c>
      <c r="E464">
        <f>SUM($B$2:B464)</f>
        <v>64</v>
      </c>
    </row>
    <row r="465" spans="1:5" x14ac:dyDescent="0.35">
      <c r="A465" t="s">
        <v>425</v>
      </c>
      <c r="D465" s="4" t="str">
        <f t="shared" si="8"/>
        <v/>
      </c>
      <c r="E465">
        <f>SUM($B$2:B465)</f>
        <v>64</v>
      </c>
    </row>
    <row r="466" spans="1:5" x14ac:dyDescent="0.35">
      <c r="A466" t="s">
        <v>426</v>
      </c>
      <c r="D466" s="4" t="str">
        <f t="shared" si="8"/>
        <v/>
      </c>
      <c r="E466">
        <f>SUM($B$2:B466)</f>
        <v>64</v>
      </c>
    </row>
    <row r="467" spans="1:5" x14ac:dyDescent="0.35">
      <c r="A467" t="s">
        <v>427</v>
      </c>
      <c r="B467" s="1">
        <v>-1</v>
      </c>
      <c r="D467" s="4">
        <f t="shared" si="8"/>
        <v>63</v>
      </c>
      <c r="E467">
        <f>SUM($B$2:B467)</f>
        <v>63</v>
      </c>
    </row>
    <row r="468" spans="1:5" x14ac:dyDescent="0.35">
      <c r="A468" t="s">
        <v>428</v>
      </c>
      <c r="D468" s="4" t="str">
        <f t="shared" si="8"/>
        <v/>
      </c>
      <c r="E468">
        <f>SUM($B$2:B468)</f>
        <v>63</v>
      </c>
    </row>
    <row r="469" spans="1:5" x14ac:dyDescent="0.35">
      <c r="A469" t="s">
        <v>429</v>
      </c>
      <c r="D469" s="4" t="str">
        <f t="shared" si="8"/>
        <v/>
      </c>
      <c r="E469">
        <f>SUM($B$2:B469)</f>
        <v>63</v>
      </c>
    </row>
    <row r="470" spans="1:5" x14ac:dyDescent="0.35">
      <c r="A470" t="s">
        <v>430</v>
      </c>
      <c r="D470" s="4" t="str">
        <f t="shared" si="8"/>
        <v/>
      </c>
      <c r="E470">
        <f>SUM($B$2:B470)</f>
        <v>63</v>
      </c>
    </row>
    <row r="471" spans="1:5" x14ac:dyDescent="0.35">
      <c r="A471" t="s">
        <v>431</v>
      </c>
      <c r="D471" s="4" t="str">
        <f t="shared" si="8"/>
        <v/>
      </c>
      <c r="E471">
        <f>SUM($B$2:B471)</f>
        <v>63</v>
      </c>
    </row>
    <row r="472" spans="1:5" x14ac:dyDescent="0.35">
      <c r="A472" t="s">
        <v>432</v>
      </c>
      <c r="D472" s="4" t="str">
        <f t="shared" si="8"/>
        <v/>
      </c>
      <c r="E472">
        <f>SUM($B$2:B472)</f>
        <v>63</v>
      </c>
    </row>
    <row r="473" spans="1:5" x14ac:dyDescent="0.35">
      <c r="A473" t="s">
        <v>433</v>
      </c>
      <c r="B473" s="1">
        <v>1</v>
      </c>
      <c r="D473" s="4">
        <f t="shared" si="8"/>
        <v>64</v>
      </c>
      <c r="E473">
        <f>SUM($B$2:B473)</f>
        <v>64</v>
      </c>
    </row>
    <row r="474" spans="1:5" x14ac:dyDescent="0.35">
      <c r="A474" t="s">
        <v>434</v>
      </c>
      <c r="D474" s="4" t="str">
        <f t="shared" si="8"/>
        <v/>
      </c>
      <c r="E474">
        <f>SUM($B$2:B474)</f>
        <v>64</v>
      </c>
    </row>
    <row r="475" spans="1:5" x14ac:dyDescent="0.35">
      <c r="A475" t="s">
        <v>496</v>
      </c>
      <c r="D475" s="4" t="str">
        <f t="shared" si="8"/>
        <v/>
      </c>
      <c r="E475">
        <f>SUM($B$2:B475)</f>
        <v>64</v>
      </c>
    </row>
    <row r="476" spans="1:5" x14ac:dyDescent="0.35">
      <c r="A476" t="s">
        <v>497</v>
      </c>
      <c r="D476" s="4" t="str">
        <f t="shared" si="8"/>
        <v/>
      </c>
      <c r="E476">
        <f>SUM($B$2:B476)</f>
        <v>64</v>
      </c>
    </row>
    <row r="477" spans="1:5" x14ac:dyDescent="0.35">
      <c r="A477" t="s">
        <v>498</v>
      </c>
      <c r="D477" s="4" t="str">
        <f t="shared" si="8"/>
        <v/>
      </c>
      <c r="E477">
        <f>SUM($B$2:B477)</f>
        <v>64</v>
      </c>
    </row>
    <row r="478" spans="1:5" x14ac:dyDescent="0.35">
      <c r="A478" t="s">
        <v>499</v>
      </c>
      <c r="D478" s="4" t="str">
        <f t="shared" si="8"/>
        <v/>
      </c>
      <c r="E478">
        <f>SUM($B$2:B478)</f>
        <v>64</v>
      </c>
    </row>
    <row r="479" spans="1:5" x14ac:dyDescent="0.35">
      <c r="A479" t="s">
        <v>500</v>
      </c>
      <c r="B479" s="1">
        <v>1</v>
      </c>
      <c r="D479" s="4">
        <f t="shared" si="8"/>
        <v>65</v>
      </c>
      <c r="E479">
        <f>SUM($B$2:B479)</f>
        <v>65</v>
      </c>
    </row>
    <row r="480" spans="1:5" x14ac:dyDescent="0.35">
      <c r="A480" t="s">
        <v>501</v>
      </c>
      <c r="D480" s="4" t="str">
        <f t="shared" si="8"/>
        <v/>
      </c>
      <c r="E480">
        <f>SUM($B$2:B480)</f>
        <v>65</v>
      </c>
    </row>
    <row r="481" spans="1:5" x14ac:dyDescent="0.35">
      <c r="A481" t="s">
        <v>502</v>
      </c>
      <c r="D481" s="4" t="str">
        <f t="shared" si="8"/>
        <v/>
      </c>
      <c r="E481">
        <f>SUM($B$2:B481)</f>
        <v>65</v>
      </c>
    </row>
    <row r="482" spans="1:5" x14ac:dyDescent="0.35">
      <c r="A482" t="s">
        <v>503</v>
      </c>
      <c r="D482" s="4" t="str">
        <f t="shared" si="8"/>
        <v/>
      </c>
      <c r="E482">
        <f>SUM($B$2:B482)</f>
        <v>65</v>
      </c>
    </row>
    <row r="483" spans="1:5" x14ac:dyDescent="0.35">
      <c r="A483" t="s">
        <v>504</v>
      </c>
      <c r="D483" s="4" t="str">
        <f t="shared" si="8"/>
        <v/>
      </c>
      <c r="E483">
        <f>SUM($B$2:B483)</f>
        <v>65</v>
      </c>
    </row>
    <row r="484" spans="1:5" x14ac:dyDescent="0.35">
      <c r="A484" t="s">
        <v>505</v>
      </c>
      <c r="D484" s="4" t="str">
        <f t="shared" si="8"/>
        <v/>
      </c>
      <c r="E484">
        <f>SUM($B$2:B484)</f>
        <v>65</v>
      </c>
    </row>
    <row r="485" spans="1:5" x14ac:dyDescent="0.35">
      <c r="A485" t="s">
        <v>506</v>
      </c>
      <c r="D485" s="4" t="str">
        <f t="shared" si="8"/>
        <v/>
      </c>
      <c r="E485">
        <f>SUM($B$2:B485)</f>
        <v>65</v>
      </c>
    </row>
    <row r="486" spans="1:5" x14ac:dyDescent="0.35">
      <c r="A486" t="s">
        <v>507</v>
      </c>
      <c r="B486" s="1">
        <v>1</v>
      </c>
      <c r="D486" s="4">
        <f t="shared" si="8"/>
        <v>66</v>
      </c>
      <c r="E486">
        <f>SUM($B$2:B486)</f>
        <v>66</v>
      </c>
    </row>
    <row r="487" spans="1:5" x14ac:dyDescent="0.35">
      <c r="A487" t="s">
        <v>508</v>
      </c>
      <c r="D487" s="4" t="str">
        <f t="shared" si="8"/>
        <v/>
      </c>
      <c r="E487">
        <f>SUM($B$2:B487)</f>
        <v>66</v>
      </c>
    </row>
    <row r="488" spans="1:5" x14ac:dyDescent="0.35">
      <c r="A488" t="s">
        <v>509</v>
      </c>
      <c r="D488" s="4" t="str">
        <f t="shared" si="8"/>
        <v/>
      </c>
      <c r="E488">
        <f>SUM($B$2:B488)</f>
        <v>66</v>
      </c>
    </row>
    <row r="489" spans="1:5" x14ac:dyDescent="0.35">
      <c r="A489" t="s">
        <v>510</v>
      </c>
      <c r="D489" s="4" t="str">
        <f t="shared" si="8"/>
        <v/>
      </c>
      <c r="E489">
        <f>SUM($B$2:B489)</f>
        <v>66</v>
      </c>
    </row>
    <row r="490" spans="1:5" x14ac:dyDescent="0.35">
      <c r="A490" t="s">
        <v>511</v>
      </c>
      <c r="D490" s="4" t="str">
        <f t="shared" si="8"/>
        <v/>
      </c>
      <c r="E490">
        <f>SUM($B$2:B490)</f>
        <v>66</v>
      </c>
    </row>
    <row r="491" spans="1:5" x14ac:dyDescent="0.35">
      <c r="A491" t="s">
        <v>512</v>
      </c>
      <c r="D491" s="4" t="str">
        <f t="shared" si="8"/>
        <v/>
      </c>
      <c r="E491">
        <f>SUM($B$2:B491)</f>
        <v>66</v>
      </c>
    </row>
    <row r="492" spans="1:5" x14ac:dyDescent="0.35">
      <c r="A492" t="s">
        <v>513</v>
      </c>
      <c r="D492" s="4" t="str">
        <f t="shared" si="8"/>
        <v/>
      </c>
      <c r="E492">
        <f>SUM($B$2:B492)</f>
        <v>66</v>
      </c>
    </row>
    <row r="493" spans="1:5" x14ac:dyDescent="0.35">
      <c r="A493" t="s">
        <v>514</v>
      </c>
      <c r="B493" s="1">
        <v>1</v>
      </c>
      <c r="D493" s="4">
        <f t="shared" si="8"/>
        <v>67</v>
      </c>
      <c r="E493">
        <f>SUM($B$2:B493)</f>
        <v>67</v>
      </c>
    </row>
    <row r="494" spans="1:5" x14ac:dyDescent="0.35">
      <c r="A494" t="s">
        <v>515</v>
      </c>
      <c r="D494" s="4" t="str">
        <f t="shared" si="8"/>
        <v/>
      </c>
      <c r="E494">
        <f>SUM($B$2:B494)</f>
        <v>67</v>
      </c>
    </row>
    <row r="495" spans="1:5" x14ac:dyDescent="0.35">
      <c r="A495" t="s">
        <v>516</v>
      </c>
      <c r="D495" s="4" t="str">
        <f t="shared" si="8"/>
        <v/>
      </c>
      <c r="E495">
        <f>SUM($B$2:B495)</f>
        <v>67</v>
      </c>
    </row>
    <row r="496" spans="1:5" x14ac:dyDescent="0.35">
      <c r="A496" t="s">
        <v>517</v>
      </c>
      <c r="D496" s="4" t="str">
        <f t="shared" si="8"/>
        <v/>
      </c>
      <c r="E496">
        <f>SUM($B$2:B496)</f>
        <v>67</v>
      </c>
    </row>
    <row r="497" spans="1:5" x14ac:dyDescent="0.35">
      <c r="A497" t="s">
        <v>518</v>
      </c>
      <c r="D497" s="4" t="str">
        <f t="shared" si="8"/>
        <v/>
      </c>
      <c r="E497">
        <f>SUM($B$2:B497)</f>
        <v>67</v>
      </c>
    </row>
    <row r="498" spans="1:5" x14ac:dyDescent="0.35">
      <c r="A498" t="s">
        <v>519</v>
      </c>
      <c r="D498" s="4" t="str">
        <f t="shared" si="8"/>
        <v/>
      </c>
      <c r="E498">
        <f>SUM($B$2:B498)</f>
        <v>67</v>
      </c>
    </row>
    <row r="499" spans="1:5" x14ac:dyDescent="0.35">
      <c r="A499" t="s">
        <v>520</v>
      </c>
      <c r="D499" s="4" t="str">
        <f t="shared" si="8"/>
        <v/>
      </c>
      <c r="E499">
        <f>SUM($B$2:B499)</f>
        <v>67</v>
      </c>
    </row>
    <row r="500" spans="1:5" x14ac:dyDescent="0.35">
      <c r="A500" t="s">
        <v>521</v>
      </c>
      <c r="B500" s="1">
        <v>1</v>
      </c>
      <c r="D500" s="4">
        <f t="shared" si="8"/>
        <v>68</v>
      </c>
      <c r="E500">
        <f>SUM($B$2:B500)</f>
        <v>68</v>
      </c>
    </row>
    <row r="501" spans="1:5" x14ac:dyDescent="0.35">
      <c r="A501" t="s">
        <v>522</v>
      </c>
      <c r="D501" s="4" t="str">
        <f t="shared" si="8"/>
        <v/>
      </c>
      <c r="E501">
        <f>SUM($B$2:B501)</f>
        <v>68</v>
      </c>
    </row>
    <row r="502" spans="1:5" x14ac:dyDescent="0.35">
      <c r="A502" t="s">
        <v>523</v>
      </c>
      <c r="D502" s="4" t="str">
        <f t="shared" si="8"/>
        <v/>
      </c>
      <c r="E502">
        <f>SUM($B$2:B502)</f>
        <v>68</v>
      </c>
    </row>
    <row r="503" spans="1:5" x14ac:dyDescent="0.35">
      <c r="A503" t="s">
        <v>524</v>
      </c>
      <c r="D503" s="4" t="str">
        <f t="shared" si="8"/>
        <v/>
      </c>
      <c r="E503">
        <f>SUM($B$2:B503)</f>
        <v>68</v>
      </c>
    </row>
    <row r="504" spans="1:5" x14ac:dyDescent="0.35">
      <c r="A504" t="s">
        <v>525</v>
      </c>
      <c r="D504" s="4" t="str">
        <f t="shared" si="8"/>
        <v/>
      </c>
      <c r="E504">
        <f>SUM($B$2:B504)</f>
        <v>68</v>
      </c>
    </row>
    <row r="505" spans="1:5" x14ac:dyDescent="0.35">
      <c r="A505" t="s">
        <v>526</v>
      </c>
      <c r="D505" s="4" t="str">
        <f t="shared" si="8"/>
        <v/>
      </c>
      <c r="E505">
        <f>SUM($B$2:B505)</f>
        <v>68</v>
      </c>
    </row>
    <row r="506" spans="1:5" x14ac:dyDescent="0.35">
      <c r="A506" t="s">
        <v>527</v>
      </c>
      <c r="B506" s="1">
        <v>1</v>
      </c>
      <c r="D506" s="4">
        <f t="shared" si="8"/>
        <v>69</v>
      </c>
      <c r="E506">
        <f>SUM($B$2:B506)</f>
        <v>69</v>
      </c>
    </row>
    <row r="507" spans="1:5" x14ac:dyDescent="0.35">
      <c r="A507" t="s">
        <v>528</v>
      </c>
      <c r="D507" s="4" t="str">
        <f t="shared" si="8"/>
        <v/>
      </c>
      <c r="E507">
        <f>SUM($B$2:B507)</f>
        <v>69</v>
      </c>
    </row>
    <row r="508" spans="1:5" x14ac:dyDescent="0.35">
      <c r="A508" t="s">
        <v>529</v>
      </c>
      <c r="D508" s="4" t="str">
        <f t="shared" si="8"/>
        <v/>
      </c>
      <c r="E508">
        <f>SUM($B$2:B508)</f>
        <v>69</v>
      </c>
    </row>
    <row r="509" spans="1:5" x14ac:dyDescent="0.35">
      <c r="A509" t="s">
        <v>530</v>
      </c>
      <c r="D509" s="4" t="str">
        <f t="shared" si="8"/>
        <v/>
      </c>
      <c r="E509">
        <f>SUM($B$2:B509)</f>
        <v>69</v>
      </c>
    </row>
    <row r="510" spans="1:5" x14ac:dyDescent="0.35">
      <c r="A510" t="s">
        <v>531</v>
      </c>
      <c r="D510" s="4" t="str">
        <f t="shared" si="8"/>
        <v/>
      </c>
      <c r="E510">
        <f>SUM($B$2:B510)</f>
        <v>69</v>
      </c>
    </row>
    <row r="511" spans="1:5" x14ac:dyDescent="0.35">
      <c r="A511" t="s">
        <v>532</v>
      </c>
      <c r="D511" s="4" t="str">
        <f t="shared" si="8"/>
        <v/>
      </c>
      <c r="E511">
        <f>SUM($B$2:B511)</f>
        <v>69</v>
      </c>
    </row>
    <row r="512" spans="1:5" x14ac:dyDescent="0.35">
      <c r="A512" t="s">
        <v>533</v>
      </c>
      <c r="B512" s="1">
        <v>1</v>
      </c>
      <c r="D512" s="4">
        <f t="shared" si="8"/>
        <v>70</v>
      </c>
      <c r="E512">
        <f>SUM($B$2:B512)</f>
        <v>70</v>
      </c>
    </row>
    <row r="513" spans="1:5" x14ac:dyDescent="0.35">
      <c r="A513" t="s">
        <v>534</v>
      </c>
      <c r="D513" s="4" t="str">
        <f t="shared" si="8"/>
        <v/>
      </c>
      <c r="E513">
        <f>SUM($B$2:B513)</f>
        <v>70</v>
      </c>
    </row>
    <row r="514" spans="1:5" x14ac:dyDescent="0.35">
      <c r="A514" t="s">
        <v>535</v>
      </c>
      <c r="D514" s="4" t="str">
        <f t="shared" si="8"/>
        <v/>
      </c>
      <c r="E514">
        <f>SUM($B$2:B514)</f>
        <v>70</v>
      </c>
    </row>
    <row r="515" spans="1:5" x14ac:dyDescent="0.35">
      <c r="A515" t="s">
        <v>435</v>
      </c>
      <c r="D515" s="4" t="str">
        <f t="shared" si="8"/>
        <v/>
      </c>
      <c r="E515">
        <f>SUM($B$2:B515)</f>
        <v>70</v>
      </c>
    </row>
    <row r="516" spans="1:5" x14ac:dyDescent="0.35">
      <c r="A516" t="s">
        <v>436</v>
      </c>
      <c r="D516" s="4" t="str">
        <f t="shared" si="8"/>
        <v/>
      </c>
      <c r="E516">
        <f>SUM($B$2:B516)</f>
        <v>70</v>
      </c>
    </row>
    <row r="517" spans="1:5" x14ac:dyDescent="0.35">
      <c r="A517" t="s">
        <v>437</v>
      </c>
      <c r="D517" s="4" t="str">
        <f t="shared" si="8"/>
        <v/>
      </c>
      <c r="E517">
        <f>SUM($B$2:B517)</f>
        <v>70</v>
      </c>
    </row>
    <row r="518" spans="1:5" x14ac:dyDescent="0.35">
      <c r="A518" t="s">
        <v>438</v>
      </c>
      <c r="D518" s="4" t="str">
        <f t="shared" si="8"/>
        <v/>
      </c>
      <c r="E518">
        <f>SUM($B$2:B518)</f>
        <v>70</v>
      </c>
    </row>
    <row r="519" spans="1:5" x14ac:dyDescent="0.35">
      <c r="A519" t="s">
        <v>439</v>
      </c>
      <c r="B519" s="1">
        <v>1</v>
      </c>
      <c r="D519" s="4">
        <f t="shared" si="8"/>
        <v>71</v>
      </c>
      <c r="E519">
        <f>SUM($B$2:B519)</f>
        <v>71</v>
      </c>
    </row>
    <row r="520" spans="1:5" x14ac:dyDescent="0.35">
      <c r="A520" t="s">
        <v>440</v>
      </c>
      <c r="D520" s="4" t="str">
        <f t="shared" si="8"/>
        <v/>
      </c>
      <c r="E520">
        <f>SUM($B$2:B520)</f>
        <v>71</v>
      </c>
    </row>
    <row r="521" spans="1:5" x14ac:dyDescent="0.35">
      <c r="A521" t="s">
        <v>441</v>
      </c>
      <c r="D521" s="4" t="str">
        <f t="shared" si="8"/>
        <v/>
      </c>
      <c r="E521">
        <f>SUM($B$2:B521)</f>
        <v>71</v>
      </c>
    </row>
    <row r="522" spans="1:5" x14ac:dyDescent="0.35">
      <c r="A522" t="s">
        <v>442</v>
      </c>
      <c r="D522" s="4" t="str">
        <f t="shared" si="8"/>
        <v/>
      </c>
      <c r="E522">
        <f>SUM($B$2:B522)</f>
        <v>71</v>
      </c>
    </row>
    <row r="523" spans="1:5" x14ac:dyDescent="0.35">
      <c r="A523" t="s">
        <v>443</v>
      </c>
      <c r="D523" s="4" t="str">
        <f t="shared" si="8"/>
        <v/>
      </c>
      <c r="E523">
        <f>SUM($B$2:B523)</f>
        <v>71</v>
      </c>
    </row>
    <row r="524" spans="1:5" x14ac:dyDescent="0.35">
      <c r="A524" t="s">
        <v>444</v>
      </c>
      <c r="D524" s="4" t="str">
        <f t="shared" ref="D524:D574" si="9">IF(ISNUMBER(B524),E524, "")</f>
        <v/>
      </c>
      <c r="E524">
        <f>SUM($B$2:B524)</f>
        <v>71</v>
      </c>
    </row>
    <row r="525" spans="1:5" x14ac:dyDescent="0.35">
      <c r="A525" t="s">
        <v>445</v>
      </c>
      <c r="D525" s="4" t="str">
        <f t="shared" si="9"/>
        <v/>
      </c>
      <c r="E525">
        <f>SUM($B$2:B525)</f>
        <v>71</v>
      </c>
    </row>
    <row r="526" spans="1:5" x14ac:dyDescent="0.35">
      <c r="A526" t="s">
        <v>446</v>
      </c>
      <c r="B526" s="1">
        <v>1</v>
      </c>
      <c r="D526" s="4">
        <f t="shared" si="9"/>
        <v>72</v>
      </c>
      <c r="E526">
        <f>SUM($B$2:B526)</f>
        <v>72</v>
      </c>
    </row>
    <row r="527" spans="1:5" x14ac:dyDescent="0.35">
      <c r="A527" t="s">
        <v>447</v>
      </c>
      <c r="D527" s="4" t="str">
        <f t="shared" si="9"/>
        <v/>
      </c>
      <c r="E527">
        <f>SUM($B$2:B527)</f>
        <v>72</v>
      </c>
    </row>
    <row r="528" spans="1:5" x14ac:dyDescent="0.35">
      <c r="A528" t="s">
        <v>448</v>
      </c>
      <c r="D528" s="4" t="str">
        <f t="shared" si="9"/>
        <v/>
      </c>
      <c r="E528">
        <f>SUM($B$2:B528)</f>
        <v>72</v>
      </c>
    </row>
    <row r="529" spans="1:5" x14ac:dyDescent="0.35">
      <c r="A529" t="s">
        <v>449</v>
      </c>
      <c r="D529" s="4" t="str">
        <f t="shared" si="9"/>
        <v/>
      </c>
      <c r="E529">
        <f>SUM($B$2:B529)</f>
        <v>72</v>
      </c>
    </row>
    <row r="530" spans="1:5" x14ac:dyDescent="0.35">
      <c r="A530" t="s">
        <v>450</v>
      </c>
      <c r="D530" s="4" t="str">
        <f t="shared" si="9"/>
        <v/>
      </c>
      <c r="E530">
        <f>SUM($B$2:B530)</f>
        <v>72</v>
      </c>
    </row>
    <row r="531" spans="1:5" x14ac:dyDescent="0.35">
      <c r="A531" t="s">
        <v>451</v>
      </c>
      <c r="D531" s="4" t="str">
        <f t="shared" si="9"/>
        <v/>
      </c>
      <c r="E531">
        <f>SUM($B$2:B531)</f>
        <v>72</v>
      </c>
    </row>
    <row r="532" spans="1:5" x14ac:dyDescent="0.35">
      <c r="A532" t="s">
        <v>452</v>
      </c>
      <c r="D532" s="4" t="str">
        <f t="shared" si="9"/>
        <v/>
      </c>
      <c r="E532">
        <f>SUM($B$2:B532)</f>
        <v>72</v>
      </c>
    </row>
    <row r="533" spans="1:5" x14ac:dyDescent="0.35">
      <c r="A533" t="s">
        <v>453</v>
      </c>
      <c r="D533" s="4" t="str">
        <f t="shared" si="9"/>
        <v/>
      </c>
      <c r="E533">
        <f>SUM($B$2:B533)</f>
        <v>72</v>
      </c>
    </row>
    <row r="534" spans="1:5" x14ac:dyDescent="0.35">
      <c r="A534" t="s">
        <v>454</v>
      </c>
      <c r="B534" s="1">
        <v>1</v>
      </c>
      <c r="D534" s="4">
        <f t="shared" si="9"/>
        <v>73</v>
      </c>
      <c r="E534">
        <f>SUM($B$2:B534)</f>
        <v>73</v>
      </c>
    </row>
    <row r="535" spans="1:5" x14ac:dyDescent="0.35">
      <c r="A535" t="s">
        <v>455</v>
      </c>
      <c r="D535" s="4" t="str">
        <f t="shared" si="9"/>
        <v/>
      </c>
      <c r="E535">
        <f>SUM($B$2:B535)</f>
        <v>73</v>
      </c>
    </row>
    <row r="536" spans="1:5" x14ac:dyDescent="0.35">
      <c r="A536" t="s">
        <v>456</v>
      </c>
      <c r="D536" s="4" t="str">
        <f t="shared" si="9"/>
        <v/>
      </c>
      <c r="E536">
        <f>SUM($B$2:B536)</f>
        <v>73</v>
      </c>
    </row>
    <row r="537" spans="1:5" x14ac:dyDescent="0.35">
      <c r="A537" t="s">
        <v>457</v>
      </c>
      <c r="D537" s="4" t="str">
        <f t="shared" si="9"/>
        <v/>
      </c>
      <c r="E537">
        <f>SUM($B$2:B537)</f>
        <v>73</v>
      </c>
    </row>
    <row r="538" spans="1:5" x14ac:dyDescent="0.35">
      <c r="A538" t="s">
        <v>458</v>
      </c>
      <c r="D538" s="4" t="str">
        <f t="shared" si="9"/>
        <v/>
      </c>
      <c r="E538">
        <f>SUM($B$2:B538)</f>
        <v>73</v>
      </c>
    </row>
    <row r="539" spans="1:5" x14ac:dyDescent="0.35">
      <c r="A539" t="s">
        <v>459</v>
      </c>
      <c r="D539" s="4" t="str">
        <f t="shared" si="9"/>
        <v/>
      </c>
      <c r="E539">
        <f>SUM($B$2:B539)</f>
        <v>73</v>
      </c>
    </row>
    <row r="540" spans="1:5" x14ac:dyDescent="0.35">
      <c r="A540" t="s">
        <v>460</v>
      </c>
      <c r="B540" s="1">
        <v>1</v>
      </c>
      <c r="D540" s="4">
        <f t="shared" si="9"/>
        <v>74</v>
      </c>
      <c r="E540">
        <f>SUM($B$2:B540)</f>
        <v>74</v>
      </c>
    </row>
    <row r="541" spans="1:5" x14ac:dyDescent="0.35">
      <c r="A541" t="s">
        <v>461</v>
      </c>
      <c r="D541" s="4" t="str">
        <f t="shared" si="9"/>
        <v/>
      </c>
      <c r="E541">
        <f>SUM($B$2:B541)</f>
        <v>74</v>
      </c>
    </row>
    <row r="542" spans="1:5" x14ac:dyDescent="0.35">
      <c r="A542" t="s">
        <v>462</v>
      </c>
      <c r="D542" s="4" t="str">
        <f t="shared" si="9"/>
        <v/>
      </c>
      <c r="E542">
        <f>SUM($B$2:B542)</f>
        <v>74</v>
      </c>
    </row>
    <row r="543" spans="1:5" x14ac:dyDescent="0.35">
      <c r="A543" t="s">
        <v>463</v>
      </c>
      <c r="D543" s="4" t="str">
        <f t="shared" si="9"/>
        <v/>
      </c>
      <c r="E543">
        <f>SUM($B$2:B543)</f>
        <v>74</v>
      </c>
    </row>
    <row r="544" spans="1:5" x14ac:dyDescent="0.35">
      <c r="A544" t="s">
        <v>464</v>
      </c>
      <c r="D544" s="4" t="str">
        <f t="shared" si="9"/>
        <v/>
      </c>
      <c r="E544">
        <f>SUM($B$2:B544)</f>
        <v>74</v>
      </c>
    </row>
    <row r="545" spans="1:5" x14ac:dyDescent="0.35">
      <c r="A545" t="s">
        <v>465</v>
      </c>
      <c r="D545" s="4" t="str">
        <f t="shared" si="9"/>
        <v/>
      </c>
      <c r="E545">
        <f>SUM($B$2:B545)</f>
        <v>74</v>
      </c>
    </row>
    <row r="546" spans="1:5" x14ac:dyDescent="0.35">
      <c r="A546" t="s">
        <v>466</v>
      </c>
      <c r="D546" s="4" t="str">
        <f t="shared" si="9"/>
        <v/>
      </c>
      <c r="E546">
        <f>SUM($B$2:B546)</f>
        <v>74</v>
      </c>
    </row>
    <row r="547" spans="1:5" x14ac:dyDescent="0.35">
      <c r="A547" t="s">
        <v>467</v>
      </c>
      <c r="B547" s="1">
        <v>1</v>
      </c>
      <c r="D547" s="4">
        <f t="shared" si="9"/>
        <v>75</v>
      </c>
      <c r="E547">
        <f>SUM($B$2:B547)</f>
        <v>75</v>
      </c>
    </row>
    <row r="548" spans="1:5" x14ac:dyDescent="0.35">
      <c r="A548" t="s">
        <v>468</v>
      </c>
      <c r="D548" s="4" t="str">
        <f t="shared" si="9"/>
        <v/>
      </c>
      <c r="E548">
        <f>SUM($B$2:B548)</f>
        <v>75</v>
      </c>
    </row>
    <row r="549" spans="1:5" x14ac:dyDescent="0.35">
      <c r="A549" t="s">
        <v>469</v>
      </c>
      <c r="D549" s="4" t="str">
        <f t="shared" si="9"/>
        <v/>
      </c>
      <c r="E549">
        <f>SUM($B$2:B549)</f>
        <v>75</v>
      </c>
    </row>
    <row r="550" spans="1:5" x14ac:dyDescent="0.35">
      <c r="A550" t="s">
        <v>470</v>
      </c>
      <c r="D550" s="4" t="str">
        <f t="shared" si="9"/>
        <v/>
      </c>
      <c r="E550">
        <f>SUM($B$2:B550)</f>
        <v>75</v>
      </c>
    </row>
    <row r="551" spans="1:5" x14ac:dyDescent="0.35">
      <c r="A551" t="s">
        <v>471</v>
      </c>
      <c r="D551" s="4" t="str">
        <f t="shared" si="9"/>
        <v/>
      </c>
      <c r="E551">
        <f>SUM($B$2:B551)</f>
        <v>75</v>
      </c>
    </row>
    <row r="552" spans="1:5" x14ac:dyDescent="0.35">
      <c r="A552" t="s">
        <v>472</v>
      </c>
      <c r="D552" s="4" t="str">
        <f t="shared" si="9"/>
        <v/>
      </c>
      <c r="E552">
        <f>SUM($B$2:B552)</f>
        <v>75</v>
      </c>
    </row>
    <row r="553" spans="1:5" x14ac:dyDescent="0.35">
      <c r="A553" t="s">
        <v>473</v>
      </c>
      <c r="D553" s="4" t="str">
        <f t="shared" si="9"/>
        <v/>
      </c>
      <c r="E553">
        <f>SUM($B$2:B553)</f>
        <v>75</v>
      </c>
    </row>
    <row r="554" spans="1:5" x14ac:dyDescent="0.35">
      <c r="A554" t="s">
        <v>474</v>
      </c>
      <c r="D554" s="4" t="str">
        <f t="shared" si="9"/>
        <v/>
      </c>
      <c r="E554">
        <f>SUM($B$2:B554)</f>
        <v>75</v>
      </c>
    </row>
    <row r="555" spans="1:5" x14ac:dyDescent="0.35">
      <c r="A555" t="s">
        <v>475</v>
      </c>
      <c r="D555" s="4" t="str">
        <f t="shared" si="9"/>
        <v/>
      </c>
      <c r="E555">
        <f>SUM($B$2:B555)</f>
        <v>75</v>
      </c>
    </row>
    <row r="556" spans="1:5" x14ac:dyDescent="0.35">
      <c r="A556" t="s">
        <v>476</v>
      </c>
      <c r="B556" s="1">
        <v>1</v>
      </c>
      <c r="D556" s="4">
        <f t="shared" si="9"/>
        <v>76</v>
      </c>
      <c r="E556">
        <f>SUM($B$2:B556)</f>
        <v>76</v>
      </c>
    </row>
    <row r="557" spans="1:5" x14ac:dyDescent="0.35">
      <c r="A557" t="s">
        <v>477</v>
      </c>
      <c r="D557" s="4" t="str">
        <f t="shared" si="9"/>
        <v/>
      </c>
      <c r="E557">
        <f>SUM($B$2:B557)</f>
        <v>76</v>
      </c>
    </row>
    <row r="558" spans="1:5" x14ac:dyDescent="0.35">
      <c r="A558" t="s">
        <v>478</v>
      </c>
      <c r="D558" s="4" t="str">
        <f t="shared" si="9"/>
        <v/>
      </c>
      <c r="E558">
        <f>SUM($B$2:B558)</f>
        <v>76</v>
      </c>
    </row>
    <row r="559" spans="1:5" x14ac:dyDescent="0.35">
      <c r="A559" t="s">
        <v>479</v>
      </c>
      <c r="D559" s="4" t="str">
        <f t="shared" si="9"/>
        <v/>
      </c>
      <c r="E559">
        <f>SUM($B$2:B559)</f>
        <v>76</v>
      </c>
    </row>
    <row r="560" spans="1:5" x14ac:dyDescent="0.35">
      <c r="A560" t="s">
        <v>480</v>
      </c>
      <c r="B560" s="1">
        <v>1</v>
      </c>
      <c r="D560" s="4">
        <f t="shared" si="9"/>
        <v>77</v>
      </c>
      <c r="E560">
        <f>SUM($B$2:B560)</f>
        <v>77</v>
      </c>
    </row>
    <row r="561" spans="1:5" x14ac:dyDescent="0.35">
      <c r="A561" t="s">
        <v>481</v>
      </c>
      <c r="D561" s="4" t="str">
        <f t="shared" si="9"/>
        <v/>
      </c>
      <c r="E561">
        <f>SUM($B$2:B561)</f>
        <v>77</v>
      </c>
    </row>
    <row r="562" spans="1:5" x14ac:dyDescent="0.35">
      <c r="A562" t="s">
        <v>482</v>
      </c>
      <c r="D562" s="4" t="str">
        <f t="shared" si="9"/>
        <v/>
      </c>
      <c r="E562">
        <f>SUM($B$2:B562)</f>
        <v>77</v>
      </c>
    </row>
    <row r="563" spans="1:5" x14ac:dyDescent="0.35">
      <c r="A563" t="s">
        <v>483</v>
      </c>
      <c r="D563" s="4" t="str">
        <f t="shared" si="9"/>
        <v/>
      </c>
      <c r="E563">
        <f>SUM($B$2:B563)</f>
        <v>77</v>
      </c>
    </row>
    <row r="564" spans="1:5" x14ac:dyDescent="0.35">
      <c r="A564" t="s">
        <v>484</v>
      </c>
      <c r="D564" s="4" t="str">
        <f t="shared" si="9"/>
        <v/>
      </c>
      <c r="E564">
        <f>SUM($B$2:B564)</f>
        <v>77</v>
      </c>
    </row>
    <row r="565" spans="1:5" x14ac:dyDescent="0.35">
      <c r="A565" t="s">
        <v>485</v>
      </c>
      <c r="D565" s="4" t="str">
        <f t="shared" si="9"/>
        <v/>
      </c>
      <c r="E565">
        <f>SUM($B$2:B565)</f>
        <v>77</v>
      </c>
    </row>
    <row r="566" spans="1:5" x14ac:dyDescent="0.35">
      <c r="A566" t="s">
        <v>486</v>
      </c>
      <c r="B566" s="1">
        <v>1</v>
      </c>
      <c r="D566" s="4">
        <f t="shared" si="9"/>
        <v>78</v>
      </c>
      <c r="E566">
        <f>SUM($B$2:B566)</f>
        <v>78</v>
      </c>
    </row>
    <row r="567" spans="1:5" x14ac:dyDescent="0.35">
      <c r="A567" t="s">
        <v>487</v>
      </c>
      <c r="D567" s="4" t="str">
        <f t="shared" si="9"/>
        <v/>
      </c>
      <c r="E567">
        <f>SUM($B$2:B567)</f>
        <v>78</v>
      </c>
    </row>
    <row r="568" spans="1:5" x14ac:dyDescent="0.35">
      <c r="A568" t="s">
        <v>488</v>
      </c>
      <c r="D568" s="4" t="str">
        <f t="shared" si="9"/>
        <v/>
      </c>
      <c r="E568">
        <f>SUM($B$2:B568)</f>
        <v>78</v>
      </c>
    </row>
    <row r="569" spans="1:5" x14ac:dyDescent="0.35">
      <c r="A569" t="s">
        <v>489</v>
      </c>
      <c r="D569" s="4" t="str">
        <f t="shared" si="9"/>
        <v/>
      </c>
      <c r="E569">
        <f>SUM($B$2:B569)</f>
        <v>78</v>
      </c>
    </row>
    <row r="570" spans="1:5" x14ac:dyDescent="0.35">
      <c r="A570" t="s">
        <v>490</v>
      </c>
      <c r="D570" s="4" t="str">
        <f t="shared" si="9"/>
        <v/>
      </c>
      <c r="E570">
        <f>SUM($B$2:B570)</f>
        <v>78</v>
      </c>
    </row>
    <row r="571" spans="1:5" x14ac:dyDescent="0.35">
      <c r="A571" t="s">
        <v>491</v>
      </c>
      <c r="B571" s="1">
        <v>1</v>
      </c>
      <c r="D571" s="4">
        <f t="shared" si="9"/>
        <v>79</v>
      </c>
      <c r="E571">
        <f>SUM($B$2:B571)</f>
        <v>79</v>
      </c>
    </row>
    <row r="572" spans="1:5" x14ac:dyDescent="0.35">
      <c r="A572" t="s">
        <v>492</v>
      </c>
      <c r="D572" s="4" t="str">
        <f t="shared" si="9"/>
        <v/>
      </c>
      <c r="E572">
        <f>SUM($B$2:B572)</f>
        <v>79</v>
      </c>
    </row>
    <row r="573" spans="1:5" x14ac:dyDescent="0.35">
      <c r="A573" t="s">
        <v>493</v>
      </c>
      <c r="D573" s="4" t="str">
        <f t="shared" si="9"/>
        <v/>
      </c>
      <c r="E573">
        <f>SUM($B$2:B573)</f>
        <v>79</v>
      </c>
    </row>
    <row r="574" spans="1:5" x14ac:dyDescent="0.35">
      <c r="A574" t="s">
        <v>494</v>
      </c>
      <c r="D574" s="4" t="str">
        <f t="shared" si="9"/>
        <v/>
      </c>
      <c r="E574">
        <f>SUM($B$2:B574)</f>
        <v>79</v>
      </c>
    </row>
    <row r="575" spans="1:5" x14ac:dyDescent="0.35">
      <c r="A575" s="2" t="s">
        <v>495</v>
      </c>
      <c r="B575" s="3"/>
      <c r="C575" s="2"/>
      <c r="D575" s="4">
        <f>E575+0.9</f>
        <v>79.900000000000006</v>
      </c>
      <c r="E575">
        <f>SUM($B$2:B575)</f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2025-06-19T18:39:02Z</dcterms:created>
  <dcterms:modified xsi:type="dcterms:W3CDTF">2025-11-10T03:00:54Z</dcterms:modified>
</cp:coreProperties>
</file>