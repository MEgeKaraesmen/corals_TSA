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c2389\Box\Documents\Stable Isotope Lab\2025\Gasbench Carbonates\February\"/>
    </mc:Choice>
  </mc:AlternateContent>
  <xr:revisionPtr revIDLastSave="0" documentId="13_ncr:1_{D9D99786-40D3-4D1E-84D4-AD47250313FE}" xr6:coauthVersionLast="47" xr6:coauthVersionMax="47" xr10:uidLastSave="{00000000-0000-0000-0000-000000000000}"/>
  <bookViews>
    <workbookView xWindow="-120" yWindow="-120" windowWidth="29040" windowHeight="15720" xr2:uid="{71169EAB-FDF2-413B-957A-FE2A07162272}"/>
  </bookViews>
  <sheets>
    <sheet name="FINAL REPORTED" sheetId="5" r:id="rId1"/>
    <sheet name="3-Format-Final" sheetId="8" state="hidden" r:id="rId2"/>
    <sheet name="RAW_Corrected" sheetId="4" r:id="rId3"/>
    <sheet name="2-Full_Sorted" sheetId="7" r:id="rId4"/>
    <sheet name="Standards" sheetId="3" r:id="rId5"/>
    <sheet name="1-Sorted_standards" sheetId="2" r:id="rId6"/>
    <sheet name="Raw All" sheetId="1" r:id="rId7"/>
  </sheets>
  <definedNames>
    <definedName name="_xlnm._FilterDatabase" localSheetId="6" hidden="1">'Raw All'!$A$2:$T$1375</definedName>
    <definedName name="gasbenchCO2template.wk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6" i="5" l="1"/>
  <c r="J146" i="5"/>
  <c r="K145" i="5"/>
  <c r="J145" i="5"/>
  <c r="Y386" i="4"/>
  <c r="AA388" i="4"/>
  <c r="AA387" i="4"/>
  <c r="Z388" i="4"/>
  <c r="Z387" i="4"/>
  <c r="W380" i="4" l="1"/>
  <c r="X380" i="4" s="1"/>
  <c r="AA380" i="4" s="1"/>
  <c r="Q380" i="4"/>
  <c r="P380" i="4"/>
  <c r="N380" i="4"/>
  <c r="M380" i="4"/>
  <c r="K380" i="4"/>
  <c r="J380" i="4"/>
  <c r="S380" i="4" s="1"/>
  <c r="T380" i="4" s="1"/>
  <c r="Z380" i="4" s="1"/>
  <c r="W378" i="4"/>
  <c r="X378" i="4" s="1"/>
  <c r="AA378" i="4" s="1"/>
  <c r="Q378" i="4"/>
  <c r="P378" i="4"/>
  <c r="N378" i="4"/>
  <c r="M378" i="4"/>
  <c r="K378" i="4"/>
  <c r="J378" i="4"/>
  <c r="S378" i="4" s="1"/>
  <c r="T378" i="4" s="1"/>
  <c r="Z378" i="4" s="1"/>
  <c r="Q356" i="4"/>
  <c r="P356" i="4"/>
  <c r="W356" i="4" s="1"/>
  <c r="X356" i="4" s="1"/>
  <c r="AA356" i="4" s="1"/>
  <c r="N356" i="4"/>
  <c r="M356" i="4"/>
  <c r="K356" i="4"/>
  <c r="J356" i="4"/>
  <c r="S356" i="4" s="1"/>
  <c r="T356" i="4" s="1"/>
  <c r="Z356" i="4" s="1"/>
  <c r="W354" i="4"/>
  <c r="X354" i="4" s="1"/>
  <c r="AA354" i="4" s="1"/>
  <c r="Q354" i="4"/>
  <c r="P354" i="4"/>
  <c r="N354" i="4"/>
  <c r="M354" i="4"/>
  <c r="K354" i="4"/>
  <c r="J354" i="4"/>
  <c r="S354" i="4" s="1"/>
  <c r="T354" i="4" s="1"/>
  <c r="Z354" i="4" s="1"/>
  <c r="Q332" i="4"/>
  <c r="P332" i="4"/>
  <c r="W332" i="4" s="1"/>
  <c r="X332" i="4" s="1"/>
  <c r="AA332" i="4" s="1"/>
  <c r="N332" i="4"/>
  <c r="M332" i="4"/>
  <c r="K332" i="4"/>
  <c r="J332" i="4"/>
  <c r="S332" i="4" s="1"/>
  <c r="T332" i="4" s="1"/>
  <c r="Z332" i="4" s="1"/>
  <c r="W330" i="4"/>
  <c r="X330" i="4" s="1"/>
  <c r="AA330" i="4" s="1"/>
  <c r="Q330" i="4"/>
  <c r="P330" i="4"/>
  <c r="N330" i="4"/>
  <c r="M330" i="4"/>
  <c r="K330" i="4"/>
  <c r="J330" i="4"/>
  <c r="S330" i="4" s="1"/>
  <c r="T330" i="4" s="1"/>
  <c r="Z330" i="4" s="1"/>
  <c r="Q308" i="4"/>
  <c r="P308" i="4"/>
  <c r="W308" i="4" s="1"/>
  <c r="X308" i="4" s="1"/>
  <c r="AA308" i="4" s="1"/>
  <c r="N308" i="4"/>
  <c r="M308" i="4"/>
  <c r="K308" i="4"/>
  <c r="J308" i="4"/>
  <c r="S308" i="4" s="1"/>
  <c r="T308" i="4" s="1"/>
  <c r="Z308" i="4" s="1"/>
  <c r="Q306" i="4"/>
  <c r="P306" i="4"/>
  <c r="W306" i="4" s="1"/>
  <c r="X306" i="4" s="1"/>
  <c r="AA306" i="4" s="1"/>
  <c r="N306" i="4"/>
  <c r="M306" i="4"/>
  <c r="K306" i="4"/>
  <c r="J306" i="4"/>
  <c r="S306" i="4" s="1"/>
  <c r="T306" i="4" s="1"/>
  <c r="Z306" i="4" s="1"/>
  <c r="Q284" i="4"/>
  <c r="P284" i="4"/>
  <c r="W284" i="4" s="1"/>
  <c r="X284" i="4" s="1"/>
  <c r="AA284" i="4" s="1"/>
  <c r="N284" i="4"/>
  <c r="M284" i="4"/>
  <c r="K284" i="4"/>
  <c r="J284" i="4"/>
  <c r="S284" i="4" s="1"/>
  <c r="T284" i="4" s="1"/>
  <c r="Z284" i="4" s="1"/>
  <c r="Q282" i="4"/>
  <c r="P282" i="4"/>
  <c r="W282" i="4" s="1"/>
  <c r="X282" i="4" s="1"/>
  <c r="AA282" i="4" s="1"/>
  <c r="N282" i="4"/>
  <c r="M282" i="4"/>
  <c r="K282" i="4"/>
  <c r="J282" i="4"/>
  <c r="S282" i="4" s="1"/>
  <c r="T282" i="4" s="1"/>
  <c r="Z282" i="4" s="1"/>
  <c r="W260" i="4"/>
  <c r="X260" i="4" s="1"/>
  <c r="AA260" i="4" s="1"/>
  <c r="Q260" i="4"/>
  <c r="P260" i="4"/>
  <c r="N260" i="4"/>
  <c r="M260" i="4"/>
  <c r="K260" i="4"/>
  <c r="J260" i="4"/>
  <c r="S260" i="4" s="1"/>
  <c r="T260" i="4" s="1"/>
  <c r="Z260" i="4" s="1"/>
  <c r="Q258" i="4"/>
  <c r="P258" i="4"/>
  <c r="W258" i="4" s="1"/>
  <c r="X258" i="4" s="1"/>
  <c r="AA258" i="4" s="1"/>
  <c r="N258" i="4"/>
  <c r="M258" i="4"/>
  <c r="K258" i="4"/>
  <c r="J258" i="4"/>
  <c r="S258" i="4" s="1"/>
  <c r="T258" i="4" s="1"/>
  <c r="Z258" i="4" s="1"/>
  <c r="Q236" i="4"/>
  <c r="P236" i="4"/>
  <c r="W236" i="4" s="1"/>
  <c r="X236" i="4" s="1"/>
  <c r="AA236" i="4" s="1"/>
  <c r="N236" i="4"/>
  <c r="M236" i="4"/>
  <c r="K236" i="4"/>
  <c r="J236" i="4"/>
  <c r="S236" i="4" s="1"/>
  <c r="T236" i="4" s="1"/>
  <c r="Z236" i="4" s="1"/>
  <c r="W234" i="4"/>
  <c r="X234" i="4" s="1"/>
  <c r="AA234" i="4" s="1"/>
  <c r="Q234" i="4"/>
  <c r="P234" i="4"/>
  <c r="N234" i="4"/>
  <c r="M234" i="4"/>
  <c r="K234" i="4"/>
  <c r="J234" i="4"/>
  <c r="S234" i="4" s="1"/>
  <c r="T234" i="4" s="1"/>
  <c r="Z234" i="4" s="1"/>
  <c r="Q382" i="4"/>
  <c r="P382" i="4"/>
  <c r="W382" i="4" s="1"/>
  <c r="X382" i="4" s="1"/>
  <c r="AA382" i="4" s="1"/>
  <c r="N382" i="4"/>
  <c r="M382" i="4"/>
  <c r="K382" i="4"/>
  <c r="J382" i="4"/>
  <c r="S382" i="4" s="1"/>
  <c r="T382" i="4" s="1"/>
  <c r="Z382" i="4" s="1"/>
  <c r="Q376" i="4"/>
  <c r="P376" i="4"/>
  <c r="W376" i="4" s="1"/>
  <c r="X376" i="4" s="1"/>
  <c r="AA376" i="4" s="1"/>
  <c r="N376" i="4"/>
  <c r="M376" i="4"/>
  <c r="K376" i="4"/>
  <c r="J376" i="4"/>
  <c r="S376" i="4" s="1"/>
  <c r="T376" i="4" s="1"/>
  <c r="Z376" i="4" s="1"/>
  <c r="Q374" i="4"/>
  <c r="P374" i="4"/>
  <c r="W374" i="4" s="1"/>
  <c r="X374" i="4" s="1"/>
  <c r="AA374" i="4" s="1"/>
  <c r="N374" i="4"/>
  <c r="M374" i="4"/>
  <c r="K374" i="4"/>
  <c r="J374" i="4"/>
  <c r="S374" i="4" s="1"/>
  <c r="T374" i="4" s="1"/>
  <c r="Z374" i="4" s="1"/>
  <c r="W372" i="4"/>
  <c r="X372" i="4" s="1"/>
  <c r="AA372" i="4" s="1"/>
  <c r="Q372" i="4"/>
  <c r="P372" i="4"/>
  <c r="N372" i="4"/>
  <c r="M372" i="4"/>
  <c r="K372" i="4"/>
  <c r="J372" i="4"/>
  <c r="S372" i="4" s="1"/>
  <c r="T372" i="4" s="1"/>
  <c r="Z372" i="4" s="1"/>
  <c r="Q370" i="4"/>
  <c r="P370" i="4"/>
  <c r="W370" i="4" s="1"/>
  <c r="X370" i="4" s="1"/>
  <c r="AA370" i="4" s="1"/>
  <c r="N370" i="4"/>
  <c r="M370" i="4"/>
  <c r="K370" i="4"/>
  <c r="J370" i="4"/>
  <c r="S370" i="4" s="1"/>
  <c r="T370" i="4" s="1"/>
  <c r="Z370" i="4" s="1"/>
  <c r="Q368" i="4"/>
  <c r="P368" i="4"/>
  <c r="W368" i="4" s="1"/>
  <c r="X368" i="4" s="1"/>
  <c r="AA368" i="4" s="1"/>
  <c r="N368" i="4"/>
  <c r="M368" i="4"/>
  <c r="K368" i="4"/>
  <c r="J368" i="4"/>
  <c r="S368" i="4" s="1"/>
  <c r="T368" i="4" s="1"/>
  <c r="Z368" i="4" s="1"/>
  <c r="W366" i="4"/>
  <c r="X366" i="4" s="1"/>
  <c r="AA366" i="4" s="1"/>
  <c r="Q366" i="4"/>
  <c r="P366" i="4"/>
  <c r="N366" i="4"/>
  <c r="M366" i="4"/>
  <c r="K366" i="4"/>
  <c r="J366" i="4"/>
  <c r="S366" i="4" s="1"/>
  <c r="T366" i="4" s="1"/>
  <c r="Z366" i="4" s="1"/>
  <c r="W364" i="4"/>
  <c r="X364" i="4" s="1"/>
  <c r="AA364" i="4" s="1"/>
  <c r="Q364" i="4"/>
  <c r="P364" i="4"/>
  <c r="N364" i="4"/>
  <c r="M364" i="4"/>
  <c r="K364" i="4"/>
  <c r="J364" i="4"/>
  <c r="S364" i="4" s="1"/>
  <c r="T364" i="4" s="1"/>
  <c r="Z364" i="4" s="1"/>
  <c r="W362" i="4"/>
  <c r="X362" i="4" s="1"/>
  <c r="AA362" i="4" s="1"/>
  <c r="Q362" i="4"/>
  <c r="P362" i="4"/>
  <c r="N362" i="4"/>
  <c r="M362" i="4"/>
  <c r="K362" i="4"/>
  <c r="J362" i="4"/>
  <c r="S362" i="4" s="1"/>
  <c r="T362" i="4" s="1"/>
  <c r="Z362" i="4" s="1"/>
  <c r="W360" i="4"/>
  <c r="X360" i="4" s="1"/>
  <c r="AA360" i="4" s="1"/>
  <c r="Q360" i="4"/>
  <c r="P360" i="4"/>
  <c r="N360" i="4"/>
  <c r="M360" i="4"/>
  <c r="K360" i="4"/>
  <c r="J360" i="4"/>
  <c r="S360" i="4" s="1"/>
  <c r="T360" i="4" s="1"/>
  <c r="Z360" i="4" s="1"/>
  <c r="W358" i="4"/>
  <c r="X358" i="4" s="1"/>
  <c r="AA358" i="4" s="1"/>
  <c r="Q358" i="4"/>
  <c r="P358" i="4"/>
  <c r="N358" i="4"/>
  <c r="M358" i="4"/>
  <c r="K358" i="4"/>
  <c r="J358" i="4"/>
  <c r="S358" i="4" s="1"/>
  <c r="T358" i="4" s="1"/>
  <c r="Z358" i="4" s="1"/>
  <c r="W352" i="4"/>
  <c r="X352" i="4" s="1"/>
  <c r="AA352" i="4" s="1"/>
  <c r="Q352" i="4"/>
  <c r="P352" i="4"/>
  <c r="N352" i="4"/>
  <c r="M352" i="4"/>
  <c r="K352" i="4"/>
  <c r="J352" i="4"/>
  <c r="S352" i="4" s="1"/>
  <c r="T352" i="4" s="1"/>
  <c r="Z352" i="4" s="1"/>
  <c r="W350" i="4"/>
  <c r="X350" i="4" s="1"/>
  <c r="AA350" i="4" s="1"/>
  <c r="Q350" i="4"/>
  <c r="P350" i="4"/>
  <c r="N350" i="4"/>
  <c r="M350" i="4"/>
  <c r="K350" i="4"/>
  <c r="J350" i="4"/>
  <c r="S350" i="4" s="1"/>
  <c r="T350" i="4" s="1"/>
  <c r="Z350" i="4" s="1"/>
  <c r="Q348" i="4"/>
  <c r="P348" i="4"/>
  <c r="W348" i="4" s="1"/>
  <c r="X348" i="4" s="1"/>
  <c r="AA348" i="4" s="1"/>
  <c r="N348" i="4"/>
  <c r="M348" i="4"/>
  <c r="K348" i="4"/>
  <c r="J348" i="4"/>
  <c r="S348" i="4" s="1"/>
  <c r="T348" i="4" s="1"/>
  <c r="Z348" i="4" s="1"/>
  <c r="Q346" i="4"/>
  <c r="P346" i="4"/>
  <c r="W346" i="4" s="1"/>
  <c r="X346" i="4" s="1"/>
  <c r="AA346" i="4" s="1"/>
  <c r="N346" i="4"/>
  <c r="M346" i="4"/>
  <c r="K346" i="4"/>
  <c r="J346" i="4"/>
  <c r="S346" i="4" s="1"/>
  <c r="T346" i="4" s="1"/>
  <c r="Z346" i="4" s="1"/>
  <c r="W344" i="4"/>
  <c r="X344" i="4" s="1"/>
  <c r="AA344" i="4" s="1"/>
  <c r="Q344" i="4"/>
  <c r="P344" i="4"/>
  <c r="N344" i="4"/>
  <c r="M344" i="4"/>
  <c r="K344" i="4"/>
  <c r="J344" i="4"/>
  <c r="S344" i="4" s="1"/>
  <c r="T344" i="4" s="1"/>
  <c r="Z344" i="4" s="1"/>
  <c r="Q342" i="4"/>
  <c r="P342" i="4"/>
  <c r="W342" i="4" s="1"/>
  <c r="X342" i="4" s="1"/>
  <c r="AA342" i="4" s="1"/>
  <c r="N342" i="4"/>
  <c r="M342" i="4"/>
  <c r="K342" i="4"/>
  <c r="J342" i="4"/>
  <c r="S342" i="4" s="1"/>
  <c r="T342" i="4" s="1"/>
  <c r="Z342" i="4" s="1"/>
  <c r="Q340" i="4"/>
  <c r="P340" i="4"/>
  <c r="W340" i="4" s="1"/>
  <c r="X340" i="4" s="1"/>
  <c r="AA340" i="4" s="1"/>
  <c r="N340" i="4"/>
  <c r="M340" i="4"/>
  <c r="K340" i="4"/>
  <c r="J340" i="4"/>
  <c r="S340" i="4" s="1"/>
  <c r="T340" i="4" s="1"/>
  <c r="Z340" i="4" s="1"/>
  <c r="Q338" i="4"/>
  <c r="P338" i="4"/>
  <c r="W338" i="4" s="1"/>
  <c r="X338" i="4" s="1"/>
  <c r="AA338" i="4" s="1"/>
  <c r="N338" i="4"/>
  <c r="M338" i="4"/>
  <c r="K338" i="4"/>
  <c r="J338" i="4"/>
  <c r="S338" i="4" s="1"/>
  <c r="T338" i="4" s="1"/>
  <c r="Z338" i="4" s="1"/>
  <c r="Q336" i="4"/>
  <c r="P336" i="4"/>
  <c r="W336" i="4" s="1"/>
  <c r="X336" i="4" s="1"/>
  <c r="AA336" i="4" s="1"/>
  <c r="N336" i="4"/>
  <c r="M336" i="4"/>
  <c r="K336" i="4"/>
  <c r="J336" i="4"/>
  <c r="S336" i="4" s="1"/>
  <c r="T336" i="4" s="1"/>
  <c r="Z336" i="4" s="1"/>
  <c r="W334" i="4"/>
  <c r="X334" i="4" s="1"/>
  <c r="AA334" i="4" s="1"/>
  <c r="Q334" i="4"/>
  <c r="P334" i="4"/>
  <c r="N334" i="4"/>
  <c r="M334" i="4"/>
  <c r="K334" i="4"/>
  <c r="J334" i="4"/>
  <c r="S334" i="4" s="1"/>
  <c r="T334" i="4" s="1"/>
  <c r="Z334" i="4" s="1"/>
  <c r="W328" i="4"/>
  <c r="X328" i="4" s="1"/>
  <c r="AA328" i="4" s="1"/>
  <c r="Q328" i="4"/>
  <c r="P328" i="4"/>
  <c r="N328" i="4"/>
  <c r="M328" i="4"/>
  <c r="K328" i="4"/>
  <c r="J328" i="4"/>
  <c r="S328" i="4" s="1"/>
  <c r="T328" i="4" s="1"/>
  <c r="Z328" i="4" s="1"/>
  <c r="Q326" i="4"/>
  <c r="P326" i="4"/>
  <c r="W326" i="4" s="1"/>
  <c r="X326" i="4" s="1"/>
  <c r="AA326" i="4" s="1"/>
  <c r="N326" i="4"/>
  <c r="M326" i="4"/>
  <c r="K326" i="4"/>
  <c r="J326" i="4"/>
  <c r="S326" i="4" s="1"/>
  <c r="T326" i="4" s="1"/>
  <c r="Z326" i="4" s="1"/>
  <c r="Q324" i="4"/>
  <c r="P324" i="4"/>
  <c r="W324" i="4" s="1"/>
  <c r="X324" i="4" s="1"/>
  <c r="AA324" i="4" s="1"/>
  <c r="N324" i="4"/>
  <c r="M324" i="4"/>
  <c r="K324" i="4"/>
  <c r="J324" i="4"/>
  <c r="S324" i="4" s="1"/>
  <c r="T324" i="4" s="1"/>
  <c r="Z324" i="4" s="1"/>
  <c r="W322" i="4"/>
  <c r="X322" i="4" s="1"/>
  <c r="AA322" i="4" s="1"/>
  <c r="Q322" i="4"/>
  <c r="P322" i="4"/>
  <c r="N322" i="4"/>
  <c r="M322" i="4"/>
  <c r="K322" i="4"/>
  <c r="J322" i="4"/>
  <c r="S322" i="4" s="1"/>
  <c r="T322" i="4" s="1"/>
  <c r="Z322" i="4" s="1"/>
  <c r="W320" i="4"/>
  <c r="X320" i="4" s="1"/>
  <c r="AA320" i="4" s="1"/>
  <c r="Q320" i="4"/>
  <c r="P320" i="4"/>
  <c r="N320" i="4"/>
  <c r="M320" i="4"/>
  <c r="K320" i="4"/>
  <c r="J320" i="4"/>
  <c r="S320" i="4" s="1"/>
  <c r="T320" i="4" s="1"/>
  <c r="Z320" i="4" s="1"/>
  <c r="W318" i="4"/>
  <c r="X318" i="4" s="1"/>
  <c r="AA318" i="4" s="1"/>
  <c r="Q318" i="4"/>
  <c r="P318" i="4"/>
  <c r="N318" i="4"/>
  <c r="M318" i="4"/>
  <c r="K318" i="4"/>
  <c r="J318" i="4"/>
  <c r="S318" i="4" s="1"/>
  <c r="T318" i="4" s="1"/>
  <c r="Z318" i="4" s="1"/>
  <c r="W316" i="4"/>
  <c r="X316" i="4" s="1"/>
  <c r="AA316" i="4" s="1"/>
  <c r="Q316" i="4"/>
  <c r="P316" i="4"/>
  <c r="N316" i="4"/>
  <c r="M316" i="4"/>
  <c r="K316" i="4"/>
  <c r="J316" i="4"/>
  <c r="S316" i="4" s="1"/>
  <c r="T316" i="4" s="1"/>
  <c r="Z316" i="4" s="1"/>
  <c r="Q314" i="4"/>
  <c r="P314" i="4"/>
  <c r="W314" i="4" s="1"/>
  <c r="X314" i="4" s="1"/>
  <c r="AA314" i="4" s="1"/>
  <c r="N314" i="4"/>
  <c r="M314" i="4"/>
  <c r="K314" i="4"/>
  <c r="J314" i="4"/>
  <c r="S314" i="4" s="1"/>
  <c r="T314" i="4" s="1"/>
  <c r="Z314" i="4" s="1"/>
  <c r="Q312" i="4"/>
  <c r="P312" i="4"/>
  <c r="W312" i="4" s="1"/>
  <c r="X312" i="4" s="1"/>
  <c r="AA312" i="4" s="1"/>
  <c r="N312" i="4"/>
  <c r="M312" i="4"/>
  <c r="K312" i="4"/>
  <c r="J312" i="4"/>
  <c r="S312" i="4" s="1"/>
  <c r="T312" i="4" s="1"/>
  <c r="Z312" i="4" s="1"/>
  <c r="W310" i="4"/>
  <c r="X310" i="4" s="1"/>
  <c r="AA310" i="4" s="1"/>
  <c r="Q310" i="4"/>
  <c r="P310" i="4"/>
  <c r="N310" i="4"/>
  <c r="M310" i="4"/>
  <c r="K310" i="4"/>
  <c r="J310" i="4"/>
  <c r="S310" i="4" s="1"/>
  <c r="T310" i="4" s="1"/>
  <c r="Z310" i="4" s="1"/>
  <c r="Q304" i="4"/>
  <c r="P304" i="4"/>
  <c r="W304" i="4" s="1"/>
  <c r="X304" i="4" s="1"/>
  <c r="AA304" i="4" s="1"/>
  <c r="N304" i="4"/>
  <c r="M304" i="4"/>
  <c r="K304" i="4"/>
  <c r="J304" i="4"/>
  <c r="S304" i="4" s="1"/>
  <c r="T304" i="4" s="1"/>
  <c r="Z304" i="4" s="1"/>
  <c r="W302" i="4"/>
  <c r="X302" i="4" s="1"/>
  <c r="AA302" i="4" s="1"/>
  <c r="Q302" i="4"/>
  <c r="P302" i="4"/>
  <c r="N302" i="4"/>
  <c r="M302" i="4"/>
  <c r="K302" i="4"/>
  <c r="J302" i="4"/>
  <c r="S302" i="4" s="1"/>
  <c r="T302" i="4" s="1"/>
  <c r="Z302" i="4" s="1"/>
  <c r="W300" i="4"/>
  <c r="X300" i="4" s="1"/>
  <c r="AA300" i="4" s="1"/>
  <c r="Q300" i="4"/>
  <c r="P300" i="4"/>
  <c r="N300" i="4"/>
  <c r="M300" i="4"/>
  <c r="K300" i="4"/>
  <c r="J300" i="4"/>
  <c r="S300" i="4" s="1"/>
  <c r="T300" i="4" s="1"/>
  <c r="Z300" i="4" s="1"/>
  <c r="W298" i="4"/>
  <c r="X298" i="4" s="1"/>
  <c r="AA298" i="4" s="1"/>
  <c r="Q298" i="4"/>
  <c r="P298" i="4"/>
  <c r="N298" i="4"/>
  <c r="M298" i="4"/>
  <c r="K298" i="4"/>
  <c r="J298" i="4"/>
  <c r="S298" i="4" s="1"/>
  <c r="T298" i="4" s="1"/>
  <c r="Z298" i="4" s="1"/>
  <c r="W296" i="4"/>
  <c r="X296" i="4" s="1"/>
  <c r="AA296" i="4" s="1"/>
  <c r="Q296" i="4"/>
  <c r="P296" i="4"/>
  <c r="N296" i="4"/>
  <c r="M296" i="4"/>
  <c r="K296" i="4"/>
  <c r="J296" i="4"/>
  <c r="S296" i="4" s="1"/>
  <c r="T296" i="4" s="1"/>
  <c r="Z296" i="4" s="1"/>
  <c r="Q294" i="4"/>
  <c r="P294" i="4"/>
  <c r="W294" i="4" s="1"/>
  <c r="X294" i="4" s="1"/>
  <c r="AA294" i="4" s="1"/>
  <c r="N294" i="4"/>
  <c r="M294" i="4"/>
  <c r="K294" i="4"/>
  <c r="J294" i="4"/>
  <c r="S294" i="4" s="1"/>
  <c r="T294" i="4" s="1"/>
  <c r="Z294" i="4" s="1"/>
  <c r="W292" i="4"/>
  <c r="X292" i="4" s="1"/>
  <c r="AA292" i="4" s="1"/>
  <c r="Q292" i="4"/>
  <c r="P292" i="4"/>
  <c r="N292" i="4"/>
  <c r="M292" i="4"/>
  <c r="K292" i="4"/>
  <c r="J292" i="4"/>
  <c r="S292" i="4" s="1"/>
  <c r="T292" i="4" s="1"/>
  <c r="Z292" i="4" s="1"/>
  <c r="Q290" i="4"/>
  <c r="P290" i="4"/>
  <c r="W290" i="4" s="1"/>
  <c r="X290" i="4" s="1"/>
  <c r="AA290" i="4" s="1"/>
  <c r="N290" i="4"/>
  <c r="M290" i="4"/>
  <c r="K290" i="4"/>
  <c r="J290" i="4"/>
  <c r="S290" i="4" s="1"/>
  <c r="T290" i="4" s="1"/>
  <c r="Z290" i="4" s="1"/>
  <c r="W288" i="4"/>
  <c r="X288" i="4" s="1"/>
  <c r="AA288" i="4" s="1"/>
  <c r="Q288" i="4"/>
  <c r="P288" i="4"/>
  <c r="N288" i="4"/>
  <c r="M288" i="4"/>
  <c r="K288" i="4"/>
  <c r="J288" i="4"/>
  <c r="S288" i="4" s="1"/>
  <c r="T288" i="4" s="1"/>
  <c r="Z288" i="4" s="1"/>
  <c r="W286" i="4"/>
  <c r="X286" i="4" s="1"/>
  <c r="AA286" i="4" s="1"/>
  <c r="Q286" i="4"/>
  <c r="P286" i="4"/>
  <c r="N286" i="4"/>
  <c r="M286" i="4"/>
  <c r="K286" i="4"/>
  <c r="J286" i="4"/>
  <c r="S286" i="4" s="1"/>
  <c r="T286" i="4" s="1"/>
  <c r="Z286" i="4" s="1"/>
  <c r="Q280" i="4"/>
  <c r="P280" i="4"/>
  <c r="W280" i="4" s="1"/>
  <c r="X280" i="4" s="1"/>
  <c r="AA280" i="4" s="1"/>
  <c r="N280" i="4"/>
  <c r="M280" i="4"/>
  <c r="K280" i="4"/>
  <c r="J280" i="4"/>
  <c r="S280" i="4" s="1"/>
  <c r="T280" i="4" s="1"/>
  <c r="Z280" i="4" s="1"/>
  <c r="W278" i="4"/>
  <c r="X278" i="4" s="1"/>
  <c r="AA278" i="4" s="1"/>
  <c r="Q278" i="4"/>
  <c r="P278" i="4"/>
  <c r="N278" i="4"/>
  <c r="M278" i="4"/>
  <c r="K278" i="4"/>
  <c r="J278" i="4"/>
  <c r="S278" i="4" s="1"/>
  <c r="T278" i="4" s="1"/>
  <c r="Z278" i="4" s="1"/>
  <c r="Q276" i="4"/>
  <c r="P276" i="4"/>
  <c r="W276" i="4" s="1"/>
  <c r="X276" i="4" s="1"/>
  <c r="AA276" i="4" s="1"/>
  <c r="N276" i="4"/>
  <c r="M276" i="4"/>
  <c r="K276" i="4"/>
  <c r="J276" i="4"/>
  <c r="S276" i="4" s="1"/>
  <c r="T276" i="4" s="1"/>
  <c r="Z276" i="4" s="1"/>
  <c r="Q274" i="4"/>
  <c r="P274" i="4"/>
  <c r="W274" i="4" s="1"/>
  <c r="X274" i="4" s="1"/>
  <c r="AA274" i="4" s="1"/>
  <c r="N274" i="4"/>
  <c r="M274" i="4"/>
  <c r="K274" i="4"/>
  <c r="J274" i="4"/>
  <c r="S274" i="4" s="1"/>
  <c r="T274" i="4" s="1"/>
  <c r="Z274" i="4" s="1"/>
  <c r="Q272" i="4"/>
  <c r="P272" i="4"/>
  <c r="W272" i="4" s="1"/>
  <c r="X272" i="4" s="1"/>
  <c r="AA272" i="4" s="1"/>
  <c r="N272" i="4"/>
  <c r="M272" i="4"/>
  <c r="K272" i="4"/>
  <c r="J272" i="4"/>
  <c r="S272" i="4" s="1"/>
  <c r="T272" i="4" s="1"/>
  <c r="Z272" i="4" s="1"/>
  <c r="X270" i="4"/>
  <c r="AA270" i="4" s="1"/>
  <c r="W270" i="4"/>
  <c r="Q270" i="4"/>
  <c r="P270" i="4"/>
  <c r="N270" i="4"/>
  <c r="M270" i="4"/>
  <c r="K270" i="4"/>
  <c r="J270" i="4"/>
  <c r="S270" i="4" s="1"/>
  <c r="T270" i="4" s="1"/>
  <c r="Z270" i="4" s="1"/>
  <c r="Q268" i="4"/>
  <c r="P268" i="4"/>
  <c r="W268" i="4" s="1"/>
  <c r="X268" i="4" s="1"/>
  <c r="AA268" i="4" s="1"/>
  <c r="N268" i="4"/>
  <c r="M268" i="4"/>
  <c r="K268" i="4"/>
  <c r="J268" i="4"/>
  <c r="S268" i="4" s="1"/>
  <c r="T268" i="4" s="1"/>
  <c r="Z268" i="4" s="1"/>
  <c r="W266" i="4"/>
  <c r="X266" i="4" s="1"/>
  <c r="AA266" i="4" s="1"/>
  <c r="Q266" i="4"/>
  <c r="P266" i="4"/>
  <c r="N266" i="4"/>
  <c r="M266" i="4"/>
  <c r="K266" i="4"/>
  <c r="J266" i="4"/>
  <c r="S266" i="4" s="1"/>
  <c r="T266" i="4" s="1"/>
  <c r="Z266" i="4" s="1"/>
  <c r="Q264" i="4"/>
  <c r="P264" i="4"/>
  <c r="W264" i="4" s="1"/>
  <c r="X264" i="4" s="1"/>
  <c r="AA264" i="4" s="1"/>
  <c r="N264" i="4"/>
  <c r="M264" i="4"/>
  <c r="K264" i="4"/>
  <c r="J264" i="4"/>
  <c r="S264" i="4" s="1"/>
  <c r="T264" i="4" s="1"/>
  <c r="Z264" i="4" s="1"/>
  <c r="Q262" i="4"/>
  <c r="P262" i="4"/>
  <c r="W262" i="4" s="1"/>
  <c r="X262" i="4" s="1"/>
  <c r="AA262" i="4" s="1"/>
  <c r="N262" i="4"/>
  <c r="M262" i="4"/>
  <c r="K262" i="4"/>
  <c r="J262" i="4"/>
  <c r="S262" i="4" s="1"/>
  <c r="T262" i="4" s="1"/>
  <c r="Z262" i="4" s="1"/>
  <c r="W256" i="4"/>
  <c r="X256" i="4" s="1"/>
  <c r="AA256" i="4" s="1"/>
  <c r="Q256" i="4"/>
  <c r="P256" i="4"/>
  <c r="N256" i="4"/>
  <c r="M256" i="4"/>
  <c r="K256" i="4"/>
  <c r="J256" i="4"/>
  <c r="S256" i="4" s="1"/>
  <c r="T256" i="4" s="1"/>
  <c r="Z256" i="4" s="1"/>
  <c r="W254" i="4"/>
  <c r="X254" i="4" s="1"/>
  <c r="AA254" i="4" s="1"/>
  <c r="Q254" i="4"/>
  <c r="P254" i="4"/>
  <c r="N254" i="4"/>
  <c r="M254" i="4"/>
  <c r="K254" i="4"/>
  <c r="J254" i="4"/>
  <c r="S254" i="4" s="1"/>
  <c r="T254" i="4" s="1"/>
  <c r="Z254" i="4" s="1"/>
  <c r="W252" i="4"/>
  <c r="X252" i="4" s="1"/>
  <c r="AA252" i="4" s="1"/>
  <c r="Q252" i="4"/>
  <c r="P252" i="4"/>
  <c r="N252" i="4"/>
  <c r="M252" i="4"/>
  <c r="K252" i="4"/>
  <c r="J252" i="4"/>
  <c r="S252" i="4" s="1"/>
  <c r="T252" i="4" s="1"/>
  <c r="Z252" i="4" s="1"/>
  <c r="W250" i="4"/>
  <c r="X250" i="4" s="1"/>
  <c r="AA250" i="4" s="1"/>
  <c r="Q250" i="4"/>
  <c r="P250" i="4"/>
  <c r="N250" i="4"/>
  <c r="M250" i="4"/>
  <c r="K250" i="4"/>
  <c r="J250" i="4"/>
  <c r="S250" i="4" s="1"/>
  <c r="T250" i="4" s="1"/>
  <c r="Z250" i="4" s="1"/>
  <c r="Q248" i="4"/>
  <c r="P248" i="4"/>
  <c r="W248" i="4" s="1"/>
  <c r="X248" i="4" s="1"/>
  <c r="AA248" i="4" s="1"/>
  <c r="N248" i="4"/>
  <c r="M248" i="4"/>
  <c r="K248" i="4"/>
  <c r="J248" i="4"/>
  <c r="S248" i="4" s="1"/>
  <c r="T248" i="4" s="1"/>
  <c r="Z248" i="4" s="1"/>
  <c r="W246" i="4"/>
  <c r="X246" i="4" s="1"/>
  <c r="AA246" i="4" s="1"/>
  <c r="Q246" i="4"/>
  <c r="P246" i="4"/>
  <c r="N246" i="4"/>
  <c r="M246" i="4"/>
  <c r="K246" i="4"/>
  <c r="J246" i="4"/>
  <c r="S246" i="4" s="1"/>
  <c r="T246" i="4" s="1"/>
  <c r="Z246" i="4" s="1"/>
  <c r="W244" i="4"/>
  <c r="X244" i="4" s="1"/>
  <c r="AA244" i="4" s="1"/>
  <c r="Q244" i="4"/>
  <c r="P244" i="4"/>
  <c r="N244" i="4"/>
  <c r="M244" i="4"/>
  <c r="K244" i="4"/>
  <c r="J244" i="4"/>
  <c r="S244" i="4" s="1"/>
  <c r="T244" i="4" s="1"/>
  <c r="Z244" i="4" s="1"/>
  <c r="Q242" i="4"/>
  <c r="P242" i="4"/>
  <c r="W242" i="4" s="1"/>
  <c r="X242" i="4" s="1"/>
  <c r="AA242" i="4" s="1"/>
  <c r="N242" i="4"/>
  <c r="M242" i="4"/>
  <c r="K242" i="4"/>
  <c r="J242" i="4"/>
  <c r="S242" i="4" s="1"/>
  <c r="T242" i="4" s="1"/>
  <c r="Z242" i="4" s="1"/>
  <c r="W240" i="4"/>
  <c r="X240" i="4" s="1"/>
  <c r="AA240" i="4" s="1"/>
  <c r="Q240" i="4"/>
  <c r="P240" i="4"/>
  <c r="N240" i="4"/>
  <c r="M240" i="4"/>
  <c r="K240" i="4"/>
  <c r="J240" i="4"/>
  <c r="S240" i="4" s="1"/>
  <c r="T240" i="4" s="1"/>
  <c r="Z240" i="4" s="1"/>
  <c r="Q238" i="4"/>
  <c r="P238" i="4"/>
  <c r="W238" i="4" s="1"/>
  <c r="X238" i="4" s="1"/>
  <c r="AA238" i="4" s="1"/>
  <c r="N238" i="4"/>
  <c r="M238" i="4"/>
  <c r="K238" i="4"/>
  <c r="J238" i="4"/>
  <c r="S238" i="4" s="1"/>
  <c r="T238" i="4" s="1"/>
  <c r="Z238" i="4" s="1"/>
  <c r="W232" i="4"/>
  <c r="X232" i="4" s="1"/>
  <c r="AA232" i="4" s="1"/>
  <c r="Q232" i="4"/>
  <c r="P232" i="4"/>
  <c r="N232" i="4"/>
  <c r="M232" i="4"/>
  <c r="K232" i="4"/>
  <c r="J232" i="4"/>
  <c r="S232" i="4" s="1"/>
  <c r="T232" i="4" s="1"/>
  <c r="Z232" i="4" s="1"/>
  <c r="W230" i="4"/>
  <c r="X230" i="4" s="1"/>
  <c r="AA230" i="4" s="1"/>
  <c r="Q230" i="4"/>
  <c r="P230" i="4"/>
  <c r="N230" i="4"/>
  <c r="M230" i="4"/>
  <c r="K230" i="4"/>
  <c r="J230" i="4"/>
  <c r="S230" i="4" s="1"/>
  <c r="T230" i="4" s="1"/>
  <c r="Z230" i="4" s="1"/>
  <c r="Q228" i="4"/>
  <c r="P228" i="4"/>
  <c r="W228" i="4" s="1"/>
  <c r="X228" i="4" s="1"/>
  <c r="AA228" i="4" s="1"/>
  <c r="N228" i="4"/>
  <c r="M228" i="4"/>
  <c r="K228" i="4"/>
  <c r="J228" i="4"/>
  <c r="S228" i="4" s="1"/>
  <c r="T228" i="4" s="1"/>
  <c r="Z228" i="4" s="1"/>
  <c r="W226" i="4"/>
  <c r="X226" i="4" s="1"/>
  <c r="AA226" i="4" s="1"/>
  <c r="Q226" i="4"/>
  <c r="P226" i="4"/>
  <c r="N226" i="4"/>
  <c r="M226" i="4"/>
  <c r="K226" i="4"/>
  <c r="J226" i="4"/>
  <c r="S226" i="4" s="1"/>
  <c r="T226" i="4" s="1"/>
  <c r="Z226" i="4" s="1"/>
  <c r="Q224" i="4"/>
  <c r="P224" i="4"/>
  <c r="W224" i="4" s="1"/>
  <c r="X224" i="4" s="1"/>
  <c r="AA224" i="4" s="1"/>
  <c r="N224" i="4"/>
  <c r="M224" i="4"/>
  <c r="K224" i="4"/>
  <c r="J224" i="4"/>
  <c r="S224" i="4" s="1"/>
  <c r="T224" i="4" s="1"/>
  <c r="Z224" i="4" s="1"/>
  <c r="Q222" i="4"/>
  <c r="P222" i="4"/>
  <c r="W222" i="4" s="1"/>
  <c r="X222" i="4" s="1"/>
  <c r="AA222" i="4" s="1"/>
  <c r="N222" i="4"/>
  <c r="M222" i="4"/>
  <c r="K222" i="4"/>
  <c r="J222" i="4"/>
  <c r="S222" i="4" s="1"/>
  <c r="T222" i="4" s="1"/>
  <c r="Z222" i="4" s="1"/>
  <c r="Q220" i="4"/>
  <c r="P220" i="4"/>
  <c r="W220" i="4" s="1"/>
  <c r="X220" i="4" s="1"/>
  <c r="AA220" i="4" s="1"/>
  <c r="N220" i="4"/>
  <c r="M220" i="4"/>
  <c r="K220" i="4"/>
  <c r="J220" i="4"/>
  <c r="S220" i="4" s="1"/>
  <c r="T220" i="4" s="1"/>
  <c r="Z220" i="4" s="1"/>
  <c r="Q218" i="4"/>
  <c r="P218" i="4"/>
  <c r="W218" i="4" s="1"/>
  <c r="X218" i="4" s="1"/>
  <c r="AA218" i="4" s="1"/>
  <c r="N218" i="4"/>
  <c r="M218" i="4"/>
  <c r="K218" i="4"/>
  <c r="J218" i="4"/>
  <c r="S218" i="4" s="1"/>
  <c r="T218" i="4" s="1"/>
  <c r="Z218" i="4" s="1"/>
  <c r="W216" i="4"/>
  <c r="X216" i="4" s="1"/>
  <c r="AA216" i="4" s="1"/>
  <c r="Q216" i="4"/>
  <c r="P216" i="4"/>
  <c r="N216" i="4"/>
  <c r="M216" i="4"/>
  <c r="K216" i="4"/>
  <c r="J216" i="4"/>
  <c r="S216" i="4" s="1"/>
  <c r="T216" i="4" s="1"/>
  <c r="Z216" i="4" s="1"/>
  <c r="W214" i="4"/>
  <c r="X214" i="4" s="1"/>
  <c r="AA214" i="4" s="1"/>
  <c r="Q214" i="4"/>
  <c r="P214" i="4"/>
  <c r="N214" i="4"/>
  <c r="M214" i="4"/>
  <c r="K214" i="4"/>
  <c r="J214" i="4"/>
  <c r="S214" i="4" s="1"/>
  <c r="T214" i="4" s="1"/>
  <c r="Z214" i="4" s="1"/>
  <c r="Q212" i="4"/>
  <c r="P212" i="4"/>
  <c r="W212" i="4" s="1"/>
  <c r="X212" i="4" s="1"/>
  <c r="AA212" i="4" s="1"/>
  <c r="N212" i="4"/>
  <c r="M212" i="4"/>
  <c r="K212" i="4"/>
  <c r="J212" i="4"/>
  <c r="S212" i="4" s="1"/>
  <c r="T212" i="4" s="1"/>
  <c r="Z212" i="4" s="1"/>
  <c r="Q210" i="4"/>
  <c r="P210" i="4"/>
  <c r="W210" i="4" s="1"/>
  <c r="X210" i="4" s="1"/>
  <c r="AA210" i="4" s="1"/>
  <c r="N210" i="4"/>
  <c r="M210" i="4"/>
  <c r="K210" i="4"/>
  <c r="J210" i="4"/>
  <c r="S210" i="4" s="1"/>
  <c r="T210" i="4" s="1"/>
  <c r="Z210" i="4" s="1"/>
  <c r="Q208" i="4"/>
  <c r="P208" i="4"/>
  <c r="W208" i="4" s="1"/>
  <c r="X208" i="4" s="1"/>
  <c r="AA208" i="4" s="1"/>
  <c r="N208" i="4"/>
  <c r="M208" i="4"/>
  <c r="K208" i="4"/>
  <c r="J208" i="4"/>
  <c r="S208" i="4" s="1"/>
  <c r="T208" i="4" s="1"/>
  <c r="Z208" i="4" s="1"/>
  <c r="W206" i="4"/>
  <c r="X206" i="4" s="1"/>
  <c r="AA206" i="4" s="1"/>
  <c r="Q206" i="4"/>
  <c r="P206" i="4"/>
  <c r="N206" i="4"/>
  <c r="M206" i="4"/>
  <c r="K206" i="4"/>
  <c r="J206" i="4"/>
  <c r="S206" i="4" s="1"/>
  <c r="T206" i="4" s="1"/>
  <c r="Z206" i="4" s="1"/>
  <c r="Q204" i="4"/>
  <c r="P204" i="4"/>
  <c r="W204" i="4" s="1"/>
  <c r="X204" i="4" s="1"/>
  <c r="AA204" i="4" s="1"/>
  <c r="N204" i="4"/>
  <c r="M204" i="4"/>
  <c r="K204" i="4"/>
  <c r="J204" i="4"/>
  <c r="S204" i="4" s="1"/>
  <c r="T204" i="4" s="1"/>
  <c r="Z204" i="4" s="1"/>
  <c r="W202" i="4"/>
  <c r="X202" i="4" s="1"/>
  <c r="AA202" i="4" s="1"/>
  <c r="Q202" i="4"/>
  <c r="P202" i="4"/>
  <c r="N202" i="4"/>
  <c r="M202" i="4"/>
  <c r="K202" i="4"/>
  <c r="J202" i="4"/>
  <c r="S202" i="4" s="1"/>
  <c r="T202" i="4" s="1"/>
  <c r="Z202" i="4" s="1"/>
  <c r="W200" i="4"/>
  <c r="X200" i="4" s="1"/>
  <c r="AA200" i="4" s="1"/>
  <c r="Q200" i="4"/>
  <c r="P200" i="4"/>
  <c r="N200" i="4"/>
  <c r="M200" i="4"/>
  <c r="K200" i="4"/>
  <c r="J200" i="4"/>
  <c r="S200" i="4" s="1"/>
  <c r="T200" i="4" s="1"/>
  <c r="Z200" i="4" s="1"/>
  <c r="Q198" i="4"/>
  <c r="P198" i="4"/>
  <c r="W198" i="4" s="1"/>
  <c r="X198" i="4" s="1"/>
  <c r="AA198" i="4" s="1"/>
  <c r="N198" i="4"/>
  <c r="M198" i="4"/>
  <c r="K198" i="4"/>
  <c r="J198" i="4"/>
  <c r="S198" i="4" s="1"/>
  <c r="T198" i="4" s="1"/>
  <c r="Z198" i="4" s="1"/>
  <c r="Q196" i="4"/>
  <c r="P196" i="4"/>
  <c r="W196" i="4" s="1"/>
  <c r="X196" i="4" s="1"/>
  <c r="AA196" i="4" s="1"/>
  <c r="N196" i="4"/>
  <c r="M196" i="4"/>
  <c r="K196" i="4"/>
  <c r="J196" i="4"/>
  <c r="S196" i="4" s="1"/>
  <c r="T196" i="4" s="1"/>
  <c r="Z196" i="4" s="1"/>
  <c r="Q194" i="4"/>
  <c r="P194" i="4"/>
  <c r="W194" i="4" s="1"/>
  <c r="X194" i="4" s="1"/>
  <c r="AA194" i="4" s="1"/>
  <c r="N194" i="4"/>
  <c r="M194" i="4"/>
  <c r="K194" i="4"/>
  <c r="J194" i="4"/>
  <c r="S194" i="4" s="1"/>
  <c r="T194" i="4" s="1"/>
  <c r="Z194" i="4" s="1"/>
  <c r="W192" i="4"/>
  <c r="X192" i="4" s="1"/>
  <c r="AA192" i="4" s="1"/>
  <c r="Q192" i="4"/>
  <c r="P192" i="4"/>
  <c r="N192" i="4"/>
  <c r="M192" i="4"/>
  <c r="K192" i="4"/>
  <c r="J192" i="4"/>
  <c r="S192" i="4" s="1"/>
  <c r="T192" i="4" s="1"/>
  <c r="Z192" i="4" s="1"/>
  <c r="W190" i="4"/>
  <c r="X190" i="4" s="1"/>
  <c r="AA190" i="4" s="1"/>
  <c r="Q190" i="4"/>
  <c r="P190" i="4"/>
  <c r="N190" i="4"/>
  <c r="M190" i="4"/>
  <c r="K190" i="4"/>
  <c r="J190" i="4"/>
  <c r="S190" i="4" s="1"/>
  <c r="T190" i="4" s="1"/>
  <c r="Z190" i="4" s="1"/>
  <c r="Q188" i="4"/>
  <c r="P188" i="4"/>
  <c r="W188" i="4" s="1"/>
  <c r="X188" i="4" s="1"/>
  <c r="AA188" i="4" s="1"/>
  <c r="N188" i="4"/>
  <c r="M188" i="4"/>
  <c r="K188" i="4"/>
  <c r="J188" i="4"/>
  <c r="S188" i="4" s="1"/>
  <c r="T188" i="4" s="1"/>
  <c r="Z188" i="4" s="1"/>
  <c r="Q166" i="4"/>
  <c r="P166" i="4"/>
  <c r="W166" i="4" s="1"/>
  <c r="X166" i="4" s="1"/>
  <c r="AA166" i="4" s="1"/>
  <c r="N166" i="4"/>
  <c r="M166" i="4"/>
  <c r="K166" i="4"/>
  <c r="J166" i="4"/>
  <c r="S166" i="4" s="1"/>
  <c r="T166" i="4" s="1"/>
  <c r="Z166" i="4" s="1"/>
  <c r="W164" i="4"/>
  <c r="X164" i="4" s="1"/>
  <c r="AA164" i="4" s="1"/>
  <c r="Q164" i="4"/>
  <c r="P164" i="4"/>
  <c r="N164" i="4"/>
  <c r="M164" i="4"/>
  <c r="K164" i="4"/>
  <c r="J164" i="4"/>
  <c r="S164" i="4" s="1"/>
  <c r="T164" i="4" s="1"/>
  <c r="Z164" i="4" s="1"/>
  <c r="W144" i="4"/>
  <c r="X144" i="4" s="1"/>
  <c r="AA144" i="4" s="1"/>
  <c r="S144" i="4"/>
  <c r="T144" i="4" s="1"/>
  <c r="Z144" i="4" s="1"/>
  <c r="Q144" i="4"/>
  <c r="P144" i="4"/>
  <c r="N144" i="4"/>
  <c r="M144" i="4"/>
  <c r="K144" i="4"/>
  <c r="J144" i="4"/>
  <c r="Q142" i="4"/>
  <c r="P142" i="4"/>
  <c r="W142" i="4" s="1"/>
  <c r="X142" i="4" s="1"/>
  <c r="AA142" i="4" s="1"/>
  <c r="N142" i="4"/>
  <c r="M142" i="4"/>
  <c r="K142" i="4"/>
  <c r="J142" i="4"/>
  <c r="S142" i="4" s="1"/>
  <c r="T142" i="4" s="1"/>
  <c r="Z142" i="4" s="1"/>
  <c r="Q120" i="4"/>
  <c r="P120" i="4"/>
  <c r="W120" i="4" s="1"/>
  <c r="X120" i="4" s="1"/>
  <c r="AA120" i="4" s="1"/>
  <c r="N120" i="4"/>
  <c r="M120" i="4"/>
  <c r="K120" i="4"/>
  <c r="J120" i="4"/>
  <c r="S120" i="4" s="1"/>
  <c r="T120" i="4" s="1"/>
  <c r="Z120" i="4" s="1"/>
  <c r="Q118" i="4"/>
  <c r="P118" i="4"/>
  <c r="W118" i="4" s="1"/>
  <c r="X118" i="4" s="1"/>
  <c r="AA118" i="4" s="1"/>
  <c r="N118" i="4"/>
  <c r="M118" i="4"/>
  <c r="K118" i="4"/>
  <c r="J118" i="4"/>
  <c r="S118" i="4" s="1"/>
  <c r="T118" i="4" s="1"/>
  <c r="Z118" i="4" s="1"/>
  <c r="Q96" i="4"/>
  <c r="P96" i="4"/>
  <c r="W96" i="4" s="1"/>
  <c r="X96" i="4" s="1"/>
  <c r="AA96" i="4" s="1"/>
  <c r="N96" i="4"/>
  <c r="M96" i="4"/>
  <c r="K96" i="4"/>
  <c r="J96" i="4"/>
  <c r="S96" i="4" s="1"/>
  <c r="T96" i="4" s="1"/>
  <c r="Z96" i="4" s="1"/>
  <c r="Q94" i="4"/>
  <c r="P94" i="4"/>
  <c r="W94" i="4" s="1"/>
  <c r="X94" i="4" s="1"/>
  <c r="AA94" i="4" s="1"/>
  <c r="N94" i="4"/>
  <c r="M94" i="4"/>
  <c r="K94" i="4"/>
  <c r="J94" i="4"/>
  <c r="S94" i="4" s="1"/>
  <c r="T94" i="4" s="1"/>
  <c r="Z94" i="4" s="1"/>
  <c r="Q72" i="4"/>
  <c r="P72" i="4"/>
  <c r="W72" i="4" s="1"/>
  <c r="X72" i="4" s="1"/>
  <c r="AA72" i="4" s="1"/>
  <c r="N72" i="4"/>
  <c r="M72" i="4"/>
  <c r="K72" i="4"/>
  <c r="J72" i="4"/>
  <c r="S72" i="4" s="1"/>
  <c r="T72" i="4" s="1"/>
  <c r="Z72" i="4" s="1"/>
  <c r="Q70" i="4"/>
  <c r="P70" i="4"/>
  <c r="W70" i="4" s="1"/>
  <c r="X70" i="4" s="1"/>
  <c r="AA70" i="4" s="1"/>
  <c r="N70" i="4"/>
  <c r="M70" i="4"/>
  <c r="K70" i="4"/>
  <c r="J70" i="4"/>
  <c r="S70" i="4" s="1"/>
  <c r="T70" i="4" s="1"/>
  <c r="Z70" i="4" s="1"/>
  <c r="Q48" i="4"/>
  <c r="P48" i="4"/>
  <c r="W48" i="4" s="1"/>
  <c r="X48" i="4" s="1"/>
  <c r="AA48" i="4" s="1"/>
  <c r="N48" i="4"/>
  <c r="M48" i="4"/>
  <c r="K48" i="4"/>
  <c r="J48" i="4"/>
  <c r="S48" i="4" s="1"/>
  <c r="T48" i="4" s="1"/>
  <c r="Z48" i="4" s="1"/>
  <c r="Q46" i="4"/>
  <c r="P46" i="4"/>
  <c r="W46" i="4" s="1"/>
  <c r="X46" i="4" s="1"/>
  <c r="AA46" i="4" s="1"/>
  <c r="N46" i="4"/>
  <c r="M46" i="4"/>
  <c r="K46" i="4"/>
  <c r="J46" i="4"/>
  <c r="S46" i="4" s="1"/>
  <c r="T46" i="4" s="1"/>
  <c r="Z46" i="4" s="1"/>
  <c r="Q186" i="4"/>
  <c r="P186" i="4"/>
  <c r="W186" i="4" s="1"/>
  <c r="X186" i="4" s="1"/>
  <c r="AA186" i="4" s="1"/>
  <c r="N186" i="4"/>
  <c r="M186" i="4"/>
  <c r="K186" i="4"/>
  <c r="J186" i="4"/>
  <c r="S186" i="4" s="1"/>
  <c r="T186" i="4" s="1"/>
  <c r="Z186" i="4" s="1"/>
  <c r="Q184" i="4"/>
  <c r="P184" i="4"/>
  <c r="W184" i="4" s="1"/>
  <c r="X184" i="4" s="1"/>
  <c r="AA184" i="4" s="1"/>
  <c r="N184" i="4"/>
  <c r="M184" i="4"/>
  <c r="K184" i="4"/>
  <c r="J184" i="4"/>
  <c r="S184" i="4" s="1"/>
  <c r="T184" i="4" s="1"/>
  <c r="Z184" i="4" s="1"/>
  <c r="Q182" i="4"/>
  <c r="P182" i="4"/>
  <c r="W182" i="4" s="1"/>
  <c r="X182" i="4" s="1"/>
  <c r="AA182" i="4" s="1"/>
  <c r="N182" i="4"/>
  <c r="M182" i="4"/>
  <c r="K182" i="4"/>
  <c r="J182" i="4"/>
  <c r="S182" i="4" s="1"/>
  <c r="T182" i="4" s="1"/>
  <c r="Z182" i="4" s="1"/>
  <c r="Q180" i="4"/>
  <c r="P180" i="4"/>
  <c r="W180" i="4" s="1"/>
  <c r="X180" i="4" s="1"/>
  <c r="AA180" i="4" s="1"/>
  <c r="N180" i="4"/>
  <c r="M180" i="4"/>
  <c r="K180" i="4"/>
  <c r="J180" i="4"/>
  <c r="S180" i="4" s="1"/>
  <c r="T180" i="4" s="1"/>
  <c r="Z180" i="4" s="1"/>
  <c r="W178" i="4"/>
  <c r="X178" i="4" s="1"/>
  <c r="AA178" i="4" s="1"/>
  <c r="Q178" i="4"/>
  <c r="P178" i="4"/>
  <c r="N178" i="4"/>
  <c r="M178" i="4"/>
  <c r="K178" i="4"/>
  <c r="J178" i="4"/>
  <c r="S178" i="4" s="1"/>
  <c r="T178" i="4" s="1"/>
  <c r="Z178" i="4" s="1"/>
  <c r="Q176" i="4"/>
  <c r="P176" i="4"/>
  <c r="W176" i="4" s="1"/>
  <c r="X176" i="4" s="1"/>
  <c r="AA176" i="4" s="1"/>
  <c r="N176" i="4"/>
  <c r="M176" i="4"/>
  <c r="K176" i="4"/>
  <c r="J176" i="4"/>
  <c r="S176" i="4" s="1"/>
  <c r="T176" i="4" s="1"/>
  <c r="Z176" i="4" s="1"/>
  <c r="Q174" i="4"/>
  <c r="P174" i="4"/>
  <c r="W174" i="4" s="1"/>
  <c r="X174" i="4" s="1"/>
  <c r="AA174" i="4" s="1"/>
  <c r="N174" i="4"/>
  <c r="M174" i="4"/>
  <c r="K174" i="4"/>
  <c r="J174" i="4"/>
  <c r="S174" i="4" s="1"/>
  <c r="T174" i="4" s="1"/>
  <c r="Z174" i="4" s="1"/>
  <c r="W172" i="4"/>
  <c r="X172" i="4" s="1"/>
  <c r="AA172" i="4" s="1"/>
  <c r="Q172" i="4"/>
  <c r="P172" i="4"/>
  <c r="N172" i="4"/>
  <c r="M172" i="4"/>
  <c r="K172" i="4"/>
  <c r="J172" i="4"/>
  <c r="S172" i="4" s="1"/>
  <c r="T172" i="4" s="1"/>
  <c r="Z172" i="4" s="1"/>
  <c r="Q170" i="4"/>
  <c r="P170" i="4"/>
  <c r="W170" i="4" s="1"/>
  <c r="X170" i="4" s="1"/>
  <c r="AA170" i="4" s="1"/>
  <c r="N170" i="4"/>
  <c r="M170" i="4"/>
  <c r="K170" i="4"/>
  <c r="J170" i="4"/>
  <c r="S170" i="4" s="1"/>
  <c r="T170" i="4" s="1"/>
  <c r="Z170" i="4" s="1"/>
  <c r="Q168" i="4"/>
  <c r="P168" i="4"/>
  <c r="W168" i="4" s="1"/>
  <c r="X168" i="4" s="1"/>
  <c r="AA168" i="4" s="1"/>
  <c r="N168" i="4"/>
  <c r="M168" i="4"/>
  <c r="K168" i="4"/>
  <c r="J168" i="4"/>
  <c r="S168" i="4" s="1"/>
  <c r="T168" i="4" s="1"/>
  <c r="Z168" i="4" s="1"/>
  <c r="Q162" i="4"/>
  <c r="P162" i="4"/>
  <c r="W162" i="4" s="1"/>
  <c r="X162" i="4" s="1"/>
  <c r="AA162" i="4" s="1"/>
  <c r="N162" i="4"/>
  <c r="M162" i="4"/>
  <c r="K162" i="4"/>
  <c r="J162" i="4"/>
  <c r="S162" i="4" s="1"/>
  <c r="T162" i="4" s="1"/>
  <c r="Z162" i="4" s="1"/>
  <c r="W160" i="4"/>
  <c r="X160" i="4" s="1"/>
  <c r="AA160" i="4" s="1"/>
  <c r="Q160" i="4"/>
  <c r="P160" i="4"/>
  <c r="N160" i="4"/>
  <c r="M160" i="4"/>
  <c r="K160" i="4"/>
  <c r="J160" i="4"/>
  <c r="S160" i="4" s="1"/>
  <c r="T160" i="4" s="1"/>
  <c r="Z160" i="4" s="1"/>
  <c r="Q158" i="4"/>
  <c r="P158" i="4"/>
  <c r="W158" i="4" s="1"/>
  <c r="X158" i="4" s="1"/>
  <c r="AA158" i="4" s="1"/>
  <c r="N158" i="4"/>
  <c r="M158" i="4"/>
  <c r="K158" i="4"/>
  <c r="J158" i="4"/>
  <c r="S158" i="4" s="1"/>
  <c r="T158" i="4" s="1"/>
  <c r="Z158" i="4" s="1"/>
  <c r="W156" i="4"/>
  <c r="X156" i="4" s="1"/>
  <c r="AA156" i="4" s="1"/>
  <c r="Q156" i="4"/>
  <c r="P156" i="4"/>
  <c r="N156" i="4"/>
  <c r="M156" i="4"/>
  <c r="K156" i="4"/>
  <c r="J156" i="4"/>
  <c r="S156" i="4" s="1"/>
  <c r="T156" i="4" s="1"/>
  <c r="Z156" i="4" s="1"/>
  <c r="Q154" i="4"/>
  <c r="P154" i="4"/>
  <c r="W154" i="4" s="1"/>
  <c r="X154" i="4" s="1"/>
  <c r="AA154" i="4" s="1"/>
  <c r="N154" i="4"/>
  <c r="M154" i="4"/>
  <c r="K154" i="4"/>
  <c r="J154" i="4"/>
  <c r="S154" i="4" s="1"/>
  <c r="T154" i="4" s="1"/>
  <c r="Z154" i="4" s="1"/>
  <c r="Q152" i="4"/>
  <c r="P152" i="4"/>
  <c r="W152" i="4" s="1"/>
  <c r="X152" i="4" s="1"/>
  <c r="AA152" i="4" s="1"/>
  <c r="N152" i="4"/>
  <c r="M152" i="4"/>
  <c r="K152" i="4"/>
  <c r="J152" i="4"/>
  <c r="S152" i="4" s="1"/>
  <c r="T152" i="4" s="1"/>
  <c r="Z152" i="4" s="1"/>
  <c r="Q150" i="4"/>
  <c r="P150" i="4"/>
  <c r="W150" i="4" s="1"/>
  <c r="X150" i="4" s="1"/>
  <c r="AA150" i="4" s="1"/>
  <c r="N150" i="4"/>
  <c r="M150" i="4"/>
  <c r="K150" i="4"/>
  <c r="J150" i="4"/>
  <c r="S150" i="4" s="1"/>
  <c r="T150" i="4" s="1"/>
  <c r="Z150" i="4" s="1"/>
  <c r="Q148" i="4"/>
  <c r="P148" i="4"/>
  <c r="W148" i="4" s="1"/>
  <c r="X148" i="4" s="1"/>
  <c r="AA148" i="4" s="1"/>
  <c r="N148" i="4"/>
  <c r="M148" i="4"/>
  <c r="K148" i="4"/>
  <c r="J148" i="4"/>
  <c r="S148" i="4" s="1"/>
  <c r="T148" i="4" s="1"/>
  <c r="Z148" i="4" s="1"/>
  <c r="W146" i="4"/>
  <c r="X146" i="4" s="1"/>
  <c r="AA146" i="4" s="1"/>
  <c r="Q146" i="4"/>
  <c r="P146" i="4"/>
  <c r="N146" i="4"/>
  <c r="M146" i="4"/>
  <c r="K146" i="4"/>
  <c r="J146" i="4"/>
  <c r="S146" i="4" s="1"/>
  <c r="T146" i="4" s="1"/>
  <c r="Z146" i="4" s="1"/>
  <c r="Q140" i="4"/>
  <c r="P140" i="4"/>
  <c r="W140" i="4" s="1"/>
  <c r="X140" i="4" s="1"/>
  <c r="AA140" i="4" s="1"/>
  <c r="N140" i="4"/>
  <c r="M140" i="4"/>
  <c r="K140" i="4"/>
  <c r="J140" i="4"/>
  <c r="S140" i="4" s="1"/>
  <c r="T140" i="4" s="1"/>
  <c r="Z140" i="4" s="1"/>
  <c r="W138" i="4"/>
  <c r="X138" i="4" s="1"/>
  <c r="AA138" i="4" s="1"/>
  <c r="Q138" i="4"/>
  <c r="P138" i="4"/>
  <c r="N138" i="4"/>
  <c r="M138" i="4"/>
  <c r="K138" i="4"/>
  <c r="J138" i="4"/>
  <c r="S138" i="4" s="1"/>
  <c r="T138" i="4" s="1"/>
  <c r="Z138" i="4" s="1"/>
  <c r="Q136" i="4"/>
  <c r="P136" i="4"/>
  <c r="W136" i="4" s="1"/>
  <c r="X136" i="4" s="1"/>
  <c r="AA136" i="4" s="1"/>
  <c r="N136" i="4"/>
  <c r="M136" i="4"/>
  <c r="K136" i="4"/>
  <c r="J136" i="4"/>
  <c r="S136" i="4" s="1"/>
  <c r="T136" i="4" s="1"/>
  <c r="Z136" i="4" s="1"/>
  <c r="W134" i="4"/>
  <c r="X134" i="4" s="1"/>
  <c r="AA134" i="4" s="1"/>
  <c r="Q134" i="4"/>
  <c r="P134" i="4"/>
  <c r="N134" i="4"/>
  <c r="M134" i="4"/>
  <c r="K134" i="4"/>
  <c r="J134" i="4"/>
  <c r="S134" i="4" s="1"/>
  <c r="T134" i="4" s="1"/>
  <c r="Z134" i="4" s="1"/>
  <c r="Q132" i="4"/>
  <c r="P132" i="4"/>
  <c r="W132" i="4" s="1"/>
  <c r="X132" i="4" s="1"/>
  <c r="AA132" i="4" s="1"/>
  <c r="N132" i="4"/>
  <c r="M132" i="4"/>
  <c r="K132" i="4"/>
  <c r="J132" i="4"/>
  <c r="S132" i="4" s="1"/>
  <c r="T132" i="4" s="1"/>
  <c r="Z132" i="4" s="1"/>
  <c r="W130" i="4"/>
  <c r="X130" i="4" s="1"/>
  <c r="AA130" i="4" s="1"/>
  <c r="Q130" i="4"/>
  <c r="P130" i="4"/>
  <c r="N130" i="4"/>
  <c r="M130" i="4"/>
  <c r="K130" i="4"/>
  <c r="J130" i="4"/>
  <c r="S130" i="4" s="1"/>
  <c r="T130" i="4" s="1"/>
  <c r="Z130" i="4" s="1"/>
  <c r="Q128" i="4"/>
  <c r="P128" i="4"/>
  <c r="W128" i="4" s="1"/>
  <c r="X128" i="4" s="1"/>
  <c r="AA128" i="4" s="1"/>
  <c r="N128" i="4"/>
  <c r="M128" i="4"/>
  <c r="K128" i="4"/>
  <c r="J128" i="4"/>
  <c r="S128" i="4" s="1"/>
  <c r="T128" i="4" s="1"/>
  <c r="Z128" i="4" s="1"/>
  <c r="W126" i="4"/>
  <c r="X126" i="4" s="1"/>
  <c r="AA126" i="4" s="1"/>
  <c r="Q126" i="4"/>
  <c r="P126" i="4"/>
  <c r="N126" i="4"/>
  <c r="M126" i="4"/>
  <c r="K126" i="4"/>
  <c r="J126" i="4"/>
  <c r="S126" i="4" s="1"/>
  <c r="T126" i="4" s="1"/>
  <c r="Z126" i="4" s="1"/>
  <c r="Q124" i="4"/>
  <c r="P124" i="4"/>
  <c r="W124" i="4" s="1"/>
  <c r="X124" i="4" s="1"/>
  <c r="AA124" i="4" s="1"/>
  <c r="N124" i="4"/>
  <c r="M124" i="4"/>
  <c r="K124" i="4"/>
  <c r="J124" i="4"/>
  <c r="S124" i="4" s="1"/>
  <c r="T124" i="4" s="1"/>
  <c r="Z124" i="4" s="1"/>
  <c r="Q122" i="4"/>
  <c r="P122" i="4"/>
  <c r="W122" i="4" s="1"/>
  <c r="X122" i="4" s="1"/>
  <c r="AA122" i="4" s="1"/>
  <c r="N122" i="4"/>
  <c r="M122" i="4"/>
  <c r="K122" i="4"/>
  <c r="J122" i="4"/>
  <c r="S122" i="4" s="1"/>
  <c r="T122" i="4" s="1"/>
  <c r="Z122" i="4" s="1"/>
  <c r="Q116" i="4"/>
  <c r="P116" i="4"/>
  <c r="W116" i="4" s="1"/>
  <c r="X116" i="4" s="1"/>
  <c r="AA116" i="4" s="1"/>
  <c r="N116" i="4"/>
  <c r="M116" i="4"/>
  <c r="K116" i="4"/>
  <c r="J116" i="4"/>
  <c r="S116" i="4" s="1"/>
  <c r="T116" i="4" s="1"/>
  <c r="Z116" i="4" s="1"/>
  <c r="W114" i="4"/>
  <c r="X114" i="4" s="1"/>
  <c r="AA114" i="4" s="1"/>
  <c r="Q114" i="4"/>
  <c r="P114" i="4"/>
  <c r="N114" i="4"/>
  <c r="M114" i="4"/>
  <c r="K114" i="4"/>
  <c r="J114" i="4"/>
  <c r="S114" i="4" s="1"/>
  <c r="T114" i="4" s="1"/>
  <c r="Z114" i="4" s="1"/>
  <c r="W112" i="4"/>
  <c r="X112" i="4" s="1"/>
  <c r="AA112" i="4" s="1"/>
  <c r="Q112" i="4"/>
  <c r="P112" i="4"/>
  <c r="N112" i="4"/>
  <c r="M112" i="4"/>
  <c r="K112" i="4"/>
  <c r="J112" i="4"/>
  <c r="S112" i="4" s="1"/>
  <c r="T112" i="4" s="1"/>
  <c r="Z112" i="4" s="1"/>
  <c r="Q110" i="4"/>
  <c r="P110" i="4"/>
  <c r="W110" i="4" s="1"/>
  <c r="X110" i="4" s="1"/>
  <c r="AA110" i="4" s="1"/>
  <c r="N110" i="4"/>
  <c r="M110" i="4"/>
  <c r="K110" i="4"/>
  <c r="J110" i="4"/>
  <c r="S110" i="4" s="1"/>
  <c r="T110" i="4" s="1"/>
  <c r="Z110" i="4" s="1"/>
  <c r="W108" i="4"/>
  <c r="X108" i="4" s="1"/>
  <c r="AA108" i="4" s="1"/>
  <c r="Q108" i="4"/>
  <c r="P108" i="4"/>
  <c r="N108" i="4"/>
  <c r="M108" i="4"/>
  <c r="K108" i="4"/>
  <c r="J108" i="4"/>
  <c r="S108" i="4" s="1"/>
  <c r="T108" i="4" s="1"/>
  <c r="Z108" i="4" s="1"/>
  <c r="Q106" i="4"/>
  <c r="P106" i="4"/>
  <c r="W106" i="4" s="1"/>
  <c r="X106" i="4" s="1"/>
  <c r="AA106" i="4" s="1"/>
  <c r="N106" i="4"/>
  <c r="M106" i="4"/>
  <c r="K106" i="4"/>
  <c r="J106" i="4"/>
  <c r="S106" i="4" s="1"/>
  <c r="T106" i="4" s="1"/>
  <c r="Z106" i="4" s="1"/>
  <c r="Q104" i="4"/>
  <c r="P104" i="4"/>
  <c r="W104" i="4" s="1"/>
  <c r="X104" i="4" s="1"/>
  <c r="AA104" i="4" s="1"/>
  <c r="N104" i="4"/>
  <c r="M104" i="4"/>
  <c r="K104" i="4"/>
  <c r="J104" i="4"/>
  <c r="S104" i="4" s="1"/>
  <c r="T104" i="4" s="1"/>
  <c r="Z104" i="4" s="1"/>
  <c r="W102" i="4"/>
  <c r="X102" i="4" s="1"/>
  <c r="AA102" i="4" s="1"/>
  <c r="Q102" i="4"/>
  <c r="P102" i="4"/>
  <c r="N102" i="4"/>
  <c r="M102" i="4"/>
  <c r="K102" i="4"/>
  <c r="J102" i="4"/>
  <c r="S102" i="4" s="1"/>
  <c r="T102" i="4" s="1"/>
  <c r="Z102" i="4" s="1"/>
  <c r="Q100" i="4"/>
  <c r="P100" i="4"/>
  <c r="W100" i="4" s="1"/>
  <c r="X100" i="4" s="1"/>
  <c r="AA100" i="4" s="1"/>
  <c r="N100" i="4"/>
  <c r="M100" i="4"/>
  <c r="K100" i="4"/>
  <c r="J100" i="4"/>
  <c r="S100" i="4" s="1"/>
  <c r="T100" i="4" s="1"/>
  <c r="Z100" i="4" s="1"/>
  <c r="W98" i="4"/>
  <c r="X98" i="4" s="1"/>
  <c r="AA98" i="4" s="1"/>
  <c r="Q98" i="4"/>
  <c r="P98" i="4"/>
  <c r="N98" i="4"/>
  <c r="M98" i="4"/>
  <c r="K98" i="4"/>
  <c r="J98" i="4"/>
  <c r="S98" i="4" s="1"/>
  <c r="T98" i="4" s="1"/>
  <c r="Z98" i="4" s="1"/>
  <c r="Q92" i="4"/>
  <c r="P92" i="4"/>
  <c r="W92" i="4" s="1"/>
  <c r="X92" i="4" s="1"/>
  <c r="AA92" i="4" s="1"/>
  <c r="N92" i="4"/>
  <c r="M92" i="4"/>
  <c r="K92" i="4"/>
  <c r="J92" i="4"/>
  <c r="S92" i="4" s="1"/>
  <c r="T92" i="4" s="1"/>
  <c r="Z92" i="4" s="1"/>
  <c r="Q90" i="4"/>
  <c r="P90" i="4"/>
  <c r="W90" i="4" s="1"/>
  <c r="X90" i="4" s="1"/>
  <c r="AA90" i="4" s="1"/>
  <c r="N90" i="4"/>
  <c r="M90" i="4"/>
  <c r="K90" i="4"/>
  <c r="J90" i="4"/>
  <c r="S90" i="4" s="1"/>
  <c r="T90" i="4" s="1"/>
  <c r="Z90" i="4" s="1"/>
  <c r="W88" i="4"/>
  <c r="X88" i="4" s="1"/>
  <c r="AA88" i="4" s="1"/>
  <c r="Q88" i="4"/>
  <c r="P88" i="4"/>
  <c r="N88" i="4"/>
  <c r="M88" i="4"/>
  <c r="K88" i="4"/>
  <c r="J88" i="4"/>
  <c r="S88" i="4" s="1"/>
  <c r="T88" i="4" s="1"/>
  <c r="Z88" i="4" s="1"/>
  <c r="W86" i="4"/>
  <c r="X86" i="4" s="1"/>
  <c r="AA86" i="4" s="1"/>
  <c r="Q86" i="4"/>
  <c r="P86" i="4"/>
  <c r="N86" i="4"/>
  <c r="M86" i="4"/>
  <c r="K86" i="4"/>
  <c r="J86" i="4"/>
  <c r="S86" i="4" s="1"/>
  <c r="T86" i="4" s="1"/>
  <c r="Z86" i="4" s="1"/>
  <c r="W84" i="4"/>
  <c r="X84" i="4" s="1"/>
  <c r="AA84" i="4" s="1"/>
  <c r="Q84" i="4"/>
  <c r="P84" i="4"/>
  <c r="N84" i="4"/>
  <c r="M84" i="4"/>
  <c r="K84" i="4"/>
  <c r="J84" i="4"/>
  <c r="S84" i="4" s="1"/>
  <c r="T84" i="4" s="1"/>
  <c r="Z84" i="4" s="1"/>
  <c r="Q82" i="4"/>
  <c r="P82" i="4"/>
  <c r="W82" i="4" s="1"/>
  <c r="X82" i="4" s="1"/>
  <c r="AA82" i="4" s="1"/>
  <c r="N82" i="4"/>
  <c r="M82" i="4"/>
  <c r="K82" i="4"/>
  <c r="J82" i="4"/>
  <c r="S82" i="4" s="1"/>
  <c r="T82" i="4" s="1"/>
  <c r="Z82" i="4" s="1"/>
  <c r="Q80" i="4"/>
  <c r="P80" i="4"/>
  <c r="W80" i="4" s="1"/>
  <c r="X80" i="4" s="1"/>
  <c r="AA80" i="4" s="1"/>
  <c r="N80" i="4"/>
  <c r="M80" i="4"/>
  <c r="K80" i="4"/>
  <c r="J80" i="4"/>
  <c r="S80" i="4" s="1"/>
  <c r="T80" i="4" s="1"/>
  <c r="Z80" i="4" s="1"/>
  <c r="W78" i="4"/>
  <c r="X78" i="4" s="1"/>
  <c r="AA78" i="4" s="1"/>
  <c r="Q78" i="4"/>
  <c r="P78" i="4"/>
  <c r="N78" i="4"/>
  <c r="M78" i="4"/>
  <c r="K78" i="4"/>
  <c r="J78" i="4"/>
  <c r="S78" i="4" s="1"/>
  <c r="T78" i="4" s="1"/>
  <c r="Z78" i="4" s="1"/>
  <c r="Q76" i="4"/>
  <c r="P76" i="4"/>
  <c r="W76" i="4" s="1"/>
  <c r="X76" i="4" s="1"/>
  <c r="AA76" i="4" s="1"/>
  <c r="N76" i="4"/>
  <c r="M76" i="4"/>
  <c r="K76" i="4"/>
  <c r="J76" i="4"/>
  <c r="S76" i="4" s="1"/>
  <c r="T76" i="4" s="1"/>
  <c r="Z76" i="4" s="1"/>
  <c r="W74" i="4"/>
  <c r="X74" i="4" s="1"/>
  <c r="AA74" i="4" s="1"/>
  <c r="Q74" i="4"/>
  <c r="P74" i="4"/>
  <c r="N74" i="4"/>
  <c r="M74" i="4"/>
  <c r="K74" i="4"/>
  <c r="J74" i="4"/>
  <c r="S74" i="4" s="1"/>
  <c r="T74" i="4" s="1"/>
  <c r="Z74" i="4" s="1"/>
  <c r="Q68" i="4"/>
  <c r="P68" i="4"/>
  <c r="W68" i="4" s="1"/>
  <c r="X68" i="4" s="1"/>
  <c r="AA68" i="4" s="1"/>
  <c r="N68" i="4"/>
  <c r="M68" i="4"/>
  <c r="K68" i="4"/>
  <c r="J68" i="4"/>
  <c r="S68" i="4" s="1"/>
  <c r="T68" i="4" s="1"/>
  <c r="Z68" i="4" s="1"/>
  <c r="Q66" i="4"/>
  <c r="P66" i="4"/>
  <c r="W66" i="4" s="1"/>
  <c r="X66" i="4" s="1"/>
  <c r="AA66" i="4" s="1"/>
  <c r="N66" i="4"/>
  <c r="M66" i="4"/>
  <c r="K66" i="4"/>
  <c r="J66" i="4"/>
  <c r="S66" i="4" s="1"/>
  <c r="T66" i="4" s="1"/>
  <c r="Z66" i="4" s="1"/>
  <c r="W64" i="4"/>
  <c r="X64" i="4" s="1"/>
  <c r="AA64" i="4" s="1"/>
  <c r="Q64" i="4"/>
  <c r="P64" i="4"/>
  <c r="N64" i="4"/>
  <c r="M64" i="4"/>
  <c r="K64" i="4"/>
  <c r="J64" i="4"/>
  <c r="S64" i="4" s="1"/>
  <c r="T64" i="4" s="1"/>
  <c r="Z64" i="4" s="1"/>
  <c r="Q62" i="4"/>
  <c r="P62" i="4"/>
  <c r="W62" i="4" s="1"/>
  <c r="X62" i="4" s="1"/>
  <c r="AA62" i="4" s="1"/>
  <c r="N62" i="4"/>
  <c r="M62" i="4"/>
  <c r="K62" i="4"/>
  <c r="J62" i="4"/>
  <c r="S62" i="4" s="1"/>
  <c r="T62" i="4" s="1"/>
  <c r="Z62" i="4" s="1"/>
  <c r="W60" i="4"/>
  <c r="X60" i="4" s="1"/>
  <c r="AA60" i="4" s="1"/>
  <c r="Q60" i="4"/>
  <c r="P60" i="4"/>
  <c r="N60" i="4"/>
  <c r="M60" i="4"/>
  <c r="K60" i="4"/>
  <c r="J60" i="4"/>
  <c r="S60" i="4" s="1"/>
  <c r="T60" i="4" s="1"/>
  <c r="Z60" i="4" s="1"/>
  <c r="Q58" i="4"/>
  <c r="P58" i="4"/>
  <c r="W58" i="4" s="1"/>
  <c r="X58" i="4" s="1"/>
  <c r="AA58" i="4" s="1"/>
  <c r="N58" i="4"/>
  <c r="M58" i="4"/>
  <c r="K58" i="4"/>
  <c r="J58" i="4"/>
  <c r="S58" i="4" s="1"/>
  <c r="T58" i="4" s="1"/>
  <c r="Z58" i="4" s="1"/>
  <c r="Q56" i="4"/>
  <c r="P56" i="4"/>
  <c r="W56" i="4" s="1"/>
  <c r="X56" i="4" s="1"/>
  <c r="AA56" i="4" s="1"/>
  <c r="N56" i="4"/>
  <c r="M56" i="4"/>
  <c r="K56" i="4"/>
  <c r="J56" i="4"/>
  <c r="S56" i="4" s="1"/>
  <c r="T56" i="4" s="1"/>
  <c r="Z56" i="4" s="1"/>
  <c r="Q54" i="4"/>
  <c r="P54" i="4"/>
  <c r="W54" i="4" s="1"/>
  <c r="X54" i="4" s="1"/>
  <c r="AA54" i="4" s="1"/>
  <c r="N54" i="4"/>
  <c r="M54" i="4"/>
  <c r="K54" i="4"/>
  <c r="J54" i="4"/>
  <c r="S54" i="4" s="1"/>
  <c r="T54" i="4" s="1"/>
  <c r="Z54" i="4" s="1"/>
  <c r="W52" i="4"/>
  <c r="X52" i="4" s="1"/>
  <c r="AA52" i="4" s="1"/>
  <c r="Q52" i="4"/>
  <c r="P52" i="4"/>
  <c r="N52" i="4"/>
  <c r="M52" i="4"/>
  <c r="K52" i="4"/>
  <c r="J52" i="4"/>
  <c r="S52" i="4" s="1"/>
  <c r="T52" i="4" s="1"/>
  <c r="Z52" i="4" s="1"/>
  <c r="W50" i="4"/>
  <c r="X50" i="4" s="1"/>
  <c r="AA50" i="4" s="1"/>
  <c r="Q50" i="4"/>
  <c r="P50" i="4"/>
  <c r="N50" i="4"/>
  <c r="M50" i="4"/>
  <c r="K50" i="4"/>
  <c r="J50" i="4"/>
  <c r="S50" i="4" s="1"/>
  <c r="T50" i="4" s="1"/>
  <c r="Z50" i="4" s="1"/>
  <c r="Q44" i="4"/>
  <c r="P44" i="4"/>
  <c r="W44" i="4" s="1"/>
  <c r="X44" i="4" s="1"/>
  <c r="AA44" i="4" s="1"/>
  <c r="N44" i="4"/>
  <c r="M44" i="4"/>
  <c r="K44" i="4"/>
  <c r="J44" i="4"/>
  <c r="S44" i="4" s="1"/>
  <c r="T44" i="4" s="1"/>
  <c r="Z44" i="4" s="1"/>
  <c r="Q42" i="4"/>
  <c r="P42" i="4"/>
  <c r="W42" i="4" s="1"/>
  <c r="X42" i="4" s="1"/>
  <c r="AA42" i="4" s="1"/>
  <c r="N42" i="4"/>
  <c r="M42" i="4"/>
  <c r="K42" i="4"/>
  <c r="J42" i="4"/>
  <c r="S42" i="4" s="1"/>
  <c r="T42" i="4" s="1"/>
  <c r="Z42" i="4" s="1"/>
  <c r="Q40" i="4"/>
  <c r="P40" i="4"/>
  <c r="W40" i="4" s="1"/>
  <c r="X40" i="4" s="1"/>
  <c r="AA40" i="4" s="1"/>
  <c r="N40" i="4"/>
  <c r="M40" i="4"/>
  <c r="K40" i="4"/>
  <c r="J40" i="4"/>
  <c r="S40" i="4" s="1"/>
  <c r="T40" i="4" s="1"/>
  <c r="Z40" i="4" s="1"/>
  <c r="Q38" i="4"/>
  <c r="P38" i="4"/>
  <c r="W38" i="4" s="1"/>
  <c r="X38" i="4" s="1"/>
  <c r="AA38" i="4" s="1"/>
  <c r="N38" i="4"/>
  <c r="M38" i="4"/>
  <c r="K38" i="4"/>
  <c r="J38" i="4"/>
  <c r="S38" i="4" s="1"/>
  <c r="T38" i="4" s="1"/>
  <c r="Z38" i="4" s="1"/>
  <c r="Q36" i="4"/>
  <c r="P36" i="4"/>
  <c r="W36" i="4" s="1"/>
  <c r="X36" i="4" s="1"/>
  <c r="AA36" i="4" s="1"/>
  <c r="N36" i="4"/>
  <c r="M36" i="4"/>
  <c r="K36" i="4"/>
  <c r="J36" i="4"/>
  <c r="S36" i="4" s="1"/>
  <c r="T36" i="4" s="1"/>
  <c r="Z36" i="4" s="1"/>
  <c r="W34" i="4"/>
  <c r="X34" i="4" s="1"/>
  <c r="AA34" i="4" s="1"/>
  <c r="Q34" i="4"/>
  <c r="P34" i="4"/>
  <c r="N34" i="4"/>
  <c r="M34" i="4"/>
  <c r="K34" i="4"/>
  <c r="J34" i="4"/>
  <c r="S34" i="4" s="1"/>
  <c r="T34" i="4" s="1"/>
  <c r="Z34" i="4" s="1"/>
  <c r="W32" i="4"/>
  <c r="X32" i="4" s="1"/>
  <c r="AA32" i="4" s="1"/>
  <c r="Q32" i="4"/>
  <c r="P32" i="4"/>
  <c r="N32" i="4"/>
  <c r="M32" i="4"/>
  <c r="K32" i="4"/>
  <c r="J32" i="4"/>
  <c r="S32" i="4" s="1"/>
  <c r="T32" i="4" s="1"/>
  <c r="Z32" i="4" s="1"/>
  <c r="W30" i="4"/>
  <c r="X30" i="4" s="1"/>
  <c r="AA30" i="4" s="1"/>
  <c r="Q30" i="4"/>
  <c r="P30" i="4"/>
  <c r="N30" i="4"/>
  <c r="M30" i="4"/>
  <c r="K30" i="4"/>
  <c r="J30" i="4"/>
  <c r="S30" i="4" s="1"/>
  <c r="T30" i="4" s="1"/>
  <c r="Z30" i="4" s="1"/>
  <c r="Q28" i="4"/>
  <c r="P28" i="4"/>
  <c r="W28" i="4" s="1"/>
  <c r="X28" i="4" s="1"/>
  <c r="AA28" i="4" s="1"/>
  <c r="N28" i="4"/>
  <c r="M28" i="4"/>
  <c r="K28" i="4"/>
  <c r="J28" i="4"/>
  <c r="S28" i="4" s="1"/>
  <c r="T28" i="4" s="1"/>
  <c r="Z28" i="4" s="1"/>
  <c r="W26" i="4"/>
  <c r="X26" i="4" s="1"/>
  <c r="AA26" i="4" s="1"/>
  <c r="Q26" i="4"/>
  <c r="P26" i="4"/>
  <c r="N26" i="4"/>
  <c r="M26" i="4"/>
  <c r="K26" i="4"/>
  <c r="J26" i="4"/>
  <c r="S26" i="4" s="1"/>
  <c r="T26" i="4" s="1"/>
  <c r="Z26" i="4" s="1"/>
  <c r="W24" i="4"/>
  <c r="X24" i="4" s="1"/>
  <c r="AA24" i="4" s="1"/>
  <c r="Q24" i="4"/>
  <c r="P24" i="4"/>
  <c r="N24" i="4"/>
  <c r="M24" i="4"/>
  <c r="K24" i="4"/>
  <c r="J24" i="4"/>
  <c r="S24" i="4" s="1"/>
  <c r="T24" i="4" s="1"/>
  <c r="Z24" i="4" s="1"/>
  <c r="W22" i="4"/>
  <c r="X22" i="4" s="1"/>
  <c r="AA22" i="4" s="1"/>
  <c r="Q22" i="4"/>
  <c r="P22" i="4"/>
  <c r="N22" i="4"/>
  <c r="M22" i="4"/>
  <c r="K22" i="4"/>
  <c r="J22" i="4"/>
  <c r="S22" i="4" s="1"/>
  <c r="T22" i="4" s="1"/>
  <c r="Z22" i="4" s="1"/>
  <c r="W20" i="4"/>
  <c r="X20" i="4" s="1"/>
  <c r="AA20" i="4" s="1"/>
  <c r="Q20" i="4"/>
  <c r="P20" i="4"/>
  <c r="N20" i="4"/>
  <c r="M20" i="4"/>
  <c r="K20" i="4"/>
  <c r="J20" i="4"/>
  <c r="S20" i="4" s="1"/>
  <c r="T20" i="4" s="1"/>
  <c r="Z20" i="4" s="1"/>
  <c r="Q18" i="4"/>
  <c r="P18" i="4"/>
  <c r="W18" i="4" s="1"/>
  <c r="X18" i="4" s="1"/>
  <c r="AA18" i="4" s="1"/>
  <c r="N18" i="4"/>
  <c r="M18" i="4"/>
  <c r="K18" i="4"/>
  <c r="J18" i="4"/>
  <c r="S18" i="4" s="1"/>
  <c r="T18" i="4" s="1"/>
  <c r="Z18" i="4" s="1"/>
  <c r="Q16" i="4"/>
  <c r="P16" i="4"/>
  <c r="W16" i="4" s="1"/>
  <c r="X16" i="4" s="1"/>
  <c r="AA16" i="4" s="1"/>
  <c r="N16" i="4"/>
  <c r="M16" i="4"/>
  <c r="K16" i="4"/>
  <c r="J16" i="4"/>
  <c r="S16" i="4" s="1"/>
  <c r="T16" i="4" s="1"/>
  <c r="Z16" i="4" s="1"/>
  <c r="S14" i="4"/>
  <c r="T14" i="4" s="1"/>
  <c r="Z14" i="4" s="1"/>
  <c r="Q14" i="4"/>
  <c r="P14" i="4"/>
  <c r="W14" i="4" s="1"/>
  <c r="X14" i="4" s="1"/>
  <c r="AA14" i="4" s="1"/>
  <c r="N14" i="4"/>
  <c r="M14" i="4"/>
  <c r="K14" i="4"/>
  <c r="J14" i="4"/>
  <c r="W12" i="4"/>
  <c r="X12" i="4" s="1"/>
  <c r="AA12" i="4" s="1"/>
  <c r="Q12" i="4"/>
  <c r="P12" i="4"/>
  <c r="N12" i="4"/>
  <c r="M12" i="4"/>
  <c r="K12" i="4"/>
  <c r="J12" i="4"/>
  <c r="S12" i="4" s="1"/>
  <c r="T12" i="4" s="1"/>
  <c r="Z12" i="4" s="1"/>
  <c r="Q10" i="4"/>
  <c r="P10" i="4"/>
  <c r="W10" i="4" s="1"/>
  <c r="X10" i="4" s="1"/>
  <c r="AA10" i="4" s="1"/>
  <c r="N10" i="4"/>
  <c r="M10" i="4"/>
  <c r="K10" i="4"/>
  <c r="J10" i="4"/>
  <c r="S10" i="4" s="1"/>
  <c r="T10" i="4" s="1"/>
  <c r="Z10" i="4" s="1"/>
  <c r="S8" i="4"/>
  <c r="T8" i="4" s="1"/>
  <c r="Z8" i="4" s="1"/>
  <c r="Q8" i="4"/>
  <c r="P8" i="4"/>
  <c r="W8" i="4" s="1"/>
  <c r="X8" i="4" s="1"/>
  <c r="AA8" i="4" s="1"/>
  <c r="N8" i="4"/>
  <c r="M8" i="4"/>
  <c r="K8" i="4"/>
  <c r="J8" i="4"/>
  <c r="Q6" i="4"/>
  <c r="P6" i="4"/>
  <c r="W6" i="4" s="1"/>
  <c r="X6" i="4" s="1"/>
  <c r="AA6" i="4" s="1"/>
  <c r="N6" i="4"/>
  <c r="M6" i="4"/>
  <c r="K6" i="4"/>
  <c r="J6" i="4"/>
  <c r="S6" i="4" s="1"/>
  <c r="T6" i="4" s="1"/>
  <c r="Z6" i="4" s="1"/>
  <c r="AA4" i="4"/>
  <c r="X4" i="4"/>
  <c r="W4" i="4"/>
  <c r="Z4" i="4" l="1"/>
  <c r="T4" i="4"/>
  <c r="S4" i="4"/>
  <c r="N4" i="4"/>
  <c r="M4" i="4"/>
  <c r="K4" i="4"/>
  <c r="J4" i="4"/>
  <c r="P4" i="4"/>
  <c r="Q4" i="4"/>
  <c r="T158" i="3" l="1"/>
  <c r="T157" i="3"/>
  <c r="T156" i="3"/>
  <c r="O158" i="3"/>
  <c r="O157" i="3"/>
  <c r="O156" i="3"/>
  <c r="U135" i="3"/>
  <c r="U134" i="3"/>
  <c r="U133" i="3"/>
  <c r="Y43" i="3"/>
  <c r="Y44" i="3"/>
  <c r="Y59" i="3"/>
  <c r="Y57" i="3"/>
  <c r="Y55" i="3"/>
  <c r="Y53" i="3"/>
  <c r="Y51" i="3"/>
  <c r="Y49" i="3"/>
  <c r="Y39" i="3"/>
  <c r="Y37" i="3"/>
  <c r="Y35" i="3"/>
  <c r="Y33" i="3"/>
  <c r="Y31" i="3"/>
  <c r="Y29" i="3"/>
  <c r="Y27" i="3"/>
  <c r="Y25" i="3"/>
  <c r="Y17" i="3"/>
  <c r="Y15" i="3"/>
  <c r="Y13" i="3"/>
  <c r="Y11" i="3"/>
  <c r="Y9" i="3"/>
  <c r="Y7" i="3"/>
  <c r="Y5" i="3"/>
  <c r="Y3" i="3"/>
  <c r="X3" i="3"/>
  <c r="S135" i="3"/>
  <c r="S134" i="3"/>
  <c r="S133" i="3"/>
  <c r="Y115" i="3"/>
  <c r="Y113" i="3"/>
  <c r="Y111" i="3"/>
  <c r="Y109" i="3"/>
  <c r="Y107" i="3"/>
  <c r="Y105" i="3"/>
  <c r="Y103" i="3"/>
  <c r="Y101" i="3"/>
  <c r="Y99" i="3"/>
  <c r="Y97" i="3"/>
  <c r="Y95" i="3"/>
  <c r="Y93" i="3"/>
  <c r="Y91" i="3"/>
  <c r="Y89" i="3"/>
  <c r="Y87" i="3"/>
  <c r="Y85" i="3"/>
  <c r="Y83" i="3"/>
  <c r="Y81" i="3"/>
  <c r="Y79" i="3"/>
  <c r="Y77" i="3"/>
  <c r="Y75" i="3"/>
  <c r="Y73" i="3"/>
  <c r="Y71" i="3"/>
  <c r="Y69" i="3"/>
  <c r="Y67" i="3"/>
  <c r="Y65" i="3"/>
  <c r="Y63" i="3"/>
  <c r="Y61" i="3"/>
  <c r="X124" i="3"/>
  <c r="X123" i="3"/>
  <c r="X115" i="3"/>
  <c r="X113" i="3"/>
  <c r="X111" i="3"/>
  <c r="X109" i="3"/>
  <c r="X107" i="3"/>
  <c r="X105" i="3"/>
  <c r="X103" i="3"/>
  <c r="X101" i="3"/>
  <c r="X99" i="3"/>
  <c r="X97" i="3"/>
  <c r="X95" i="3"/>
  <c r="X93" i="3"/>
  <c r="X91" i="3"/>
  <c r="X89" i="3"/>
  <c r="X87" i="3"/>
  <c r="X85" i="3"/>
  <c r="X83" i="3"/>
  <c r="X81" i="3"/>
  <c r="X79" i="3"/>
  <c r="X77" i="3"/>
  <c r="X75" i="3"/>
  <c r="X73" i="3"/>
  <c r="X71" i="3"/>
  <c r="X69" i="3"/>
  <c r="X67" i="3"/>
  <c r="X65" i="3"/>
  <c r="X63" i="3"/>
  <c r="X61" i="3"/>
  <c r="X59" i="3"/>
  <c r="X57" i="3"/>
  <c r="X55" i="3"/>
  <c r="X53" i="3"/>
  <c r="X51" i="3"/>
  <c r="X49" i="3"/>
  <c r="X44" i="3"/>
  <c r="X43" i="3"/>
  <c r="X39" i="3"/>
  <c r="X37" i="3"/>
  <c r="X35" i="3"/>
  <c r="X33" i="3"/>
  <c r="X31" i="3"/>
  <c r="X29" i="3"/>
  <c r="X27" i="3"/>
  <c r="X25" i="3"/>
  <c r="X22" i="3"/>
  <c r="X21" i="3"/>
  <c r="X17" i="3"/>
  <c r="X15" i="3"/>
  <c r="X13" i="3"/>
  <c r="X11" i="3"/>
  <c r="X9" i="3"/>
  <c r="X7" i="3"/>
  <c r="X5" i="3"/>
  <c r="U124" i="3"/>
  <c r="U123" i="3"/>
  <c r="U115" i="3"/>
  <c r="U113" i="3"/>
  <c r="U111" i="3"/>
  <c r="U109" i="3"/>
  <c r="U107" i="3"/>
  <c r="U105" i="3"/>
  <c r="U103" i="3"/>
  <c r="U101" i="3"/>
  <c r="U99" i="3"/>
  <c r="U97" i="3"/>
  <c r="U95" i="3"/>
  <c r="U93" i="3"/>
  <c r="U91" i="3"/>
  <c r="U89" i="3"/>
  <c r="U87" i="3"/>
  <c r="U85" i="3"/>
  <c r="U83" i="3"/>
  <c r="U81" i="3"/>
  <c r="U79" i="3"/>
  <c r="U77" i="3"/>
  <c r="U75" i="3"/>
  <c r="U73" i="3"/>
  <c r="U71" i="3"/>
  <c r="U69" i="3"/>
  <c r="U67" i="3"/>
  <c r="U65" i="3"/>
  <c r="U63" i="3"/>
  <c r="U61" i="3"/>
  <c r="U59" i="3"/>
  <c r="U57" i="3"/>
  <c r="U55" i="3"/>
  <c r="U53" i="3"/>
  <c r="U51" i="3"/>
  <c r="U49" i="3"/>
  <c r="U44" i="3"/>
  <c r="U43" i="3"/>
  <c r="U39" i="3"/>
  <c r="U37" i="3"/>
  <c r="U35" i="3"/>
  <c r="U33" i="3"/>
  <c r="U31" i="3"/>
  <c r="U29" i="3"/>
  <c r="U27" i="3"/>
  <c r="U25" i="3"/>
  <c r="U22" i="3"/>
  <c r="U21" i="3"/>
  <c r="U17" i="3"/>
  <c r="U15" i="3"/>
  <c r="U13" i="3"/>
  <c r="U11" i="3"/>
  <c r="U9" i="3"/>
  <c r="U7" i="3"/>
  <c r="U5" i="3"/>
  <c r="U3" i="3"/>
  <c r="N121" i="3"/>
  <c r="T124" i="3"/>
  <c r="T123" i="3"/>
  <c r="T115" i="3"/>
  <c r="T113" i="3"/>
  <c r="T111" i="3"/>
  <c r="T109" i="3"/>
  <c r="T107" i="3"/>
  <c r="T105" i="3"/>
  <c r="T103" i="3"/>
  <c r="T101" i="3"/>
  <c r="T99" i="3"/>
  <c r="T97" i="3"/>
  <c r="T95" i="3"/>
  <c r="T93" i="3"/>
  <c r="T91" i="3"/>
  <c r="T89" i="3"/>
  <c r="T87" i="3"/>
  <c r="T85" i="3"/>
  <c r="T83" i="3"/>
  <c r="T81" i="3"/>
  <c r="T79" i="3"/>
  <c r="T77" i="3"/>
  <c r="T75" i="3"/>
  <c r="T73" i="3"/>
  <c r="T71" i="3"/>
  <c r="T69" i="3"/>
  <c r="T67" i="3"/>
  <c r="T65" i="3"/>
  <c r="T63" i="3"/>
  <c r="T61" i="3"/>
  <c r="T59" i="3"/>
  <c r="T57" i="3"/>
  <c r="T55" i="3"/>
  <c r="T53" i="3"/>
  <c r="T51" i="3"/>
  <c r="T49" i="3"/>
  <c r="T44" i="3"/>
  <c r="T43" i="3"/>
  <c r="T39" i="3"/>
  <c r="T37" i="3"/>
  <c r="T35" i="3"/>
  <c r="T33" i="3"/>
  <c r="T31" i="3"/>
  <c r="T29" i="3"/>
  <c r="T27" i="3"/>
  <c r="T25" i="3"/>
  <c r="T22" i="3"/>
  <c r="T21" i="3"/>
  <c r="T17" i="3"/>
  <c r="T15" i="3"/>
  <c r="T13" i="3"/>
  <c r="T11" i="3"/>
  <c r="T9" i="3"/>
  <c r="T7" i="3"/>
  <c r="T5" i="3"/>
  <c r="T3" i="3"/>
  <c r="A121" i="3"/>
  <c r="P124" i="3"/>
  <c r="P123" i="3"/>
  <c r="K120" i="3"/>
  <c r="K119" i="3"/>
  <c r="Q115" i="3"/>
  <c r="P115" i="3"/>
  <c r="N115" i="3"/>
  <c r="L115" i="3"/>
  <c r="K115" i="3"/>
  <c r="Q113" i="3"/>
  <c r="P113" i="3"/>
  <c r="N113" i="3"/>
  <c r="L113" i="3"/>
  <c r="K113" i="3"/>
  <c r="Q111" i="3"/>
  <c r="P111" i="3"/>
  <c r="N111" i="3"/>
  <c r="L111" i="3"/>
  <c r="K111" i="3"/>
  <c r="Q109" i="3"/>
  <c r="P109" i="3"/>
  <c r="N109" i="3"/>
  <c r="L109" i="3"/>
  <c r="K109" i="3"/>
  <c r="Q107" i="3"/>
  <c r="P107" i="3"/>
  <c r="N107" i="3"/>
  <c r="L107" i="3"/>
  <c r="K107" i="3"/>
  <c r="Q105" i="3"/>
  <c r="P105" i="3"/>
  <c r="N105" i="3"/>
  <c r="L105" i="3"/>
  <c r="K105" i="3"/>
  <c r="Q103" i="3"/>
  <c r="P103" i="3"/>
  <c r="N103" i="3"/>
  <c r="L103" i="3"/>
  <c r="K103" i="3"/>
  <c r="Q101" i="3"/>
  <c r="P101" i="3"/>
  <c r="N101" i="3"/>
  <c r="L101" i="3"/>
  <c r="K101" i="3"/>
  <c r="Q99" i="3"/>
  <c r="P99" i="3"/>
  <c r="N99" i="3"/>
  <c r="L99" i="3"/>
  <c r="K99" i="3"/>
  <c r="Q97" i="3"/>
  <c r="P97" i="3"/>
  <c r="N97" i="3"/>
  <c r="L97" i="3"/>
  <c r="K97" i="3"/>
  <c r="Q95" i="3"/>
  <c r="P95" i="3"/>
  <c r="N95" i="3"/>
  <c r="L95" i="3"/>
  <c r="K95" i="3"/>
  <c r="Q93" i="3"/>
  <c r="P93" i="3"/>
  <c r="N93" i="3"/>
  <c r="L93" i="3"/>
  <c r="K93" i="3"/>
  <c r="Q91" i="3"/>
  <c r="P91" i="3"/>
  <c r="N91" i="3"/>
  <c r="L91" i="3"/>
  <c r="K91" i="3"/>
  <c r="Q89" i="3"/>
  <c r="P89" i="3"/>
  <c r="N89" i="3"/>
  <c r="L89" i="3"/>
  <c r="K89" i="3"/>
  <c r="Q87" i="3"/>
  <c r="P87" i="3"/>
  <c r="N87" i="3"/>
  <c r="L87" i="3"/>
  <c r="K87" i="3"/>
  <c r="Q85" i="3"/>
  <c r="P85" i="3"/>
  <c r="N85" i="3"/>
  <c r="L85" i="3"/>
  <c r="K85" i="3"/>
  <c r="Q83" i="3"/>
  <c r="P83" i="3"/>
  <c r="N83" i="3"/>
  <c r="L83" i="3"/>
  <c r="K83" i="3"/>
  <c r="Q81" i="3"/>
  <c r="P81" i="3"/>
  <c r="N81" i="3"/>
  <c r="L81" i="3"/>
  <c r="K81" i="3"/>
  <c r="Q79" i="3"/>
  <c r="P79" i="3"/>
  <c r="N79" i="3"/>
  <c r="L79" i="3"/>
  <c r="K79" i="3"/>
  <c r="Q77" i="3"/>
  <c r="P77" i="3"/>
  <c r="N77" i="3"/>
  <c r="L77" i="3"/>
  <c r="K77" i="3"/>
  <c r="Q75" i="3"/>
  <c r="P75" i="3"/>
  <c r="N75" i="3"/>
  <c r="L75" i="3"/>
  <c r="K75" i="3"/>
  <c r="Q73" i="3"/>
  <c r="P73" i="3"/>
  <c r="N73" i="3"/>
  <c r="L73" i="3"/>
  <c r="K73" i="3"/>
  <c r="Q71" i="3"/>
  <c r="P71" i="3"/>
  <c r="N71" i="3"/>
  <c r="L71" i="3"/>
  <c r="K71" i="3"/>
  <c r="Q69" i="3"/>
  <c r="P69" i="3"/>
  <c r="N69" i="3"/>
  <c r="L69" i="3"/>
  <c r="K69" i="3"/>
  <c r="Q67" i="3"/>
  <c r="P67" i="3"/>
  <c r="N67" i="3"/>
  <c r="L67" i="3"/>
  <c r="K67" i="3"/>
  <c r="Q65" i="3"/>
  <c r="P65" i="3"/>
  <c r="N65" i="3"/>
  <c r="L65" i="3"/>
  <c r="K65" i="3"/>
  <c r="Q63" i="3"/>
  <c r="P63" i="3"/>
  <c r="N63" i="3"/>
  <c r="L63" i="3"/>
  <c r="K63" i="3"/>
  <c r="Q61" i="3"/>
  <c r="P61" i="3"/>
  <c r="N61" i="3"/>
  <c r="L61" i="3"/>
  <c r="K61" i="3"/>
  <c r="Q59" i="3"/>
  <c r="P59" i="3"/>
  <c r="N59" i="3"/>
  <c r="L59" i="3"/>
  <c r="K59" i="3"/>
  <c r="Q57" i="3"/>
  <c r="P57" i="3"/>
  <c r="N57" i="3"/>
  <c r="L57" i="3"/>
  <c r="K57" i="3"/>
  <c r="Q55" i="3"/>
  <c r="P55" i="3"/>
  <c r="N55" i="3"/>
  <c r="L55" i="3"/>
  <c r="K55" i="3"/>
  <c r="Q53" i="3"/>
  <c r="P53" i="3"/>
  <c r="N53" i="3"/>
  <c r="L53" i="3"/>
  <c r="K53" i="3"/>
  <c r="Q51" i="3"/>
  <c r="P51" i="3"/>
  <c r="N51" i="3"/>
  <c r="L51" i="3"/>
  <c r="K51" i="3"/>
  <c r="P44" i="3"/>
  <c r="P43" i="3"/>
  <c r="K44" i="3"/>
  <c r="K43" i="3"/>
  <c r="Q39" i="3"/>
  <c r="P39" i="3"/>
  <c r="N39" i="3"/>
  <c r="L39" i="3"/>
  <c r="K39" i="3"/>
  <c r="Q37" i="3"/>
  <c r="P37" i="3"/>
  <c r="N37" i="3"/>
  <c r="L37" i="3"/>
  <c r="K37" i="3"/>
  <c r="Q35" i="3"/>
  <c r="P35" i="3"/>
  <c r="N35" i="3"/>
  <c r="L35" i="3"/>
  <c r="K35" i="3"/>
  <c r="Q33" i="3"/>
  <c r="P33" i="3"/>
  <c r="N33" i="3"/>
  <c r="L33" i="3"/>
  <c r="K33" i="3"/>
  <c r="Q31" i="3"/>
  <c r="P31" i="3"/>
  <c r="N31" i="3"/>
  <c r="L31" i="3"/>
  <c r="K31" i="3"/>
  <c r="Q29" i="3"/>
  <c r="P29" i="3"/>
  <c r="N29" i="3"/>
  <c r="L29" i="3"/>
  <c r="K29" i="3"/>
  <c r="Q27" i="3"/>
  <c r="P27" i="3"/>
  <c r="N27" i="3"/>
  <c r="L27" i="3"/>
  <c r="K27" i="3"/>
  <c r="Q17" i="3"/>
  <c r="P17" i="3"/>
  <c r="N17" i="3"/>
  <c r="L17" i="3"/>
  <c r="K17" i="3"/>
  <c r="Q15" i="3"/>
  <c r="P15" i="3"/>
  <c r="N15" i="3"/>
  <c r="L15" i="3"/>
  <c r="K15" i="3"/>
  <c r="Q13" i="3"/>
  <c r="P13" i="3"/>
  <c r="N13" i="3"/>
  <c r="L13" i="3"/>
  <c r="K13" i="3"/>
  <c r="Q11" i="3"/>
  <c r="P11" i="3"/>
  <c r="N11" i="3"/>
  <c r="L11" i="3"/>
  <c r="K11" i="3"/>
  <c r="A678" i="1"/>
  <c r="A685" i="1" s="1"/>
  <c r="A692" i="1" s="1"/>
  <c r="A699" i="1" s="1"/>
  <c r="A677" i="1"/>
  <c r="A684" i="1" s="1"/>
  <c r="A691" i="1" s="1"/>
  <c r="A698" i="1" s="1"/>
  <c r="A676" i="1"/>
  <c r="A683" i="1" s="1"/>
  <c r="A690" i="1" s="1"/>
  <c r="A697" i="1" s="1"/>
  <c r="A675" i="1"/>
  <c r="A682" i="1" s="1"/>
  <c r="A689" i="1" s="1"/>
  <c r="A696" i="1" s="1"/>
  <c r="A674" i="1"/>
  <c r="A681" i="1" s="1"/>
  <c r="A688" i="1" s="1"/>
  <c r="A695" i="1" s="1"/>
  <c r="A673" i="1"/>
  <c r="A680" i="1" s="1"/>
  <c r="A687" i="1" s="1"/>
  <c r="A694" i="1" s="1"/>
  <c r="A672" i="1"/>
  <c r="A679" i="1" s="1"/>
  <c r="A686" i="1" s="1"/>
  <c r="A693" i="1" s="1"/>
  <c r="Q49" i="3"/>
  <c r="P49" i="3"/>
  <c r="N49" i="3"/>
  <c r="L49" i="3"/>
  <c r="K49" i="3"/>
  <c r="Q9" i="3"/>
  <c r="P9" i="3"/>
  <c r="L9" i="3"/>
  <c r="K9" i="3"/>
  <c r="P7" i="3"/>
  <c r="K7" i="3"/>
  <c r="N9" i="3"/>
  <c r="Q7" i="3"/>
  <c r="N7" i="3"/>
  <c r="L7" i="3"/>
  <c r="Q3" i="3"/>
  <c r="P3" i="3"/>
  <c r="N3" i="3"/>
  <c r="L3" i="3"/>
  <c r="K3" i="3"/>
  <c r="P25" i="3"/>
  <c r="N25" i="3"/>
  <c r="K25" i="3"/>
  <c r="Y123" i="3" l="1"/>
  <c r="Y124" i="3"/>
  <c r="K21" i="3"/>
  <c r="Q25" i="3"/>
  <c r="L25" i="3"/>
  <c r="Q5" i="3"/>
  <c r="P5" i="3"/>
  <c r="P22" i="3" s="1"/>
  <c r="N5" i="3"/>
  <c r="L5" i="3"/>
  <c r="K5" i="3"/>
  <c r="K22" i="3" s="1"/>
  <c r="P21" i="3" l="1"/>
  <c r="Y22" i="3" l="1"/>
  <c r="Y21" i="3"/>
</calcChain>
</file>

<file path=xl/sharedStrings.xml><?xml version="1.0" encoding="utf-8"?>
<sst xmlns="http://schemas.openxmlformats.org/spreadsheetml/2006/main" count="16544" uniqueCount="1664">
  <si>
    <t>UTM</t>
  </si>
  <si>
    <t>Row</t>
  </si>
  <si>
    <t>Identifier 1</t>
  </si>
  <si>
    <t>Identifier 2</t>
  </si>
  <si>
    <t>Peak Nr</t>
  </si>
  <si>
    <t>Ampl  44</t>
  </si>
  <si>
    <t>Area 44</t>
  </si>
  <si>
    <t>d 13C/12C</t>
  </si>
  <si>
    <t>d 18O/16O</t>
  </si>
  <si>
    <t>d 13C/12C ave</t>
  </si>
  <si>
    <t>stnd dev</t>
  </si>
  <si>
    <t>Ave Amp 44</t>
  </si>
  <si>
    <t>d 18O/16O ave</t>
  </si>
  <si>
    <t>d 13C/12C drift Corr</t>
  </si>
  <si>
    <t>d 13C/12C amp 44 Corr</t>
  </si>
  <si>
    <t>d 18O/16O drift Corr</t>
  </si>
  <si>
    <t>d 18O/16O amp 44 Corr</t>
  </si>
  <si>
    <t>Ave</t>
  </si>
  <si>
    <t>Std Dev</t>
  </si>
  <si>
    <t>Known d13C</t>
  </si>
  <si>
    <t>Measured d13C</t>
  </si>
  <si>
    <t>Known d18O</t>
  </si>
  <si>
    <t>Measured d18O</t>
  </si>
  <si>
    <t>NBS 18</t>
  </si>
  <si>
    <t>NBS 19</t>
  </si>
  <si>
    <t>Slope</t>
  </si>
  <si>
    <t>Intercept</t>
  </si>
  <si>
    <t>Ave ampl 44</t>
  </si>
  <si>
    <t>std dev amp 44</t>
  </si>
  <si>
    <t>.</t>
  </si>
  <si>
    <t>δ13C (PDB)</t>
  </si>
  <si>
    <t>δ18O (SMOW)</t>
  </si>
  <si>
    <t>Known</t>
  </si>
  <si>
    <t>Comment</t>
  </si>
  <si>
    <t>Ampl  45</t>
  </si>
  <si>
    <t>Ampl  46</t>
  </si>
  <si>
    <t>Information</t>
  </si>
  <si>
    <t>Date</t>
  </si>
  <si>
    <t>Time</t>
  </si>
  <si>
    <t>Time Code</t>
  </si>
  <si>
    <t>Area All</t>
  </si>
  <si>
    <t>BGD 44</t>
  </si>
  <si>
    <t>BGD 45</t>
  </si>
  <si>
    <t>BGD 46</t>
  </si>
  <si>
    <t>7.0</t>
  </si>
  <si>
    <t>9.4</t>
  </si>
  <si>
    <t>11.2</t>
  </si>
  <si>
    <t>7.7</t>
  </si>
  <si>
    <t>12.2</t>
  </si>
  <si>
    <t>8.0</t>
  </si>
  <si>
    <t>10.6</t>
  </si>
  <si>
    <t>12.7</t>
  </si>
  <si>
    <t>11.7</t>
  </si>
  <si>
    <t>14.1</t>
  </si>
  <si>
    <t>9.0</t>
  </si>
  <si>
    <t>10.9</t>
  </si>
  <si>
    <t>9.2</t>
  </si>
  <si>
    <t>12.0</t>
  </si>
  <si>
    <t>12.3</t>
  </si>
  <si>
    <t>14.8</t>
  </si>
  <si>
    <t>12.4</t>
  </si>
  <si>
    <t>8.2</t>
  </si>
  <si>
    <t>11.0</t>
  </si>
  <si>
    <t>7.9</t>
  </si>
  <si>
    <t>10.5</t>
  </si>
  <si>
    <t>12.8</t>
  </si>
  <si>
    <t>10.1</t>
  </si>
  <si>
    <t>13.2</t>
  </si>
  <si>
    <t>16.1</t>
  </si>
  <si>
    <t>12.9</t>
  </si>
  <si>
    <t>7.4</t>
  </si>
  <si>
    <t>11.9</t>
  </si>
  <si>
    <t>9.8</t>
  </si>
  <si>
    <t>10.0</t>
  </si>
  <si>
    <t>13.0</t>
  </si>
  <si>
    <t>14.7</t>
  </si>
  <si>
    <t>12.5</t>
  </si>
  <si>
    <t>15.7</t>
  </si>
  <si>
    <t>10.4</t>
  </si>
  <si>
    <t>13.4</t>
  </si>
  <si>
    <t>13.3</t>
  </si>
  <si>
    <t>11.1</t>
  </si>
  <si>
    <t>13.1</t>
  </si>
  <si>
    <t>10.7</t>
  </si>
  <si>
    <t>13.7</t>
  </si>
  <si>
    <t>13.8</t>
  </si>
  <si>
    <t>12.6</t>
  </si>
  <si>
    <t>11.3</t>
  </si>
  <si>
    <t>13.9</t>
  </si>
  <si>
    <t>16.4</t>
  </si>
  <si>
    <t>14.2</t>
  </si>
  <si>
    <t>11.8</t>
  </si>
  <si>
    <t>14.0</t>
  </si>
  <si>
    <t>14.3</t>
  </si>
  <si>
    <t>13.6</t>
  </si>
  <si>
    <t>13.5</t>
  </si>
  <si>
    <t>12.1</t>
  </si>
  <si>
    <t>15.0</t>
  </si>
  <si>
    <t>11.4</t>
  </si>
  <si>
    <t>14.6</t>
  </si>
  <si>
    <t>9.1</t>
  </si>
  <si>
    <t>19.4</t>
  </si>
  <si>
    <t>11.6</t>
  </si>
  <si>
    <t>19.2</t>
  </si>
  <si>
    <t>15.3</t>
  </si>
  <si>
    <t>9.7</t>
  </si>
  <si>
    <t>7.1</t>
  </si>
  <si>
    <t>14.9</t>
  </si>
  <si>
    <t>14.5</t>
  </si>
  <si>
    <t>8.8</t>
  </si>
  <si>
    <t>7.8</t>
  </si>
  <si>
    <t>6.8</t>
  </si>
  <si>
    <t>7.6</t>
  </si>
  <si>
    <t>15.2</t>
  </si>
  <si>
    <t>7.5</t>
  </si>
  <si>
    <t>8.3</t>
  </si>
  <si>
    <t>9.3</t>
  </si>
  <si>
    <t>7.2</t>
  </si>
  <si>
    <t>8.1</t>
  </si>
  <si>
    <t>Line</t>
  </si>
  <si>
    <t>d 18O/16O Amp 44 Corr</t>
  </si>
  <si>
    <t>d 18O/16O Drift Corr</t>
  </si>
  <si>
    <t>Amp 44</t>
  </si>
  <si>
    <t>23.5</t>
  </si>
  <si>
    <r>
      <t>r</t>
    </r>
    <r>
      <rPr>
        <vertAlign val="superscript"/>
        <sz val="13"/>
        <color theme="1"/>
        <rFont val="Times New Roman"/>
        <family val="1"/>
      </rPr>
      <t>2</t>
    </r>
  </si>
  <si>
    <t>Mass (mg)</t>
  </si>
  <si>
    <t>9.5</t>
  </si>
  <si>
    <t>11.5</t>
  </si>
  <si>
    <t>10.8</t>
  </si>
  <si>
    <t>9.6</t>
  </si>
  <si>
    <t>7.3</t>
  </si>
  <si>
    <t>14.4</t>
  </si>
  <si>
    <t>8.7</t>
  </si>
  <si>
    <t>6.5</t>
  </si>
  <si>
    <t>10.3</t>
  </si>
  <si>
    <t>23.0</t>
  </si>
  <si>
    <t>22.1</t>
  </si>
  <si>
    <t>6.9</t>
  </si>
  <si>
    <t>17.1</t>
  </si>
  <si>
    <t>17.4</t>
  </si>
  <si>
    <t>19.6</t>
  </si>
  <si>
    <t>18.9</t>
  </si>
  <si>
    <t>24.0</t>
  </si>
  <si>
    <t>21.9</t>
  </si>
  <si>
    <t>39.3</t>
  </si>
  <si>
    <t>6.1</t>
  </si>
  <si>
    <t>17.3</t>
  </si>
  <si>
    <t>16.5</t>
  </si>
  <si>
    <t>19.1</t>
  </si>
  <si>
    <t>20.2</t>
  </si>
  <si>
    <t>23.4</t>
  </si>
  <si>
    <t>18.8</t>
  </si>
  <si>
    <t>16.3</t>
  </si>
  <si>
    <t>17.8</t>
  </si>
  <si>
    <t>19.7</t>
  </si>
  <si>
    <t>22.0</t>
  </si>
  <si>
    <t>20.4</t>
  </si>
  <si>
    <t>18.2</t>
  </si>
  <si>
    <t>17.0</t>
  </si>
  <si>
    <t>16.8</t>
  </si>
  <si>
    <t>17.7</t>
  </si>
  <si>
    <t>17.5</t>
  </si>
  <si>
    <t>18.4</t>
  </si>
  <si>
    <t>23.2</t>
  </si>
  <si>
    <t>18.0</t>
  </si>
  <si>
    <t>17.6</t>
  </si>
  <si>
    <t>21.2</t>
  </si>
  <si>
    <t>17.2</t>
  </si>
  <si>
    <t>24.2</t>
  </si>
  <si>
    <t>28.9</t>
  </si>
  <si>
    <t>21.3</t>
  </si>
  <si>
    <t>20.1</t>
  </si>
  <si>
    <t>15.6</t>
  </si>
  <si>
    <t>19.9</t>
  </si>
  <si>
    <t>24.7</t>
  </si>
  <si>
    <t>28.1</t>
  </si>
  <si>
    <t>18.1</t>
  </si>
  <si>
    <t>21.6</t>
  </si>
  <si>
    <t>22.3</t>
  </si>
  <si>
    <t>21.0</t>
  </si>
  <si>
    <t>23.8</t>
  </si>
  <si>
    <t>29.4</t>
  </si>
  <si>
    <t>5.8</t>
  </si>
  <si>
    <t>4.5</t>
  </si>
  <si>
    <t>6.3</t>
  </si>
  <si>
    <t>8.6</t>
  </si>
  <si>
    <t>4.0</t>
  </si>
  <si>
    <t>3.1</t>
  </si>
  <si>
    <t>4.7</t>
  </si>
  <si>
    <t>4.3</t>
  </si>
  <si>
    <t>4.9</t>
  </si>
  <si>
    <t>8.4</t>
  </si>
  <si>
    <t>4.8</t>
  </si>
  <si>
    <t>19.0</t>
  </si>
  <si>
    <t>21.1</t>
  </si>
  <si>
    <t>6.6</t>
  </si>
  <si>
    <t>4.1</t>
  </si>
  <si>
    <t>8.5</t>
  </si>
  <si>
    <t>20.6</t>
  </si>
  <si>
    <t>4.6</t>
  </si>
  <si>
    <t>4.4</t>
  </si>
  <si>
    <t>24.5</t>
  </si>
  <si>
    <t>5.1</t>
  </si>
  <si>
    <t>3.7</t>
  </si>
  <si>
    <t>5.4</t>
  </si>
  <si>
    <t>5.3</t>
  </si>
  <si>
    <t>24.8</t>
  </si>
  <si>
    <t>3.4</t>
  </si>
  <si>
    <t>5.0</t>
  </si>
  <si>
    <t>26.8</t>
  </si>
  <si>
    <t>3.9</t>
  </si>
  <si>
    <t>5.6</t>
  </si>
  <si>
    <t>3.6</t>
  </si>
  <si>
    <t>3.8</t>
  </si>
  <si>
    <t>5.5</t>
  </si>
  <si>
    <t>6.4</t>
  </si>
  <si>
    <t>27.4</t>
  </si>
  <si>
    <t>4.2</t>
  </si>
  <si>
    <t>5.7</t>
  </si>
  <si>
    <t>25.9</t>
  </si>
  <si>
    <t>0.204</t>
  </si>
  <si>
    <t>5.2</t>
  </si>
  <si>
    <t>5.9</t>
  </si>
  <si>
    <t>15.8</t>
  </si>
  <si>
    <t>31.5</t>
  </si>
  <si>
    <t>44.9</t>
  </si>
  <si>
    <t>29.3</t>
  </si>
  <si>
    <t>6.7</t>
  </si>
  <si>
    <t>25.6</t>
  </si>
  <si>
    <t>29.8</t>
  </si>
  <si>
    <t>29.6</t>
  </si>
  <si>
    <t>27.6</t>
  </si>
  <si>
    <t>27.8</t>
  </si>
  <si>
    <t>25.8</t>
  </si>
  <si>
    <t>20.9</t>
  </si>
  <si>
    <t>26.2</t>
  </si>
  <si>
    <t>21.8</t>
  </si>
  <si>
    <t>21.4</t>
  </si>
  <si>
    <t>25.3</t>
  </si>
  <si>
    <t>26.5</t>
  </si>
  <si>
    <t>26.6</t>
  </si>
  <si>
    <t>0</t>
  </si>
  <si>
    <t>28.2</t>
  </si>
  <si>
    <t>31.8</t>
  </si>
  <si>
    <t>28.3</t>
  </si>
  <si>
    <t>18.5</t>
  </si>
  <si>
    <t>19.5</t>
  </si>
  <si>
    <t>25.5</t>
  </si>
  <si>
    <t>30.6</t>
  </si>
  <si>
    <t>16.9</t>
  </si>
  <si>
    <t>18.3</t>
  </si>
  <si>
    <t>27.2</t>
  </si>
  <si>
    <t>22.2</t>
  </si>
  <si>
    <t>16.6</t>
  </si>
  <si>
    <t>16.2</t>
  </si>
  <si>
    <t>51.1</t>
  </si>
  <si>
    <t>15.9</t>
  </si>
  <si>
    <t>20.0</t>
  </si>
  <si>
    <t>15.1</t>
  </si>
  <si>
    <t>23.6</t>
  </si>
  <si>
    <t>26.4</t>
  </si>
  <si>
    <t>22.7</t>
  </si>
  <si>
    <t>20.3</t>
  </si>
  <si>
    <t>48.2</t>
  </si>
  <si>
    <t>35.3</t>
  </si>
  <si>
    <t>29.5</t>
  </si>
  <si>
    <t>21.7</t>
  </si>
  <si>
    <t>15.5</t>
  </si>
  <si>
    <t>46.1</t>
  </si>
  <si>
    <t>0.266</t>
  </si>
  <si>
    <t>47.5</t>
  </si>
  <si>
    <t>Run</t>
  </si>
  <si>
    <t>blank</t>
  </si>
  <si>
    <t>Peak Center found at (61919);Inject Sample No 1</t>
  </si>
  <si>
    <t>24.4</t>
  </si>
  <si>
    <t>0.262</t>
  </si>
  <si>
    <t>16.0</t>
  </si>
  <si>
    <t>23.1</t>
  </si>
  <si>
    <t>0.222</t>
  </si>
  <si>
    <t>20.5</t>
  </si>
  <si>
    <t>0.248</t>
  </si>
  <si>
    <t>0.21</t>
  </si>
  <si>
    <t>24.9</t>
  </si>
  <si>
    <t>15.4</t>
  </si>
  <si>
    <t>0.226</t>
  </si>
  <si>
    <t>Peak Center found at (61919);Inject Sample No 13</t>
  </si>
  <si>
    <t>23.3</t>
  </si>
  <si>
    <t>26.0</t>
  </si>
  <si>
    <t>27.7</t>
  </si>
  <si>
    <t>18.6</t>
  </si>
  <si>
    <t>18.7</t>
  </si>
  <si>
    <t>16.7</t>
  </si>
  <si>
    <t>25.0</t>
  </si>
  <si>
    <t>32.1</t>
  </si>
  <si>
    <t>28.0</t>
  </si>
  <si>
    <t>23.9</t>
  </si>
  <si>
    <t>27.0</t>
  </si>
  <si>
    <t>20.7</t>
  </si>
  <si>
    <t>29.9</t>
  </si>
  <si>
    <t>21.5</t>
  </si>
  <si>
    <t>Peak Center found at (61919);Inject Sample No 34</t>
  </si>
  <si>
    <t>42.2</t>
  </si>
  <si>
    <t>19.8</t>
  </si>
  <si>
    <t>39.7</t>
  </si>
  <si>
    <t>24.6</t>
  </si>
  <si>
    <t>25.1</t>
  </si>
  <si>
    <t>35.8</t>
  </si>
  <si>
    <t>17.9</t>
  </si>
  <si>
    <t>41.3</t>
  </si>
  <si>
    <t>27.1</t>
  </si>
  <si>
    <t>0.27</t>
  </si>
  <si>
    <t>22.9</t>
  </si>
  <si>
    <t>27.3</t>
  </si>
  <si>
    <t>54.8</t>
  </si>
  <si>
    <t>27.5</t>
  </si>
  <si>
    <t>59.3</t>
  </si>
  <si>
    <t>50.3</t>
  </si>
  <si>
    <t>0.268</t>
  </si>
  <si>
    <t>22.8</t>
  </si>
  <si>
    <t>64.1</t>
  </si>
  <si>
    <t>34.9</t>
  </si>
  <si>
    <t>30.0</t>
  </si>
  <si>
    <t>26.9</t>
  </si>
  <si>
    <t>38.0</t>
  </si>
  <si>
    <t>24.3</t>
  </si>
  <si>
    <t>0.232</t>
  </si>
  <si>
    <t>29.7</t>
  </si>
  <si>
    <t>0.3</t>
  </si>
  <si>
    <t>20.8</t>
  </si>
  <si>
    <t>26.1</t>
  </si>
  <si>
    <t>34.1</t>
  </si>
  <si>
    <t>30.5</t>
  </si>
  <si>
    <t>37.8</t>
  </si>
  <si>
    <t>31.0</t>
  </si>
  <si>
    <t>25.7</t>
  </si>
  <si>
    <t>30.3</t>
  </si>
  <si>
    <t>0.284</t>
  </si>
  <si>
    <t>43.6</t>
  </si>
  <si>
    <t>52.8</t>
  </si>
  <si>
    <t>62.8</t>
  </si>
  <si>
    <t>0.236</t>
  </si>
  <si>
    <t>22.6</t>
  </si>
  <si>
    <t>50.1</t>
  </si>
  <si>
    <t>60.3</t>
  </si>
  <si>
    <t>41.9</t>
  </si>
  <si>
    <t>50.8</t>
  </si>
  <si>
    <t>60.8</t>
  </si>
  <si>
    <t>42.0</t>
  </si>
  <si>
    <t>50.9</t>
  </si>
  <si>
    <t>61.2</t>
  </si>
  <si>
    <t>47.3</t>
  </si>
  <si>
    <t>57.6</t>
  </si>
  <si>
    <t>68.8</t>
  </si>
  <si>
    <t>74.4</t>
  </si>
  <si>
    <t>22.4</t>
  </si>
  <si>
    <t>54.7</t>
  </si>
  <si>
    <t>66.4</t>
  </si>
  <si>
    <t>0.208</t>
  </si>
  <si>
    <t>66.3</t>
  </si>
  <si>
    <t>22.5</t>
  </si>
  <si>
    <t>39.0</t>
  </si>
  <si>
    <t>47.7</t>
  </si>
  <si>
    <t>58.7</t>
  </si>
  <si>
    <t>48.1</t>
  </si>
  <si>
    <t>58.8</t>
  </si>
  <si>
    <t>69.2</t>
  </si>
  <si>
    <t>19.3</t>
  </si>
  <si>
    <t>3.5</t>
  </si>
  <si>
    <t>26.3</t>
  </si>
  <si>
    <t>32.4</t>
  </si>
  <si>
    <t>25.4</t>
  </si>
  <si>
    <t>85.1</t>
  </si>
  <si>
    <t>0.304</t>
  </si>
  <si>
    <t>32.0</t>
  </si>
  <si>
    <t>73.5</t>
  </si>
  <si>
    <t>0.362</t>
  </si>
  <si>
    <t>23.7</t>
  </si>
  <si>
    <t>82.8</t>
  </si>
  <si>
    <t>70.2</t>
  </si>
  <si>
    <t>57.3</t>
  </si>
  <si>
    <t>69.6</t>
  </si>
  <si>
    <t>24.1</t>
  </si>
  <si>
    <t>29.0</t>
  </si>
  <si>
    <t>49.6</t>
  </si>
  <si>
    <t>59.9</t>
  </si>
  <si>
    <t>72.3</t>
  </si>
  <si>
    <t>44.4</t>
  </si>
  <si>
    <t>53.7</t>
  </si>
  <si>
    <t>65.5</t>
  </si>
  <si>
    <t>0.244</t>
  </si>
  <si>
    <t>52.9</t>
  </si>
  <si>
    <t>64.5</t>
  </si>
  <si>
    <t>39.2</t>
  </si>
  <si>
    <t>47.8</t>
  </si>
  <si>
    <t>58.0</t>
  </si>
  <si>
    <t>51.2</t>
  </si>
  <si>
    <t>62.6</t>
  </si>
  <si>
    <t>0.202</t>
  </si>
  <si>
    <t>Peak Center found at (61919);Inject Sample No 27</t>
  </si>
  <si>
    <t>43.9</t>
  </si>
  <si>
    <t>53.3</t>
  </si>
  <si>
    <t>64.9</t>
  </si>
  <si>
    <t>0.336</t>
  </si>
  <si>
    <t>0.25</t>
  </si>
  <si>
    <t>52.2</t>
  </si>
  <si>
    <t>75.9</t>
  </si>
  <si>
    <t>0.228</t>
  </si>
  <si>
    <t>55.3</t>
  </si>
  <si>
    <t>61.1</t>
  </si>
  <si>
    <t>Peak Center found at (61919);Inject Sample No 33</t>
  </si>
  <si>
    <t>51.6</t>
  </si>
  <si>
    <t>75.5</t>
  </si>
  <si>
    <t>0.252</t>
  </si>
  <si>
    <t>25.2</t>
  </si>
  <si>
    <t>0.344</t>
  </si>
  <si>
    <t>34.3</t>
  </si>
  <si>
    <t>48.0</t>
  </si>
  <si>
    <t>58.2</t>
  </si>
  <si>
    <t>71.6</t>
  </si>
  <si>
    <t>1</t>
  </si>
  <si>
    <t>0.218</t>
  </si>
  <si>
    <t>51.3</t>
  </si>
  <si>
    <t>62.2</t>
  </si>
  <si>
    <t>3</t>
  </si>
  <si>
    <t>30.2</t>
  </si>
  <si>
    <t>54.0</t>
  </si>
  <si>
    <t>Peak Center found at (61919);Inject Sample No 41</t>
  </si>
  <si>
    <t>72.4</t>
  </si>
  <si>
    <t>0.256</t>
  </si>
  <si>
    <t>56.3</t>
  </si>
  <si>
    <t>49.3</t>
  </si>
  <si>
    <t>59.8</t>
  </si>
  <si>
    <t>0.286</t>
  </si>
  <si>
    <t>0.264</t>
  </si>
  <si>
    <t>60.2</t>
  </si>
  <si>
    <t>72.9</t>
  </si>
  <si>
    <t>0.32</t>
  </si>
  <si>
    <t>35.7</t>
  </si>
  <si>
    <t>60.9</t>
  </si>
  <si>
    <t>74.0</t>
  </si>
  <si>
    <t>2</t>
  </si>
  <si>
    <t>0.316</t>
  </si>
  <si>
    <t>36.0</t>
  </si>
  <si>
    <t>0.254</t>
  </si>
  <si>
    <t>0.246</t>
  </si>
  <si>
    <t>55.1</t>
  </si>
  <si>
    <t>79.8</t>
  </si>
  <si>
    <t>Peak Center found at (61919);Inject Sample No 59</t>
  </si>
  <si>
    <t>85.9</t>
  </si>
  <si>
    <t>Peak Center found at (61919);Inject Sample No 61</t>
  </si>
  <si>
    <t>46.4</t>
  </si>
  <si>
    <t>Peak Center found at (61919);Inject Sample No 63</t>
  </si>
  <si>
    <t>49.9</t>
  </si>
  <si>
    <t>28.7</t>
  </si>
  <si>
    <t>42.4</t>
  </si>
  <si>
    <t>Peak Center found at (61919);Inject Sample No 65</t>
  </si>
  <si>
    <t>69.4</t>
  </si>
  <si>
    <t>30.8</t>
  </si>
  <si>
    <t>61.9</t>
  </si>
  <si>
    <t>63.6</t>
  </si>
  <si>
    <t>33.2</t>
  </si>
  <si>
    <t>40.4</t>
  </si>
  <si>
    <t>48.5</t>
  </si>
  <si>
    <t>63.5</t>
  </si>
  <si>
    <t>77.1</t>
  </si>
  <si>
    <t>59.0</t>
  </si>
  <si>
    <t>71.7</t>
  </si>
  <si>
    <t>Peak Center found at (61919);Inject Sample No 73</t>
  </si>
  <si>
    <t>38.5</t>
  </si>
  <si>
    <t>60.6</t>
  </si>
  <si>
    <t>36.5</t>
  </si>
  <si>
    <t>52.3</t>
  </si>
  <si>
    <t>Peak Center found at (61919);Inject Sample No 80</t>
  </si>
  <si>
    <t>58.9</t>
  </si>
  <si>
    <t>Peak Center found at (61919);Inject Sample No 81</t>
  </si>
  <si>
    <t>69.5</t>
  </si>
  <si>
    <t>0.216</t>
  </si>
  <si>
    <t>30.4</t>
  </si>
  <si>
    <t>50.6</t>
  </si>
  <si>
    <t>31.4</t>
  </si>
  <si>
    <t>Peak Center found at (61919);Inject Sample No 56</t>
  </si>
  <si>
    <t>46.5</t>
  </si>
  <si>
    <t>56.1</t>
  </si>
  <si>
    <t>69.0</t>
  </si>
  <si>
    <t>50.5</t>
  </si>
  <si>
    <t>39.4</t>
  </si>
  <si>
    <t>41.7</t>
  </si>
  <si>
    <t>56.9</t>
  </si>
  <si>
    <t>37.7</t>
  </si>
  <si>
    <t>38.1</t>
  </si>
  <si>
    <t>46.0</t>
  </si>
  <si>
    <t>Peak Center found at (61928);Inject Sample No 1</t>
  </si>
  <si>
    <t>02/03/25</t>
  </si>
  <si>
    <t>15:55:11</t>
  </si>
  <si>
    <t>2025/02/03 15:55:11</t>
  </si>
  <si>
    <t>NBS18  1</t>
  </si>
  <si>
    <t>0.28</t>
  </si>
  <si>
    <t>Peak Center found at (61928);Inject Sample No 2</t>
  </si>
  <si>
    <t>16:09:40</t>
  </si>
  <si>
    <t>2025/02/03 16:09:40</t>
  </si>
  <si>
    <t>41.4</t>
  </si>
  <si>
    <t>50.2</t>
  </si>
  <si>
    <t>NBS18  2</t>
  </si>
  <si>
    <t>0.31</t>
  </si>
  <si>
    <t>Peak Center found at (61919);Inject Sample No 3</t>
  </si>
  <si>
    <t>16:24:10</t>
  </si>
  <si>
    <t>2025/02/03 16:24:10</t>
  </si>
  <si>
    <t>52.0</t>
  </si>
  <si>
    <t>72.1</t>
  </si>
  <si>
    <t>NBS18  3</t>
  </si>
  <si>
    <t>0.33</t>
  </si>
  <si>
    <t>4</t>
  </si>
  <si>
    <t>Peak Center found at (61919);Inject Sample No 4</t>
  </si>
  <si>
    <t>16:38:39</t>
  </si>
  <si>
    <t>2025/02/03 16:38:39</t>
  </si>
  <si>
    <t>6.2</t>
  </si>
  <si>
    <t>27.9</t>
  </si>
  <si>
    <t>55.6</t>
  </si>
  <si>
    <t>67.1</t>
  </si>
  <si>
    <t>NBS18  4</t>
  </si>
  <si>
    <t>0.298</t>
  </si>
  <si>
    <t>5</t>
  </si>
  <si>
    <t>Peak Center found at (61919);Inject Sample No 5</t>
  </si>
  <si>
    <t>16:53:08</t>
  </si>
  <si>
    <t>2025/02/03 16:53:08</t>
  </si>
  <si>
    <t>56.0</t>
  </si>
  <si>
    <t>64.3</t>
  </si>
  <si>
    <t>NBS19  1</t>
  </si>
  <si>
    <t>6</t>
  </si>
  <si>
    <t>Peak Center found at (61919);Inject Sample No 6</t>
  </si>
  <si>
    <t>17:07:37</t>
  </si>
  <si>
    <t>2025/02/03 17:07:37</t>
  </si>
  <si>
    <t>43.0</t>
  </si>
  <si>
    <t>NBS19  2</t>
  </si>
  <si>
    <t>0.206</t>
  </si>
  <si>
    <t>7</t>
  </si>
  <si>
    <t>Peak Center found at (61919);Inject Sample No 7</t>
  </si>
  <si>
    <t>17:22:06</t>
  </si>
  <si>
    <t>2025/02/03 17:22:06</t>
  </si>
  <si>
    <t>40.0</t>
  </si>
  <si>
    <t>48.8</t>
  </si>
  <si>
    <t>56.7</t>
  </si>
  <si>
    <t>NBS19  3</t>
  </si>
  <si>
    <t>8</t>
  </si>
  <si>
    <t>Peak Center found at (61928);Inject Sample No 8</t>
  </si>
  <si>
    <t>17:36:36</t>
  </si>
  <si>
    <t>2025/02/03 17:36:36</t>
  </si>
  <si>
    <t>53.0</t>
  </si>
  <si>
    <t>64.4</t>
  </si>
  <si>
    <t>74.7</t>
  </si>
  <si>
    <t>NBS19  4</t>
  </si>
  <si>
    <t>9</t>
  </si>
  <si>
    <t>Peak Center found at (61919);Inject Sample No 9</t>
  </si>
  <si>
    <t>17:51:05</t>
  </si>
  <si>
    <t>2025/02/03 17:51:05</t>
  </si>
  <si>
    <t>52.1</t>
  </si>
  <si>
    <t>63.3</t>
  </si>
  <si>
    <t>UTM 1</t>
  </si>
  <si>
    <t>10</t>
  </si>
  <si>
    <t>Peak Center found at (61919);Inject Sample No 10</t>
  </si>
  <si>
    <t>18:05:34</t>
  </si>
  <si>
    <t>2025/02/03 18:05:34</t>
  </si>
  <si>
    <t>UTM 2</t>
  </si>
  <si>
    <t>11</t>
  </si>
  <si>
    <t>Peak Center found at (61928);Inject Sample No 11</t>
  </si>
  <si>
    <t>18:20:03</t>
  </si>
  <si>
    <t>2025/02/03 18:20:03</t>
  </si>
  <si>
    <t>58.6</t>
  </si>
  <si>
    <t>67.7</t>
  </si>
  <si>
    <t>UTM 3</t>
  </si>
  <si>
    <t>12</t>
  </si>
  <si>
    <t>Peak Center found at (61928);Inject Sample No 12</t>
  </si>
  <si>
    <t>18:34:33</t>
  </si>
  <si>
    <t>2025/02/03 18:34:33</t>
  </si>
  <si>
    <t>49.4</t>
  </si>
  <si>
    <t>A- 1A</t>
  </si>
  <si>
    <t>13</t>
  </si>
  <si>
    <t>18:49:02</t>
  </si>
  <si>
    <t>2025/02/03 18:49:02</t>
  </si>
  <si>
    <t>A- 2A</t>
  </si>
  <si>
    <t>14</t>
  </si>
  <si>
    <t>Peak Center found at (61928);Inject Sample No 14</t>
  </si>
  <si>
    <t>19:03:31</t>
  </si>
  <si>
    <t>2025/02/03 19:03:31</t>
  </si>
  <si>
    <t>72.6</t>
  </si>
  <si>
    <t>A- 3A</t>
  </si>
  <si>
    <t>0.276</t>
  </si>
  <si>
    <t>15</t>
  </si>
  <si>
    <t>Peak Center found at (61928);Inject Sample No 15</t>
  </si>
  <si>
    <t>19:18:00</t>
  </si>
  <si>
    <t>2025/02/03 19:18:00</t>
  </si>
  <si>
    <t>52.4</t>
  </si>
  <si>
    <t>63.4</t>
  </si>
  <si>
    <t>A- 4A</t>
  </si>
  <si>
    <t>16</t>
  </si>
  <si>
    <t>Peak Center found at (61928);Inject Sample No 16</t>
  </si>
  <si>
    <t>19:32:30</t>
  </si>
  <si>
    <t>2025/02/03 19:32:30</t>
  </si>
  <si>
    <t>49.1</t>
  </si>
  <si>
    <t>57.1</t>
  </si>
  <si>
    <t>A- 5A</t>
  </si>
  <si>
    <t>0.278</t>
  </si>
  <si>
    <t>17</t>
  </si>
  <si>
    <t>Peak Center found at (61919);Inject Sample No 17</t>
  </si>
  <si>
    <t>19:46:58</t>
  </si>
  <si>
    <t>2025/02/03 19:46:58</t>
  </si>
  <si>
    <t>73.9</t>
  </si>
  <si>
    <t>A- 6A</t>
  </si>
  <si>
    <t>0.342</t>
  </si>
  <si>
    <t>18</t>
  </si>
  <si>
    <t>Peak Center found at (61928);Inject Sample No 18</t>
  </si>
  <si>
    <t>20:01:28</t>
  </si>
  <si>
    <t>2025/02/03 20:01:28</t>
  </si>
  <si>
    <t>57.0</t>
  </si>
  <si>
    <t>68.9</t>
  </si>
  <si>
    <t>80.2</t>
  </si>
  <si>
    <t>A- 7A</t>
  </si>
  <si>
    <t>0.328</t>
  </si>
  <si>
    <t>19</t>
  </si>
  <si>
    <t>Peak Center found at (61919);Inject Sample No 19</t>
  </si>
  <si>
    <t>20:15:57</t>
  </si>
  <si>
    <t>2025/02/03 20:15:57</t>
  </si>
  <si>
    <t>62.3</t>
  </si>
  <si>
    <t>75.3</t>
  </si>
  <si>
    <t>87.6</t>
  </si>
  <si>
    <t>A- 8A</t>
  </si>
  <si>
    <t>20</t>
  </si>
  <si>
    <t>Peak Center found at (61919);Inject Sample No 20</t>
  </si>
  <si>
    <t>20:30:27</t>
  </si>
  <si>
    <t>2025/02/03 20:30:27</t>
  </si>
  <si>
    <t>36.8</t>
  </si>
  <si>
    <t>A- 9A</t>
  </si>
  <si>
    <t>0.258</t>
  </si>
  <si>
    <t>21</t>
  </si>
  <si>
    <t>Peak Center found at (61928);Inject Sample No 21</t>
  </si>
  <si>
    <t>20:44:56</t>
  </si>
  <si>
    <t>2025/02/03 20:44:56</t>
  </si>
  <si>
    <t>60.1</t>
  </si>
  <si>
    <t>69.9</t>
  </si>
  <si>
    <t>A- 10A</t>
  </si>
  <si>
    <t>22</t>
  </si>
  <si>
    <t>Peak Center found at (61919);Inject Sample No 22</t>
  </si>
  <si>
    <t>20:59:25</t>
  </si>
  <si>
    <t>2025/02/03 20:59:25</t>
  </si>
  <si>
    <t>70.3</t>
  </si>
  <si>
    <t>81.7</t>
  </si>
  <si>
    <t>UTM 4</t>
  </si>
  <si>
    <t>23</t>
  </si>
  <si>
    <t>Peak Center found at (61919);Inject Sample No 23</t>
  </si>
  <si>
    <t>21:13:55</t>
  </si>
  <si>
    <t>2025/02/03 21:13:55</t>
  </si>
  <si>
    <t>54.5</t>
  </si>
  <si>
    <t>76.7</t>
  </si>
  <si>
    <t>UTM 5</t>
  </si>
  <si>
    <t>0.224</t>
  </si>
  <si>
    <t>24</t>
  </si>
  <si>
    <t>Peak Center found at (61919);Inject Sample No 24</t>
  </si>
  <si>
    <t>21:28:24</t>
  </si>
  <si>
    <t>2025/02/03 21:28:24</t>
  </si>
  <si>
    <t>A- 11A</t>
  </si>
  <si>
    <t>25</t>
  </si>
  <si>
    <t>Peak Center found at (61928);Inject Sample No 25</t>
  </si>
  <si>
    <t>21:42:53</t>
  </si>
  <si>
    <t>2025/02/03 21:42:53</t>
  </si>
  <si>
    <t>A- 12A</t>
  </si>
  <si>
    <t>26</t>
  </si>
  <si>
    <t>Peak Center found at (61919);Inject Sample No 26</t>
  </si>
  <si>
    <t>21:57:22</t>
  </si>
  <si>
    <t>2025/02/03 21:57:22</t>
  </si>
  <si>
    <t>47.4</t>
  </si>
  <si>
    <t>A- 13A</t>
  </si>
  <si>
    <t>0.234</t>
  </si>
  <si>
    <t>27</t>
  </si>
  <si>
    <t>22:11:51</t>
  </si>
  <si>
    <t>2025/02/03 22:11:51</t>
  </si>
  <si>
    <t>37.9</t>
  </si>
  <si>
    <t>53.5</t>
  </si>
  <si>
    <t>A- 14A</t>
  </si>
  <si>
    <t>0.288</t>
  </si>
  <si>
    <t>28</t>
  </si>
  <si>
    <t>Peak Center found at (61928);Inject Sample No 28</t>
  </si>
  <si>
    <t>22:26:21</t>
  </si>
  <si>
    <t>2025/02/03 22:26:21</t>
  </si>
  <si>
    <t>48.7</t>
  </si>
  <si>
    <t>68.5</t>
  </si>
  <si>
    <t>A- 15A</t>
  </si>
  <si>
    <t>29</t>
  </si>
  <si>
    <t>Peak Center found at (61928);Inject Sample No 29</t>
  </si>
  <si>
    <t>22:40:50</t>
  </si>
  <si>
    <t>2025/02/03 22:40:50</t>
  </si>
  <si>
    <t>42.6</t>
  </si>
  <si>
    <t>A- 16A</t>
  </si>
  <si>
    <t>30</t>
  </si>
  <si>
    <t>Peak Center found at (61919);Inject Sample No 30</t>
  </si>
  <si>
    <t>22:55:19</t>
  </si>
  <si>
    <t>2025/02/03 22:55:19</t>
  </si>
  <si>
    <t>77.0</t>
  </si>
  <si>
    <t>A- 17A</t>
  </si>
  <si>
    <t>0.192</t>
  </si>
  <si>
    <t>31</t>
  </si>
  <si>
    <t>Peak Center found at (61919);Inject Sample No 31</t>
  </si>
  <si>
    <t>23:09:49</t>
  </si>
  <si>
    <t>2025/02/03 23:09:49</t>
  </si>
  <si>
    <t>43.5</t>
  </si>
  <si>
    <t>A- 18A</t>
  </si>
  <si>
    <t>32</t>
  </si>
  <si>
    <t>Peak Center found at (61919);Inject Sample No 32</t>
  </si>
  <si>
    <t>23:24:18</t>
  </si>
  <si>
    <t>2025/02/03 23:24:18</t>
  </si>
  <si>
    <t>43.7</t>
  </si>
  <si>
    <t>61.5</t>
  </si>
  <si>
    <t>A- 19A</t>
  </si>
  <si>
    <t>33</t>
  </si>
  <si>
    <t>23:38:47</t>
  </si>
  <si>
    <t>2025/02/03 23:38:47</t>
  </si>
  <si>
    <t>47.1</t>
  </si>
  <si>
    <t>A- 20A</t>
  </si>
  <si>
    <t>34</t>
  </si>
  <si>
    <t>Peak Center found at (61928);Inject Sample No 34</t>
  </si>
  <si>
    <t>23:53:17</t>
  </si>
  <si>
    <t>2025/02/03 23:53:17</t>
  </si>
  <si>
    <t>UTM 6</t>
  </si>
  <si>
    <t>0.294</t>
  </si>
  <si>
    <t>35</t>
  </si>
  <si>
    <t>Peak Center found at (61928);Inject Sample No 35</t>
  </si>
  <si>
    <t>02/04/25</t>
  </si>
  <si>
    <t>00:07:46</t>
  </si>
  <si>
    <t>2025/02/04 00:07:46</t>
  </si>
  <si>
    <t>53.9</t>
  </si>
  <si>
    <t>65.6</t>
  </si>
  <si>
    <t>75.8</t>
  </si>
  <si>
    <t>UTM 7</t>
  </si>
  <si>
    <t>0.318</t>
  </si>
  <si>
    <t>36</t>
  </si>
  <si>
    <t>Peak Center found at (61928);Inject Sample No 36</t>
  </si>
  <si>
    <t>00:22:16</t>
  </si>
  <si>
    <t>2025/02/04 00:22:16</t>
  </si>
  <si>
    <t>60.4</t>
  </si>
  <si>
    <t>73.3</t>
  </si>
  <si>
    <t>84.8</t>
  </si>
  <si>
    <t>A- 21A</t>
  </si>
  <si>
    <t>0.332</t>
  </si>
  <si>
    <t>37</t>
  </si>
  <si>
    <t>Peak Center found at (61919);Inject Sample No 37</t>
  </si>
  <si>
    <t>00:36:45</t>
  </si>
  <si>
    <t>2025/02/04 00:36:45</t>
  </si>
  <si>
    <t>80.4</t>
  </si>
  <si>
    <t>A- 22A</t>
  </si>
  <si>
    <t>38</t>
  </si>
  <si>
    <t>Peak Center found at (61919);Inject Sample No 38</t>
  </si>
  <si>
    <t>00:51:14</t>
  </si>
  <si>
    <t>2025/02/04 00:51:14</t>
  </si>
  <si>
    <t>29.1</t>
  </si>
  <si>
    <t>55.0</t>
  </si>
  <si>
    <t>77.2</t>
  </si>
  <si>
    <t>A- 23A</t>
  </si>
  <si>
    <t>0.296</t>
  </si>
  <si>
    <t>39</t>
  </si>
  <si>
    <t>Peak Center found at (61928);Inject Sample No 39</t>
  </si>
  <si>
    <t>01:05:44</t>
  </si>
  <si>
    <t>2025/02/04 01:05:44</t>
  </si>
  <si>
    <t>A- 24A</t>
  </si>
  <si>
    <t>0.34</t>
  </si>
  <si>
    <t>40</t>
  </si>
  <si>
    <t>Peak Center found at (61919);Inject Sample No 40</t>
  </si>
  <si>
    <t>01:20:14</t>
  </si>
  <si>
    <t>2025/02/04 01:20:14</t>
  </si>
  <si>
    <t>57.2</t>
  </si>
  <si>
    <t>80.5</t>
  </si>
  <si>
    <t>A- 25A</t>
  </si>
  <si>
    <t>41</t>
  </si>
  <si>
    <t>01:34:44</t>
  </si>
  <si>
    <t>2025/02/04 01:34:44</t>
  </si>
  <si>
    <t>A- 26A</t>
  </si>
  <si>
    <t>42</t>
  </si>
  <si>
    <t>Peak Center found at (61919);Inject Sample No 42</t>
  </si>
  <si>
    <t>01:49:13</t>
  </si>
  <si>
    <t>2025/02/04 01:49:13</t>
  </si>
  <si>
    <t>44.2</t>
  </si>
  <si>
    <t>53.6</t>
  </si>
  <si>
    <t>A- 27A</t>
  </si>
  <si>
    <t>43</t>
  </si>
  <si>
    <t>Peak Center found at (61928);Inject Sample No 43</t>
  </si>
  <si>
    <t>02:03:42</t>
  </si>
  <si>
    <t>2025/02/04 02:03:42</t>
  </si>
  <si>
    <t>56.2</t>
  </si>
  <si>
    <t>65.3</t>
  </si>
  <si>
    <t>A- 28A</t>
  </si>
  <si>
    <t>0.198</t>
  </si>
  <si>
    <t>44</t>
  </si>
  <si>
    <t>Peak Center found at (61928);Inject Sample No 44</t>
  </si>
  <si>
    <t>02:18:12</t>
  </si>
  <si>
    <t>2025/02/04 02:18:12</t>
  </si>
  <si>
    <t>38.6</t>
  </si>
  <si>
    <t>47.0</t>
  </si>
  <si>
    <t>A- 29A</t>
  </si>
  <si>
    <t>45</t>
  </si>
  <si>
    <t>Peak Center found at (61928);Inject Sample No 45</t>
  </si>
  <si>
    <t>02:32:41</t>
  </si>
  <si>
    <t>2025/02/04 02:32:41</t>
  </si>
  <si>
    <t>55.8</t>
  </si>
  <si>
    <t>64.8</t>
  </si>
  <si>
    <t>A- 30A</t>
  </si>
  <si>
    <t>0.194</t>
  </si>
  <si>
    <t>46</t>
  </si>
  <si>
    <t>Peak Center found at (61919);Inject Sample No 46</t>
  </si>
  <si>
    <t>02:47:11</t>
  </si>
  <si>
    <t>2025/02/04 02:47:11</t>
  </si>
  <si>
    <t>61.7</t>
  </si>
  <si>
    <t>UTM 8</t>
  </si>
  <si>
    <t>47</t>
  </si>
  <si>
    <t>Peak Center found at (61919);Inject Sample No 47</t>
  </si>
  <si>
    <t>03:01:40</t>
  </si>
  <si>
    <t>2025/02/04 03:01:40</t>
  </si>
  <si>
    <t>58.4</t>
  </si>
  <si>
    <t>71.0</t>
  </si>
  <si>
    <t>82.1</t>
  </si>
  <si>
    <t>UTM 9</t>
  </si>
  <si>
    <t>48</t>
  </si>
  <si>
    <t>Peak Center found at (61928);Inject Sample No 48</t>
  </si>
  <si>
    <t>03:16:10</t>
  </si>
  <si>
    <t>2025/02/04 03:16:10</t>
  </si>
  <si>
    <t>45.5</t>
  </si>
  <si>
    <t>64.2</t>
  </si>
  <si>
    <t>A- 31A</t>
  </si>
  <si>
    <t>49</t>
  </si>
  <si>
    <t>Peak Center found at (61928);Inject Sample No 49</t>
  </si>
  <si>
    <t>03:30:40</t>
  </si>
  <si>
    <t>2025/02/04 03:30:40</t>
  </si>
  <si>
    <t>68.4</t>
  </si>
  <si>
    <t>A- 32A</t>
  </si>
  <si>
    <t>50</t>
  </si>
  <si>
    <t>Peak Center found at (61938);Inject Sample No 50</t>
  </si>
  <si>
    <t>03:45:09</t>
  </si>
  <si>
    <t>2025/02/04 03:45:09</t>
  </si>
  <si>
    <t>31.9</t>
  </si>
  <si>
    <t>63.0</t>
  </si>
  <si>
    <t>76.0</t>
  </si>
  <si>
    <t>88.3</t>
  </si>
  <si>
    <t>B- 1A</t>
  </si>
  <si>
    <t>0.308</t>
  </si>
  <si>
    <t>51</t>
  </si>
  <si>
    <t>Peak Center found at (61919);Inject Sample No 51</t>
  </si>
  <si>
    <t>03:59:39</t>
  </si>
  <si>
    <t>2025/02/04 03:59:39</t>
  </si>
  <si>
    <t>31.2</t>
  </si>
  <si>
    <t>B- 2A</t>
  </si>
  <si>
    <t>52</t>
  </si>
  <si>
    <t>Peak Center found at (61919);Inject Sample No 52</t>
  </si>
  <si>
    <t>04:14:08</t>
  </si>
  <si>
    <t>2025/02/04 04:14:08</t>
  </si>
  <si>
    <t>45.7</t>
  </si>
  <si>
    <t>55.4</t>
  </si>
  <si>
    <t>B- 3A</t>
  </si>
  <si>
    <t>53</t>
  </si>
  <si>
    <t>Peak Center found at (61919);Inject Sample No 53</t>
  </si>
  <si>
    <t>04:28:38</t>
  </si>
  <si>
    <t>2025/02/04 04:28:38</t>
  </si>
  <si>
    <t>56.4</t>
  </si>
  <si>
    <t>65.4</t>
  </si>
  <si>
    <t>B- 4A</t>
  </si>
  <si>
    <t>54</t>
  </si>
  <si>
    <t>Peak Center found at (61919);Inject Sample No 54</t>
  </si>
  <si>
    <t>04:43:07</t>
  </si>
  <si>
    <t>2025/02/04 04:43:07</t>
  </si>
  <si>
    <t>40.7</t>
  </si>
  <si>
    <t>49.5</t>
  </si>
  <si>
    <t>B- 5A</t>
  </si>
  <si>
    <t>55</t>
  </si>
  <si>
    <t>Peak Center found at (61928);Inject Sample No 55</t>
  </si>
  <si>
    <t>04:57:37</t>
  </si>
  <si>
    <t>2025/02/04 04:57:37</t>
  </si>
  <si>
    <t>26.7</t>
  </si>
  <si>
    <t>51.7</t>
  </si>
  <si>
    <t>72.7</t>
  </si>
  <si>
    <t>B- 6A</t>
  </si>
  <si>
    <t>0.26</t>
  </si>
  <si>
    <t>56</t>
  </si>
  <si>
    <t>05:12:07</t>
  </si>
  <si>
    <t>2025/02/04 05:12:07</t>
  </si>
  <si>
    <t>62.0</t>
  </si>
  <si>
    <t>72.0</t>
  </si>
  <si>
    <t>B- 7A</t>
  </si>
  <si>
    <t>0.374</t>
  </si>
  <si>
    <t>57</t>
  </si>
  <si>
    <t>Peak Center found at (61919);Inject Sample No 57</t>
  </si>
  <si>
    <t>05:26:36</t>
  </si>
  <si>
    <t>2025/02/04 05:26:36</t>
  </si>
  <si>
    <t>B- 8A</t>
  </si>
  <si>
    <t>58</t>
  </si>
  <si>
    <t>Peak Center found at (61928);Inject Sample No 58</t>
  </si>
  <si>
    <t>05:41:07</t>
  </si>
  <si>
    <t>2025/02/04 05:41:07</t>
  </si>
  <si>
    <t>71.8</t>
  </si>
  <si>
    <t>UTM 10</t>
  </si>
  <si>
    <t>59</t>
  </si>
  <si>
    <t>05:55:37</t>
  </si>
  <si>
    <t>2025/02/04 05:55:37</t>
  </si>
  <si>
    <t>74.3</t>
  </si>
  <si>
    <t>UTM 11</t>
  </si>
  <si>
    <t>60</t>
  </si>
  <si>
    <t>Peak Center found at (61919);Inject Sample No 60</t>
  </si>
  <si>
    <t>06:10:09</t>
  </si>
  <si>
    <t>2025/02/04 06:10:09</t>
  </si>
  <si>
    <t>45.2</t>
  </si>
  <si>
    <t>55.2</t>
  </si>
  <si>
    <t>B- 9A</t>
  </si>
  <si>
    <t>0.356</t>
  </si>
  <si>
    <t>61</t>
  </si>
  <si>
    <t>Peak Center found at (61928);Inject Sample No 61</t>
  </si>
  <si>
    <t>06:24:39</t>
  </si>
  <si>
    <t>2025/02/04 06:24:39</t>
  </si>
  <si>
    <t>B- 10A</t>
  </si>
  <si>
    <t>0.324</t>
  </si>
  <si>
    <t>62</t>
  </si>
  <si>
    <t>Peak Center found at (61919);Inject Sample No 62</t>
  </si>
  <si>
    <t>06:39:08</t>
  </si>
  <si>
    <t>2025/02/04 06:39:08</t>
  </si>
  <si>
    <t>88.1</t>
  </si>
  <si>
    <t>B- 11A</t>
  </si>
  <si>
    <t>0.354</t>
  </si>
  <si>
    <t>63</t>
  </si>
  <si>
    <t>Peak Center found at (61928);Inject Sample No 63</t>
  </si>
  <si>
    <t>06:53:38</t>
  </si>
  <si>
    <t>2025/02/04 06:53:38</t>
  </si>
  <si>
    <t>B- 12A</t>
  </si>
  <si>
    <t>0.29</t>
  </si>
  <si>
    <t>64</t>
  </si>
  <si>
    <t>Peak Center found at (61928);Inject Sample No 64</t>
  </si>
  <si>
    <t>07:08:07</t>
  </si>
  <si>
    <t>2025/02/04 07:08:07</t>
  </si>
  <si>
    <t>30.9</t>
  </si>
  <si>
    <t>85.5</t>
  </si>
  <si>
    <t>B- 13A</t>
  </si>
  <si>
    <t>0.214</t>
  </si>
  <si>
    <t>65</t>
  </si>
  <si>
    <t>Peak Center found at (61928);Inject Sample No 65</t>
  </si>
  <si>
    <t>07:22:37</t>
  </si>
  <si>
    <t>2025/02/04 07:22:37</t>
  </si>
  <si>
    <t>65.2</t>
  </si>
  <si>
    <t>B- 14A</t>
  </si>
  <si>
    <t>66</t>
  </si>
  <si>
    <t>Peak Center found at (61938);Inject Sample No 66</t>
  </si>
  <si>
    <t>07:37:07</t>
  </si>
  <si>
    <t>2025/02/04 07:37:07</t>
  </si>
  <si>
    <t>B- 15A</t>
  </si>
  <si>
    <t>0.326</t>
  </si>
  <si>
    <t>67</t>
  </si>
  <si>
    <t>Peak Center found at (61919);Inject Sample No 67</t>
  </si>
  <si>
    <t>07:51:38</t>
  </si>
  <si>
    <t>2025/02/04 07:51:38</t>
  </si>
  <si>
    <t>79.7</t>
  </si>
  <si>
    <t>B- 16A</t>
  </si>
  <si>
    <t>68</t>
  </si>
  <si>
    <t>Peak Center found at (61928);Inject Sample No 68</t>
  </si>
  <si>
    <t>08:06:07</t>
  </si>
  <si>
    <t>2025/02/04 08:06:07</t>
  </si>
  <si>
    <t>34.4</t>
  </si>
  <si>
    <t>B- 17A</t>
  </si>
  <si>
    <t>69</t>
  </si>
  <si>
    <t>Peak Center found at (61928);Inject Sample No 69</t>
  </si>
  <si>
    <t>08:20:37</t>
  </si>
  <si>
    <t>2025/02/04 08:20:37</t>
  </si>
  <si>
    <t>54.3</t>
  </si>
  <si>
    <t>76.3</t>
  </si>
  <si>
    <t>B- 18A</t>
  </si>
  <si>
    <t>70</t>
  </si>
  <si>
    <t>Peak Center found at (61919);Inject Sample No 70</t>
  </si>
  <si>
    <t>08:35:07</t>
  </si>
  <si>
    <t>2025/02/04 08:35:07</t>
  </si>
  <si>
    <t>UTM 12</t>
  </si>
  <si>
    <t>71</t>
  </si>
  <si>
    <t>Peak Center found at (61919);Inject Sample No 71</t>
  </si>
  <si>
    <t>08:49:37</t>
  </si>
  <si>
    <t>2025/02/04 08:49:37</t>
  </si>
  <si>
    <t>6.0</t>
  </si>
  <si>
    <t>87.9</t>
  </si>
  <si>
    <t>UTM 13</t>
  </si>
  <si>
    <t>72</t>
  </si>
  <si>
    <t>Peak Center found at (61919);Inject Sample No 72</t>
  </si>
  <si>
    <t>09:04:07</t>
  </si>
  <si>
    <t>2025/02/04 09:04:07</t>
  </si>
  <si>
    <t>B- 19A</t>
  </si>
  <si>
    <t>73</t>
  </si>
  <si>
    <t>09:18:37</t>
  </si>
  <si>
    <t>2025/02/04 09:18:37</t>
  </si>
  <si>
    <t>58.1</t>
  </si>
  <si>
    <t>67.5</t>
  </si>
  <si>
    <t>B- 20A</t>
  </si>
  <si>
    <t>74</t>
  </si>
  <si>
    <t>Peak Center found at (61928);Inject Sample No 74</t>
  </si>
  <si>
    <t>09:33:08</t>
  </si>
  <si>
    <t>2025/02/04 09:33:08</t>
  </si>
  <si>
    <t>B- 21A</t>
  </si>
  <si>
    <t>0.366</t>
  </si>
  <si>
    <t>75</t>
  </si>
  <si>
    <t>Peak Center found at (61928);Inject Sample No 75</t>
  </si>
  <si>
    <t>09:47:37</t>
  </si>
  <si>
    <t>2025/02/04 09:47:37</t>
  </si>
  <si>
    <t>B- 22A</t>
  </si>
  <si>
    <t>76</t>
  </si>
  <si>
    <t>Peak Center found at (61928);Inject Sample No 76</t>
  </si>
  <si>
    <t>10:02:07</t>
  </si>
  <si>
    <t>2025/02/04 10:02:07</t>
  </si>
  <si>
    <t>54.1</t>
  </si>
  <si>
    <t>B- 23A</t>
  </si>
  <si>
    <t>0.322</t>
  </si>
  <si>
    <t>77</t>
  </si>
  <si>
    <t>Peak Center found at (61919);Inject Sample No 77</t>
  </si>
  <si>
    <t>10:16:37</t>
  </si>
  <si>
    <t>2025/02/04 10:16:37</t>
  </si>
  <si>
    <t>B- 24A</t>
  </si>
  <si>
    <t>78</t>
  </si>
  <si>
    <t>Peak Center found at (61938);Inject Sample No 78</t>
  </si>
  <si>
    <t>10:31:07</t>
  </si>
  <si>
    <t>2025/02/04 10:31:07</t>
  </si>
  <si>
    <t>47.9</t>
  </si>
  <si>
    <t>67.2</t>
  </si>
  <si>
    <t>B- 25A</t>
  </si>
  <si>
    <t>79</t>
  </si>
  <si>
    <t>Peak Center found at (61928);Inject Sample No 79</t>
  </si>
  <si>
    <t>10:45:38</t>
  </si>
  <si>
    <t>2025/02/04 10:45:38</t>
  </si>
  <si>
    <t>70.7</t>
  </si>
  <si>
    <t>B- 26A</t>
  </si>
  <si>
    <t>80</t>
  </si>
  <si>
    <t>Peak Center found at (61928);Inject Sample No 80</t>
  </si>
  <si>
    <t>11:00:08</t>
  </si>
  <si>
    <t>2025/02/04 11:00:08</t>
  </si>
  <si>
    <t>71.1</t>
  </si>
  <si>
    <t>B- 27A</t>
  </si>
  <si>
    <t>0.306</t>
  </si>
  <si>
    <t>81</t>
  </si>
  <si>
    <t>11:14:38</t>
  </si>
  <si>
    <t>2025/02/04 11:14:38</t>
  </si>
  <si>
    <t>60.7</t>
  </si>
  <si>
    <t>B- 28A</t>
  </si>
  <si>
    <t>82</t>
  </si>
  <si>
    <t>Peak Center found at (61919);Inject Sample No 82</t>
  </si>
  <si>
    <t>11:29:07</t>
  </si>
  <si>
    <t>2025/02/04 11:29:07</t>
  </si>
  <si>
    <t>51.0</t>
  </si>
  <si>
    <t>59.2</t>
  </si>
  <si>
    <t>UTM 14</t>
  </si>
  <si>
    <t>83</t>
  </si>
  <si>
    <t>Peak Center found at (61928);Inject Sample No 83</t>
  </si>
  <si>
    <t>11:43:37</t>
  </si>
  <si>
    <t>2025/02/04 11:43:37</t>
  </si>
  <si>
    <t>38.9</t>
  </si>
  <si>
    <t>54.9</t>
  </si>
  <si>
    <t>UTM 15</t>
  </si>
  <si>
    <t>84</t>
  </si>
  <si>
    <t>Peak Center found at (61928);Inject Sample No 84</t>
  </si>
  <si>
    <t>11:58:06</t>
  </si>
  <si>
    <t>2025/02/04 11:58:06</t>
  </si>
  <si>
    <t>46.3</t>
  </si>
  <si>
    <t>56.5</t>
  </si>
  <si>
    <t>B- 29A</t>
  </si>
  <si>
    <t>85</t>
  </si>
  <si>
    <t>Peak Center found at (61928);Inject Sample No 85</t>
  </si>
  <si>
    <t>12:12:37</t>
  </si>
  <si>
    <t>2025/02/04 12:12:37</t>
  </si>
  <si>
    <t>C- 1A</t>
  </si>
  <si>
    <t>86</t>
  </si>
  <si>
    <t>Peak Center found at (61919);Inject Sample No 86</t>
  </si>
  <si>
    <t>12:27:07</t>
  </si>
  <si>
    <t>2025/02/04 12:27:07</t>
  </si>
  <si>
    <t>C- 2A</t>
  </si>
  <si>
    <t>87</t>
  </si>
  <si>
    <t>Peak Center found at (61919);Inject Sample No 87</t>
  </si>
  <si>
    <t>12:41:37</t>
  </si>
  <si>
    <t>2025/02/04 12:41:37</t>
  </si>
  <si>
    <t>45.9</t>
  </si>
  <si>
    <t>55.7</t>
  </si>
  <si>
    <t>64.6</t>
  </si>
  <si>
    <t>C- 3A</t>
  </si>
  <si>
    <t>0.19</t>
  </si>
  <si>
    <t>88</t>
  </si>
  <si>
    <t>Peak Center found at (61928);Inject Sample No 88</t>
  </si>
  <si>
    <t>12:56:07</t>
  </si>
  <si>
    <t>2025/02/04 12:56:07</t>
  </si>
  <si>
    <t>C- 4A</t>
  </si>
  <si>
    <t>89</t>
  </si>
  <si>
    <t>Peak Center found at (61928);Inject Sample No 89</t>
  </si>
  <si>
    <t>13:10:38</t>
  </si>
  <si>
    <t>2025/02/04 13:10:38</t>
  </si>
  <si>
    <t>C- 5A</t>
  </si>
  <si>
    <t>0.312</t>
  </si>
  <si>
    <t>90</t>
  </si>
  <si>
    <t>Peak Center found at (61928);Inject Sample No 90</t>
  </si>
  <si>
    <t>13:25:08</t>
  </si>
  <si>
    <t>2025/02/04 13:25:08</t>
  </si>
  <si>
    <t>64.0</t>
  </si>
  <si>
    <t>74.2</t>
  </si>
  <si>
    <t>C- 6A</t>
  </si>
  <si>
    <t>91</t>
  </si>
  <si>
    <t>Peak Center found at (61919);Inject Sample No 91</t>
  </si>
  <si>
    <t>13:39:38</t>
  </si>
  <si>
    <t>2025/02/04 13:39:38</t>
  </si>
  <si>
    <t>C- 7A</t>
  </si>
  <si>
    <t>92</t>
  </si>
  <si>
    <t>Peak Center found at (61928);Inject Sample No 92</t>
  </si>
  <si>
    <t>13:54:08</t>
  </si>
  <si>
    <t>2025/02/04 13:54:08</t>
  </si>
  <si>
    <t>48.9</t>
  </si>
  <si>
    <t>68.7</t>
  </si>
  <si>
    <t>C- 8A</t>
  </si>
  <si>
    <t>93</t>
  </si>
  <si>
    <t>Peak Center found at (61928);Inject Sample No 93</t>
  </si>
  <si>
    <t>14:08:39</t>
  </si>
  <si>
    <t>2025/02/04 14:08:39</t>
  </si>
  <si>
    <t>46.8</t>
  </si>
  <si>
    <t>65.8</t>
  </si>
  <si>
    <t>C- 9A</t>
  </si>
  <si>
    <t>94</t>
  </si>
  <si>
    <t>Peak Center found at (61919);Inject Sample No 94</t>
  </si>
  <si>
    <t>14:23:09</t>
  </si>
  <si>
    <t>2025/02/04 14:23:09</t>
  </si>
  <si>
    <t>UTM 16</t>
  </si>
  <si>
    <t>95</t>
  </si>
  <si>
    <t>Peak Center found at (61919);Inject Sample No 95</t>
  </si>
  <si>
    <t>14:37:39</t>
  </si>
  <si>
    <t>2025/02/04 14:37:39</t>
  </si>
  <si>
    <t>UTM 17</t>
  </si>
  <si>
    <t>96</t>
  </si>
  <si>
    <t>Peak Center found at (61928);Inject Sample No 96</t>
  </si>
  <si>
    <t>14:52:10</t>
  </si>
  <si>
    <t>2025/02/04 14:52:10</t>
  </si>
  <si>
    <t>16:40:20</t>
  </si>
  <si>
    <t>2025/02/04 16:40:20</t>
  </si>
  <si>
    <t>16:54:49</t>
  </si>
  <si>
    <t>2025/02/04 16:54:49</t>
  </si>
  <si>
    <t>Peak Center found at (61919);Inject Sample No 93</t>
  </si>
  <si>
    <t>17:09:19</t>
  </si>
  <si>
    <t>2025/02/04 17:09:19</t>
  </si>
  <si>
    <t>Peak Center found at (61928);Inject Sample No 94</t>
  </si>
  <si>
    <t>17:23:48</t>
  </si>
  <si>
    <t>2025/02/04 17:23:48</t>
  </si>
  <si>
    <t>39.5</t>
  </si>
  <si>
    <t>17:38:17</t>
  </si>
  <si>
    <t>2025/02/04 17:38:17</t>
  </si>
  <si>
    <t>37.3</t>
  </si>
  <si>
    <t>42.8</t>
  </si>
  <si>
    <t>17:52:46</t>
  </si>
  <si>
    <t>2025/02/04 17:52:46</t>
  </si>
  <si>
    <t>33.0</t>
  </si>
  <si>
    <t>97</t>
  </si>
  <si>
    <t>02/05/25</t>
  </si>
  <si>
    <t>12:03:00</t>
  </si>
  <si>
    <t>2025/02/05 12:03:00</t>
  </si>
  <si>
    <t>NBS18 1</t>
  </si>
  <si>
    <t>98</t>
  </si>
  <si>
    <t>Peak Center found at (61919);Inject Sample No 2</t>
  </si>
  <si>
    <t>12:17:30</t>
  </si>
  <si>
    <t>2025/02/05 12:17:30</t>
  </si>
  <si>
    <t>NBS18 2</t>
  </si>
  <si>
    <t>99</t>
  </si>
  <si>
    <t>Peak Center found at (61928);Inject Sample No 3</t>
  </si>
  <si>
    <t>12:31:59</t>
  </si>
  <si>
    <t>2025/02/05 12:31:59</t>
  </si>
  <si>
    <t>42.5</t>
  </si>
  <si>
    <t>51.5</t>
  </si>
  <si>
    <t>NBS18 3</t>
  </si>
  <si>
    <t>100</t>
  </si>
  <si>
    <t>12:46:29</t>
  </si>
  <si>
    <t>2025/02/05 12:46:29</t>
  </si>
  <si>
    <t>47.2</t>
  </si>
  <si>
    <t>NBS18 4</t>
  </si>
  <si>
    <t>101</t>
  </si>
  <si>
    <t>13:00:58</t>
  </si>
  <si>
    <t>2025/02/05 13:00:58</t>
  </si>
  <si>
    <t>52.7</t>
  </si>
  <si>
    <t>NBS19 1</t>
  </si>
  <si>
    <t>102</t>
  </si>
  <si>
    <t>Peak Center found at (61928);Inject Sample No 6</t>
  </si>
  <si>
    <t>13:15:27</t>
  </si>
  <si>
    <t>2025/02/05 13:15:27</t>
  </si>
  <si>
    <t>44.6</t>
  </si>
  <si>
    <t>NBS19 2</t>
  </si>
  <si>
    <t>103</t>
  </si>
  <si>
    <t>Peak Center found at (61928);Inject Sample No 7</t>
  </si>
  <si>
    <t>13:29:56</t>
  </si>
  <si>
    <t>2025/02/05 13:29:56</t>
  </si>
  <si>
    <t>NBS19 3</t>
  </si>
  <si>
    <t>104</t>
  </si>
  <si>
    <t>13:44:26</t>
  </si>
  <si>
    <t>2025/02/05 13:44:26</t>
  </si>
  <si>
    <t>43.4</t>
  </si>
  <si>
    <t>61.0</t>
  </si>
  <si>
    <t>NBS19 4</t>
  </si>
  <si>
    <t>105</t>
  </si>
  <si>
    <t>Peak Center found at (61928);Inject Sample No 9</t>
  </si>
  <si>
    <t>13:58:55</t>
  </si>
  <si>
    <t>2025/02/05 13:58:55</t>
  </si>
  <si>
    <t>51.4</t>
  </si>
  <si>
    <t>59.5</t>
  </si>
  <si>
    <t>UTM 34</t>
  </si>
  <si>
    <t>106</t>
  </si>
  <si>
    <t>14:13:24</t>
  </si>
  <si>
    <t>2025/02/05 14:13:24</t>
  </si>
  <si>
    <t>53.4</t>
  </si>
  <si>
    <t>UTM 18</t>
  </si>
  <si>
    <t>107</t>
  </si>
  <si>
    <t>Peak Center found at (61919);Inject Sample No 11</t>
  </si>
  <si>
    <t>14:27:53</t>
  </si>
  <si>
    <t>2025/02/05 14:27:53</t>
  </si>
  <si>
    <t>UTM 19</t>
  </si>
  <si>
    <t>108</t>
  </si>
  <si>
    <t>14:42:22</t>
  </si>
  <si>
    <t>2025/02/05 14:42:22</t>
  </si>
  <si>
    <t>59.1</t>
  </si>
  <si>
    <t>71.9</t>
  </si>
  <si>
    <t>C- 10A</t>
  </si>
  <si>
    <t>109</t>
  </si>
  <si>
    <t>Peak Center found at (61928);Inject Sample No 13</t>
  </si>
  <si>
    <t>14:56:52</t>
  </si>
  <si>
    <t>2025/02/05 14:56:52</t>
  </si>
  <si>
    <t>46.2</t>
  </si>
  <si>
    <t>C- 11A</t>
  </si>
  <si>
    <t>0.274</t>
  </si>
  <si>
    <t>110</t>
  </si>
  <si>
    <t>Peak Center found at (61919);Inject Sample No 14</t>
  </si>
  <si>
    <t>15:11:22</t>
  </si>
  <si>
    <t>2025/02/05 15:11:22</t>
  </si>
  <si>
    <t>49.8</t>
  </si>
  <si>
    <t>69.8</t>
  </si>
  <si>
    <t>C- 12A</t>
  </si>
  <si>
    <t>111</t>
  </si>
  <si>
    <t>Peak Center found at (61919);Inject Sample No 15</t>
  </si>
  <si>
    <t>15:25:52</t>
  </si>
  <si>
    <t>2025/02/05 15:25:52</t>
  </si>
  <si>
    <t>53.1</t>
  </si>
  <si>
    <t>61.3</t>
  </si>
  <si>
    <t>C- 13A</t>
  </si>
  <si>
    <t>112</t>
  </si>
  <si>
    <t>Peak Center found at (61919);Inject Sample No 16</t>
  </si>
  <si>
    <t>15:40:21</t>
  </si>
  <si>
    <t>2025/02/05 15:40:21</t>
  </si>
  <si>
    <t>69.3</t>
  </si>
  <si>
    <t>C- 14A</t>
  </si>
  <si>
    <t>113</t>
  </si>
  <si>
    <t>Peak Center found at (61928);Inject Sample No 17</t>
  </si>
  <si>
    <t>15:54:50</t>
  </si>
  <si>
    <t>2025/02/05 15:54:50</t>
  </si>
  <si>
    <t>C- 15A</t>
  </si>
  <si>
    <t>114</t>
  </si>
  <si>
    <t>Peak Center found at (61919);Inject Sample No 18</t>
  </si>
  <si>
    <t>16:09:19</t>
  </si>
  <si>
    <t>2025/02/05 16:09:19</t>
  </si>
  <si>
    <t>74.1</t>
  </si>
  <si>
    <t>C- 16A</t>
  </si>
  <si>
    <t>115</t>
  </si>
  <si>
    <t>Peak Center found at (61938);Inject Sample No 19</t>
  </si>
  <si>
    <t>16:23:49</t>
  </si>
  <si>
    <t>2025/02/05 16:23:49</t>
  </si>
  <si>
    <t>75.2</t>
  </si>
  <si>
    <t>C- 17A</t>
  </si>
  <si>
    <t>116</t>
  </si>
  <si>
    <t>Peak Center found at (61928);Inject Sample No 20</t>
  </si>
  <si>
    <t>16:38:18</t>
  </si>
  <si>
    <t>2025/02/05 16:38:18</t>
  </si>
  <si>
    <t>37.2</t>
  </si>
  <si>
    <t>45.3</t>
  </si>
  <si>
    <t>C- 18A</t>
  </si>
  <si>
    <t>117</t>
  </si>
  <si>
    <t>16:52:47</t>
  </si>
  <si>
    <t>2025/02/05 16:52:47</t>
  </si>
  <si>
    <t>81.3</t>
  </si>
  <si>
    <t>C- 19A</t>
  </si>
  <si>
    <t>118</t>
  </si>
  <si>
    <t>Peak Center found at (61928);Inject Sample No 22</t>
  </si>
  <si>
    <t>17:07:17</t>
  </si>
  <si>
    <t>2025/02/05 17:07:17</t>
  </si>
  <si>
    <t>43.1</t>
  </si>
  <si>
    <t>60.5</t>
  </si>
  <si>
    <t>UTM 20</t>
  </si>
  <si>
    <t>119</t>
  </si>
  <si>
    <t>17:21:47</t>
  </si>
  <si>
    <t>2025/02/05 17:21:47</t>
  </si>
  <si>
    <t>61.6</t>
  </si>
  <si>
    <t>UTM 21</t>
  </si>
  <si>
    <t>120</t>
  </si>
  <si>
    <t>17:36:16</t>
  </si>
  <si>
    <t>2025/02/05 17:36:16</t>
  </si>
  <si>
    <t>56.6</t>
  </si>
  <si>
    <t>C- 20A</t>
  </si>
  <si>
    <t>121</t>
  </si>
  <si>
    <t>17:50:48</t>
  </si>
  <si>
    <t>2025/02/05 17:50:48</t>
  </si>
  <si>
    <t>C- 21A</t>
  </si>
  <si>
    <t>0.314</t>
  </si>
  <si>
    <t>122</t>
  </si>
  <si>
    <t>Peak Center found at (61928);Inject Sample No 26</t>
  </si>
  <si>
    <t>18:05:18</t>
  </si>
  <si>
    <t>2025/02/05 18:05:18</t>
  </si>
  <si>
    <t>71.4</t>
  </si>
  <si>
    <t>C- 22A</t>
  </si>
  <si>
    <t>123</t>
  </si>
  <si>
    <t>Peak Center found at (61928);Inject Sample No 27</t>
  </si>
  <si>
    <t>18:19:47</t>
  </si>
  <si>
    <t>2025/02/05 18:19:47</t>
  </si>
  <si>
    <t>C- 23A</t>
  </si>
  <si>
    <t>0.302</t>
  </si>
  <si>
    <t>124</t>
  </si>
  <si>
    <t>Peak Center found at (61919);Inject Sample No 28</t>
  </si>
  <si>
    <t>18:34:17</t>
  </si>
  <si>
    <t>2025/02/05 18:34:17</t>
  </si>
  <si>
    <t>C- 24A</t>
  </si>
  <si>
    <t>125</t>
  </si>
  <si>
    <t>Peak Center found at (61919);Inject Sample No 29</t>
  </si>
  <si>
    <t>18:48:47</t>
  </si>
  <si>
    <t>2025/02/05 18:48:47</t>
  </si>
  <si>
    <t>51.8</t>
  </si>
  <si>
    <t>62.7</t>
  </si>
  <si>
    <t>D- 1A</t>
  </si>
  <si>
    <t>126</t>
  </si>
  <si>
    <t>19:03:16</t>
  </si>
  <si>
    <t>2025/02/05 19:03:16</t>
  </si>
  <si>
    <t>50.4</t>
  </si>
  <si>
    <t>70.8</t>
  </si>
  <si>
    <t>D- 2A</t>
  </si>
  <si>
    <t>127</t>
  </si>
  <si>
    <t>Peak Center found at (61928);Inject Sample No 31</t>
  </si>
  <si>
    <t>19:17:46</t>
  </si>
  <si>
    <t>2025/02/05 19:17:46</t>
  </si>
  <si>
    <t>52.5</t>
  </si>
  <si>
    <t>D- 3A</t>
  </si>
  <si>
    <t>128</t>
  </si>
  <si>
    <t>Peak Center found at (61928);Inject Sample No 32</t>
  </si>
  <si>
    <t>19:32:15</t>
  </si>
  <si>
    <t>2025/02/05 19:32:15</t>
  </si>
  <si>
    <t>D- 4A</t>
  </si>
  <si>
    <t>129</t>
  </si>
  <si>
    <t>Peak Center found at (61928);Inject Sample No 33</t>
  </si>
  <si>
    <t>19:46:45</t>
  </si>
  <si>
    <t>2025/02/05 19:46:45</t>
  </si>
  <si>
    <t>69.7</t>
  </si>
  <si>
    <t>80.7</t>
  </si>
  <si>
    <t>D- 5A</t>
  </si>
  <si>
    <t>130</t>
  </si>
  <si>
    <t>20:01:14</t>
  </si>
  <si>
    <t>2025/02/05 20:01:14</t>
  </si>
  <si>
    <t>79.9</t>
  </si>
  <si>
    <t>UTM 22</t>
  </si>
  <si>
    <t>131</t>
  </si>
  <si>
    <t>20:15:44</t>
  </si>
  <si>
    <t>2025/02/05 20:15:44</t>
  </si>
  <si>
    <t>UTM 23</t>
  </si>
  <si>
    <t>132</t>
  </si>
  <si>
    <t>Peak Center found at (61919);Inject Sample No 36</t>
  </si>
  <si>
    <t>20:30:14</t>
  </si>
  <si>
    <t>2025/02/05 20:30:14</t>
  </si>
  <si>
    <t>40.6</t>
  </si>
  <si>
    <t>D- 6A</t>
  </si>
  <si>
    <t>133</t>
  </si>
  <si>
    <t>Peak Center found at (61928);Inject Sample No 37</t>
  </si>
  <si>
    <t>20:44:44</t>
  </si>
  <si>
    <t>2025/02/05 20:44:44</t>
  </si>
  <si>
    <t>62.9</t>
  </si>
  <si>
    <t>72.8</t>
  </si>
  <si>
    <t>D- 7A</t>
  </si>
  <si>
    <t>134</t>
  </si>
  <si>
    <t>20:59:13</t>
  </si>
  <si>
    <t>2025/02/05 20:59:13</t>
  </si>
  <si>
    <t>D- 8A</t>
  </si>
  <si>
    <t>135</t>
  </si>
  <si>
    <t>21:13:43</t>
  </si>
  <si>
    <t>2025/02/05 21:13:43</t>
  </si>
  <si>
    <t>57.4</t>
  </si>
  <si>
    <t>D- 9A</t>
  </si>
  <si>
    <t>136</t>
  </si>
  <si>
    <t>21:28:12</t>
  </si>
  <si>
    <t>2025/02/05 21:28:12</t>
  </si>
  <si>
    <t>67.4</t>
  </si>
  <si>
    <t>78.1</t>
  </si>
  <si>
    <t>D- 10A</t>
  </si>
  <si>
    <t>137</t>
  </si>
  <si>
    <t>21:42:42</t>
  </si>
  <si>
    <t>2025/02/05 21:42:42</t>
  </si>
  <si>
    <t>D- 11A</t>
  </si>
  <si>
    <t>138</t>
  </si>
  <si>
    <t>Peak Center found at (61928);Inject Sample No 42</t>
  </si>
  <si>
    <t>21:57:12</t>
  </si>
  <si>
    <t>2025/02/05 21:57:12</t>
  </si>
  <si>
    <t>D- 12A</t>
  </si>
  <si>
    <t>139</t>
  </si>
  <si>
    <t>22:11:41</t>
  </si>
  <si>
    <t>2025/02/05 22:11:41</t>
  </si>
  <si>
    <t>41.0</t>
  </si>
  <si>
    <t>D- 13A</t>
  </si>
  <si>
    <t>140</t>
  </si>
  <si>
    <t>Peak Center found at (61919);Inject Sample No 44</t>
  </si>
  <si>
    <t>22:26:11</t>
  </si>
  <si>
    <t>2025/02/05 22:26:11</t>
  </si>
  <si>
    <t>D- 14A</t>
  </si>
  <si>
    <t>141</t>
  </si>
  <si>
    <t>Peak Center found at (61919);Inject Sample No 45</t>
  </si>
  <si>
    <t>22:40:41</t>
  </si>
  <si>
    <t>2025/02/05 22:40:41</t>
  </si>
  <si>
    <t>41.2</t>
  </si>
  <si>
    <t>D- 15A</t>
  </si>
  <si>
    <t>142</t>
  </si>
  <si>
    <t>22:55:11</t>
  </si>
  <si>
    <t>2025/02/05 22:55:11</t>
  </si>
  <si>
    <t>42.3</t>
  </si>
  <si>
    <t>UTM 24</t>
  </si>
  <si>
    <t>143</t>
  </si>
  <si>
    <t>Peak Center found at (61928);Inject Sample No 47</t>
  </si>
  <si>
    <t>23:09:40</t>
  </si>
  <si>
    <t>2025/02/05 23:09:40</t>
  </si>
  <si>
    <t>49.7</t>
  </si>
  <si>
    <t>UTM 25</t>
  </si>
  <si>
    <t>144</t>
  </si>
  <si>
    <t>23:24:10</t>
  </si>
  <si>
    <t>2025/02/05 23:24:10</t>
  </si>
  <si>
    <t>46.9</t>
  </si>
  <si>
    <t>66.0</t>
  </si>
  <si>
    <t>D- 16A</t>
  </si>
  <si>
    <t>145</t>
  </si>
  <si>
    <t>23:38:40</t>
  </si>
  <si>
    <t>2025/02/05 23:38:40</t>
  </si>
  <si>
    <t>60.0</t>
  </si>
  <si>
    <t>D- 17A</t>
  </si>
  <si>
    <t>146</t>
  </si>
  <si>
    <t>Peak Center found at (61919);Inject Sample No 50</t>
  </si>
  <si>
    <t>23:53:10</t>
  </si>
  <si>
    <t>2025/02/05 23:53:10</t>
  </si>
  <si>
    <t>D- 18A</t>
  </si>
  <si>
    <t>147</t>
  </si>
  <si>
    <t>Peak Center found at (61928);Inject Sample No 51</t>
  </si>
  <si>
    <t>02/06/25</t>
  </si>
  <si>
    <t>00:07:40</t>
  </si>
  <si>
    <t>2025/02/06 00:07:40</t>
  </si>
  <si>
    <t>40.3</t>
  </si>
  <si>
    <t>D- 19A</t>
  </si>
  <si>
    <t>148</t>
  </si>
  <si>
    <t>00:22:10</t>
  </si>
  <si>
    <t>2025/02/06 00:22:10</t>
  </si>
  <si>
    <t>58.3</t>
  </si>
  <si>
    <t>67.6</t>
  </si>
  <si>
    <t>D- 20A</t>
  </si>
  <si>
    <t>149</t>
  </si>
  <si>
    <t>Peak Center found at (61928);Inject Sample No 53</t>
  </si>
  <si>
    <t>00:36:40</t>
  </si>
  <si>
    <t>2025/02/06 00:36:40</t>
  </si>
  <si>
    <t>D- 21A</t>
  </si>
  <si>
    <t>150</t>
  </si>
  <si>
    <t>00:51:10</t>
  </si>
  <si>
    <t>2025/02/06 00:51:10</t>
  </si>
  <si>
    <t>D- 22A</t>
  </si>
  <si>
    <t>151</t>
  </si>
  <si>
    <t>Peak Center found at (61919);Inject Sample No 55</t>
  </si>
  <si>
    <t>01:05:40</t>
  </si>
  <si>
    <t>2025/02/06 01:05:40</t>
  </si>
  <si>
    <t>D- 23A</t>
  </si>
  <si>
    <t>152</t>
  </si>
  <si>
    <t>01:20:10</t>
  </si>
  <si>
    <t>2025/02/06 01:20:10</t>
  </si>
  <si>
    <t>D- 24A</t>
  </si>
  <si>
    <t>153</t>
  </si>
  <si>
    <t>01:34:40</t>
  </si>
  <si>
    <t>2025/02/06 01:34:40</t>
  </si>
  <si>
    <t>E- 1A</t>
  </si>
  <si>
    <t>154</t>
  </si>
  <si>
    <t>01:49:10</t>
  </si>
  <si>
    <t>2025/02/06 01:49:10</t>
  </si>
  <si>
    <t>UTM 26</t>
  </si>
  <si>
    <t>0.22</t>
  </si>
  <si>
    <t>155</t>
  </si>
  <si>
    <t>02:03:41</t>
  </si>
  <si>
    <t>2025/02/06 02:03:41</t>
  </si>
  <si>
    <t>39.8</t>
  </si>
  <si>
    <t>UTM 27</t>
  </si>
  <si>
    <t>156</t>
  </si>
  <si>
    <t>02:18:11</t>
  </si>
  <si>
    <t>2025/02/06 02:18:11</t>
  </si>
  <si>
    <t>61.4</t>
  </si>
  <si>
    <t>E- 2A</t>
  </si>
  <si>
    <t>157</t>
  </si>
  <si>
    <t>2025/02/06 02:32:41</t>
  </si>
  <si>
    <t>E- 3A</t>
  </si>
  <si>
    <t>158</t>
  </si>
  <si>
    <t>2025/02/06 02:47:11</t>
  </si>
  <si>
    <t>E- 4A</t>
  </si>
  <si>
    <t>159</t>
  </si>
  <si>
    <t>03:01:41</t>
  </si>
  <si>
    <t>2025/02/06 03:01:41</t>
  </si>
  <si>
    <t>E- 5A</t>
  </si>
  <si>
    <t>160</t>
  </si>
  <si>
    <t>Peak Center found at (61938);Inject Sample No 64</t>
  </si>
  <si>
    <t>03:16:11</t>
  </si>
  <si>
    <t>2025/02/06 03:16:11</t>
  </si>
  <si>
    <t>55.5</t>
  </si>
  <si>
    <t>E- 6A</t>
  </si>
  <si>
    <t>161</t>
  </si>
  <si>
    <t>03:30:42</t>
  </si>
  <si>
    <t>2025/02/06 03:30:42</t>
  </si>
  <si>
    <t>E- 7A</t>
  </si>
  <si>
    <t>0.23</t>
  </si>
  <si>
    <t>162</t>
  </si>
  <si>
    <t>03:45:12</t>
  </si>
  <si>
    <t>2025/02/06 03:45:12</t>
  </si>
  <si>
    <t>E- 8A</t>
  </si>
  <si>
    <t>163</t>
  </si>
  <si>
    <t>Peak Center found at (61928);Inject Sample No 67</t>
  </si>
  <si>
    <t>03:59:42</t>
  </si>
  <si>
    <t>2025/02/06 03:59:42</t>
  </si>
  <si>
    <t>E- 9A</t>
  </si>
  <si>
    <t>164</t>
  </si>
  <si>
    <t>Peak Center found at (61919);Inject Sample No 68</t>
  </si>
  <si>
    <t>04:14:13</t>
  </si>
  <si>
    <t>2025/02/06 04:14:13</t>
  </si>
  <si>
    <t>E- 10A</t>
  </si>
  <si>
    <t>165</t>
  </si>
  <si>
    <t>04:28:43</t>
  </si>
  <si>
    <t>2025/02/06 04:28:43</t>
  </si>
  <si>
    <t>59.4</t>
  </si>
  <si>
    <t>E- 11A</t>
  </si>
  <si>
    <t>166</t>
  </si>
  <si>
    <t>Peak Center found at (61928);Inject Sample No 70</t>
  </si>
  <si>
    <t>04:43:13</t>
  </si>
  <si>
    <t>2025/02/06 04:43:13</t>
  </si>
  <si>
    <t>UTM 28</t>
  </si>
  <si>
    <t>167</t>
  </si>
  <si>
    <t>Peak Center found at (61928);Inject Sample No 71</t>
  </si>
  <si>
    <t>04:57:43</t>
  </si>
  <si>
    <t>2025/02/06 04:57:43</t>
  </si>
  <si>
    <t>UTM 29</t>
  </si>
  <si>
    <t>168</t>
  </si>
  <si>
    <t>Peak Center found at (61928);Inject Sample No 72</t>
  </si>
  <si>
    <t>05:12:13</t>
  </si>
  <si>
    <t>2025/02/06 05:12:13</t>
  </si>
  <si>
    <t>E- 12A</t>
  </si>
  <si>
    <t>0.242</t>
  </si>
  <si>
    <t>169</t>
  </si>
  <si>
    <t>05:26:43</t>
  </si>
  <si>
    <t>2025/02/06 05:26:43</t>
  </si>
  <si>
    <t>38.7</t>
  </si>
  <si>
    <t>E- 13A</t>
  </si>
  <si>
    <t>170</t>
  </si>
  <si>
    <t>Peak Center found at (61919);Inject Sample No 74</t>
  </si>
  <si>
    <t>05:41:14</t>
  </si>
  <si>
    <t>2025/02/06 05:41:14</t>
  </si>
  <si>
    <t>E- 14A</t>
  </si>
  <si>
    <t>171</t>
  </si>
  <si>
    <t>05:55:44</t>
  </si>
  <si>
    <t>2025/02/06 05:55:44</t>
  </si>
  <si>
    <t>E- 15A</t>
  </si>
  <si>
    <t>172</t>
  </si>
  <si>
    <t>06:10:15</t>
  </si>
  <si>
    <t>2025/02/06 06:10:15</t>
  </si>
  <si>
    <t>E- 16A</t>
  </si>
  <si>
    <t>173</t>
  </si>
  <si>
    <t>Peak Center found at (61928);Inject Sample No 77</t>
  </si>
  <si>
    <t>06:24:45</t>
  </si>
  <si>
    <t>2025/02/06 06:24:45</t>
  </si>
  <si>
    <t>E- 17A</t>
  </si>
  <si>
    <t>174</t>
  </si>
  <si>
    <t>Peak Center found at (61919);Inject Sample No 78</t>
  </si>
  <si>
    <t>06:39:16</t>
  </si>
  <si>
    <t>2025/02/06 06:39:16</t>
  </si>
  <si>
    <t>E- 18A</t>
  </si>
  <si>
    <t>0.24</t>
  </si>
  <si>
    <t>175</t>
  </si>
  <si>
    <t>06:53:46</t>
  </si>
  <si>
    <t>2025/02/06 06:53:46</t>
  </si>
  <si>
    <t>E- 19A</t>
  </si>
  <si>
    <t>176</t>
  </si>
  <si>
    <t>07:08:17</t>
  </si>
  <si>
    <t>2025/02/06 07:08:17</t>
  </si>
  <si>
    <t>E- 20A</t>
  </si>
  <si>
    <t>177</t>
  </si>
  <si>
    <t>Peak Center found at (61928);Inject Sample No 81</t>
  </si>
  <si>
    <t>07:22:47</t>
  </si>
  <si>
    <t>2025/02/06 07:22:47</t>
  </si>
  <si>
    <t>E- 21A</t>
  </si>
  <si>
    <t>178</t>
  </si>
  <si>
    <t>07:37:18</t>
  </si>
  <si>
    <t>2025/02/06 07:37:18</t>
  </si>
  <si>
    <t>UTM 30</t>
  </si>
  <si>
    <t>179</t>
  </si>
  <si>
    <t>Peak Center found at (61938);Inject Sample No 83</t>
  </si>
  <si>
    <t>07:51:48</t>
  </si>
  <si>
    <t>2025/02/06 07:51:48</t>
  </si>
  <si>
    <t>28.4</t>
  </si>
  <si>
    <t>UTM 31</t>
  </si>
  <si>
    <t>180</t>
  </si>
  <si>
    <t>Peak Center found at (61919);Inject Sample No 84</t>
  </si>
  <si>
    <t>08:06:19</t>
  </si>
  <si>
    <t>2025/02/06 08:06:19</t>
  </si>
  <si>
    <t>E- 22A</t>
  </si>
  <si>
    <t>181</t>
  </si>
  <si>
    <t>Peak Center found at (61919);Inject Sample No 85</t>
  </si>
  <si>
    <t>08:20:50</t>
  </si>
  <si>
    <t>2025/02/06 08:20:50</t>
  </si>
  <si>
    <t>E- 23A</t>
  </si>
  <si>
    <t>182</t>
  </si>
  <si>
    <t>08:35:20</t>
  </si>
  <si>
    <t>2025/02/06 08:35:20</t>
  </si>
  <si>
    <t>45.8</t>
  </si>
  <si>
    <t>E- 24A</t>
  </si>
  <si>
    <t>183</t>
  </si>
  <si>
    <t>08:49:51</t>
  </si>
  <si>
    <t>2025/02/06 08:49:51</t>
  </si>
  <si>
    <t>E- 25A</t>
  </si>
  <si>
    <t>184</t>
  </si>
  <si>
    <t>Peak Center found at (61938);Inject Sample No 88</t>
  </si>
  <si>
    <t>09:04:22</t>
  </si>
  <si>
    <t>2025/02/06 09:04:22</t>
  </si>
  <si>
    <t>67.8</t>
  </si>
  <si>
    <t>E- 26A</t>
  </si>
  <si>
    <t>185</t>
  </si>
  <si>
    <t>Peak Center found at (61919);Inject Sample No 89</t>
  </si>
  <si>
    <t>09:18:53</t>
  </si>
  <si>
    <t>2025/02/06 09:18:53</t>
  </si>
  <si>
    <t>39.9</t>
  </si>
  <si>
    <t>E- 27A</t>
  </si>
  <si>
    <t>186</t>
  </si>
  <si>
    <t>Peak Center found at (61919);Inject Sample No 90</t>
  </si>
  <si>
    <t>09:33:23</t>
  </si>
  <si>
    <t>2025/02/06 09:33:23</t>
  </si>
  <si>
    <t>E- 28A</t>
  </si>
  <si>
    <t>187</t>
  </si>
  <si>
    <t>Peak Center found at (61928);Inject Sample No 91</t>
  </si>
  <si>
    <t>09:47:54</t>
  </si>
  <si>
    <t>2025/02/06 09:47:54</t>
  </si>
  <si>
    <t>58.5</t>
  </si>
  <si>
    <t>E- 29A</t>
  </si>
  <si>
    <t>0.2</t>
  </si>
  <si>
    <t>188</t>
  </si>
  <si>
    <t>10:02:25</t>
  </si>
  <si>
    <t>2025/02/06 10:02:25</t>
  </si>
  <si>
    <t>40.5</t>
  </si>
  <si>
    <t>E- 30A</t>
  </si>
  <si>
    <t>189</t>
  </si>
  <si>
    <t>10:16:55</t>
  </si>
  <si>
    <t>2025/02/06 10:16:55</t>
  </si>
  <si>
    <t>37.6</t>
  </si>
  <si>
    <t>E- 31A</t>
  </si>
  <si>
    <t>190</t>
  </si>
  <si>
    <t>10:31:26</t>
  </si>
  <si>
    <t>2025/02/06 10:31:26</t>
  </si>
  <si>
    <t>UTM 32</t>
  </si>
  <si>
    <t>0.338</t>
  </si>
  <si>
    <t>191</t>
  </si>
  <si>
    <t>10:45:57</t>
  </si>
  <si>
    <t>2025/02/06 10:45:57</t>
  </si>
  <si>
    <t>UTM 33</t>
  </si>
  <si>
    <t>192</t>
  </si>
  <si>
    <t>11:00:28</t>
  </si>
  <si>
    <t>2025/02/06 11:00:28</t>
  </si>
  <si>
    <t>E- 32A</t>
  </si>
  <si>
    <t>193</t>
  </si>
  <si>
    <t>11:14:58</t>
  </si>
  <si>
    <t>2025/02/06 11:14:58</t>
  </si>
  <si>
    <t xml:space="preserve">C amp </t>
  </si>
  <si>
    <t>O drift</t>
  </si>
  <si>
    <t>O amp</t>
  </si>
  <si>
    <t>Ave corrected UTM all measurments</t>
  </si>
  <si>
    <t>N =</t>
  </si>
  <si>
    <t xml:space="preserve">Ave corrected UTM all measurments </t>
  </si>
  <si>
    <t>B-20A</t>
  </si>
  <si>
    <t>Must not have been acidified, no CO2 peak, will rerun</t>
  </si>
  <si>
    <t>Septa cap did not close correctly, air got into 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</si>
</sst>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"/>
    <numFmt numFmtId="166" formatCode="0.000000"/>
    <numFmt numFmtId="167" formatCode="\+0.0;\-0.0;0.0"/>
    <numFmt numFmtId="168" formatCode="\+0.00;\-0.00;0.00"/>
  </numFmts>
  <fonts count="46" x14ac:knownFonts="1">
    <font>
      <sz val="11"/>
      <color theme="1"/>
      <name val="Calibri"/>
      <family val="2"/>
      <scheme val="minor"/>
    </font>
    <font>
      <b/>
      <sz val="13"/>
      <name val="MS Sans Serif"/>
    </font>
    <font>
      <sz val="10"/>
      <color theme="1"/>
      <name val="Calibri Light"/>
      <family val="2"/>
    </font>
    <font>
      <sz val="11"/>
      <name val="MS Sans Serif"/>
    </font>
    <font>
      <sz val="13"/>
      <name val="Arial"/>
      <family val="2"/>
    </font>
    <font>
      <sz val="11"/>
      <name val="Calibri"/>
      <family val="2"/>
      <scheme val="minor"/>
    </font>
    <font>
      <sz val="10"/>
      <name val="MS Sans Serif"/>
    </font>
    <font>
      <i/>
      <strike/>
      <sz val="11"/>
      <color rgb="FFFF0000"/>
      <name val="Calibri"/>
      <family val="2"/>
      <scheme val="minor"/>
    </font>
    <font>
      <strike/>
      <sz val="10"/>
      <color rgb="FFFF0000"/>
      <name val="Calibri Light"/>
      <family val="2"/>
    </font>
    <font>
      <strike/>
      <sz val="13"/>
      <color rgb="FFFF0000"/>
      <name val="Calibri Light"/>
      <family val="2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0"/>
      <name val="Calibri Light"/>
      <family val="2"/>
    </font>
    <font>
      <b/>
      <sz val="12"/>
      <name val="MS Sans Serif"/>
    </font>
    <font>
      <i/>
      <sz val="13"/>
      <name val="Arial"/>
      <family val="2"/>
    </font>
    <font>
      <sz val="13"/>
      <name val="Calibri Light"/>
      <family val="2"/>
    </font>
    <font>
      <i/>
      <sz val="13"/>
      <name val="Calibri Light"/>
      <family val="2"/>
    </font>
    <font>
      <strike/>
      <sz val="10"/>
      <color rgb="FFFF0000"/>
      <name val="MS Sans Serif"/>
    </font>
    <font>
      <strike/>
      <sz val="13"/>
      <color rgb="FFFF0000"/>
      <name val="Arial"/>
      <family val="2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3"/>
      <color theme="1"/>
      <name val="Times New Roman"/>
      <family val="1"/>
    </font>
    <font>
      <vertAlign val="superscript"/>
      <sz val="13"/>
      <color theme="1"/>
      <name val="Times New Roman"/>
      <family val="1"/>
    </font>
    <font>
      <i/>
      <sz val="10"/>
      <name val="Calibri Light"/>
      <family val="2"/>
    </font>
    <font>
      <sz val="12"/>
      <name val="Times New Roman"/>
      <family val="1"/>
    </font>
    <font>
      <sz val="11"/>
      <color rgb="FFFF0000"/>
      <name val="Calibri"/>
      <family val="2"/>
      <scheme val="minor"/>
    </font>
    <font>
      <u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i/>
      <sz val="13"/>
      <color theme="1"/>
      <name val="Calibri Light"/>
      <family val="2"/>
    </font>
    <font>
      <sz val="10"/>
      <color theme="1"/>
      <name val="MS Sans Serif"/>
    </font>
    <font>
      <sz val="13"/>
      <color theme="1"/>
      <name val="Arial"/>
      <family val="2"/>
    </font>
    <font>
      <sz val="10"/>
      <color theme="1"/>
      <name val="Times New Roman"/>
      <family val="1"/>
    </font>
    <font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MS Sans Serif"/>
      <family val="2"/>
    </font>
    <font>
      <b/>
      <sz val="11"/>
      <name val="Calibri"/>
      <family val="2"/>
      <scheme val="minor"/>
    </font>
    <font>
      <sz val="16"/>
      <name val="Times New Roman"/>
      <family val="1"/>
    </font>
    <font>
      <strike/>
      <sz val="12"/>
      <color rgb="FFFF0000"/>
      <name val="Times New Roman"/>
      <family val="1"/>
    </font>
    <font>
      <strike/>
      <sz val="11"/>
      <color rgb="FFFF0000"/>
      <name val="Times New Roman"/>
      <family val="1"/>
    </font>
    <font>
      <strike/>
      <sz val="10"/>
      <color rgb="FFFF0000"/>
      <name val="Times New Roman"/>
      <family val="1"/>
    </font>
    <font>
      <b/>
      <strike/>
      <sz val="14"/>
      <color rgb="FFFF0000"/>
      <name val="Times New Roman"/>
      <family val="1"/>
    </font>
    <font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230">
    <xf numFmtId="0" fontId="0" fillId="0" borderId="0" xfId="0"/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4" fillId="0" borderId="11" xfId="0" applyNumberFormat="1" applyFont="1" applyFill="1" applyBorder="1" applyAlignment="1">
      <alignment horizontal="center" vertical="center"/>
    </xf>
    <xf numFmtId="2" fontId="4" fillId="0" borderId="3" xfId="0" applyNumberFormat="1" applyFont="1" applyFill="1" applyBorder="1" applyAlignment="1">
      <alignment horizontal="center" vertical="center"/>
    </xf>
    <xf numFmtId="0" fontId="8" fillId="0" borderId="0" xfId="0" quotePrefix="1" applyFont="1" applyFill="1" applyAlignment="1">
      <alignment horizontal="center" vertical="center"/>
    </xf>
    <xf numFmtId="2" fontId="8" fillId="0" borderId="0" xfId="0" quotePrefix="1" applyNumberFormat="1" applyFont="1" applyFill="1" applyAlignment="1">
      <alignment horizontal="center" vertical="center"/>
    </xf>
    <xf numFmtId="1" fontId="8" fillId="0" borderId="0" xfId="0" quotePrefix="1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2" fontId="8" fillId="0" borderId="0" xfId="0" applyNumberFormat="1" applyFont="1" applyFill="1" applyAlignment="1">
      <alignment horizontal="center" vertical="center"/>
    </xf>
    <xf numFmtId="0" fontId="12" fillId="0" borderId="0" xfId="0" quotePrefix="1" applyFont="1" applyFill="1" applyAlignment="1">
      <alignment horizontal="center" vertical="center"/>
    </xf>
    <xf numFmtId="1" fontId="12" fillId="0" borderId="0" xfId="0" quotePrefix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2" fontId="12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2" fontId="12" fillId="0" borderId="0" xfId="0" quotePrefix="1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2" fontId="14" fillId="0" borderId="11" xfId="0" applyNumberFormat="1" applyFont="1" applyFill="1" applyBorder="1" applyAlignment="1">
      <alignment horizontal="center" vertical="center"/>
    </xf>
    <xf numFmtId="2" fontId="14" fillId="0" borderId="3" xfId="0" applyNumberFormat="1" applyFont="1" applyFill="1" applyBorder="1" applyAlignment="1">
      <alignment horizontal="center" vertical="center"/>
    </xf>
    <xf numFmtId="2" fontId="15" fillId="0" borderId="11" xfId="0" applyNumberFormat="1" applyFont="1" applyFill="1" applyBorder="1" applyAlignment="1">
      <alignment horizontal="center" vertical="center"/>
    </xf>
    <xf numFmtId="2" fontId="15" fillId="0" borderId="3" xfId="0" applyNumberFormat="1" applyFont="1" applyFill="1" applyBorder="1" applyAlignment="1">
      <alignment horizontal="center" vertical="center"/>
    </xf>
    <xf numFmtId="2" fontId="16" fillId="0" borderId="11" xfId="0" applyNumberFormat="1" applyFont="1" applyFill="1" applyBorder="1" applyAlignment="1">
      <alignment horizontal="center" vertical="center"/>
    </xf>
    <xf numFmtId="2" fontId="16" fillId="0" borderId="3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0" fontId="2" fillId="0" borderId="0" xfId="0" quotePrefix="1" applyFont="1" applyFill="1" applyAlignment="1">
      <alignment horizontal="center" vertical="center"/>
    </xf>
    <xf numFmtId="2" fontId="9" fillId="0" borderId="11" xfId="0" applyNumberFormat="1" applyFont="1" applyFill="1" applyBorder="1" applyAlignment="1">
      <alignment horizontal="center" vertical="center"/>
    </xf>
    <xf numFmtId="2" fontId="9" fillId="0" borderId="3" xfId="0" applyNumberFormat="1" applyFont="1" applyFill="1" applyBorder="1" applyAlignment="1">
      <alignment horizontal="center" vertical="center"/>
    </xf>
    <xf numFmtId="0" fontId="23" fillId="0" borderId="0" xfId="0" quotePrefix="1" applyFont="1" applyFill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" fontId="12" fillId="0" borderId="0" xfId="0" applyNumberFormat="1" applyFont="1" applyFill="1" applyAlignment="1">
      <alignment horizontal="center" vertical="center"/>
    </xf>
    <xf numFmtId="1" fontId="0" fillId="0" borderId="0" xfId="0" quotePrefix="1" applyNumberFormat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24" fillId="0" borderId="0" xfId="0" applyNumberFormat="1" applyFont="1" applyFill="1" applyAlignment="1">
      <alignment horizontal="center" vertical="center"/>
    </xf>
    <xf numFmtId="0" fontId="28" fillId="0" borderId="0" xfId="0" quotePrefix="1" applyFont="1" applyFill="1" applyBorder="1" applyAlignment="1">
      <alignment horizontal="center" vertical="center"/>
    </xf>
    <xf numFmtId="1" fontId="28" fillId="0" borderId="0" xfId="0" quotePrefix="1" applyNumberFormat="1" applyFont="1" applyFill="1" applyBorder="1" applyAlignment="1">
      <alignment horizontal="center" vertical="center"/>
    </xf>
    <xf numFmtId="2" fontId="18" fillId="0" borderId="11" xfId="0" applyNumberFormat="1" applyFont="1" applyFill="1" applyBorder="1" applyAlignment="1">
      <alignment horizontal="center" vertical="center"/>
    </xf>
    <xf numFmtId="2" fontId="18" fillId="0" borderId="3" xfId="0" applyNumberFormat="1" applyFont="1" applyFill="1" applyBorder="1" applyAlignment="1">
      <alignment horizontal="center" vertical="center"/>
    </xf>
    <xf numFmtId="1" fontId="2" fillId="0" borderId="0" xfId="0" quotePrefix="1" applyNumberFormat="1" applyFont="1" applyFill="1" applyAlignment="1">
      <alignment horizontal="center" vertical="center"/>
    </xf>
    <xf numFmtId="1" fontId="12" fillId="2" borderId="0" xfId="0" quotePrefix="1" applyNumberFormat="1" applyFont="1" applyFill="1" applyAlignment="1">
      <alignment horizontal="center" vertical="center"/>
    </xf>
    <xf numFmtId="0" fontId="12" fillId="2" borderId="0" xfId="0" quotePrefix="1" applyFont="1" applyFill="1" applyAlignment="1">
      <alignment horizontal="center" vertical="center"/>
    </xf>
    <xf numFmtId="2" fontId="12" fillId="2" borderId="0" xfId="0" quotePrefix="1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2" fontId="12" fillId="2" borderId="0" xfId="0" applyNumberFormat="1" applyFont="1" applyFill="1" applyAlignment="1">
      <alignment horizontal="center" vertical="center"/>
    </xf>
    <xf numFmtId="2" fontId="4" fillId="2" borderId="11" xfId="0" applyNumberFormat="1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2" fontId="2" fillId="0" borderId="0" xfId="0" quotePrefix="1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1" fontId="12" fillId="3" borderId="0" xfId="0" quotePrefix="1" applyNumberFormat="1" applyFont="1" applyFill="1" applyAlignment="1">
      <alignment horizontal="center" vertical="center"/>
    </xf>
    <xf numFmtId="0" fontId="12" fillId="3" borderId="0" xfId="0" quotePrefix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2" fontId="12" fillId="3" borderId="0" xfId="0" quotePrefix="1" applyNumberFormat="1" applyFont="1" applyFill="1" applyAlignment="1">
      <alignment horizontal="center" vertical="center"/>
    </xf>
    <xf numFmtId="2" fontId="4" fillId="3" borderId="11" xfId="0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1" fontId="12" fillId="3" borderId="0" xfId="0" applyNumberFormat="1" applyFont="1" applyFill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1" fontId="12" fillId="4" borderId="0" xfId="0" quotePrefix="1" applyNumberFormat="1" applyFont="1" applyFill="1" applyAlignment="1">
      <alignment horizontal="center" vertical="center"/>
    </xf>
    <xf numFmtId="0" fontId="12" fillId="4" borderId="0" xfId="0" quotePrefix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2" fontId="12" fillId="4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2" fontId="12" fillId="4" borderId="0" xfId="0" quotePrefix="1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2" fontId="14" fillId="4" borderId="11" xfId="0" applyNumberFormat="1" applyFont="1" applyFill="1" applyBorder="1" applyAlignment="1">
      <alignment horizontal="center" vertical="center"/>
    </xf>
    <xf numFmtId="2" fontId="14" fillId="4" borderId="3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2" fontId="6" fillId="3" borderId="0" xfId="0" applyNumberFormat="1" applyFont="1" applyFill="1" applyAlignment="1">
      <alignment horizontal="center" vertical="center"/>
    </xf>
    <xf numFmtId="2" fontId="6" fillId="4" borderId="0" xfId="0" applyNumberFormat="1" applyFont="1" applyFill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2" fontId="6" fillId="0" borderId="0" xfId="0" applyNumberFormat="1" applyFont="1" applyFill="1" applyAlignment="1">
      <alignment horizontal="center" vertical="center"/>
    </xf>
    <xf numFmtId="2" fontId="17" fillId="0" borderId="0" xfId="0" applyNumberFormat="1" applyFont="1" applyFill="1" applyAlignment="1">
      <alignment horizontal="center" vertical="center"/>
    </xf>
    <xf numFmtId="167" fontId="20" fillId="0" borderId="0" xfId="0" applyNumberFormat="1" applyFont="1" applyFill="1" applyBorder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167" fontId="29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168" fontId="3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5" fontId="31" fillId="0" borderId="0" xfId="0" applyNumberFormat="1" applyFont="1" applyFill="1" applyAlignment="1">
      <alignment horizontal="center" vertical="center"/>
    </xf>
    <xf numFmtId="165" fontId="31" fillId="0" borderId="0" xfId="0" applyNumberFormat="1" applyFont="1" applyFill="1" applyAlignment="1">
      <alignment horizontal="center" vertical="center" wrapText="1"/>
    </xf>
    <xf numFmtId="2" fontId="31" fillId="0" borderId="0" xfId="0" applyNumberFormat="1" applyFont="1" applyFill="1" applyAlignment="1">
      <alignment horizontal="center" vertical="center"/>
    </xf>
    <xf numFmtId="1" fontId="12" fillId="0" borderId="0" xfId="0" quotePrefix="1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2" fontId="12" fillId="0" borderId="0" xfId="0" applyNumberFormat="1" applyFont="1" applyFill="1" applyBorder="1" applyAlignment="1">
      <alignment horizontal="center" vertical="center"/>
    </xf>
    <xf numFmtId="1" fontId="2" fillId="2" borderId="0" xfId="0" quotePrefix="1" applyNumberFormat="1" applyFont="1" applyFill="1" applyAlignment="1">
      <alignment horizontal="center" vertical="center"/>
    </xf>
    <xf numFmtId="0" fontId="2" fillId="2" borderId="0" xfId="0" quotePrefix="1" applyFont="1" applyFill="1" applyAlignment="1">
      <alignment horizontal="center" vertical="center"/>
    </xf>
    <xf numFmtId="2" fontId="2" fillId="2" borderId="0" xfId="0" quotePrefix="1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2" fontId="32" fillId="2" borderId="11" xfId="0" applyNumberFormat="1" applyFont="1" applyFill="1" applyBorder="1" applyAlignment="1">
      <alignment horizontal="center" vertical="center"/>
    </xf>
    <xf numFmtId="2" fontId="32" fillId="2" borderId="3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5" fillId="0" borderId="0" xfId="0" quotePrefix="1" applyFont="1" applyFill="1" applyBorder="1" applyAlignment="1">
      <alignment horizontal="center" vertical="center"/>
    </xf>
    <xf numFmtId="1" fontId="35" fillId="0" borderId="0" xfId="0" quotePrefix="1" applyNumberFormat="1" applyFont="1" applyFill="1" applyBorder="1" applyAlignment="1">
      <alignment horizontal="center" vertical="center"/>
    </xf>
    <xf numFmtId="167" fontId="19" fillId="0" borderId="0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26" fillId="0" borderId="0" xfId="0" quotePrefix="1" applyFont="1" applyBorder="1" applyAlignment="1">
      <alignment horizontal="center" vertical="center"/>
    </xf>
    <xf numFmtId="2" fontId="26" fillId="0" borderId="0" xfId="0" quotePrefix="1" applyNumberFormat="1" applyFont="1" applyBorder="1" applyAlignment="1">
      <alignment horizontal="center" vertical="center"/>
    </xf>
    <xf numFmtId="1" fontId="26" fillId="0" borderId="0" xfId="0" quotePrefix="1" applyNumberFormat="1" applyFont="1" applyBorder="1" applyAlignment="1">
      <alignment horizontal="center" vertical="center"/>
    </xf>
    <xf numFmtId="167" fontId="19" fillId="0" borderId="16" xfId="0" applyNumberFormat="1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5" fillId="0" borderId="16" xfId="0" quotePrefix="1" applyFont="1" applyFill="1" applyBorder="1" applyAlignment="1">
      <alignment horizontal="center" vertical="center"/>
    </xf>
    <xf numFmtId="1" fontId="35" fillId="0" borderId="16" xfId="0" quotePrefix="1" applyNumberFormat="1" applyFont="1" applyFill="1" applyBorder="1" applyAlignment="1">
      <alignment horizontal="center" vertical="center"/>
    </xf>
    <xf numFmtId="167" fontId="19" fillId="0" borderId="16" xfId="0" applyNumberFormat="1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5" fillId="0" borderId="5" xfId="0" quotePrefix="1" applyFont="1" applyFill="1" applyBorder="1" applyAlignment="1">
      <alignment horizontal="center" vertical="center"/>
    </xf>
    <xf numFmtId="1" fontId="35" fillId="0" borderId="5" xfId="0" quotePrefix="1" applyNumberFormat="1" applyFont="1" applyFill="1" applyBorder="1" applyAlignment="1">
      <alignment horizontal="center" vertical="center"/>
    </xf>
    <xf numFmtId="167" fontId="19" fillId="0" borderId="5" xfId="0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38" fillId="2" borderId="0" xfId="0" quotePrefix="1" applyFont="1" applyFill="1" applyAlignment="1">
      <alignment horizontal="center" vertical="center"/>
    </xf>
    <xf numFmtId="0" fontId="25" fillId="0" borderId="0" xfId="0" quotePrefix="1" applyFont="1" applyAlignment="1">
      <alignment horizontal="center" vertical="center"/>
    </xf>
    <xf numFmtId="2" fontId="39" fillId="0" borderId="17" xfId="0" applyNumberFormat="1" applyFont="1" applyBorder="1" applyAlignment="1">
      <alignment horizontal="center" vertical="center"/>
    </xf>
    <xf numFmtId="2" fontId="39" fillId="0" borderId="15" xfId="0" applyNumberFormat="1" applyFont="1" applyBorder="1" applyAlignment="1">
      <alignment horizontal="center" vertical="center"/>
    </xf>
    <xf numFmtId="2" fontId="0" fillId="2" borderId="0" xfId="0" applyNumberFormat="1" applyFill="1" applyBorder="1" applyAlignment="1">
      <alignment horizontal="center" vertical="center"/>
    </xf>
    <xf numFmtId="2" fontId="12" fillId="0" borderId="0" xfId="0" quotePrefix="1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2" fontId="33" fillId="0" borderId="0" xfId="0" applyNumberFormat="1" applyFont="1" applyFill="1" applyAlignment="1">
      <alignment horizontal="center" vertical="center"/>
    </xf>
    <xf numFmtId="2" fontId="34" fillId="0" borderId="11" xfId="0" applyNumberFormat="1" applyFont="1" applyFill="1" applyBorder="1" applyAlignment="1">
      <alignment horizontal="center" vertical="center"/>
    </xf>
    <xf numFmtId="2" fontId="34" fillId="0" borderId="3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4" fillId="0" borderId="6" xfId="0" applyNumberFormat="1" applyFont="1" applyFill="1" applyBorder="1" applyAlignment="1">
      <alignment horizontal="center" vertical="center"/>
    </xf>
    <xf numFmtId="2" fontId="24" fillId="0" borderId="0" xfId="0" applyNumberFormat="1" applyFont="1" applyFill="1" applyBorder="1" applyAlignment="1">
      <alignment horizontal="center" vertical="center"/>
    </xf>
    <xf numFmtId="2" fontId="6" fillId="2" borderId="0" xfId="0" applyNumberFormat="1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24" fillId="0" borderId="11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2" fontId="24" fillId="0" borderId="11" xfId="0" applyNumberFormat="1" applyFont="1" applyFill="1" applyBorder="1" applyAlignment="1">
      <alignment horizontal="center" vertical="center"/>
    </xf>
    <xf numFmtId="2" fontId="24" fillId="0" borderId="3" xfId="0" applyNumberFormat="1" applyFont="1" applyFill="1" applyBorder="1" applyAlignment="1">
      <alignment horizontal="center" vertical="center"/>
    </xf>
    <xf numFmtId="2" fontId="4" fillId="0" borderId="18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0" fontId="24" fillId="0" borderId="7" xfId="0" applyFont="1" applyFill="1" applyBorder="1" applyAlignment="1">
      <alignment horizontal="center" vertical="center"/>
    </xf>
    <xf numFmtId="0" fontId="24" fillId="0" borderId="19" xfId="0" applyFont="1" applyFill="1" applyBorder="1" applyAlignment="1">
      <alignment horizontal="center" vertical="center"/>
    </xf>
    <xf numFmtId="2" fontId="40" fillId="0" borderId="5" xfId="0" applyNumberFormat="1" applyFont="1" applyFill="1" applyBorder="1" applyAlignment="1">
      <alignment horizontal="center" vertical="center"/>
    </xf>
    <xf numFmtId="1" fontId="40" fillId="0" borderId="6" xfId="0" applyNumberFormat="1" applyFont="1" applyFill="1" applyBorder="1" applyAlignment="1">
      <alignment horizontal="center" vertical="center"/>
    </xf>
    <xf numFmtId="2" fontId="40" fillId="0" borderId="9" xfId="0" applyNumberFormat="1" applyFont="1" applyFill="1" applyBorder="1" applyAlignment="1">
      <alignment horizontal="center" vertical="center"/>
    </xf>
    <xf numFmtId="2" fontId="40" fillId="0" borderId="10" xfId="0" applyNumberFormat="1" applyFont="1" applyFill="1" applyBorder="1" applyAlignment="1">
      <alignment horizontal="center" vertical="center"/>
    </xf>
    <xf numFmtId="2" fontId="40" fillId="0" borderId="11" xfId="0" applyNumberFormat="1" applyFont="1" applyFill="1" applyBorder="1" applyAlignment="1">
      <alignment horizontal="center" vertical="center"/>
    </xf>
    <xf numFmtId="2" fontId="40" fillId="0" borderId="3" xfId="0" applyNumberFormat="1" applyFont="1" applyFill="1" applyBorder="1" applyAlignment="1">
      <alignment horizontal="center" vertical="center"/>
    </xf>
    <xf numFmtId="2" fontId="40" fillId="0" borderId="18" xfId="0" applyNumberFormat="1" applyFont="1" applyFill="1" applyBorder="1" applyAlignment="1">
      <alignment horizontal="center" vertical="center"/>
    </xf>
    <xf numFmtId="2" fontId="40" fillId="0" borderId="6" xfId="0" applyNumberFormat="1" applyFont="1" applyFill="1" applyBorder="1" applyAlignment="1">
      <alignment horizontal="center" vertical="center"/>
    </xf>
    <xf numFmtId="1" fontId="11" fillId="0" borderId="0" xfId="0" applyNumberFormat="1" applyFont="1" applyFill="1" applyAlignment="1">
      <alignment horizontal="center" vertical="center"/>
    </xf>
    <xf numFmtId="2" fontId="8" fillId="0" borderId="0" xfId="0" applyNumberFormat="1" applyFont="1" applyFill="1" applyBorder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 vertical="center"/>
    </xf>
    <xf numFmtId="2" fontId="41" fillId="0" borderId="0" xfId="0" applyNumberFormat="1" applyFont="1" applyFill="1" applyBorder="1" applyAlignment="1">
      <alignment horizontal="center" vertical="center"/>
    </xf>
    <xf numFmtId="0" fontId="41" fillId="0" borderId="11" xfId="0" applyFont="1" applyFill="1" applyBorder="1" applyAlignment="1">
      <alignment horizontal="center" vertical="center"/>
    </xf>
    <xf numFmtId="0" fontId="41" fillId="0" borderId="3" xfId="0" applyFont="1" applyFill="1" applyBorder="1" applyAlignment="1">
      <alignment horizontal="center" vertical="center"/>
    </xf>
    <xf numFmtId="0" fontId="11" fillId="0" borderId="0" xfId="0" applyFont="1"/>
    <xf numFmtId="0" fontId="37" fillId="0" borderId="0" xfId="0" applyFont="1" applyBorder="1" applyAlignment="1">
      <alignment vertical="center"/>
    </xf>
    <xf numFmtId="0" fontId="42" fillId="0" borderId="11" xfId="0" applyFont="1" applyBorder="1" applyAlignment="1">
      <alignment horizontal="center" vertical="center"/>
    </xf>
    <xf numFmtId="0" fontId="43" fillId="0" borderId="0" xfId="0" quotePrefix="1" applyFont="1" applyFill="1" applyBorder="1" applyAlignment="1">
      <alignment horizontal="center" vertical="center"/>
    </xf>
    <xf numFmtId="1" fontId="43" fillId="0" borderId="0" xfId="0" quotePrefix="1" applyNumberFormat="1" applyFont="1" applyFill="1" applyBorder="1" applyAlignment="1">
      <alignment horizontal="center" vertical="center"/>
    </xf>
    <xf numFmtId="167" fontId="44" fillId="0" borderId="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5" fillId="0" borderId="0" xfId="0" quotePrefix="1" applyFont="1" applyFill="1" applyBorder="1" applyAlignment="1">
      <alignment horizontal="center" vertical="center"/>
    </xf>
    <xf numFmtId="0" fontId="45" fillId="0" borderId="0" xfId="0" quotePrefix="1" applyFont="1" applyFill="1" applyBorder="1" applyAlignment="1">
      <alignment horizontal="center" vertical="center"/>
    </xf>
    <xf numFmtId="0" fontId="25" fillId="0" borderId="0" xfId="0" applyFont="1" applyBorder="1" applyAlignment="1">
      <alignment vertical="center" wrapText="1"/>
    </xf>
    <xf numFmtId="167" fontId="19" fillId="0" borderId="10" xfId="0" applyNumberFormat="1" applyFont="1" applyFill="1" applyBorder="1" applyAlignment="1">
      <alignment horizontal="center" vertical="center"/>
    </xf>
    <xf numFmtId="167" fontId="19" fillId="0" borderId="3" xfId="0" applyNumberFormat="1" applyFont="1" applyFill="1" applyBorder="1" applyAlignment="1">
      <alignment horizontal="center" vertical="center"/>
    </xf>
    <xf numFmtId="0" fontId="35" fillId="0" borderId="3" xfId="0" quotePrefix="1" applyFont="1" applyFill="1" applyBorder="1" applyAlignment="1">
      <alignment horizontal="center" vertical="center"/>
    </xf>
    <xf numFmtId="167" fontId="44" fillId="0" borderId="3" xfId="0" applyNumberFormat="1" applyFont="1" applyFill="1" applyBorder="1" applyAlignment="1">
      <alignment horizontal="center" vertical="center"/>
    </xf>
    <xf numFmtId="167" fontId="19" fillId="0" borderId="6" xfId="0" applyNumberFormat="1" applyFont="1" applyFill="1" applyBorder="1" applyAlignment="1">
      <alignment horizontal="center" vertical="center"/>
    </xf>
    <xf numFmtId="167" fontId="20" fillId="0" borderId="3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6EFD3D7-B17E-4DB7-B4ED-77412B76D358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A8F2"/>
      <color rgb="FF8004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UTM dC drift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934493625190059E-2"/>
                  <c:y val="-0.41154287100053499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Standards!$A$49:$A$116</c:f>
              <c:numCache>
                <c:formatCode>General</c:formatCode>
                <c:ptCount val="68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23</c:v>
                </c:pt>
                <c:pt idx="7">
                  <c:v>23</c:v>
                </c:pt>
                <c:pt idx="8">
                  <c:v>24</c:v>
                </c:pt>
                <c:pt idx="9">
                  <c:v>24</c:v>
                </c:pt>
                <c:pt idx="10">
                  <c:v>35</c:v>
                </c:pt>
                <c:pt idx="11">
                  <c:v>35</c:v>
                </c:pt>
                <c:pt idx="12">
                  <c:v>36</c:v>
                </c:pt>
                <c:pt idx="13">
                  <c:v>36</c:v>
                </c:pt>
                <c:pt idx="14">
                  <c:v>47</c:v>
                </c:pt>
                <c:pt idx="15">
                  <c:v>47</c:v>
                </c:pt>
                <c:pt idx="16">
                  <c:v>48</c:v>
                </c:pt>
                <c:pt idx="17">
                  <c:v>48</c:v>
                </c:pt>
                <c:pt idx="18">
                  <c:v>59</c:v>
                </c:pt>
                <c:pt idx="19">
                  <c:v>59</c:v>
                </c:pt>
                <c:pt idx="20">
                  <c:v>60</c:v>
                </c:pt>
                <c:pt idx="21">
                  <c:v>60</c:v>
                </c:pt>
                <c:pt idx="22">
                  <c:v>71</c:v>
                </c:pt>
                <c:pt idx="23">
                  <c:v>71</c:v>
                </c:pt>
                <c:pt idx="24">
                  <c:v>72</c:v>
                </c:pt>
                <c:pt idx="25">
                  <c:v>72</c:v>
                </c:pt>
                <c:pt idx="26">
                  <c:v>83</c:v>
                </c:pt>
                <c:pt idx="27">
                  <c:v>83</c:v>
                </c:pt>
                <c:pt idx="28">
                  <c:v>84</c:v>
                </c:pt>
                <c:pt idx="29">
                  <c:v>84</c:v>
                </c:pt>
                <c:pt idx="30">
                  <c:v>100</c:v>
                </c:pt>
                <c:pt idx="31">
                  <c:v>100</c:v>
                </c:pt>
                <c:pt idx="32">
                  <c:v>101</c:v>
                </c:pt>
                <c:pt idx="33">
                  <c:v>101</c:v>
                </c:pt>
                <c:pt idx="34">
                  <c:v>111</c:v>
                </c:pt>
                <c:pt idx="35">
                  <c:v>111</c:v>
                </c:pt>
                <c:pt idx="36">
                  <c:v>112</c:v>
                </c:pt>
                <c:pt idx="37">
                  <c:v>112</c:v>
                </c:pt>
                <c:pt idx="38">
                  <c:v>113</c:v>
                </c:pt>
                <c:pt idx="39">
                  <c:v>113</c:v>
                </c:pt>
                <c:pt idx="40">
                  <c:v>124</c:v>
                </c:pt>
                <c:pt idx="41">
                  <c:v>124</c:v>
                </c:pt>
                <c:pt idx="42">
                  <c:v>125</c:v>
                </c:pt>
                <c:pt idx="43">
                  <c:v>125</c:v>
                </c:pt>
                <c:pt idx="44">
                  <c:v>136</c:v>
                </c:pt>
                <c:pt idx="45">
                  <c:v>136</c:v>
                </c:pt>
                <c:pt idx="46">
                  <c:v>137</c:v>
                </c:pt>
                <c:pt idx="47">
                  <c:v>137</c:v>
                </c:pt>
                <c:pt idx="48">
                  <c:v>148</c:v>
                </c:pt>
                <c:pt idx="49">
                  <c:v>148</c:v>
                </c:pt>
                <c:pt idx="50">
                  <c:v>149</c:v>
                </c:pt>
                <c:pt idx="51">
                  <c:v>149</c:v>
                </c:pt>
                <c:pt idx="52">
                  <c:v>160</c:v>
                </c:pt>
                <c:pt idx="53">
                  <c:v>160</c:v>
                </c:pt>
                <c:pt idx="54">
                  <c:v>161</c:v>
                </c:pt>
                <c:pt idx="55">
                  <c:v>161</c:v>
                </c:pt>
                <c:pt idx="56">
                  <c:v>172</c:v>
                </c:pt>
                <c:pt idx="57">
                  <c:v>172</c:v>
                </c:pt>
                <c:pt idx="58">
                  <c:v>173</c:v>
                </c:pt>
                <c:pt idx="59">
                  <c:v>173</c:v>
                </c:pt>
                <c:pt idx="60">
                  <c:v>184</c:v>
                </c:pt>
                <c:pt idx="61">
                  <c:v>184</c:v>
                </c:pt>
                <c:pt idx="62">
                  <c:v>185</c:v>
                </c:pt>
                <c:pt idx="63">
                  <c:v>185</c:v>
                </c:pt>
                <c:pt idx="64">
                  <c:v>196</c:v>
                </c:pt>
                <c:pt idx="65">
                  <c:v>196</c:v>
                </c:pt>
                <c:pt idx="66">
                  <c:v>197</c:v>
                </c:pt>
                <c:pt idx="67">
                  <c:v>197</c:v>
                </c:pt>
              </c:numCache>
            </c:numRef>
          </c:xVal>
          <c:yVal>
            <c:numRef>
              <c:f>Standards!$K$49:$K$116</c:f>
              <c:numCache>
                <c:formatCode>0.00</c:formatCode>
                <c:ptCount val="68"/>
                <c:pt idx="0">
                  <c:v>3.9790000000000001</c:v>
                </c:pt>
                <c:pt idx="2">
                  <c:v>3.9855</c:v>
                </c:pt>
                <c:pt idx="4">
                  <c:v>4.0065</c:v>
                </c:pt>
                <c:pt idx="6">
                  <c:v>4.0184999999999995</c:v>
                </c:pt>
                <c:pt idx="8">
                  <c:v>4.0220000000000002</c:v>
                </c:pt>
                <c:pt idx="10">
                  <c:v>4.0255000000000001</c:v>
                </c:pt>
                <c:pt idx="12">
                  <c:v>4.0140000000000002</c:v>
                </c:pt>
                <c:pt idx="14">
                  <c:v>4.0614999999999997</c:v>
                </c:pt>
                <c:pt idx="16">
                  <c:v>3.9729999999999999</c:v>
                </c:pt>
                <c:pt idx="18">
                  <c:v>4.0365000000000002</c:v>
                </c:pt>
                <c:pt idx="20">
                  <c:v>4.0004999999999997</c:v>
                </c:pt>
                <c:pt idx="22">
                  <c:v>4.0489999999999995</c:v>
                </c:pt>
                <c:pt idx="24">
                  <c:v>4.0055000000000005</c:v>
                </c:pt>
                <c:pt idx="26">
                  <c:v>3.8919999999999999</c:v>
                </c:pt>
                <c:pt idx="28">
                  <c:v>3.927</c:v>
                </c:pt>
                <c:pt idx="30">
                  <c:v>3.8529999999999998</c:v>
                </c:pt>
                <c:pt idx="32">
                  <c:v>3.9864999999999999</c:v>
                </c:pt>
                <c:pt idx="34">
                  <c:v>3.8765000000000001</c:v>
                </c:pt>
                <c:pt idx="36">
                  <c:v>3.879</c:v>
                </c:pt>
                <c:pt idx="38">
                  <c:v>3.9814999999999996</c:v>
                </c:pt>
                <c:pt idx="40">
                  <c:v>3.915</c:v>
                </c:pt>
                <c:pt idx="42">
                  <c:v>3.9115000000000002</c:v>
                </c:pt>
                <c:pt idx="44">
                  <c:v>3.9165000000000001</c:v>
                </c:pt>
                <c:pt idx="46">
                  <c:v>3.8360000000000003</c:v>
                </c:pt>
                <c:pt idx="48">
                  <c:v>3.8715000000000002</c:v>
                </c:pt>
                <c:pt idx="50">
                  <c:v>3.9379999999999997</c:v>
                </c:pt>
                <c:pt idx="52">
                  <c:v>3.8864999999999998</c:v>
                </c:pt>
                <c:pt idx="54">
                  <c:v>3.9320000000000004</c:v>
                </c:pt>
                <c:pt idx="56">
                  <c:v>3.9470000000000001</c:v>
                </c:pt>
                <c:pt idx="58">
                  <c:v>3.8419999999999996</c:v>
                </c:pt>
                <c:pt idx="60">
                  <c:v>3.9464999999999999</c:v>
                </c:pt>
                <c:pt idx="62">
                  <c:v>3.8579999999999997</c:v>
                </c:pt>
                <c:pt idx="64">
                  <c:v>3.9584999999999999</c:v>
                </c:pt>
                <c:pt idx="66">
                  <c:v>3.915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5B-46B8-B2D3-CEE95F7DA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7247"/>
        <c:axId val="1"/>
      </c:scatterChart>
      <c:valAx>
        <c:axId val="122881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724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UTM dO drift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4127642508146915"/>
                  <c:y val="4.1435038657127478E-2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Standards!$B$49:$B$116</c:f>
              <c:numCache>
                <c:formatCode>General</c:formatCode>
                <c:ptCount val="68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23</c:v>
                </c:pt>
                <c:pt idx="7">
                  <c:v>23</c:v>
                </c:pt>
                <c:pt idx="8">
                  <c:v>24</c:v>
                </c:pt>
                <c:pt idx="9">
                  <c:v>24</c:v>
                </c:pt>
                <c:pt idx="10">
                  <c:v>35</c:v>
                </c:pt>
                <c:pt idx="11">
                  <c:v>35</c:v>
                </c:pt>
                <c:pt idx="12">
                  <c:v>36</c:v>
                </c:pt>
                <c:pt idx="13">
                  <c:v>36</c:v>
                </c:pt>
                <c:pt idx="14">
                  <c:v>47</c:v>
                </c:pt>
                <c:pt idx="15">
                  <c:v>47</c:v>
                </c:pt>
                <c:pt idx="16">
                  <c:v>48</c:v>
                </c:pt>
                <c:pt idx="17">
                  <c:v>48</c:v>
                </c:pt>
                <c:pt idx="18">
                  <c:v>59</c:v>
                </c:pt>
                <c:pt idx="19">
                  <c:v>59</c:v>
                </c:pt>
                <c:pt idx="20">
                  <c:v>60</c:v>
                </c:pt>
                <c:pt idx="21">
                  <c:v>60</c:v>
                </c:pt>
                <c:pt idx="22">
                  <c:v>71</c:v>
                </c:pt>
                <c:pt idx="23">
                  <c:v>71</c:v>
                </c:pt>
                <c:pt idx="24">
                  <c:v>72</c:v>
                </c:pt>
                <c:pt idx="25">
                  <c:v>72</c:v>
                </c:pt>
                <c:pt idx="26">
                  <c:v>83</c:v>
                </c:pt>
                <c:pt idx="27">
                  <c:v>83</c:v>
                </c:pt>
                <c:pt idx="28">
                  <c:v>84</c:v>
                </c:pt>
                <c:pt idx="29">
                  <c:v>84</c:v>
                </c:pt>
                <c:pt idx="30">
                  <c:v>100</c:v>
                </c:pt>
                <c:pt idx="31">
                  <c:v>100</c:v>
                </c:pt>
                <c:pt idx="32">
                  <c:v>101</c:v>
                </c:pt>
                <c:pt idx="33">
                  <c:v>101</c:v>
                </c:pt>
                <c:pt idx="34">
                  <c:v>111</c:v>
                </c:pt>
                <c:pt idx="35">
                  <c:v>111</c:v>
                </c:pt>
                <c:pt idx="36">
                  <c:v>112</c:v>
                </c:pt>
                <c:pt idx="37">
                  <c:v>112</c:v>
                </c:pt>
                <c:pt idx="38">
                  <c:v>113</c:v>
                </c:pt>
                <c:pt idx="39">
                  <c:v>113</c:v>
                </c:pt>
                <c:pt idx="40">
                  <c:v>124</c:v>
                </c:pt>
                <c:pt idx="41">
                  <c:v>124</c:v>
                </c:pt>
                <c:pt idx="42">
                  <c:v>125</c:v>
                </c:pt>
                <c:pt idx="43">
                  <c:v>125</c:v>
                </c:pt>
                <c:pt idx="44">
                  <c:v>136</c:v>
                </c:pt>
                <c:pt idx="45">
                  <c:v>136</c:v>
                </c:pt>
                <c:pt idx="46">
                  <c:v>137</c:v>
                </c:pt>
                <c:pt idx="47">
                  <c:v>137</c:v>
                </c:pt>
                <c:pt idx="48">
                  <c:v>148</c:v>
                </c:pt>
                <c:pt idx="49">
                  <c:v>148</c:v>
                </c:pt>
                <c:pt idx="50">
                  <c:v>149</c:v>
                </c:pt>
                <c:pt idx="51">
                  <c:v>149</c:v>
                </c:pt>
                <c:pt idx="52">
                  <c:v>160</c:v>
                </c:pt>
                <c:pt idx="53">
                  <c:v>160</c:v>
                </c:pt>
                <c:pt idx="54">
                  <c:v>161</c:v>
                </c:pt>
                <c:pt idx="55">
                  <c:v>161</c:v>
                </c:pt>
                <c:pt idx="56">
                  <c:v>172</c:v>
                </c:pt>
                <c:pt idx="57">
                  <c:v>172</c:v>
                </c:pt>
                <c:pt idx="58">
                  <c:v>173</c:v>
                </c:pt>
                <c:pt idx="59">
                  <c:v>173</c:v>
                </c:pt>
                <c:pt idx="60">
                  <c:v>184</c:v>
                </c:pt>
                <c:pt idx="61">
                  <c:v>184</c:v>
                </c:pt>
                <c:pt idx="62">
                  <c:v>185</c:v>
                </c:pt>
                <c:pt idx="63">
                  <c:v>185</c:v>
                </c:pt>
                <c:pt idx="64">
                  <c:v>196</c:v>
                </c:pt>
                <c:pt idx="65">
                  <c:v>196</c:v>
                </c:pt>
                <c:pt idx="66">
                  <c:v>197</c:v>
                </c:pt>
                <c:pt idx="67">
                  <c:v>197</c:v>
                </c:pt>
              </c:numCache>
            </c:numRef>
          </c:xVal>
          <c:yVal>
            <c:numRef>
              <c:f>Standards!$P$49:$P$116</c:f>
              <c:numCache>
                <c:formatCode>0.00</c:formatCode>
                <c:ptCount val="68"/>
                <c:pt idx="0">
                  <c:v>25.255499999999998</c:v>
                </c:pt>
                <c:pt idx="2">
                  <c:v>25.2575</c:v>
                </c:pt>
                <c:pt idx="4">
                  <c:v>25.257000000000001</c:v>
                </c:pt>
                <c:pt idx="6">
                  <c:v>25.2255</c:v>
                </c:pt>
                <c:pt idx="8">
                  <c:v>25.2745</c:v>
                </c:pt>
                <c:pt idx="10">
                  <c:v>25.1645</c:v>
                </c:pt>
                <c:pt idx="12">
                  <c:v>25.216000000000001</c:v>
                </c:pt>
                <c:pt idx="14">
                  <c:v>25.094000000000001</c:v>
                </c:pt>
                <c:pt idx="16">
                  <c:v>25.335000000000001</c:v>
                </c:pt>
                <c:pt idx="18">
                  <c:v>25.262999999999998</c:v>
                </c:pt>
                <c:pt idx="20">
                  <c:v>25.294499999999999</c:v>
                </c:pt>
                <c:pt idx="22">
                  <c:v>25.206499999999998</c:v>
                </c:pt>
                <c:pt idx="24">
                  <c:v>25.319000000000003</c:v>
                </c:pt>
                <c:pt idx="26">
                  <c:v>25.3185</c:v>
                </c:pt>
                <c:pt idx="28">
                  <c:v>25.341000000000001</c:v>
                </c:pt>
                <c:pt idx="30">
                  <c:v>25.250999999999998</c:v>
                </c:pt>
                <c:pt idx="32">
                  <c:v>25.409500000000001</c:v>
                </c:pt>
                <c:pt idx="34">
                  <c:v>25.140499999999999</c:v>
                </c:pt>
                <c:pt idx="36">
                  <c:v>25.139499999999998</c:v>
                </c:pt>
                <c:pt idx="38">
                  <c:v>24.918500000000002</c:v>
                </c:pt>
                <c:pt idx="40">
                  <c:v>25.157499999999999</c:v>
                </c:pt>
                <c:pt idx="42">
                  <c:v>25.1675</c:v>
                </c:pt>
                <c:pt idx="44">
                  <c:v>24.986000000000001</c:v>
                </c:pt>
                <c:pt idx="46">
                  <c:v>25.190999999999999</c:v>
                </c:pt>
                <c:pt idx="48">
                  <c:v>25.087499999999999</c:v>
                </c:pt>
                <c:pt idx="50">
                  <c:v>25.060000000000002</c:v>
                </c:pt>
                <c:pt idx="52">
                  <c:v>25.191500000000001</c:v>
                </c:pt>
                <c:pt idx="54">
                  <c:v>25.222000000000001</c:v>
                </c:pt>
                <c:pt idx="56">
                  <c:v>25.096499999999999</c:v>
                </c:pt>
                <c:pt idx="58">
                  <c:v>25.172000000000001</c:v>
                </c:pt>
                <c:pt idx="60">
                  <c:v>24.740000000000002</c:v>
                </c:pt>
                <c:pt idx="62">
                  <c:v>25.225000000000001</c:v>
                </c:pt>
                <c:pt idx="64">
                  <c:v>25.1875</c:v>
                </c:pt>
                <c:pt idx="66">
                  <c:v>25.148499999999999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B4-4ED3-9D17-447C22D2C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0591"/>
        <c:axId val="1"/>
      </c:scatterChart>
      <c:valAx>
        <c:axId val="122881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059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UTM dC amp 44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119624602984395"/>
                  <c:y val="-0.14011520003514205"/>
                </c:manualLayout>
              </c:layout>
              <c:numFmt formatCode="#,##0.0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Standards!$N$49:$N$115</c:f>
              <c:numCache>
                <c:formatCode>0</c:formatCode>
                <c:ptCount val="67"/>
                <c:pt idx="0">
                  <c:v>16799.5</c:v>
                </c:pt>
                <c:pt idx="2">
                  <c:v>13105.5</c:v>
                </c:pt>
                <c:pt idx="4">
                  <c:v>13249</c:v>
                </c:pt>
                <c:pt idx="6">
                  <c:v>15026</c:v>
                </c:pt>
                <c:pt idx="8">
                  <c:v>16330.5</c:v>
                </c:pt>
                <c:pt idx="10">
                  <c:v>15250.5</c:v>
                </c:pt>
                <c:pt idx="12">
                  <c:v>17431</c:v>
                </c:pt>
                <c:pt idx="14">
                  <c:v>16965</c:v>
                </c:pt>
                <c:pt idx="16">
                  <c:v>11773</c:v>
                </c:pt>
                <c:pt idx="18">
                  <c:v>17077.5</c:v>
                </c:pt>
                <c:pt idx="20">
                  <c:v>11894.5</c:v>
                </c:pt>
                <c:pt idx="22">
                  <c:v>18574</c:v>
                </c:pt>
                <c:pt idx="24">
                  <c:v>16936.5</c:v>
                </c:pt>
                <c:pt idx="26">
                  <c:v>10417.5</c:v>
                </c:pt>
                <c:pt idx="28">
                  <c:v>13072.5</c:v>
                </c:pt>
                <c:pt idx="30">
                  <c:v>8417</c:v>
                </c:pt>
                <c:pt idx="32">
                  <c:v>6854.5</c:v>
                </c:pt>
                <c:pt idx="34">
                  <c:v>11061.5</c:v>
                </c:pt>
                <c:pt idx="36">
                  <c:v>14456</c:v>
                </c:pt>
                <c:pt idx="38">
                  <c:v>19813</c:v>
                </c:pt>
                <c:pt idx="40">
                  <c:v>15999</c:v>
                </c:pt>
                <c:pt idx="42">
                  <c:v>14546</c:v>
                </c:pt>
                <c:pt idx="44">
                  <c:v>16785</c:v>
                </c:pt>
                <c:pt idx="46">
                  <c:v>11559.5</c:v>
                </c:pt>
                <c:pt idx="48">
                  <c:v>11653</c:v>
                </c:pt>
                <c:pt idx="50">
                  <c:v>14892</c:v>
                </c:pt>
                <c:pt idx="52">
                  <c:v>11703.5</c:v>
                </c:pt>
                <c:pt idx="54">
                  <c:v>13372.5</c:v>
                </c:pt>
                <c:pt idx="56">
                  <c:v>16730.5</c:v>
                </c:pt>
                <c:pt idx="58">
                  <c:v>11093</c:v>
                </c:pt>
                <c:pt idx="60">
                  <c:v>16951</c:v>
                </c:pt>
                <c:pt idx="62">
                  <c:v>8909</c:v>
                </c:pt>
                <c:pt idx="64">
                  <c:v>15711.5</c:v>
                </c:pt>
                <c:pt idx="66">
                  <c:v>13619</c:v>
                </c:pt>
              </c:numCache>
            </c:numRef>
          </c:xVal>
          <c:yVal>
            <c:numRef>
              <c:f>Standards!$T$49:$T$115</c:f>
              <c:numCache>
                <c:formatCode>0.00</c:formatCode>
                <c:ptCount val="67"/>
                <c:pt idx="0">
                  <c:v>3.9126753823529414</c:v>
                </c:pt>
                <c:pt idx="2">
                  <c:v>3.9198983823529412</c:v>
                </c:pt>
                <c:pt idx="4">
                  <c:v>3.9416213823529409</c:v>
                </c:pt>
                <c:pt idx="6">
                  <c:v>3.9615743823529406</c:v>
                </c:pt>
                <c:pt idx="8">
                  <c:v>3.9657973823529415</c:v>
                </c:pt>
                <c:pt idx="10">
                  <c:v>3.977250382352941</c:v>
                </c:pt>
                <c:pt idx="12">
                  <c:v>3.9664733823529414</c:v>
                </c:pt>
                <c:pt idx="14">
                  <c:v>4.021926382352941</c:v>
                </c:pt>
                <c:pt idx="16">
                  <c:v>3.934149382352941</c:v>
                </c:pt>
                <c:pt idx="18">
                  <c:v>4.005602382352941</c:v>
                </c:pt>
                <c:pt idx="20">
                  <c:v>3.9703253823529407</c:v>
                </c:pt>
                <c:pt idx="22">
                  <c:v>4.0267783823529406</c:v>
                </c:pt>
                <c:pt idx="24">
                  <c:v>3.9840013823529419</c:v>
                </c:pt>
                <c:pt idx="26">
                  <c:v>3.8784543823529409</c:v>
                </c:pt>
                <c:pt idx="28">
                  <c:v>3.9141773823529413</c:v>
                </c:pt>
                <c:pt idx="30">
                  <c:v>3.8517453823529411</c:v>
                </c:pt>
                <c:pt idx="32">
                  <c:v>3.985968382352941</c:v>
                </c:pt>
                <c:pt idx="34">
                  <c:v>3.883198382352941</c:v>
                </c:pt>
                <c:pt idx="36">
                  <c:v>3.8864213823529412</c:v>
                </c:pt>
                <c:pt idx="38">
                  <c:v>3.9896443823529406</c:v>
                </c:pt>
                <c:pt idx="40">
                  <c:v>3.9310973823529411</c:v>
                </c:pt>
                <c:pt idx="42">
                  <c:v>3.9283203823529416</c:v>
                </c:pt>
                <c:pt idx="44">
                  <c:v>3.9412733823529411</c:v>
                </c:pt>
                <c:pt idx="46">
                  <c:v>3.8614963823529416</c:v>
                </c:pt>
                <c:pt idx="48">
                  <c:v>3.9049493823529415</c:v>
                </c:pt>
                <c:pt idx="50">
                  <c:v>3.9721723823529409</c:v>
                </c:pt>
                <c:pt idx="52">
                  <c:v>3.9286253823529411</c:v>
                </c:pt>
                <c:pt idx="54">
                  <c:v>3.9748483823529415</c:v>
                </c:pt>
                <c:pt idx="56">
                  <c:v>3.9978013823529412</c:v>
                </c:pt>
                <c:pt idx="58">
                  <c:v>3.8935243823529406</c:v>
                </c:pt>
                <c:pt idx="60">
                  <c:v>4.005977382352941</c:v>
                </c:pt>
                <c:pt idx="62">
                  <c:v>3.918200382352941</c:v>
                </c:pt>
                <c:pt idx="64">
                  <c:v>4.0266533823529409</c:v>
                </c:pt>
                <c:pt idx="66">
                  <c:v>3.9838763823529413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66-41E1-87F3-3D2DDB2E9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4335"/>
        <c:axId val="1"/>
      </c:scatterChart>
      <c:valAx>
        <c:axId val="122881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433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d13C calibration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349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689139064228542"/>
                  <c:y val="2.5493948673082533E-2"/>
                </c:manualLayout>
              </c:layout>
              <c:numFmt formatCode="#,##0.00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Standards!$S$133:$S$135</c:f>
              <c:numCache>
                <c:formatCode>0.00</c:formatCode>
                <c:ptCount val="3"/>
                <c:pt idx="0">
                  <c:v>-5.489668923529412</c:v>
                </c:pt>
                <c:pt idx="1">
                  <c:v>1.4492342764705881</c:v>
                </c:pt>
                <c:pt idx="2">
                  <c:v>3.948426470588235</c:v>
                </c:pt>
              </c:numCache>
            </c:numRef>
          </c:xVal>
          <c:yVal>
            <c:numRef>
              <c:f>Standards!$R$133:$R$135</c:f>
              <c:numCache>
                <c:formatCode>General</c:formatCode>
                <c:ptCount val="3"/>
                <c:pt idx="0">
                  <c:v>-5.0140000000000002</c:v>
                </c:pt>
                <c:pt idx="1">
                  <c:v>1.95</c:v>
                </c:pt>
                <c:pt idx="2">
                  <c:v>4.49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27-4EE0-AABB-08C920750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07263"/>
        <c:axId val="1"/>
      </c:scatterChart>
      <c:valAx>
        <c:axId val="12288072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max"/>
        <c:crossBetween val="midCat"/>
      </c:valAx>
      <c:valAx>
        <c:axId val="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accepted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07263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d18O calibration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349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689139064228542"/>
                  <c:y val="2.5493948673082533E-2"/>
                </c:manualLayout>
              </c:layout>
              <c:numFmt formatCode="#,##0.00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Standards!$U$133:$U$135</c:f>
              <c:numCache>
                <c:formatCode>0.00</c:formatCode>
                <c:ptCount val="3"/>
                <c:pt idx="0">
                  <c:v>5.7246817389705882</c:v>
                </c:pt>
                <c:pt idx="1">
                  <c:v>27.200105613970585</c:v>
                </c:pt>
                <c:pt idx="2">
                  <c:v>25.185691176470595</c:v>
                </c:pt>
              </c:numCache>
            </c:numRef>
          </c:xVal>
          <c:yVal>
            <c:numRef>
              <c:f>Standards!$T$133:$T$135</c:f>
              <c:numCache>
                <c:formatCode>General</c:formatCode>
                <c:ptCount val="3"/>
                <c:pt idx="0">
                  <c:v>7.2</c:v>
                </c:pt>
                <c:pt idx="1">
                  <c:v>28.6</c:v>
                </c:pt>
                <c:pt idx="2">
                  <c:v>26.5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56-46C6-96DA-B914E7D17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3087"/>
        <c:axId val="1"/>
      </c:scatterChart>
      <c:valAx>
        <c:axId val="122881308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max"/>
        <c:crossBetween val="midCat"/>
      </c:valAx>
      <c:valAx>
        <c:axId val="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accepted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3087"/>
        <c:crosses val="max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UTM dO amp 44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562740682148863"/>
                  <c:y val="6.3552597511384581E-3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Standards!$N$49:$N$116</c:f>
              <c:numCache>
                <c:formatCode>0</c:formatCode>
                <c:ptCount val="68"/>
                <c:pt idx="0">
                  <c:v>16799.5</c:v>
                </c:pt>
                <c:pt idx="2">
                  <c:v>13105.5</c:v>
                </c:pt>
                <c:pt idx="4">
                  <c:v>13249</c:v>
                </c:pt>
                <c:pt idx="6">
                  <c:v>15026</c:v>
                </c:pt>
                <c:pt idx="8">
                  <c:v>16330.5</c:v>
                </c:pt>
                <c:pt idx="10">
                  <c:v>15250.5</c:v>
                </c:pt>
                <c:pt idx="12">
                  <c:v>17431</c:v>
                </c:pt>
                <c:pt idx="14">
                  <c:v>16965</c:v>
                </c:pt>
                <c:pt idx="16">
                  <c:v>11773</c:v>
                </c:pt>
                <c:pt idx="18">
                  <c:v>17077.5</c:v>
                </c:pt>
                <c:pt idx="20">
                  <c:v>11894.5</c:v>
                </c:pt>
                <c:pt idx="22">
                  <c:v>18574</c:v>
                </c:pt>
                <c:pt idx="24">
                  <c:v>16936.5</c:v>
                </c:pt>
                <c:pt idx="26">
                  <c:v>10417.5</c:v>
                </c:pt>
                <c:pt idx="28">
                  <c:v>13072.5</c:v>
                </c:pt>
                <c:pt idx="30">
                  <c:v>8417</c:v>
                </c:pt>
                <c:pt idx="32">
                  <c:v>6854.5</c:v>
                </c:pt>
                <c:pt idx="34">
                  <c:v>11061.5</c:v>
                </c:pt>
                <c:pt idx="36">
                  <c:v>14456</c:v>
                </c:pt>
                <c:pt idx="38">
                  <c:v>19813</c:v>
                </c:pt>
                <c:pt idx="40">
                  <c:v>15999</c:v>
                </c:pt>
                <c:pt idx="42">
                  <c:v>14546</c:v>
                </c:pt>
                <c:pt idx="44">
                  <c:v>16785</c:v>
                </c:pt>
                <c:pt idx="46">
                  <c:v>11559.5</c:v>
                </c:pt>
                <c:pt idx="48">
                  <c:v>11653</c:v>
                </c:pt>
                <c:pt idx="50">
                  <c:v>14892</c:v>
                </c:pt>
                <c:pt idx="52">
                  <c:v>11703.5</c:v>
                </c:pt>
                <c:pt idx="54">
                  <c:v>13372.5</c:v>
                </c:pt>
                <c:pt idx="56">
                  <c:v>16730.5</c:v>
                </c:pt>
                <c:pt idx="58">
                  <c:v>11093</c:v>
                </c:pt>
                <c:pt idx="60">
                  <c:v>16951</c:v>
                </c:pt>
                <c:pt idx="62">
                  <c:v>8909</c:v>
                </c:pt>
                <c:pt idx="64">
                  <c:v>15711.5</c:v>
                </c:pt>
                <c:pt idx="66">
                  <c:v>13619</c:v>
                </c:pt>
              </c:numCache>
            </c:numRef>
          </c:xVal>
          <c:yVal>
            <c:numRef>
              <c:f>Standards!$X$49:$X$116</c:f>
              <c:numCache>
                <c:formatCode>0.00</c:formatCode>
                <c:ptCount val="68"/>
                <c:pt idx="0">
                  <c:v>25.163581235294114</c:v>
                </c:pt>
                <c:pt idx="2">
                  <c:v>25.166583235294119</c:v>
                </c:pt>
                <c:pt idx="4">
                  <c:v>25.16708523529412</c:v>
                </c:pt>
                <c:pt idx="6">
                  <c:v>25.14660723529412</c:v>
                </c:pt>
                <c:pt idx="8">
                  <c:v>25.196609235294119</c:v>
                </c:pt>
                <c:pt idx="10">
                  <c:v>25.097631235294116</c:v>
                </c:pt>
                <c:pt idx="12">
                  <c:v>25.15013323529412</c:v>
                </c:pt>
                <c:pt idx="14">
                  <c:v>25.039155235294118</c:v>
                </c:pt>
                <c:pt idx="16">
                  <c:v>25.281157235294117</c:v>
                </c:pt>
                <c:pt idx="18">
                  <c:v>25.220179235294115</c:v>
                </c:pt>
                <c:pt idx="20">
                  <c:v>25.252681235294116</c:v>
                </c:pt>
                <c:pt idx="22">
                  <c:v>25.175703235294115</c:v>
                </c:pt>
                <c:pt idx="24">
                  <c:v>25.289205235294119</c:v>
                </c:pt>
                <c:pt idx="26">
                  <c:v>25.299727235294117</c:v>
                </c:pt>
                <c:pt idx="28">
                  <c:v>25.323229235294118</c:v>
                </c:pt>
                <c:pt idx="30">
                  <c:v>25.249261235294114</c:v>
                </c:pt>
                <c:pt idx="32">
                  <c:v>25.408763235294121</c:v>
                </c:pt>
                <c:pt idx="34">
                  <c:v>25.149783235294116</c:v>
                </c:pt>
                <c:pt idx="36">
                  <c:v>25.149785235294114</c:v>
                </c:pt>
                <c:pt idx="38">
                  <c:v>24.929787235294118</c:v>
                </c:pt>
                <c:pt idx="40">
                  <c:v>25.179809235294115</c:v>
                </c:pt>
                <c:pt idx="42">
                  <c:v>25.190811235294117</c:v>
                </c:pt>
                <c:pt idx="44">
                  <c:v>25.020333235294117</c:v>
                </c:pt>
                <c:pt idx="46">
                  <c:v>25.226335235294115</c:v>
                </c:pt>
                <c:pt idx="48">
                  <c:v>25.133857235294116</c:v>
                </c:pt>
                <c:pt idx="50">
                  <c:v>25.107359235294119</c:v>
                </c:pt>
                <c:pt idx="52">
                  <c:v>25.249881235294119</c:v>
                </c:pt>
                <c:pt idx="54">
                  <c:v>25.281383235294118</c:v>
                </c:pt>
                <c:pt idx="56">
                  <c:v>25.166905235294116</c:v>
                </c:pt>
                <c:pt idx="58">
                  <c:v>25.243407235294118</c:v>
                </c:pt>
                <c:pt idx="60">
                  <c:v>24.82242923529412</c:v>
                </c:pt>
                <c:pt idx="62">
                  <c:v>25.308431235294119</c:v>
                </c:pt>
                <c:pt idx="64">
                  <c:v>25.281953235294118</c:v>
                </c:pt>
                <c:pt idx="66">
                  <c:v>25.243955235294116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7B-4417-BBC9-A358E3C22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810591"/>
        <c:axId val="1"/>
      </c:scatterChart>
      <c:valAx>
        <c:axId val="122881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1059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441960</xdr:colOff>
      <xdr:row>0</xdr:row>
      <xdr:rowOff>53340</xdr:rowOff>
    </xdr:from>
    <xdr:to>
      <xdr:col>35</xdr:col>
      <xdr:colOff>198120</xdr:colOff>
      <xdr:row>45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E3FD5-28E5-4241-A2AC-0973EA0C5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76200</xdr:colOff>
      <xdr:row>0</xdr:row>
      <xdr:rowOff>83820</xdr:rowOff>
    </xdr:from>
    <xdr:to>
      <xdr:col>45</xdr:col>
      <xdr:colOff>373380</xdr:colOff>
      <xdr:row>43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D450BF-2AB0-4663-BE9C-D9394FA9F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114300</xdr:colOff>
      <xdr:row>48</xdr:row>
      <xdr:rowOff>121920</xdr:rowOff>
    </xdr:from>
    <xdr:to>
      <xdr:col>35</xdr:col>
      <xdr:colOff>472440</xdr:colOff>
      <xdr:row>77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DC4E7E-CF66-4781-947A-1BED0007C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437254</xdr:colOff>
      <xdr:row>136</xdr:row>
      <xdr:rowOff>106568</xdr:rowOff>
    </xdr:from>
    <xdr:to>
      <xdr:col>16</xdr:col>
      <xdr:colOff>415963</xdr:colOff>
      <xdr:row>153</xdr:row>
      <xdr:rowOff>107913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F03CB983-8750-4993-9F6D-6337CCB57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535081</xdr:colOff>
      <xdr:row>136</xdr:row>
      <xdr:rowOff>95699</xdr:rowOff>
    </xdr:from>
    <xdr:to>
      <xdr:col>25</xdr:col>
      <xdr:colOff>32161</xdr:colOff>
      <xdr:row>153</xdr:row>
      <xdr:rowOff>97044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DDDBB1-78B4-429B-8A78-5711E943A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598171</xdr:colOff>
      <xdr:row>48</xdr:row>
      <xdr:rowOff>57149</xdr:rowOff>
    </xdr:from>
    <xdr:to>
      <xdr:col>47</xdr:col>
      <xdr:colOff>381000</xdr:colOff>
      <xdr:row>74</xdr:row>
      <xdr:rowOff>28574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2A3CB8-5882-4D9D-BB5A-D98EBBA1A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A0EE-E251-46CF-814F-585450B78442}">
  <sheetPr>
    <tabColor rgb="FF00B050"/>
  </sheetPr>
  <dimension ref="A1:K237"/>
  <sheetViews>
    <sheetView tabSelected="1" topLeftCell="A184" workbookViewId="0">
      <selection activeCell="I6" sqref="I6"/>
    </sheetView>
  </sheetViews>
  <sheetFormatPr defaultColWidth="8.85546875" defaultRowHeight="18.75" x14ac:dyDescent="0.25"/>
  <cols>
    <col min="1" max="1" width="8.85546875" style="133"/>
    <col min="2" max="2" width="28.140625" style="133" customWidth="1"/>
    <col min="3" max="3" width="13.28515625" style="133" customWidth="1"/>
    <col min="4" max="5" width="8.85546875" style="156"/>
    <col min="6" max="6" width="15.7109375" style="128" bestFit="1" customWidth="1"/>
    <col min="7" max="7" width="19.42578125" style="128" bestFit="1" customWidth="1"/>
    <col min="8" max="8" width="12.42578125" style="133" bestFit="1" customWidth="1"/>
    <col min="9" max="9" width="40.7109375" style="133" bestFit="1" customWidth="1"/>
    <col min="10" max="10" width="14" style="133" customWidth="1"/>
    <col min="11" max="11" width="17.42578125" style="133" customWidth="1"/>
    <col min="12" max="16384" width="8.85546875" style="133"/>
  </cols>
  <sheetData>
    <row r="1" spans="1:9" ht="30" customHeight="1" thickBot="1" x14ac:dyDescent="0.3">
      <c r="A1" s="157" t="s">
        <v>271</v>
      </c>
      <c r="B1" s="157" t="s">
        <v>2</v>
      </c>
      <c r="C1" s="158" t="s">
        <v>125</v>
      </c>
      <c r="D1" s="159" t="s">
        <v>122</v>
      </c>
      <c r="E1" s="159" t="s">
        <v>6</v>
      </c>
      <c r="F1" s="160" t="s">
        <v>30</v>
      </c>
      <c r="G1" s="160" t="s">
        <v>31</v>
      </c>
      <c r="H1" s="171"/>
      <c r="I1" s="171"/>
    </row>
    <row r="2" spans="1:9" ht="26.1" customHeight="1" x14ac:dyDescent="0.25">
      <c r="A2" s="161">
        <v>13</v>
      </c>
      <c r="B2" s="162" t="s">
        <v>575</v>
      </c>
      <c r="C2" s="162" t="s">
        <v>389</v>
      </c>
      <c r="D2" s="163">
        <v>13165</v>
      </c>
      <c r="E2" s="163">
        <v>160.52099999999999</v>
      </c>
      <c r="F2" s="164">
        <v>-2.6963176386230736</v>
      </c>
      <c r="G2" s="224">
        <v>25.44064711283221</v>
      </c>
      <c r="H2" s="171"/>
      <c r="I2" s="171"/>
    </row>
    <row r="3" spans="1:9" s="152" customFormat="1" ht="26.1" customHeight="1" x14ac:dyDescent="0.25">
      <c r="A3" s="165">
        <v>14</v>
      </c>
      <c r="B3" s="149" t="s">
        <v>579</v>
      </c>
      <c r="C3" s="149" t="s">
        <v>280</v>
      </c>
      <c r="D3" s="150">
        <v>14161</v>
      </c>
      <c r="E3" s="150">
        <v>175.798</v>
      </c>
      <c r="F3" s="151">
        <v>-2.3114515380870455</v>
      </c>
      <c r="G3" s="225">
        <v>25.275009028535152</v>
      </c>
      <c r="H3" s="170"/>
      <c r="I3" s="170"/>
    </row>
    <row r="4" spans="1:9" ht="26.1" customHeight="1" x14ac:dyDescent="0.25">
      <c r="A4" s="165">
        <v>15</v>
      </c>
      <c r="B4" s="149" t="s">
        <v>585</v>
      </c>
      <c r="C4" s="149" t="s">
        <v>586</v>
      </c>
      <c r="D4" s="150">
        <v>14122</v>
      </c>
      <c r="E4" s="150">
        <v>169.81700000000001</v>
      </c>
      <c r="F4" s="151">
        <v>-2.0294437319691472</v>
      </c>
      <c r="G4" s="225">
        <v>25.172704820311356</v>
      </c>
      <c r="H4" s="215"/>
      <c r="I4" s="215"/>
    </row>
    <row r="5" spans="1:9" ht="26.1" customHeight="1" x14ac:dyDescent="0.25">
      <c r="A5" s="165">
        <v>16</v>
      </c>
      <c r="B5" s="149" t="s">
        <v>593</v>
      </c>
      <c r="C5" s="149" t="s">
        <v>420</v>
      </c>
      <c r="D5" s="150">
        <v>9853</v>
      </c>
      <c r="E5" s="150">
        <v>122.736</v>
      </c>
      <c r="F5" s="151">
        <v>-2.232598986421265</v>
      </c>
      <c r="G5" s="225">
        <v>25.295881623172537</v>
      </c>
      <c r="H5" s="215"/>
      <c r="I5" s="215"/>
    </row>
    <row r="6" spans="1:9" ht="26.1" customHeight="1" x14ac:dyDescent="0.25">
      <c r="A6" s="165">
        <v>17</v>
      </c>
      <c r="B6" s="149" t="s">
        <v>600</v>
      </c>
      <c r="C6" s="149" t="s">
        <v>601</v>
      </c>
      <c r="D6" s="150">
        <v>13918</v>
      </c>
      <c r="E6" s="150">
        <v>165.69</v>
      </c>
      <c r="F6" s="151">
        <v>-2.6998830193058296</v>
      </c>
      <c r="G6" s="225">
        <v>25.30968330500529</v>
      </c>
      <c r="H6" s="171"/>
      <c r="I6" s="171"/>
    </row>
    <row r="7" spans="1:9" ht="26.1" customHeight="1" x14ac:dyDescent="0.25">
      <c r="A7" s="165">
        <v>18</v>
      </c>
      <c r="B7" s="149" t="s">
        <v>607</v>
      </c>
      <c r="C7" s="149" t="s">
        <v>608</v>
      </c>
      <c r="D7" s="150">
        <v>16023</v>
      </c>
      <c r="E7" s="150">
        <v>197.922</v>
      </c>
      <c r="F7" s="151">
        <v>-3.1309658398843263</v>
      </c>
      <c r="G7" s="225">
        <v>25.334855436326617</v>
      </c>
      <c r="H7" s="171"/>
      <c r="I7" s="171"/>
    </row>
    <row r="8" spans="1:9" ht="26.1" customHeight="1" x14ac:dyDescent="0.25">
      <c r="A8" s="165">
        <v>19</v>
      </c>
      <c r="B8" s="149" t="s">
        <v>616</v>
      </c>
      <c r="C8" s="149" t="s">
        <v>617</v>
      </c>
      <c r="D8" s="150">
        <v>16894</v>
      </c>
      <c r="E8" s="150">
        <v>199.095</v>
      </c>
      <c r="F8" s="151">
        <v>-3.2271781890390399</v>
      </c>
      <c r="G8" s="225">
        <v>25.485705720210753</v>
      </c>
      <c r="H8" s="171"/>
      <c r="I8" s="171"/>
    </row>
    <row r="9" spans="1:9" ht="26.1" customHeight="1" x14ac:dyDescent="0.25">
      <c r="A9" s="165">
        <v>20</v>
      </c>
      <c r="B9" s="149" t="s">
        <v>625</v>
      </c>
      <c r="C9" s="149" t="s">
        <v>420</v>
      </c>
      <c r="D9" s="150">
        <v>8817</v>
      </c>
      <c r="E9" s="150">
        <v>109.331</v>
      </c>
      <c r="F9" s="151">
        <v>-2.8911768825477235</v>
      </c>
      <c r="G9" s="225">
        <v>25.389915464221847</v>
      </c>
      <c r="H9" s="171"/>
      <c r="I9" s="171"/>
    </row>
    <row r="10" spans="1:9" ht="26.1" customHeight="1" x14ac:dyDescent="0.25">
      <c r="A10" s="165">
        <v>21</v>
      </c>
      <c r="B10" s="149" t="s">
        <v>631</v>
      </c>
      <c r="C10" s="149" t="s">
        <v>632</v>
      </c>
      <c r="D10" s="150">
        <v>12579</v>
      </c>
      <c r="E10" s="150">
        <v>150.47</v>
      </c>
      <c r="F10" s="151">
        <v>-2.9792192049358306</v>
      </c>
      <c r="G10" s="225">
        <v>25.27809071125899</v>
      </c>
      <c r="H10" s="171"/>
      <c r="I10" s="171"/>
    </row>
    <row r="11" spans="1:9" ht="26.1" customHeight="1" x14ac:dyDescent="0.25">
      <c r="A11" s="165">
        <v>22</v>
      </c>
      <c r="B11" s="149" t="s">
        <v>639</v>
      </c>
      <c r="C11" s="149" t="s">
        <v>414</v>
      </c>
      <c r="D11" s="150">
        <v>16356</v>
      </c>
      <c r="E11" s="150">
        <v>201.07</v>
      </c>
      <c r="F11" s="151">
        <v>-2.7922401848774041</v>
      </c>
      <c r="G11" s="225">
        <v>25.213369406623592</v>
      </c>
      <c r="H11" s="215"/>
      <c r="I11" s="215"/>
    </row>
    <row r="12" spans="1:9" ht="26.1" customHeight="1" x14ac:dyDescent="0.25">
      <c r="A12" s="165">
        <v>25</v>
      </c>
      <c r="B12" s="149" t="s">
        <v>659</v>
      </c>
      <c r="C12" s="149" t="s">
        <v>375</v>
      </c>
      <c r="D12" s="150">
        <v>15280</v>
      </c>
      <c r="E12" s="150">
        <v>189.66900000000001</v>
      </c>
      <c r="F12" s="151">
        <v>-3.0708742022300206</v>
      </c>
      <c r="G12" s="225">
        <v>25.189516078365621</v>
      </c>
      <c r="H12" s="215"/>
      <c r="I12" s="215"/>
    </row>
    <row r="13" spans="1:9" ht="26.1" customHeight="1" x14ac:dyDescent="0.25">
      <c r="A13" s="165">
        <v>26</v>
      </c>
      <c r="B13" s="149" t="s">
        <v>664</v>
      </c>
      <c r="C13" s="149" t="s">
        <v>420</v>
      </c>
      <c r="D13" s="150">
        <v>9433</v>
      </c>
      <c r="E13" s="150">
        <v>114.142</v>
      </c>
      <c r="F13" s="151">
        <v>-3.1451404217452392</v>
      </c>
      <c r="G13" s="225">
        <v>25.173814763161062</v>
      </c>
      <c r="H13" s="171"/>
      <c r="I13" s="171"/>
    </row>
    <row r="14" spans="1:9" ht="26.1" customHeight="1" x14ac:dyDescent="0.25">
      <c r="A14" s="165">
        <v>27</v>
      </c>
      <c r="B14" s="149" t="s">
        <v>670</v>
      </c>
      <c r="C14" s="149" t="s">
        <v>671</v>
      </c>
      <c r="D14" s="150">
        <v>9115</v>
      </c>
      <c r="E14" s="150">
        <v>113.502</v>
      </c>
      <c r="F14" s="151">
        <v>-3.3425680438745267</v>
      </c>
      <c r="G14" s="225">
        <v>25.256191717857355</v>
      </c>
      <c r="H14" s="171"/>
      <c r="I14" s="171"/>
    </row>
    <row r="15" spans="1:9" ht="26.1" customHeight="1" x14ac:dyDescent="0.25">
      <c r="A15" s="165">
        <v>28</v>
      </c>
      <c r="B15" s="149" t="s">
        <v>677</v>
      </c>
      <c r="C15" s="149" t="s">
        <v>678</v>
      </c>
      <c r="D15" s="150">
        <v>12495</v>
      </c>
      <c r="E15" s="150">
        <v>148.44499999999999</v>
      </c>
      <c r="F15" s="151">
        <v>-3.2991275953673158</v>
      </c>
      <c r="G15" s="225">
        <v>25.411534982766163</v>
      </c>
      <c r="H15" s="171"/>
      <c r="I15" s="171"/>
    </row>
    <row r="16" spans="1:9" ht="26.1" customHeight="1" x14ac:dyDescent="0.25">
      <c r="A16" s="165">
        <v>29</v>
      </c>
      <c r="B16" s="149" t="s">
        <v>685</v>
      </c>
      <c r="C16" s="149" t="s">
        <v>397</v>
      </c>
      <c r="D16" s="150">
        <v>8240</v>
      </c>
      <c r="E16" s="150">
        <v>102.55800000000001</v>
      </c>
      <c r="F16" s="151">
        <v>-3.0097145201365976</v>
      </c>
      <c r="G16" s="225">
        <v>25.28088943812196</v>
      </c>
      <c r="H16" s="171"/>
      <c r="I16" s="171"/>
    </row>
    <row r="17" spans="1:9" s="152" customFormat="1" ht="26.1" customHeight="1" x14ac:dyDescent="0.25">
      <c r="A17" s="165">
        <v>30</v>
      </c>
      <c r="B17" s="149" t="s">
        <v>691</v>
      </c>
      <c r="C17" s="149" t="s">
        <v>432</v>
      </c>
      <c r="D17" s="150">
        <v>14501</v>
      </c>
      <c r="E17" s="150">
        <v>170.489</v>
      </c>
      <c r="F17" s="151">
        <v>-2.7970356178706721</v>
      </c>
      <c r="G17" s="225">
        <v>25.200553346084796</v>
      </c>
      <c r="H17" s="170"/>
      <c r="I17" s="170"/>
    </row>
    <row r="18" spans="1:9" s="152" customFormat="1" ht="26.1" customHeight="1" x14ac:dyDescent="0.25">
      <c r="A18" s="165">
        <v>31</v>
      </c>
      <c r="B18" s="149" t="s">
        <v>697</v>
      </c>
      <c r="C18" s="149" t="s">
        <v>698</v>
      </c>
      <c r="D18" s="150">
        <v>8447</v>
      </c>
      <c r="E18" s="150">
        <v>105.161</v>
      </c>
      <c r="F18" s="151">
        <v>-2.8176569055009879</v>
      </c>
      <c r="G18" s="225">
        <v>25.062078527145893</v>
      </c>
      <c r="H18" s="170"/>
      <c r="I18" s="170"/>
    </row>
    <row r="19" spans="1:9" ht="26.1" customHeight="1" x14ac:dyDescent="0.25">
      <c r="A19" s="165">
        <v>32</v>
      </c>
      <c r="B19" s="149" t="s">
        <v>704</v>
      </c>
      <c r="C19" s="149" t="s">
        <v>278</v>
      </c>
      <c r="D19" s="150">
        <v>10609</v>
      </c>
      <c r="E19" s="150">
        <v>126.03400000000001</v>
      </c>
      <c r="F19" s="151">
        <v>-2.9242111931590604</v>
      </c>
      <c r="G19" s="225">
        <v>25.075292913949301</v>
      </c>
      <c r="H19" s="171"/>
      <c r="I19" s="171"/>
    </row>
    <row r="20" spans="1:9" s="152" customFormat="1" ht="26.1" customHeight="1" x14ac:dyDescent="0.25">
      <c r="A20" s="165">
        <v>33</v>
      </c>
      <c r="B20" s="149" t="s">
        <v>711</v>
      </c>
      <c r="C20" s="149" t="s">
        <v>412</v>
      </c>
      <c r="D20" s="150">
        <v>12377</v>
      </c>
      <c r="E20" s="150">
        <v>152.886</v>
      </c>
      <c r="F20" s="151">
        <v>-2.9944258071253258</v>
      </c>
      <c r="G20" s="225">
        <v>25.059808415537962</v>
      </c>
      <c r="H20" s="170"/>
      <c r="I20" s="170"/>
    </row>
    <row r="21" spans="1:9" ht="26.1" customHeight="1" x14ac:dyDescent="0.25">
      <c r="A21" s="165">
        <v>34</v>
      </c>
      <c r="B21" s="149" t="s">
        <v>716</v>
      </c>
      <c r="C21" s="149" t="s">
        <v>476</v>
      </c>
      <c r="D21" s="150">
        <v>9897</v>
      </c>
      <c r="E21" s="150">
        <v>120.197</v>
      </c>
      <c r="F21" s="151">
        <v>-3.5302482259502668</v>
      </c>
      <c r="G21" s="225">
        <v>25.181953846772668</v>
      </c>
      <c r="H21" s="171"/>
      <c r="I21" s="171"/>
    </row>
    <row r="22" spans="1:9" ht="26.1" customHeight="1" x14ac:dyDescent="0.25">
      <c r="A22" s="165">
        <v>37</v>
      </c>
      <c r="B22" s="149" t="s">
        <v>740</v>
      </c>
      <c r="C22" s="149" t="s">
        <v>741</v>
      </c>
      <c r="D22" s="150">
        <v>15634</v>
      </c>
      <c r="E22" s="150">
        <v>187.24700000000001</v>
      </c>
      <c r="F22" s="151">
        <v>-3.8896631917682889</v>
      </c>
      <c r="G22" s="225">
        <v>25.33144653926805</v>
      </c>
      <c r="H22" s="171"/>
      <c r="I22" s="171"/>
    </row>
    <row r="23" spans="1:9" ht="26.1" customHeight="1" x14ac:dyDescent="0.25">
      <c r="A23" s="165">
        <v>38</v>
      </c>
      <c r="B23" s="149" t="s">
        <v>747</v>
      </c>
      <c r="C23" s="149" t="s">
        <v>503</v>
      </c>
      <c r="D23" s="150">
        <v>15144</v>
      </c>
      <c r="E23" s="150">
        <v>187.40700000000001</v>
      </c>
      <c r="F23" s="151">
        <v>-3.1324526897648983</v>
      </c>
      <c r="G23" s="225">
        <v>25.598246068048486</v>
      </c>
      <c r="H23" s="171"/>
      <c r="I23" s="171"/>
    </row>
    <row r="24" spans="1:9" ht="26.1" customHeight="1" x14ac:dyDescent="0.25">
      <c r="A24" s="165">
        <v>39</v>
      </c>
      <c r="B24" s="149" t="s">
        <v>755</v>
      </c>
      <c r="C24" s="149" t="s">
        <v>756</v>
      </c>
      <c r="D24" s="150">
        <v>14782</v>
      </c>
      <c r="E24" s="150">
        <v>176.13</v>
      </c>
      <c r="F24" s="151">
        <v>-2.7137231203192185</v>
      </c>
      <c r="G24" s="225">
        <v>25.441557643906499</v>
      </c>
      <c r="H24" s="171"/>
      <c r="I24" s="171"/>
    </row>
    <row r="25" spans="1:9" ht="26.1" customHeight="1" x14ac:dyDescent="0.25">
      <c r="A25" s="165">
        <v>40</v>
      </c>
      <c r="B25" s="149" t="s">
        <v>761</v>
      </c>
      <c r="C25" s="149" t="s">
        <v>762</v>
      </c>
      <c r="D25" s="150">
        <v>16004</v>
      </c>
      <c r="E25" s="150">
        <v>197.61</v>
      </c>
      <c r="F25" s="151">
        <v>-2.3219411955687939</v>
      </c>
      <c r="G25" s="225">
        <v>25.313612363453107</v>
      </c>
      <c r="H25" s="171"/>
      <c r="I25" s="171"/>
    </row>
    <row r="26" spans="1:9" s="153" customFormat="1" ht="26.1" customHeight="1" x14ac:dyDescent="0.25">
      <c r="A26" s="165">
        <v>41</v>
      </c>
      <c r="B26" s="149" t="s">
        <v>769</v>
      </c>
      <c r="C26" s="149" t="s">
        <v>732</v>
      </c>
      <c r="D26" s="150">
        <v>16700</v>
      </c>
      <c r="E26" s="150">
        <v>199.35499999999999</v>
      </c>
      <c r="F26" s="151">
        <v>-2.5068525524337995</v>
      </c>
      <c r="G26" s="225">
        <v>25.273068120406833</v>
      </c>
      <c r="H26" s="172"/>
      <c r="I26" s="172"/>
    </row>
    <row r="27" spans="1:9" ht="26.1" customHeight="1" x14ac:dyDescent="0.25">
      <c r="A27" s="165">
        <v>42</v>
      </c>
      <c r="B27" s="149" t="s">
        <v>773</v>
      </c>
      <c r="C27" s="149" t="s">
        <v>534</v>
      </c>
      <c r="D27" s="150">
        <v>11262</v>
      </c>
      <c r="E27" s="150">
        <v>138.96100000000001</v>
      </c>
      <c r="F27" s="151">
        <v>-2.4809298842466316</v>
      </c>
      <c r="G27" s="225">
        <v>25.15723524048671</v>
      </c>
      <c r="H27" s="171"/>
      <c r="I27" s="171"/>
    </row>
    <row r="28" spans="1:9" ht="26.1" customHeight="1" x14ac:dyDescent="0.25">
      <c r="A28" s="165">
        <v>43</v>
      </c>
      <c r="B28" s="149" t="s">
        <v>780</v>
      </c>
      <c r="C28" s="149" t="s">
        <v>281</v>
      </c>
      <c r="D28" s="150">
        <v>11526</v>
      </c>
      <c r="E28" s="150">
        <v>140.66800000000001</v>
      </c>
      <c r="F28" s="151">
        <v>-2.9015298899118611</v>
      </c>
      <c r="G28" s="225">
        <v>25.256875486413968</v>
      </c>
      <c r="H28" s="171"/>
      <c r="I28" s="171"/>
    </row>
    <row r="29" spans="1:9" ht="26.1" customHeight="1" x14ac:dyDescent="0.25">
      <c r="A29" s="165">
        <v>44</v>
      </c>
      <c r="B29" s="149" t="s">
        <v>787</v>
      </c>
      <c r="C29" s="149" t="s">
        <v>788</v>
      </c>
      <c r="D29" s="150">
        <v>9374</v>
      </c>
      <c r="E29" s="150">
        <v>115.27800000000001</v>
      </c>
      <c r="F29" s="151">
        <v>-2.6249534731519581</v>
      </c>
      <c r="G29" s="225">
        <v>24.99030570386855</v>
      </c>
      <c r="H29" s="171"/>
      <c r="I29" s="171"/>
    </row>
    <row r="30" spans="1:9" ht="26.1" customHeight="1" x14ac:dyDescent="0.25">
      <c r="A30" s="165">
        <v>45</v>
      </c>
      <c r="B30" s="149" t="s">
        <v>795</v>
      </c>
      <c r="C30" s="149" t="s">
        <v>476</v>
      </c>
      <c r="D30" s="150">
        <v>11731</v>
      </c>
      <c r="E30" s="150">
        <v>144.333</v>
      </c>
      <c r="F30" s="151">
        <v>-3.2152298569587012</v>
      </c>
      <c r="G30" s="225">
        <v>25.195772436337005</v>
      </c>
      <c r="H30" s="171"/>
      <c r="I30" s="171"/>
    </row>
    <row r="31" spans="1:9" ht="26.1" customHeight="1" x14ac:dyDescent="0.25">
      <c r="A31" s="165">
        <v>46</v>
      </c>
      <c r="B31" s="149" t="s">
        <v>802</v>
      </c>
      <c r="C31" s="149" t="s">
        <v>803</v>
      </c>
      <c r="D31" s="150">
        <v>13396</v>
      </c>
      <c r="E31" s="150">
        <v>160.30199999999999</v>
      </c>
      <c r="F31" s="151">
        <v>-3.3093169848439459</v>
      </c>
      <c r="G31" s="225">
        <v>25.452547172148265</v>
      </c>
      <c r="H31" s="171"/>
      <c r="I31" s="171"/>
    </row>
    <row r="32" spans="1:9" ht="26.1" customHeight="1" x14ac:dyDescent="0.25">
      <c r="A32" s="165">
        <v>49</v>
      </c>
      <c r="B32" s="149" t="s">
        <v>824</v>
      </c>
      <c r="C32" s="149" t="s">
        <v>357</v>
      </c>
      <c r="D32" s="150">
        <v>12882</v>
      </c>
      <c r="E32" s="150">
        <v>159.92699999999999</v>
      </c>
      <c r="F32" s="151">
        <v>-2.8267249187547501</v>
      </c>
      <c r="G32" s="225">
        <v>25.575291833281675</v>
      </c>
      <c r="H32" s="171"/>
      <c r="I32" s="171"/>
    </row>
    <row r="33" spans="1:9" ht="26.1" customHeight="1" x14ac:dyDescent="0.25">
      <c r="A33" s="165">
        <v>50</v>
      </c>
      <c r="B33" s="149" t="s">
        <v>830</v>
      </c>
      <c r="C33" s="149" t="s">
        <v>336</v>
      </c>
      <c r="D33" s="150">
        <v>17276</v>
      </c>
      <c r="E33" s="150">
        <v>203.298</v>
      </c>
      <c r="F33" s="151">
        <v>-2.9529624584051666</v>
      </c>
      <c r="G33" s="225">
        <v>25.400884106442252</v>
      </c>
      <c r="H33" s="171"/>
      <c r="I33" s="171"/>
    </row>
    <row r="34" spans="1:9" ht="26.1" customHeight="1" x14ac:dyDescent="0.25">
      <c r="A34" s="165">
        <v>51</v>
      </c>
      <c r="B34" s="149" t="s">
        <v>839</v>
      </c>
      <c r="C34" s="149" t="s">
        <v>840</v>
      </c>
      <c r="D34" s="150">
        <v>17111</v>
      </c>
      <c r="E34" s="150">
        <v>212.048</v>
      </c>
      <c r="F34" s="151">
        <v>-2.1621203298124287</v>
      </c>
      <c r="G34" s="225">
        <v>25.356059720874743</v>
      </c>
      <c r="H34" s="171"/>
      <c r="I34" s="171"/>
    </row>
    <row r="35" spans="1:9" ht="26.1" customHeight="1" x14ac:dyDescent="0.25">
      <c r="A35" s="165">
        <v>52</v>
      </c>
      <c r="B35" s="149" t="s">
        <v>846</v>
      </c>
      <c r="C35" s="149" t="s">
        <v>220</v>
      </c>
      <c r="D35" s="150">
        <v>11279</v>
      </c>
      <c r="E35" s="150">
        <v>136.523</v>
      </c>
      <c r="F35" s="151">
        <v>-2.6338182218714254</v>
      </c>
      <c r="G35" s="225">
        <v>25.374667176766433</v>
      </c>
      <c r="H35" s="171"/>
      <c r="I35" s="171"/>
    </row>
    <row r="36" spans="1:9" ht="26.1" customHeight="1" x14ac:dyDescent="0.25">
      <c r="A36" s="165">
        <v>53</v>
      </c>
      <c r="B36" s="149" t="s">
        <v>853</v>
      </c>
      <c r="C36" s="149" t="s">
        <v>284</v>
      </c>
      <c r="D36" s="150">
        <v>12016</v>
      </c>
      <c r="E36" s="150">
        <v>146.054</v>
      </c>
      <c r="F36" s="151">
        <v>-2.8166116025394707</v>
      </c>
      <c r="G36" s="225">
        <v>25.304833769758734</v>
      </c>
      <c r="H36" s="171"/>
      <c r="I36" s="171"/>
    </row>
    <row r="37" spans="1:9" ht="26.1" customHeight="1" x14ac:dyDescent="0.25">
      <c r="A37" s="165">
        <v>54</v>
      </c>
      <c r="B37" s="149" t="s">
        <v>860</v>
      </c>
      <c r="C37" s="149" t="s">
        <v>788</v>
      </c>
      <c r="D37" s="150">
        <v>9851</v>
      </c>
      <c r="E37" s="150">
        <v>122.31699999999999</v>
      </c>
      <c r="F37" s="151">
        <v>-2.7889275767244253</v>
      </c>
      <c r="G37" s="225">
        <v>25.439792775101122</v>
      </c>
      <c r="H37" s="171"/>
      <c r="I37" s="171"/>
    </row>
    <row r="38" spans="1:9" ht="26.1" customHeight="1" x14ac:dyDescent="0.25">
      <c r="A38" s="165">
        <v>55</v>
      </c>
      <c r="B38" s="149" t="s">
        <v>867</v>
      </c>
      <c r="C38" s="149" t="s">
        <v>428</v>
      </c>
      <c r="D38" s="150">
        <v>13793</v>
      </c>
      <c r="E38" s="150">
        <v>164.91499999999999</v>
      </c>
      <c r="F38" s="151">
        <v>-2.9493385133862908</v>
      </c>
      <c r="G38" s="225">
        <v>25.185052437228098</v>
      </c>
      <c r="H38" s="171"/>
      <c r="I38" s="171"/>
    </row>
    <row r="39" spans="1:9" ht="26.1" customHeight="1" x14ac:dyDescent="0.25">
      <c r="A39" s="165">
        <v>56</v>
      </c>
      <c r="B39" s="149" t="s">
        <v>875</v>
      </c>
      <c r="C39" s="149" t="s">
        <v>876</v>
      </c>
      <c r="D39" s="150">
        <v>13628</v>
      </c>
      <c r="E39" s="150">
        <v>169.03399999999999</v>
      </c>
      <c r="F39" s="151">
        <v>-2.8216829520441444</v>
      </c>
      <c r="G39" s="225">
        <v>25.344156677841351</v>
      </c>
      <c r="H39" s="171"/>
      <c r="I39" s="171"/>
    </row>
    <row r="40" spans="1:9" ht="26.1" customHeight="1" x14ac:dyDescent="0.25">
      <c r="A40" s="165">
        <v>57</v>
      </c>
      <c r="B40" s="149" t="s">
        <v>882</v>
      </c>
      <c r="C40" s="149" t="s">
        <v>883</v>
      </c>
      <c r="D40" s="150">
        <v>20700</v>
      </c>
      <c r="E40" s="150">
        <v>245.58699999999999</v>
      </c>
      <c r="F40" s="151">
        <v>-2.707925049791434</v>
      </c>
      <c r="G40" s="225">
        <v>25.306092898475335</v>
      </c>
      <c r="H40" s="171"/>
      <c r="I40" s="171"/>
    </row>
    <row r="41" spans="1:9" ht="26.1" customHeight="1" x14ac:dyDescent="0.25">
      <c r="A41" s="165">
        <v>58</v>
      </c>
      <c r="B41" s="149" t="s">
        <v>888</v>
      </c>
      <c r="C41" s="149" t="s">
        <v>269</v>
      </c>
      <c r="D41" s="150">
        <v>13605</v>
      </c>
      <c r="E41" s="150">
        <v>168.40899999999999</v>
      </c>
      <c r="F41" s="151">
        <v>-2.6700101765848423</v>
      </c>
      <c r="G41" s="225">
        <v>25.152030642876934</v>
      </c>
      <c r="H41" s="171"/>
      <c r="I41" s="171"/>
    </row>
    <row r="42" spans="1:9" ht="26.1" customHeight="1" x14ac:dyDescent="0.25">
      <c r="A42" s="165">
        <v>61</v>
      </c>
      <c r="B42" s="149" t="s">
        <v>906</v>
      </c>
      <c r="C42" s="149" t="s">
        <v>907</v>
      </c>
      <c r="D42" s="150">
        <v>19919</v>
      </c>
      <c r="E42" s="150">
        <v>243.79599999999999</v>
      </c>
      <c r="F42" s="151">
        <v>-3.037003488247858</v>
      </c>
      <c r="G42" s="225">
        <v>25.229957383163736</v>
      </c>
      <c r="H42" s="171"/>
      <c r="I42" s="171"/>
    </row>
    <row r="43" spans="1:9" ht="26.1" customHeight="1" x14ac:dyDescent="0.25">
      <c r="A43" s="165">
        <v>62</v>
      </c>
      <c r="B43" s="149" t="s">
        <v>912</v>
      </c>
      <c r="C43" s="149" t="s">
        <v>913</v>
      </c>
      <c r="D43" s="150">
        <v>17833</v>
      </c>
      <c r="E43" s="150">
        <v>215.066</v>
      </c>
      <c r="F43" s="151">
        <v>-3.0334286487204363</v>
      </c>
      <c r="G43" s="225">
        <v>25.329915892273704</v>
      </c>
      <c r="H43" s="171"/>
      <c r="I43" s="171"/>
    </row>
    <row r="44" spans="1:9" ht="26.1" customHeight="1" x14ac:dyDescent="0.25">
      <c r="A44" s="165">
        <v>63</v>
      </c>
      <c r="B44" s="149" t="s">
        <v>919</v>
      </c>
      <c r="C44" s="149" t="s">
        <v>920</v>
      </c>
      <c r="D44" s="150">
        <v>19584</v>
      </c>
      <c r="E44" s="150">
        <v>242.77799999999999</v>
      </c>
      <c r="F44" s="151">
        <v>-3.0510118359450797</v>
      </c>
      <c r="G44" s="225">
        <v>25.364823893268646</v>
      </c>
      <c r="H44" s="171"/>
      <c r="I44" s="171"/>
    </row>
    <row r="45" spans="1:9" ht="26.1" customHeight="1" x14ac:dyDescent="0.25">
      <c r="A45" s="165">
        <v>64</v>
      </c>
      <c r="B45" s="149" t="s">
        <v>925</v>
      </c>
      <c r="C45" s="149" t="s">
        <v>926</v>
      </c>
      <c r="D45" s="150">
        <v>16667</v>
      </c>
      <c r="E45" s="150">
        <v>196.74199999999999</v>
      </c>
      <c r="F45" s="151">
        <v>-2.9118414393610825</v>
      </c>
      <c r="G45" s="225">
        <v>25.444321560733858</v>
      </c>
      <c r="H45" s="171"/>
      <c r="I45" s="171"/>
    </row>
    <row r="46" spans="1:9" ht="26.1" customHeight="1" x14ac:dyDescent="0.25">
      <c r="A46" s="165">
        <v>65</v>
      </c>
      <c r="B46" s="149" t="s">
        <v>933</v>
      </c>
      <c r="C46" s="149" t="s">
        <v>934</v>
      </c>
      <c r="D46" s="150">
        <v>12078</v>
      </c>
      <c r="E46" s="150">
        <v>149.471</v>
      </c>
      <c r="F46" s="151">
        <v>-2.5543802280964689</v>
      </c>
      <c r="G46" s="225">
        <v>25.437513712341179</v>
      </c>
      <c r="H46" s="171"/>
      <c r="I46" s="171"/>
    </row>
    <row r="47" spans="1:9" ht="26.1" customHeight="1" x14ac:dyDescent="0.25">
      <c r="A47" s="165">
        <v>66</v>
      </c>
      <c r="B47" s="149" t="s">
        <v>940</v>
      </c>
      <c r="C47" s="149" t="s">
        <v>220</v>
      </c>
      <c r="D47" s="150">
        <v>13638</v>
      </c>
      <c r="E47" s="150">
        <v>160.73699999999999</v>
      </c>
      <c r="F47" s="151">
        <v>-2.4583035227992962</v>
      </c>
      <c r="G47" s="225">
        <v>24.865358064767317</v>
      </c>
      <c r="H47" s="171"/>
      <c r="I47" s="171"/>
    </row>
    <row r="48" spans="1:9" ht="26.1" customHeight="1" x14ac:dyDescent="0.25">
      <c r="A48" s="165">
        <v>67</v>
      </c>
      <c r="B48" s="149" t="s">
        <v>945</v>
      </c>
      <c r="C48" s="149" t="s">
        <v>946</v>
      </c>
      <c r="D48" s="150">
        <v>15760</v>
      </c>
      <c r="E48" s="150">
        <v>194.35</v>
      </c>
      <c r="F48" s="151">
        <v>-2.3601764619819194</v>
      </c>
      <c r="G48" s="225">
        <v>25.22619789931796</v>
      </c>
      <c r="H48" s="171"/>
      <c r="I48" s="171"/>
    </row>
    <row r="49" spans="1:9" ht="26.1" customHeight="1" x14ac:dyDescent="0.25">
      <c r="A49" s="165">
        <v>68</v>
      </c>
      <c r="B49" s="149" t="s">
        <v>952</v>
      </c>
      <c r="C49" s="149" t="s">
        <v>402</v>
      </c>
      <c r="D49" s="150">
        <v>19172</v>
      </c>
      <c r="E49" s="150">
        <v>227.77600000000001</v>
      </c>
      <c r="F49" s="151">
        <v>-2.7042363016240007</v>
      </c>
      <c r="G49" s="225">
        <v>24.88685127261099</v>
      </c>
      <c r="H49" s="171"/>
      <c r="I49" s="171"/>
    </row>
    <row r="50" spans="1:9" ht="26.1" customHeight="1" x14ac:dyDescent="0.25">
      <c r="A50" s="165">
        <v>69</v>
      </c>
      <c r="B50" s="149" t="s">
        <v>958</v>
      </c>
      <c r="C50" s="149" t="s">
        <v>678</v>
      </c>
      <c r="D50" s="150">
        <v>14731</v>
      </c>
      <c r="E50" s="150">
        <v>181.60599999999999</v>
      </c>
      <c r="F50" s="151">
        <v>-2.7872738889241195</v>
      </c>
      <c r="G50" s="225">
        <v>25.062862747519546</v>
      </c>
      <c r="H50" s="171"/>
      <c r="I50" s="171"/>
    </row>
    <row r="51" spans="1:9" ht="26.1" customHeight="1" x14ac:dyDescent="0.25">
      <c r="A51" s="165">
        <v>70</v>
      </c>
      <c r="B51" s="149" t="s">
        <v>965</v>
      </c>
      <c r="C51" s="149" t="s">
        <v>280</v>
      </c>
      <c r="D51" s="150">
        <v>12772</v>
      </c>
      <c r="E51" s="150">
        <v>155.61000000000001</v>
      </c>
      <c r="F51" s="151">
        <v>-3.1793862694817849</v>
      </c>
      <c r="G51" s="225">
        <v>25.215263072560724</v>
      </c>
      <c r="H51" s="171"/>
      <c r="I51" s="171"/>
    </row>
    <row r="52" spans="1:9" ht="26.1" customHeight="1" x14ac:dyDescent="0.25">
      <c r="A52" s="165">
        <v>73</v>
      </c>
      <c r="B52" s="149" t="s">
        <v>982</v>
      </c>
      <c r="C52" s="149" t="s">
        <v>420</v>
      </c>
      <c r="D52" s="150">
        <v>12388</v>
      </c>
      <c r="E52" s="150">
        <v>149.55500000000001</v>
      </c>
      <c r="F52" s="151">
        <v>-3.5284399766030905</v>
      </c>
      <c r="G52" s="225">
        <v>25.484443607776811</v>
      </c>
      <c r="H52" s="171"/>
      <c r="I52" s="171"/>
    </row>
    <row r="53" spans="1:9" ht="26.1" customHeight="1" x14ac:dyDescent="0.25">
      <c r="A53" s="165"/>
      <c r="B53" s="222" t="s">
        <v>1661</v>
      </c>
      <c r="C53" s="221" t="s">
        <v>1662</v>
      </c>
      <c r="D53" s="221"/>
      <c r="E53" s="221"/>
      <c r="F53" s="221"/>
      <c r="G53" s="226"/>
      <c r="H53" s="171"/>
      <c r="I53" s="171"/>
    </row>
    <row r="54" spans="1:9" ht="26.1" customHeight="1" x14ac:dyDescent="0.25">
      <c r="A54" s="165">
        <v>75</v>
      </c>
      <c r="B54" s="149" t="s">
        <v>993</v>
      </c>
      <c r="C54" s="149" t="s">
        <v>994</v>
      </c>
      <c r="D54" s="150">
        <v>20009</v>
      </c>
      <c r="E54" s="150">
        <v>237.33099999999999</v>
      </c>
      <c r="F54" s="151">
        <v>-2.5531859986444778</v>
      </c>
      <c r="G54" s="225">
        <v>25.47580325965243</v>
      </c>
      <c r="H54" s="171"/>
      <c r="I54" s="171"/>
    </row>
    <row r="55" spans="1:9" ht="26.1" customHeight="1" x14ac:dyDescent="0.25">
      <c r="A55" s="165">
        <v>76</v>
      </c>
      <c r="B55" s="149" t="s">
        <v>999</v>
      </c>
      <c r="C55" s="149" t="s">
        <v>412</v>
      </c>
      <c r="D55" s="150">
        <v>15783</v>
      </c>
      <c r="E55" s="150">
        <v>195.19499999999999</v>
      </c>
      <c r="F55" s="151">
        <v>-2.2442949484758539</v>
      </c>
      <c r="G55" s="225">
        <v>25.306410167085598</v>
      </c>
      <c r="H55" s="171"/>
      <c r="I55" s="171"/>
    </row>
    <row r="56" spans="1:9" ht="26.1" customHeight="1" x14ac:dyDescent="0.25">
      <c r="A56" s="165">
        <v>77</v>
      </c>
      <c r="B56" s="149" t="s">
        <v>1005</v>
      </c>
      <c r="C56" s="149" t="s">
        <v>1006</v>
      </c>
      <c r="D56" s="150">
        <v>18318</v>
      </c>
      <c r="E56" s="150">
        <v>217.08199999999999</v>
      </c>
      <c r="F56" s="151">
        <v>-2.3496207938395282</v>
      </c>
      <c r="G56" s="225">
        <v>25.158661457374233</v>
      </c>
      <c r="H56" s="171"/>
      <c r="I56" s="171"/>
    </row>
    <row r="57" spans="1:9" ht="26.1" customHeight="1" x14ac:dyDescent="0.25">
      <c r="A57" s="165">
        <v>78</v>
      </c>
      <c r="B57" s="149" t="s">
        <v>1011</v>
      </c>
      <c r="C57" s="149" t="s">
        <v>428</v>
      </c>
      <c r="D57" s="150">
        <v>13262</v>
      </c>
      <c r="E57" s="150">
        <v>163.82</v>
      </c>
      <c r="F57" s="151">
        <v>-2.4870914159119781</v>
      </c>
      <c r="G57" s="225">
        <v>24.781936311716528</v>
      </c>
      <c r="H57" s="171"/>
      <c r="I57" s="171"/>
    </row>
    <row r="58" spans="1:9" ht="26.1" customHeight="1" x14ac:dyDescent="0.25">
      <c r="A58" s="165">
        <v>79</v>
      </c>
      <c r="B58" s="149" t="s">
        <v>1018</v>
      </c>
      <c r="C58" s="149" t="s">
        <v>632</v>
      </c>
      <c r="D58" s="150">
        <v>13946</v>
      </c>
      <c r="E58" s="150">
        <v>168.94300000000001</v>
      </c>
      <c r="F58" s="151">
        <v>-2.3771001463561792</v>
      </c>
      <c r="G58" s="225">
        <v>25.036814895159541</v>
      </c>
      <c r="H58" s="171"/>
      <c r="I58" s="171"/>
    </row>
    <row r="59" spans="1:9" ht="26.1" customHeight="1" x14ac:dyDescent="0.25">
      <c r="A59" s="165">
        <v>80</v>
      </c>
      <c r="B59" s="149" t="s">
        <v>1024</v>
      </c>
      <c r="C59" s="149" t="s">
        <v>310</v>
      </c>
      <c r="D59" s="150">
        <v>14698</v>
      </c>
      <c r="E59" s="150">
        <v>179.91</v>
      </c>
      <c r="F59" s="151">
        <v>-2.8721432720570701</v>
      </c>
      <c r="G59" s="225">
        <v>25.034847133575184</v>
      </c>
      <c r="H59" s="171"/>
      <c r="I59" s="171"/>
    </row>
    <row r="60" spans="1:9" ht="26.1" customHeight="1" x14ac:dyDescent="0.25">
      <c r="A60" s="165">
        <v>81</v>
      </c>
      <c r="B60" s="149" t="s">
        <v>1030</v>
      </c>
      <c r="C60" s="149" t="s">
        <v>1031</v>
      </c>
      <c r="D60" s="150">
        <v>18489</v>
      </c>
      <c r="E60" s="150">
        <v>226.00200000000001</v>
      </c>
      <c r="F60" s="151">
        <v>-3.2172649173258296</v>
      </c>
      <c r="G60" s="225">
        <v>25.524887896292263</v>
      </c>
      <c r="H60" s="171"/>
      <c r="I60" s="171"/>
    </row>
    <row r="61" spans="1:9" ht="26.1" customHeight="1" x14ac:dyDescent="0.25">
      <c r="A61" s="165">
        <v>82</v>
      </c>
      <c r="B61" s="149" t="s">
        <v>1036</v>
      </c>
      <c r="C61" s="149" t="s">
        <v>698</v>
      </c>
      <c r="D61" s="150">
        <v>10714</v>
      </c>
      <c r="E61" s="150">
        <v>130.06</v>
      </c>
      <c r="F61" s="151">
        <v>-2.6838394099894662</v>
      </c>
      <c r="G61" s="225">
        <v>25.279931664856488</v>
      </c>
      <c r="H61" s="171"/>
      <c r="I61" s="171"/>
    </row>
    <row r="62" spans="1:9" ht="26.1" customHeight="1" x14ac:dyDescent="0.25">
      <c r="A62" s="165">
        <v>85</v>
      </c>
      <c r="B62" s="149" t="s">
        <v>1057</v>
      </c>
      <c r="C62" s="149" t="s">
        <v>280</v>
      </c>
      <c r="D62" s="150">
        <v>12372</v>
      </c>
      <c r="E62" s="150">
        <v>153.40899999999999</v>
      </c>
      <c r="F62" s="151">
        <v>-2.4605428539607912</v>
      </c>
      <c r="G62" s="225">
        <v>25.728149661647997</v>
      </c>
      <c r="H62" s="171"/>
      <c r="I62" s="171"/>
    </row>
    <row r="63" spans="1:9" ht="26.1" customHeight="1" x14ac:dyDescent="0.25">
      <c r="A63" s="165">
        <v>86</v>
      </c>
      <c r="B63" s="149" t="s">
        <v>1062</v>
      </c>
      <c r="C63" s="149" t="s">
        <v>496</v>
      </c>
      <c r="D63" s="150">
        <v>15683</v>
      </c>
      <c r="E63" s="150">
        <v>186.47300000000001</v>
      </c>
      <c r="F63" s="151">
        <v>-1.9497485381201023</v>
      </c>
      <c r="G63" s="225">
        <v>25.532837016566692</v>
      </c>
      <c r="H63" s="171"/>
      <c r="I63" s="171"/>
    </row>
    <row r="64" spans="1:9" ht="26.1" customHeight="1" x14ac:dyDescent="0.25">
      <c r="A64" s="165">
        <v>87</v>
      </c>
      <c r="B64" s="149" t="s">
        <v>1067</v>
      </c>
      <c r="C64" s="149" t="s">
        <v>340</v>
      </c>
      <c r="D64" s="150">
        <v>12712</v>
      </c>
      <c r="E64" s="150">
        <v>157.02500000000001</v>
      </c>
      <c r="F64" s="151">
        <v>-1.6949636894528228</v>
      </c>
      <c r="G64" s="225">
        <v>25.644607565331242</v>
      </c>
      <c r="H64" s="171"/>
      <c r="I64" s="171"/>
    </row>
    <row r="65" spans="1:10" ht="26.1" customHeight="1" x14ac:dyDescent="0.25">
      <c r="A65" s="165">
        <v>88</v>
      </c>
      <c r="B65" s="149" t="s">
        <v>1075</v>
      </c>
      <c r="C65" s="149" t="s">
        <v>1076</v>
      </c>
      <c r="D65" s="150">
        <v>11079</v>
      </c>
      <c r="E65" s="150">
        <v>131.65199999999999</v>
      </c>
      <c r="F65" s="151">
        <v>-1.8716341788422395</v>
      </c>
      <c r="G65" s="225">
        <v>25.646968680317986</v>
      </c>
      <c r="H65" s="171"/>
      <c r="I65" s="171"/>
    </row>
    <row r="66" spans="1:10" ht="26.1" customHeight="1" x14ac:dyDescent="0.25">
      <c r="A66" s="165">
        <v>89</v>
      </c>
      <c r="B66" s="149" t="s">
        <v>1081</v>
      </c>
      <c r="C66" s="149" t="s">
        <v>397</v>
      </c>
      <c r="D66" s="150">
        <v>10677</v>
      </c>
      <c r="E66" s="150">
        <v>132.005</v>
      </c>
      <c r="F66" s="151">
        <v>-1.5385526365722724</v>
      </c>
      <c r="G66" s="225">
        <v>25.483592751049287</v>
      </c>
      <c r="H66" s="171"/>
      <c r="I66" s="171"/>
    </row>
    <row r="67" spans="1:10" ht="26.1" customHeight="1" x14ac:dyDescent="0.25">
      <c r="A67" s="165">
        <v>90</v>
      </c>
      <c r="B67" s="149" t="s">
        <v>1086</v>
      </c>
      <c r="C67" s="149" t="s">
        <v>1087</v>
      </c>
      <c r="D67" s="150">
        <v>15383</v>
      </c>
      <c r="E67" s="150">
        <v>185.785</v>
      </c>
      <c r="F67" s="151">
        <v>-1.4286080574837579</v>
      </c>
      <c r="G67" s="225">
        <v>25.104873487637402</v>
      </c>
      <c r="H67" s="171"/>
      <c r="I67" s="171"/>
    </row>
    <row r="68" spans="1:10" ht="26.1" customHeight="1" x14ac:dyDescent="0.25">
      <c r="A68" s="165">
        <v>91</v>
      </c>
      <c r="B68" s="149" t="s">
        <v>1094</v>
      </c>
      <c r="C68" s="149" t="s">
        <v>1006</v>
      </c>
      <c r="D68" s="150">
        <v>18059</v>
      </c>
      <c r="E68" s="150">
        <v>219.92400000000001</v>
      </c>
      <c r="F68" s="151">
        <v>-1.5614313680453575</v>
      </c>
      <c r="G68" s="225">
        <v>25.589953322993967</v>
      </c>
      <c r="H68" s="171"/>
      <c r="I68" s="171"/>
    </row>
    <row r="69" spans="1:10" ht="26.1" customHeight="1" x14ac:dyDescent="0.25">
      <c r="A69" s="165">
        <v>92</v>
      </c>
      <c r="B69" s="149" t="s">
        <v>1099</v>
      </c>
      <c r="C69" s="149" t="s">
        <v>601</v>
      </c>
      <c r="D69" s="150">
        <v>13505</v>
      </c>
      <c r="E69" s="150">
        <v>167.03399999999999</v>
      </c>
      <c r="F69" s="151">
        <v>-1.5542050119731208</v>
      </c>
      <c r="G69" s="225">
        <v>25.260933839279751</v>
      </c>
      <c r="H69" s="171"/>
      <c r="I69" s="171"/>
    </row>
    <row r="70" spans="1:10" ht="26.1" customHeight="1" x14ac:dyDescent="0.25">
      <c r="A70" s="165">
        <v>93</v>
      </c>
      <c r="B70" s="149" t="s">
        <v>1106</v>
      </c>
      <c r="C70" s="149" t="s">
        <v>406</v>
      </c>
      <c r="D70" s="150">
        <v>12784</v>
      </c>
      <c r="E70" s="150">
        <v>152.126</v>
      </c>
      <c r="F70" s="151">
        <v>-1.7095041474754678</v>
      </c>
      <c r="G70" s="225">
        <v>25.527448920340639</v>
      </c>
      <c r="H70" s="171"/>
      <c r="I70" s="171"/>
    </row>
    <row r="71" spans="1:10" ht="26.1" customHeight="1" x14ac:dyDescent="0.25">
      <c r="A71" s="165">
        <v>99</v>
      </c>
      <c r="B71" s="149" t="s">
        <v>1113</v>
      </c>
      <c r="C71" s="149" t="s">
        <v>436</v>
      </c>
      <c r="D71" s="150">
        <v>8750</v>
      </c>
      <c r="E71" s="150">
        <v>99.74</v>
      </c>
      <c r="F71" s="151">
        <v>-1.7865728012877855</v>
      </c>
      <c r="G71" s="225">
        <v>25.612085046347957</v>
      </c>
      <c r="H71" s="171"/>
      <c r="I71" s="171"/>
    </row>
    <row r="72" spans="1:10" ht="26.1" customHeight="1" x14ac:dyDescent="0.25">
      <c r="A72" s="165">
        <v>114</v>
      </c>
      <c r="B72" s="149" t="s">
        <v>1212</v>
      </c>
      <c r="C72" s="149" t="s">
        <v>325</v>
      </c>
      <c r="D72" s="150">
        <v>10558</v>
      </c>
      <c r="E72" s="150">
        <v>123.745</v>
      </c>
      <c r="F72" s="151">
        <v>-1.7895301996357826</v>
      </c>
      <c r="G72" s="225">
        <v>25.605259792937478</v>
      </c>
      <c r="H72" s="171"/>
      <c r="I72" s="171"/>
    </row>
    <row r="73" spans="1:10" ht="26.1" customHeight="1" x14ac:dyDescent="0.25">
      <c r="A73" s="165">
        <v>115</v>
      </c>
      <c r="B73" s="149" t="s">
        <v>1218</v>
      </c>
      <c r="C73" s="149" t="s">
        <v>1219</v>
      </c>
      <c r="D73" s="150">
        <v>14882</v>
      </c>
      <c r="E73" s="150">
        <v>165.09399999999999</v>
      </c>
      <c r="F73" s="151">
        <v>-1.9657482744973809</v>
      </c>
      <c r="G73" s="225">
        <v>25.457218678926999</v>
      </c>
      <c r="H73" s="171"/>
      <c r="I73" s="171"/>
    </row>
    <row r="74" spans="1:10" ht="26.1" customHeight="1" x14ac:dyDescent="0.25">
      <c r="A74" s="165">
        <v>116</v>
      </c>
      <c r="B74" s="149" t="s">
        <v>1226</v>
      </c>
      <c r="C74" s="149" t="s">
        <v>586</v>
      </c>
      <c r="D74" s="150">
        <v>12897</v>
      </c>
      <c r="E74" s="150">
        <v>150.35499999999999</v>
      </c>
      <c r="F74" s="151">
        <v>-1.8997273500020606</v>
      </c>
      <c r="G74" s="225">
        <v>25.396602969348567</v>
      </c>
      <c r="H74" s="171"/>
      <c r="I74" s="171"/>
    </row>
    <row r="75" spans="1:10" ht="26.1" customHeight="1" x14ac:dyDescent="0.25">
      <c r="A75" s="165">
        <v>117</v>
      </c>
      <c r="B75" s="149" t="s">
        <v>1233</v>
      </c>
      <c r="C75" s="149" t="s">
        <v>317</v>
      </c>
      <c r="D75" s="150">
        <v>14613</v>
      </c>
      <c r="E75" s="150">
        <v>163.04400000000001</v>
      </c>
      <c r="F75" s="151">
        <v>-1.6709233313540395</v>
      </c>
      <c r="G75" s="225">
        <v>25.44538823968216</v>
      </c>
      <c r="H75" s="171"/>
      <c r="I75" s="171"/>
    </row>
    <row r="76" spans="1:10" s="220" customFormat="1" ht="26.1" customHeight="1" x14ac:dyDescent="0.25">
      <c r="A76" s="216">
        <v>118</v>
      </c>
      <c r="B76" s="217" t="s">
        <v>1239</v>
      </c>
      <c r="C76" s="217" t="s">
        <v>671</v>
      </c>
      <c r="D76" s="218">
        <v>11144</v>
      </c>
      <c r="E76" s="218">
        <v>120.26900000000001</v>
      </c>
      <c r="F76" s="219">
        <v>-8.8895134476374316E-2</v>
      </c>
      <c r="G76" s="227">
        <v>24.622614259737606</v>
      </c>
      <c r="I76" s="223" t="s">
        <v>1663</v>
      </c>
      <c r="J76" s="223"/>
    </row>
    <row r="77" spans="1:10" ht="26.1" customHeight="1" x14ac:dyDescent="0.25">
      <c r="A77" s="165">
        <v>119</v>
      </c>
      <c r="B77" s="149" t="s">
        <v>1244</v>
      </c>
      <c r="C77" s="149" t="s">
        <v>1006</v>
      </c>
      <c r="D77" s="150">
        <v>16405</v>
      </c>
      <c r="E77" s="150">
        <v>187.482</v>
      </c>
      <c r="F77" s="151">
        <v>-1.9756949540449407</v>
      </c>
      <c r="G77" s="225">
        <v>25.415451111772182</v>
      </c>
      <c r="H77" s="171"/>
      <c r="I77" s="171"/>
    </row>
    <row r="78" spans="1:10" ht="26.1" customHeight="1" x14ac:dyDescent="0.25">
      <c r="A78" s="165">
        <v>120</v>
      </c>
      <c r="B78" s="149" t="s">
        <v>1250</v>
      </c>
      <c r="C78" s="149" t="s">
        <v>946</v>
      </c>
      <c r="D78" s="150">
        <v>17036</v>
      </c>
      <c r="E78" s="150">
        <v>193.322</v>
      </c>
      <c r="F78" s="151">
        <v>-2.3241026422008111</v>
      </c>
      <c r="G78" s="225">
        <v>25.188084888615865</v>
      </c>
      <c r="H78" s="171"/>
      <c r="I78" s="171"/>
    </row>
    <row r="79" spans="1:10" ht="26.1" customHeight="1" x14ac:dyDescent="0.25">
      <c r="A79" s="165">
        <v>121</v>
      </c>
      <c r="B79" s="149" t="s">
        <v>1256</v>
      </c>
      <c r="C79" s="149" t="s">
        <v>281</v>
      </c>
      <c r="D79" s="150">
        <v>10071</v>
      </c>
      <c r="E79" s="150">
        <v>118.336</v>
      </c>
      <c r="F79" s="151">
        <v>-2.0182553274942552</v>
      </c>
      <c r="G79" s="225">
        <v>25.629035047258441</v>
      </c>
      <c r="H79" s="171"/>
      <c r="I79" s="171"/>
    </row>
    <row r="80" spans="1:10" ht="26.1" customHeight="1" x14ac:dyDescent="0.25">
      <c r="A80" s="165">
        <v>122</v>
      </c>
      <c r="B80" s="149" t="s">
        <v>1263</v>
      </c>
      <c r="C80" s="149" t="s">
        <v>402</v>
      </c>
      <c r="D80" s="150">
        <v>18920</v>
      </c>
      <c r="E80" s="150">
        <v>211.93700000000001</v>
      </c>
      <c r="F80" s="151">
        <v>-1.6790227186636781</v>
      </c>
      <c r="G80" s="225">
        <v>25.532244251388892</v>
      </c>
      <c r="H80" s="171"/>
      <c r="I80" s="171"/>
    </row>
    <row r="81" spans="1:9" ht="26.1" customHeight="1" x14ac:dyDescent="0.25">
      <c r="A81" s="165">
        <v>123</v>
      </c>
      <c r="B81" s="149" t="s">
        <v>1268</v>
      </c>
      <c r="C81" s="149" t="s">
        <v>406</v>
      </c>
      <c r="D81" s="150">
        <v>12497</v>
      </c>
      <c r="E81" s="150">
        <v>146.596</v>
      </c>
      <c r="F81" s="151">
        <v>-1.7924719003266754</v>
      </c>
      <c r="G81" s="225">
        <v>25.09610832067105</v>
      </c>
      <c r="H81" s="171"/>
      <c r="I81" s="171"/>
    </row>
    <row r="82" spans="1:9" ht="26.1" customHeight="1" x14ac:dyDescent="0.25">
      <c r="A82" s="165">
        <v>126</v>
      </c>
      <c r="B82" s="149" t="s">
        <v>1285</v>
      </c>
      <c r="C82" s="149" t="s">
        <v>913</v>
      </c>
      <c r="D82" s="150">
        <v>17334</v>
      </c>
      <c r="E82" s="150">
        <v>193.89599999999999</v>
      </c>
      <c r="F82" s="151">
        <v>-2.1289449415391695</v>
      </c>
      <c r="G82" s="225">
        <v>25.16814023007057</v>
      </c>
      <c r="H82" s="171"/>
      <c r="I82" s="171"/>
    </row>
    <row r="83" spans="1:9" ht="26.1" customHeight="1" x14ac:dyDescent="0.25">
      <c r="A83" s="165">
        <v>127</v>
      </c>
      <c r="B83" s="149" t="s">
        <v>1289</v>
      </c>
      <c r="C83" s="149" t="s">
        <v>1290</v>
      </c>
      <c r="D83" s="150">
        <v>15922</v>
      </c>
      <c r="E83" s="150">
        <v>185.07300000000001</v>
      </c>
      <c r="F83" s="151">
        <v>-1.83311917212944</v>
      </c>
      <c r="G83" s="225">
        <v>25.129080883686136</v>
      </c>
      <c r="H83" s="171"/>
      <c r="I83" s="171"/>
    </row>
    <row r="84" spans="1:9" ht="26.1" customHeight="1" x14ac:dyDescent="0.25">
      <c r="A84" s="165">
        <v>128</v>
      </c>
      <c r="B84" s="149" t="s">
        <v>1296</v>
      </c>
      <c r="C84" s="149" t="s">
        <v>756</v>
      </c>
      <c r="D84" s="150">
        <v>17810</v>
      </c>
      <c r="E84" s="150">
        <v>199.73099999999999</v>
      </c>
      <c r="F84" s="151">
        <v>-2.3940079318213208</v>
      </c>
      <c r="G84" s="225">
        <v>25.321544575995954</v>
      </c>
      <c r="H84" s="171"/>
      <c r="I84" s="171"/>
    </row>
    <row r="85" spans="1:9" ht="26.1" customHeight="1" x14ac:dyDescent="0.25">
      <c r="A85" s="165">
        <v>129</v>
      </c>
      <c r="B85" s="149" t="s">
        <v>1301</v>
      </c>
      <c r="C85" s="149" t="s">
        <v>1302</v>
      </c>
      <c r="D85" s="150">
        <v>13684</v>
      </c>
      <c r="E85" s="150">
        <v>158.749</v>
      </c>
      <c r="F85" s="151">
        <v>-2.6281213811067605</v>
      </c>
      <c r="G85" s="225">
        <v>25.528007372769054</v>
      </c>
      <c r="H85" s="171"/>
      <c r="I85" s="171"/>
    </row>
    <row r="86" spans="1:9" ht="26.1" customHeight="1" x14ac:dyDescent="0.25">
      <c r="A86" s="165">
        <v>130</v>
      </c>
      <c r="B86" s="149" t="s">
        <v>1307</v>
      </c>
      <c r="C86" s="149" t="s">
        <v>496</v>
      </c>
      <c r="D86" s="150">
        <v>15718</v>
      </c>
      <c r="E86" s="150">
        <v>179.005</v>
      </c>
      <c r="F86" s="151">
        <v>-1.8438698534735458</v>
      </c>
      <c r="G86" s="225">
        <v>25.625131350407997</v>
      </c>
      <c r="H86" s="171"/>
      <c r="I86" s="171"/>
    </row>
    <row r="87" spans="1:9" ht="26.1" customHeight="1" x14ac:dyDescent="0.25">
      <c r="A87" s="165">
        <v>131</v>
      </c>
      <c r="B87" s="149" t="s">
        <v>1314</v>
      </c>
      <c r="C87" s="149" t="s">
        <v>788</v>
      </c>
      <c r="D87" s="150">
        <v>15709</v>
      </c>
      <c r="E87" s="150">
        <v>181.16900000000001</v>
      </c>
      <c r="F87" s="151">
        <v>-1.4168044256015966</v>
      </c>
      <c r="G87" s="225">
        <v>25.506440566564368</v>
      </c>
      <c r="H87" s="171"/>
      <c r="I87" s="171"/>
    </row>
    <row r="88" spans="1:9" ht="26.1" customHeight="1" x14ac:dyDescent="0.25">
      <c r="A88" s="165">
        <v>132</v>
      </c>
      <c r="B88" s="149" t="s">
        <v>1320</v>
      </c>
      <c r="C88" s="149" t="s">
        <v>671</v>
      </c>
      <c r="D88" s="150">
        <v>12332</v>
      </c>
      <c r="E88" s="150">
        <v>142.71899999999999</v>
      </c>
      <c r="F88" s="151">
        <v>-1.3708145165790788</v>
      </c>
      <c r="G88" s="225">
        <v>25.439292505160797</v>
      </c>
      <c r="H88" s="171"/>
      <c r="I88" s="171"/>
    </row>
    <row r="89" spans="1:9" ht="26.1" customHeight="1" x14ac:dyDescent="0.25">
      <c r="A89" s="165">
        <v>133</v>
      </c>
      <c r="B89" s="149" t="s">
        <v>1326</v>
      </c>
      <c r="C89" s="149" t="s">
        <v>698</v>
      </c>
      <c r="D89" s="150">
        <v>10524</v>
      </c>
      <c r="E89" s="150">
        <v>119.319</v>
      </c>
      <c r="F89" s="151">
        <v>-1.636409415934641</v>
      </c>
      <c r="G89" s="225">
        <v>25.499643161182377</v>
      </c>
      <c r="H89" s="171"/>
      <c r="I89" s="171"/>
    </row>
    <row r="90" spans="1:9" ht="26.1" customHeight="1" x14ac:dyDescent="0.25">
      <c r="A90" s="165">
        <v>134</v>
      </c>
      <c r="B90" s="149" t="s">
        <v>1331</v>
      </c>
      <c r="C90" s="149" t="s">
        <v>436</v>
      </c>
      <c r="D90" s="150">
        <v>18965</v>
      </c>
      <c r="E90" s="150">
        <v>220.26900000000001</v>
      </c>
      <c r="F90" s="151">
        <v>-1.5220694928569967</v>
      </c>
      <c r="G90" s="225">
        <v>25.555213902028616</v>
      </c>
      <c r="H90" s="171"/>
      <c r="I90" s="171"/>
    </row>
    <row r="91" spans="1:9" ht="26.1" customHeight="1" x14ac:dyDescent="0.25">
      <c r="A91" s="165">
        <v>135</v>
      </c>
      <c r="B91" s="149" t="s">
        <v>1338</v>
      </c>
      <c r="C91" s="149" t="s">
        <v>436</v>
      </c>
      <c r="D91" s="150">
        <v>17920</v>
      </c>
      <c r="E91" s="150">
        <v>198.386</v>
      </c>
      <c r="F91" s="151">
        <v>-1.4474148569544596</v>
      </c>
      <c r="G91" s="225">
        <v>25.612927449209696</v>
      </c>
      <c r="H91" s="171"/>
      <c r="I91" s="171"/>
    </row>
    <row r="92" spans="1:9" ht="26.1" customHeight="1" x14ac:dyDescent="0.25">
      <c r="A92" s="165">
        <v>138</v>
      </c>
      <c r="B92" s="149" t="s">
        <v>1353</v>
      </c>
      <c r="C92" s="149" t="s">
        <v>722</v>
      </c>
      <c r="D92" s="150">
        <v>16428</v>
      </c>
      <c r="E92" s="150">
        <v>191.14400000000001</v>
      </c>
      <c r="F92" s="151">
        <v>-1.1921804112875596</v>
      </c>
      <c r="G92" s="225">
        <v>25.331481349303658</v>
      </c>
      <c r="H92" s="171"/>
      <c r="I92" s="171"/>
    </row>
    <row r="93" spans="1:9" ht="26.1" customHeight="1" x14ac:dyDescent="0.25">
      <c r="A93" s="165">
        <v>139</v>
      </c>
      <c r="B93" s="149" t="s">
        <v>1360</v>
      </c>
      <c r="C93" s="149" t="s">
        <v>654</v>
      </c>
      <c r="D93" s="150">
        <v>15349</v>
      </c>
      <c r="E93" s="150">
        <v>172.40600000000001</v>
      </c>
      <c r="F93" s="151">
        <v>-1.2116432923244038</v>
      </c>
      <c r="G93" s="225">
        <v>25.549293709543967</v>
      </c>
      <c r="H93" s="171"/>
      <c r="I93" s="171"/>
    </row>
    <row r="94" spans="1:9" ht="26.1" customHeight="1" x14ac:dyDescent="0.25">
      <c r="A94" s="165">
        <v>140</v>
      </c>
      <c r="B94" s="149" t="s">
        <v>1364</v>
      </c>
      <c r="C94" s="149" t="s">
        <v>586</v>
      </c>
      <c r="D94" s="150">
        <v>14389</v>
      </c>
      <c r="E94" s="150">
        <v>166.84700000000001</v>
      </c>
      <c r="F94" s="151">
        <v>-1.2621883394352889</v>
      </c>
      <c r="G94" s="225">
        <v>25.436839889509031</v>
      </c>
      <c r="H94" s="171"/>
      <c r="I94" s="171"/>
    </row>
    <row r="95" spans="1:9" ht="26.1" customHeight="1" x14ac:dyDescent="0.25">
      <c r="A95" s="165">
        <v>141</v>
      </c>
      <c r="B95" s="149" t="s">
        <v>1369</v>
      </c>
      <c r="C95" s="149" t="s">
        <v>1219</v>
      </c>
      <c r="D95" s="150">
        <v>17514</v>
      </c>
      <c r="E95" s="150">
        <v>202.203</v>
      </c>
      <c r="F95" s="151">
        <v>-1.4771168367154304</v>
      </c>
      <c r="G95" s="225">
        <v>25.514639324522747</v>
      </c>
      <c r="H95" s="171"/>
      <c r="I95" s="171"/>
    </row>
    <row r="96" spans="1:9" ht="26.1" customHeight="1" x14ac:dyDescent="0.25">
      <c r="A96" s="165">
        <v>142</v>
      </c>
      <c r="B96" s="149" t="s">
        <v>1375</v>
      </c>
      <c r="C96" s="149" t="s">
        <v>1290</v>
      </c>
      <c r="D96" s="150">
        <v>20162</v>
      </c>
      <c r="E96" s="150">
        <v>231.642</v>
      </c>
      <c r="F96" s="151">
        <v>-1.7200765195350343</v>
      </c>
      <c r="G96" s="225">
        <v>25.577603716932334</v>
      </c>
      <c r="H96" s="171"/>
      <c r="I96" s="171"/>
    </row>
    <row r="97" spans="1:9" ht="26.1" customHeight="1" x14ac:dyDescent="0.25">
      <c r="A97" s="165">
        <v>143</v>
      </c>
      <c r="B97" s="149" t="s">
        <v>1379</v>
      </c>
      <c r="C97" s="149" t="s">
        <v>397</v>
      </c>
      <c r="D97" s="150">
        <v>9608</v>
      </c>
      <c r="E97" s="150">
        <v>112.378</v>
      </c>
      <c r="F97" s="151">
        <v>-1.8883564099503314</v>
      </c>
      <c r="G97" s="225">
        <v>25.471713577754592</v>
      </c>
      <c r="H97" s="171"/>
      <c r="I97" s="171"/>
    </row>
    <row r="98" spans="1:9" ht="26.1" customHeight="1" x14ac:dyDescent="0.25">
      <c r="A98" s="165">
        <v>144</v>
      </c>
      <c r="B98" s="149" t="s">
        <v>1384</v>
      </c>
      <c r="C98" s="149" t="s">
        <v>412</v>
      </c>
      <c r="D98" s="150">
        <v>11587</v>
      </c>
      <c r="E98" s="150">
        <v>130.03100000000001</v>
      </c>
      <c r="F98" s="151">
        <v>-1.6596852176316514</v>
      </c>
      <c r="G98" s="225">
        <v>25.457751272471814</v>
      </c>
      <c r="H98" s="171"/>
      <c r="I98" s="171"/>
    </row>
    <row r="99" spans="1:9" ht="26.1" customHeight="1" x14ac:dyDescent="0.25">
      <c r="A99" s="165">
        <v>145</v>
      </c>
      <c r="B99" s="149" t="s">
        <v>1389</v>
      </c>
      <c r="C99" s="149" t="s">
        <v>934</v>
      </c>
      <c r="D99" s="150">
        <v>10610</v>
      </c>
      <c r="E99" s="150">
        <v>124.16</v>
      </c>
      <c r="F99" s="151">
        <v>-1.6577533995477856</v>
      </c>
      <c r="G99" s="225">
        <v>25.505956209783186</v>
      </c>
      <c r="H99" s="171"/>
      <c r="I99" s="171"/>
    </row>
    <row r="100" spans="1:9" ht="26.1" customHeight="1" x14ac:dyDescent="0.25">
      <c r="A100" s="165">
        <v>146</v>
      </c>
      <c r="B100" s="149" t="s">
        <v>1394</v>
      </c>
      <c r="C100" s="149" t="s">
        <v>357</v>
      </c>
      <c r="D100" s="150">
        <v>11335</v>
      </c>
      <c r="E100" s="150">
        <v>126.404</v>
      </c>
      <c r="F100" s="151">
        <v>-1.7381972508894834</v>
      </c>
      <c r="G100" s="225">
        <v>25.464852022449829</v>
      </c>
      <c r="H100" s="171"/>
      <c r="I100" s="171"/>
    </row>
    <row r="101" spans="1:9" ht="26.1" customHeight="1" x14ac:dyDescent="0.25">
      <c r="A101" s="165">
        <v>147</v>
      </c>
      <c r="B101" s="149" t="s">
        <v>1400</v>
      </c>
      <c r="C101" s="149" t="s">
        <v>280</v>
      </c>
      <c r="D101" s="150">
        <v>12352</v>
      </c>
      <c r="E101" s="150">
        <v>144.1</v>
      </c>
      <c r="F101" s="151">
        <v>-1.6769081637509595</v>
      </c>
      <c r="G101" s="225">
        <v>25.330799072605721</v>
      </c>
      <c r="H101" s="171"/>
      <c r="I101" s="171"/>
    </row>
    <row r="102" spans="1:9" ht="26.1" customHeight="1" x14ac:dyDescent="0.25">
      <c r="A102" s="165">
        <v>150</v>
      </c>
      <c r="B102" s="149" t="s">
        <v>1417</v>
      </c>
      <c r="C102" s="149" t="s">
        <v>275</v>
      </c>
      <c r="D102" s="150">
        <v>15086</v>
      </c>
      <c r="E102" s="150">
        <v>173.964</v>
      </c>
      <c r="F102" s="151">
        <v>-1.9671544223202768</v>
      </c>
      <c r="G102" s="225">
        <v>25.278239897125889</v>
      </c>
      <c r="H102" s="171"/>
      <c r="I102" s="171"/>
    </row>
    <row r="103" spans="1:9" ht="26.1" customHeight="1" x14ac:dyDescent="0.25">
      <c r="A103" s="165">
        <v>151</v>
      </c>
      <c r="B103" s="149" t="s">
        <v>1422</v>
      </c>
      <c r="C103" s="149" t="s">
        <v>389</v>
      </c>
      <c r="D103" s="150">
        <v>12145</v>
      </c>
      <c r="E103" s="150">
        <v>137.65899999999999</v>
      </c>
      <c r="F103" s="151">
        <v>-1.864843734632661</v>
      </c>
      <c r="G103" s="225">
        <v>25.333484418209842</v>
      </c>
      <c r="H103" s="171"/>
      <c r="I103" s="171"/>
    </row>
    <row r="104" spans="1:9" ht="26.1" customHeight="1" x14ac:dyDescent="0.25">
      <c r="A104" s="165">
        <v>152</v>
      </c>
      <c r="B104" s="149" t="s">
        <v>1427</v>
      </c>
      <c r="C104" s="149" t="s">
        <v>444</v>
      </c>
      <c r="D104" s="150">
        <v>11440</v>
      </c>
      <c r="E104" s="150">
        <v>134.37299999999999</v>
      </c>
      <c r="F104" s="151">
        <v>-2.2452134626684539</v>
      </c>
      <c r="G104" s="225">
        <v>25.412027296126926</v>
      </c>
      <c r="H104" s="171"/>
      <c r="I104" s="171"/>
    </row>
    <row r="105" spans="1:9" ht="26.1" customHeight="1" x14ac:dyDescent="0.25">
      <c r="A105" s="165">
        <v>153</v>
      </c>
      <c r="B105" s="149" t="s">
        <v>1434</v>
      </c>
      <c r="C105" s="149" t="s">
        <v>310</v>
      </c>
      <c r="D105" s="150">
        <v>14525</v>
      </c>
      <c r="E105" s="150">
        <v>162.29</v>
      </c>
      <c r="F105" s="151">
        <v>-2.5116383253303876</v>
      </c>
      <c r="G105" s="225">
        <v>25.543165651418114</v>
      </c>
      <c r="H105" s="171"/>
      <c r="I105" s="171"/>
    </row>
    <row r="106" spans="1:9" ht="26.1" customHeight="1" x14ac:dyDescent="0.25">
      <c r="A106" s="165">
        <v>154</v>
      </c>
      <c r="B106" s="149" t="s">
        <v>1440</v>
      </c>
      <c r="C106" s="149" t="s">
        <v>722</v>
      </c>
      <c r="D106" s="150">
        <v>14707</v>
      </c>
      <c r="E106" s="150">
        <v>171.97300000000001</v>
      </c>
      <c r="F106" s="151">
        <v>-2.0034514305850819</v>
      </c>
      <c r="G106" s="225">
        <v>25.632642361519984</v>
      </c>
      <c r="H106" s="171"/>
      <c r="I106" s="171"/>
    </row>
    <row r="107" spans="1:9" ht="26.1" customHeight="1" x14ac:dyDescent="0.25">
      <c r="A107" s="165">
        <v>155</v>
      </c>
      <c r="B107" s="149" t="s">
        <v>1445</v>
      </c>
      <c r="C107" s="149" t="s">
        <v>601</v>
      </c>
      <c r="D107" s="150">
        <v>15578</v>
      </c>
      <c r="E107" s="150">
        <v>172.81700000000001</v>
      </c>
      <c r="F107" s="151">
        <v>-1.7654365097532483</v>
      </c>
      <c r="G107" s="225">
        <v>25.551705050439224</v>
      </c>
      <c r="H107" s="171"/>
      <c r="I107" s="171"/>
    </row>
    <row r="108" spans="1:9" ht="26.1" customHeight="1" x14ac:dyDescent="0.25">
      <c r="A108" s="165">
        <v>156</v>
      </c>
      <c r="B108" s="149" t="s">
        <v>1449</v>
      </c>
      <c r="C108" s="149" t="s">
        <v>420</v>
      </c>
      <c r="D108" s="150">
        <v>11426</v>
      </c>
      <c r="E108" s="150">
        <v>133.38900000000001</v>
      </c>
      <c r="F108" s="151">
        <v>-1.9180750936284769</v>
      </c>
      <c r="G108" s="225">
        <v>25.269805425497822</v>
      </c>
      <c r="H108" s="171"/>
      <c r="I108" s="171"/>
    </row>
    <row r="109" spans="1:9" ht="26.1" customHeight="1" x14ac:dyDescent="0.25">
      <c r="A109" s="165">
        <v>157</v>
      </c>
      <c r="B109" s="149" t="s">
        <v>1454</v>
      </c>
      <c r="C109" s="149" t="s">
        <v>510</v>
      </c>
      <c r="D109" s="150">
        <v>17095</v>
      </c>
      <c r="E109" s="150">
        <v>193.935</v>
      </c>
      <c r="F109" s="151">
        <v>-1.8699704284412269</v>
      </c>
      <c r="G109" s="225">
        <v>25.284291373173406</v>
      </c>
      <c r="H109" s="171"/>
      <c r="I109" s="171"/>
    </row>
    <row r="110" spans="1:9" ht="26.1" customHeight="1" x14ac:dyDescent="0.25">
      <c r="A110" s="165">
        <v>158</v>
      </c>
      <c r="B110" s="149" t="s">
        <v>1458</v>
      </c>
      <c r="C110" s="149" t="s">
        <v>433</v>
      </c>
      <c r="D110" s="150">
        <v>12182</v>
      </c>
      <c r="E110" s="150">
        <v>141.44499999999999</v>
      </c>
      <c r="F110" s="151">
        <v>-2.0721765783945925</v>
      </c>
      <c r="G110" s="225">
        <v>25.152630370061861</v>
      </c>
      <c r="H110" s="171"/>
      <c r="I110" s="171"/>
    </row>
    <row r="111" spans="1:9" ht="26.1" customHeight="1" x14ac:dyDescent="0.25">
      <c r="A111" s="165">
        <v>159</v>
      </c>
      <c r="B111" s="149" t="s">
        <v>1462</v>
      </c>
      <c r="C111" s="149" t="s">
        <v>412</v>
      </c>
      <c r="D111" s="150">
        <v>12160</v>
      </c>
      <c r="E111" s="150">
        <v>141.17599999999999</v>
      </c>
      <c r="F111" s="151">
        <v>-1.6140257644163758</v>
      </c>
      <c r="G111" s="225">
        <v>25.793148949282049</v>
      </c>
      <c r="H111" s="171"/>
      <c r="I111" s="171"/>
    </row>
    <row r="112" spans="1:9" ht="26.1" customHeight="1" x14ac:dyDescent="0.25">
      <c r="A112" s="165">
        <v>162</v>
      </c>
      <c r="B112" s="149" t="s">
        <v>1477</v>
      </c>
      <c r="C112" s="149" t="s">
        <v>340</v>
      </c>
      <c r="D112" s="150">
        <v>12203</v>
      </c>
      <c r="E112" s="150">
        <v>136.13499999999999</v>
      </c>
      <c r="F112" s="151">
        <v>-1.492244749367392</v>
      </c>
      <c r="G112" s="225">
        <v>25.585242530603626</v>
      </c>
      <c r="H112" s="171"/>
      <c r="I112" s="171"/>
    </row>
    <row r="113" spans="1:9" ht="26.1" customHeight="1" x14ac:dyDescent="0.25">
      <c r="A113" s="165">
        <v>163</v>
      </c>
      <c r="B113" s="149" t="s">
        <v>1480</v>
      </c>
      <c r="C113" s="149" t="s">
        <v>617</v>
      </c>
      <c r="D113" s="150">
        <v>14670</v>
      </c>
      <c r="E113" s="150">
        <v>171.14500000000001</v>
      </c>
      <c r="F113" s="151">
        <v>-1.6130887350384735</v>
      </c>
      <c r="G113" s="225">
        <v>25.524725780983566</v>
      </c>
      <c r="H113" s="171"/>
      <c r="I113" s="171"/>
    </row>
    <row r="114" spans="1:9" ht="26.1" customHeight="1" x14ac:dyDescent="0.25">
      <c r="A114" s="165">
        <v>164</v>
      </c>
      <c r="B114" s="149" t="s">
        <v>1483</v>
      </c>
      <c r="C114" s="149" t="s">
        <v>436</v>
      </c>
      <c r="D114" s="150">
        <v>15201</v>
      </c>
      <c r="E114" s="150">
        <v>168.46799999999999</v>
      </c>
      <c r="F114" s="151">
        <v>-1.9232778606983922</v>
      </c>
      <c r="G114" s="225">
        <v>25.444104743940631</v>
      </c>
      <c r="H114" s="171"/>
      <c r="I114" s="171"/>
    </row>
    <row r="115" spans="1:9" ht="26.1" customHeight="1" x14ac:dyDescent="0.25">
      <c r="A115" s="165">
        <v>165</v>
      </c>
      <c r="B115" s="149" t="s">
        <v>1487</v>
      </c>
      <c r="C115" s="149" t="s">
        <v>722</v>
      </c>
      <c r="D115" s="150">
        <v>11024</v>
      </c>
      <c r="E115" s="150">
        <v>128.94399999999999</v>
      </c>
      <c r="F115" s="151">
        <v>-1.9714207637683323</v>
      </c>
      <c r="G115" s="225">
        <v>25.489093233961729</v>
      </c>
      <c r="H115" s="171"/>
      <c r="I115" s="171"/>
    </row>
    <row r="116" spans="1:9" ht="26.1" customHeight="1" x14ac:dyDescent="0.25">
      <c r="A116" s="165">
        <v>166</v>
      </c>
      <c r="B116" s="149" t="s">
        <v>1493</v>
      </c>
      <c r="C116" s="149" t="s">
        <v>269</v>
      </c>
      <c r="D116" s="150">
        <v>11955</v>
      </c>
      <c r="E116" s="150">
        <v>133.601</v>
      </c>
      <c r="F116" s="151">
        <v>-2.0474588060161656</v>
      </c>
      <c r="G116" s="225">
        <v>25.587809024800457</v>
      </c>
      <c r="H116" s="171"/>
      <c r="I116" s="171"/>
    </row>
    <row r="117" spans="1:9" ht="26.1" customHeight="1" x14ac:dyDescent="0.25">
      <c r="A117" s="165">
        <v>167</v>
      </c>
      <c r="B117" s="149" t="s">
        <v>1497</v>
      </c>
      <c r="C117" s="149" t="s">
        <v>1498</v>
      </c>
      <c r="D117" s="150">
        <v>10448</v>
      </c>
      <c r="E117" s="150">
        <v>122.012</v>
      </c>
      <c r="F117" s="151">
        <v>-1.6477733121658749</v>
      </c>
      <c r="G117" s="225">
        <v>25.340281823591837</v>
      </c>
      <c r="H117" s="171"/>
      <c r="I117" s="171"/>
    </row>
    <row r="118" spans="1:9" ht="26.1" customHeight="1" x14ac:dyDescent="0.25">
      <c r="A118" s="165">
        <v>168</v>
      </c>
      <c r="B118" s="149" t="s">
        <v>1502</v>
      </c>
      <c r="C118" s="149" t="s">
        <v>284</v>
      </c>
      <c r="D118" s="150">
        <v>10442</v>
      </c>
      <c r="E118" s="150">
        <v>120.758</v>
      </c>
      <c r="F118" s="151">
        <v>-1.8113994510058693</v>
      </c>
      <c r="G118" s="225">
        <v>25.325657133060052</v>
      </c>
      <c r="H118" s="171"/>
      <c r="I118" s="171"/>
    </row>
    <row r="119" spans="1:9" ht="26.1" customHeight="1" x14ac:dyDescent="0.25">
      <c r="A119" s="165">
        <v>169</v>
      </c>
      <c r="B119" s="149" t="s">
        <v>1507</v>
      </c>
      <c r="C119" s="149" t="s">
        <v>325</v>
      </c>
      <c r="D119" s="150">
        <v>10269</v>
      </c>
      <c r="E119" s="150">
        <v>118.193</v>
      </c>
      <c r="F119" s="151">
        <v>-1.7275580631612182</v>
      </c>
      <c r="G119" s="225">
        <v>25.367210867138979</v>
      </c>
      <c r="H119" s="171"/>
      <c r="I119" s="171"/>
    </row>
    <row r="120" spans="1:9" ht="26.1" customHeight="1" x14ac:dyDescent="0.25">
      <c r="A120" s="165">
        <v>170</v>
      </c>
      <c r="B120" s="149" t="s">
        <v>1512</v>
      </c>
      <c r="C120" s="149" t="s">
        <v>1031</v>
      </c>
      <c r="D120" s="150">
        <v>11998</v>
      </c>
      <c r="E120" s="150">
        <v>140.476</v>
      </c>
      <c r="F120" s="151">
        <v>-1.8867244573675541</v>
      </c>
      <c r="G120" s="225">
        <v>25.43820891848091</v>
      </c>
      <c r="H120" s="171"/>
      <c r="I120" s="171"/>
    </row>
    <row r="121" spans="1:9" ht="26.1" customHeight="1" x14ac:dyDescent="0.25">
      <c r="A121" s="165">
        <v>171</v>
      </c>
      <c r="B121" s="149" t="s">
        <v>1517</v>
      </c>
      <c r="C121" s="149" t="s">
        <v>678</v>
      </c>
      <c r="D121" s="150">
        <v>12329</v>
      </c>
      <c r="E121" s="150">
        <v>140.65</v>
      </c>
      <c r="F121" s="151">
        <v>-2.3403048381043274</v>
      </c>
      <c r="G121" s="225">
        <v>25.478436887489366</v>
      </c>
      <c r="H121" s="171"/>
      <c r="I121" s="171"/>
    </row>
    <row r="122" spans="1:9" ht="26.1" customHeight="1" x14ac:dyDescent="0.25">
      <c r="A122" s="165">
        <v>174</v>
      </c>
      <c r="B122" s="149" t="s">
        <v>1532</v>
      </c>
      <c r="C122" s="149" t="s">
        <v>1533</v>
      </c>
      <c r="D122" s="150">
        <v>10895</v>
      </c>
      <c r="E122" s="150">
        <v>127.697</v>
      </c>
      <c r="F122" s="151">
        <v>-2.2594190373395464</v>
      </c>
      <c r="G122" s="225">
        <v>25.550693072975449</v>
      </c>
      <c r="H122" s="171"/>
      <c r="I122" s="171"/>
    </row>
    <row r="123" spans="1:9" ht="26.1" customHeight="1" x14ac:dyDescent="0.25">
      <c r="A123" s="165">
        <v>175</v>
      </c>
      <c r="B123" s="149" t="s">
        <v>1538</v>
      </c>
      <c r="C123" s="149" t="s">
        <v>1467</v>
      </c>
      <c r="D123" s="150">
        <v>10480</v>
      </c>
      <c r="E123" s="150">
        <v>117.30200000000001</v>
      </c>
      <c r="F123" s="151">
        <v>-1.9235167468391943</v>
      </c>
      <c r="G123" s="225">
        <v>25.497686339894926</v>
      </c>
      <c r="H123" s="171"/>
      <c r="I123" s="171"/>
    </row>
    <row r="124" spans="1:9" ht="26.1" customHeight="1" x14ac:dyDescent="0.25">
      <c r="A124" s="165">
        <v>176</v>
      </c>
      <c r="B124" s="149" t="s">
        <v>1543</v>
      </c>
      <c r="C124" s="149" t="s">
        <v>444</v>
      </c>
      <c r="D124" s="150">
        <v>11081</v>
      </c>
      <c r="E124" s="150">
        <v>129.23500000000001</v>
      </c>
      <c r="F124" s="151">
        <v>-2.0394912387757991</v>
      </c>
      <c r="G124" s="225">
        <v>25.364234111808184</v>
      </c>
      <c r="H124" s="171"/>
      <c r="I124" s="171"/>
    </row>
    <row r="125" spans="1:9" ht="26.1" customHeight="1" x14ac:dyDescent="0.25">
      <c r="A125" s="165">
        <v>177</v>
      </c>
      <c r="B125" s="149" t="s">
        <v>1547</v>
      </c>
      <c r="C125" s="149" t="s">
        <v>441</v>
      </c>
      <c r="D125" s="150">
        <v>15556</v>
      </c>
      <c r="E125" s="150">
        <v>176.172</v>
      </c>
      <c r="F125" s="151">
        <v>-1.7912760608585709</v>
      </c>
      <c r="G125" s="225">
        <v>25.457860178154647</v>
      </c>
      <c r="H125" s="171"/>
      <c r="I125" s="171"/>
    </row>
    <row r="126" spans="1:9" ht="26.1" customHeight="1" x14ac:dyDescent="0.25">
      <c r="A126" s="165">
        <v>178</v>
      </c>
      <c r="B126" s="149" t="s">
        <v>1551</v>
      </c>
      <c r="C126" s="149" t="s">
        <v>269</v>
      </c>
      <c r="D126" s="150">
        <v>10897</v>
      </c>
      <c r="E126" s="150">
        <v>126.82299999999999</v>
      </c>
      <c r="F126" s="151">
        <v>-2.1568505458217988</v>
      </c>
      <c r="G126" s="225">
        <v>25.330311732107194</v>
      </c>
      <c r="H126" s="171"/>
      <c r="I126" s="171"/>
    </row>
    <row r="127" spans="1:9" ht="26.1" customHeight="1" x14ac:dyDescent="0.25">
      <c r="A127" s="165">
        <v>179</v>
      </c>
      <c r="B127" s="149" t="s">
        <v>1556</v>
      </c>
      <c r="C127" s="149" t="s">
        <v>741</v>
      </c>
      <c r="D127" s="150">
        <v>14596</v>
      </c>
      <c r="E127" s="150">
        <v>168.34200000000001</v>
      </c>
      <c r="F127" s="151">
        <v>-2.3411082361448319</v>
      </c>
      <c r="G127" s="225">
        <v>25.422756246387845</v>
      </c>
      <c r="H127" s="171"/>
      <c r="I127" s="171"/>
    </row>
    <row r="128" spans="1:9" ht="26.1" customHeight="1" x14ac:dyDescent="0.25">
      <c r="A128" s="165">
        <v>180</v>
      </c>
      <c r="B128" s="149" t="s">
        <v>1561</v>
      </c>
      <c r="C128" s="149" t="s">
        <v>1562</v>
      </c>
      <c r="D128" s="150">
        <v>11000</v>
      </c>
      <c r="E128" s="150">
        <v>124.946</v>
      </c>
      <c r="F128" s="151">
        <v>-2.9010672115313212</v>
      </c>
      <c r="G128" s="225">
        <v>25.469830852114367</v>
      </c>
      <c r="H128" s="171"/>
      <c r="I128" s="171"/>
    </row>
    <row r="129" spans="1:11" ht="26.1" customHeight="1" x14ac:dyDescent="0.25">
      <c r="A129" s="165">
        <v>181</v>
      </c>
      <c r="B129" s="149" t="s">
        <v>1566</v>
      </c>
      <c r="C129" s="149" t="s">
        <v>284</v>
      </c>
      <c r="D129" s="150">
        <v>10448</v>
      </c>
      <c r="E129" s="150">
        <v>122.574</v>
      </c>
      <c r="F129" s="151">
        <v>-2.4748880975297065</v>
      </c>
      <c r="G129" s="225">
        <v>25.578229800287076</v>
      </c>
      <c r="H129" s="171"/>
      <c r="I129" s="171"/>
    </row>
    <row r="130" spans="1:11" ht="26.1" customHeight="1" x14ac:dyDescent="0.25">
      <c r="A130" s="165">
        <v>182</v>
      </c>
      <c r="B130" s="149" t="s">
        <v>1570</v>
      </c>
      <c r="C130" s="149" t="s">
        <v>281</v>
      </c>
      <c r="D130" s="150">
        <v>9375</v>
      </c>
      <c r="E130" s="150">
        <v>104.80200000000001</v>
      </c>
      <c r="F130" s="151">
        <v>-2.221288220721767</v>
      </c>
      <c r="G130" s="225">
        <v>25.467266347062434</v>
      </c>
      <c r="H130" s="171"/>
      <c r="I130" s="171"/>
    </row>
    <row r="131" spans="1:11" ht="26.1" customHeight="1" x14ac:dyDescent="0.25">
      <c r="A131" s="165">
        <v>183</v>
      </c>
      <c r="B131" s="149" t="s">
        <v>1575</v>
      </c>
      <c r="C131" s="149" t="s">
        <v>520</v>
      </c>
      <c r="D131" s="150">
        <v>13434</v>
      </c>
      <c r="E131" s="150">
        <v>157.04900000000001</v>
      </c>
      <c r="F131" s="151">
        <v>-2.1094381875632391</v>
      </c>
      <c r="G131" s="225">
        <v>25.365219235815921</v>
      </c>
      <c r="H131" s="171"/>
      <c r="I131" s="171"/>
    </row>
    <row r="132" spans="1:11" ht="26.1" customHeight="1" x14ac:dyDescent="0.25">
      <c r="A132" s="165">
        <v>186</v>
      </c>
      <c r="B132" s="149" t="s">
        <v>1590</v>
      </c>
      <c r="C132" s="149" t="s">
        <v>336</v>
      </c>
      <c r="D132" s="150">
        <v>13441</v>
      </c>
      <c r="E132" s="150">
        <v>150.59200000000001</v>
      </c>
      <c r="F132" s="151">
        <v>-2.4455521951824823</v>
      </c>
      <c r="G132" s="225">
        <v>25.291089773127847</v>
      </c>
      <c r="H132" s="171"/>
      <c r="I132" s="171"/>
    </row>
    <row r="133" spans="1:11" ht="26.1" customHeight="1" x14ac:dyDescent="0.25">
      <c r="A133" s="165">
        <v>187</v>
      </c>
      <c r="B133" s="149" t="s">
        <v>1595</v>
      </c>
      <c r="C133" s="149" t="s">
        <v>327</v>
      </c>
      <c r="D133" s="150">
        <v>13766</v>
      </c>
      <c r="E133" s="150">
        <v>160.13300000000001</v>
      </c>
      <c r="F133" s="151">
        <v>-2.4957905342237958</v>
      </c>
      <c r="G133" s="225">
        <v>25.257817346520298</v>
      </c>
      <c r="H133" s="171"/>
      <c r="I133" s="171"/>
    </row>
    <row r="134" spans="1:11" ht="26.1" customHeight="1" x14ac:dyDescent="0.25">
      <c r="A134" s="165">
        <v>188</v>
      </c>
      <c r="B134" s="149" t="s">
        <v>1600</v>
      </c>
      <c r="C134" s="149" t="s">
        <v>840</v>
      </c>
      <c r="D134" s="150">
        <v>14906</v>
      </c>
      <c r="E134" s="150">
        <v>171.63900000000001</v>
      </c>
      <c r="F134" s="151">
        <v>-3.3493778082774646</v>
      </c>
      <c r="G134" s="225">
        <v>25.515662242283423</v>
      </c>
      <c r="H134" s="171"/>
      <c r="I134" s="171"/>
    </row>
    <row r="135" spans="1:11" ht="26.1" customHeight="1" x14ac:dyDescent="0.25">
      <c r="A135" s="165">
        <v>189</v>
      </c>
      <c r="B135" s="149" t="s">
        <v>1604</v>
      </c>
      <c r="C135" s="149" t="s">
        <v>1087</v>
      </c>
      <c r="D135" s="150">
        <v>14614</v>
      </c>
      <c r="E135" s="150">
        <v>166.119</v>
      </c>
      <c r="F135" s="151">
        <v>-3.0116087040938173</v>
      </c>
      <c r="G135" s="225">
        <v>25.45733355204451</v>
      </c>
      <c r="H135" s="171"/>
      <c r="I135" s="171"/>
    </row>
    <row r="136" spans="1:11" ht="26.1" customHeight="1" x14ac:dyDescent="0.25">
      <c r="A136" s="165">
        <v>190</v>
      </c>
      <c r="B136" s="149" t="s">
        <v>1610</v>
      </c>
      <c r="C136" s="149" t="s">
        <v>428</v>
      </c>
      <c r="D136" s="150">
        <v>11060</v>
      </c>
      <c r="E136" s="150">
        <v>130.12799999999999</v>
      </c>
      <c r="F136" s="151">
        <v>-2.2169009268132043</v>
      </c>
      <c r="G136" s="225">
        <v>25.675888857901953</v>
      </c>
      <c r="H136" s="171"/>
      <c r="I136" s="171"/>
    </row>
    <row r="137" spans="1:11" ht="26.1" customHeight="1" x14ac:dyDescent="0.25">
      <c r="A137" s="165">
        <v>191</v>
      </c>
      <c r="B137" s="149" t="s">
        <v>1616</v>
      </c>
      <c r="C137" s="149" t="s">
        <v>503</v>
      </c>
      <c r="D137" s="150">
        <v>14936</v>
      </c>
      <c r="E137" s="150">
        <v>167.94399999999999</v>
      </c>
      <c r="F137" s="151">
        <v>-1.9167892945100453</v>
      </c>
      <c r="G137" s="225">
        <v>25.480747776567576</v>
      </c>
      <c r="H137" s="171"/>
      <c r="I137" s="171"/>
    </row>
    <row r="138" spans="1:11" ht="26.1" customHeight="1" x14ac:dyDescent="0.25">
      <c r="A138" s="165">
        <v>192</v>
      </c>
      <c r="B138" s="149" t="s">
        <v>1621</v>
      </c>
      <c r="C138" s="149" t="s">
        <v>432</v>
      </c>
      <c r="D138" s="150">
        <v>11865</v>
      </c>
      <c r="E138" s="150">
        <v>139.506</v>
      </c>
      <c r="F138" s="151">
        <v>-2.0804589037850962</v>
      </c>
      <c r="G138" s="225">
        <v>25.313186189160003</v>
      </c>
      <c r="H138" s="171"/>
      <c r="I138" s="171"/>
    </row>
    <row r="139" spans="1:11" ht="26.1" customHeight="1" x14ac:dyDescent="0.25">
      <c r="A139" s="165">
        <v>193</v>
      </c>
      <c r="B139" s="149" t="s">
        <v>1627</v>
      </c>
      <c r="C139" s="149" t="s">
        <v>1628</v>
      </c>
      <c r="D139" s="150">
        <v>8496</v>
      </c>
      <c r="E139" s="150">
        <v>95.260999999999996</v>
      </c>
      <c r="F139" s="151">
        <v>-2.2582813597035321</v>
      </c>
      <c r="G139" s="225">
        <v>25.382704813988557</v>
      </c>
      <c r="H139" s="171"/>
      <c r="I139" s="171"/>
    </row>
    <row r="140" spans="1:11" ht="26.1" customHeight="1" x14ac:dyDescent="0.25">
      <c r="A140" s="165">
        <v>194</v>
      </c>
      <c r="B140" s="149" t="s">
        <v>1633</v>
      </c>
      <c r="C140" s="149" t="s">
        <v>1628</v>
      </c>
      <c r="D140" s="150">
        <v>7907</v>
      </c>
      <c r="E140" s="150">
        <v>93.019000000000005</v>
      </c>
      <c r="F140" s="151">
        <v>-2.3019009225033407</v>
      </c>
      <c r="G140" s="225">
        <v>25.240476478638556</v>
      </c>
      <c r="H140" s="171"/>
      <c r="I140" s="171"/>
    </row>
    <row r="141" spans="1:11" ht="26.1" customHeight="1" x14ac:dyDescent="0.25">
      <c r="A141" s="165">
        <v>195</v>
      </c>
      <c r="B141" s="149" t="s">
        <v>1638</v>
      </c>
      <c r="C141" s="149" t="s">
        <v>1498</v>
      </c>
      <c r="D141" s="150">
        <v>10803</v>
      </c>
      <c r="E141" s="150">
        <v>121.35</v>
      </c>
      <c r="F141" s="151">
        <v>-2.9613202533009781</v>
      </c>
      <c r="G141" s="225">
        <v>25.593626279036947</v>
      </c>
      <c r="H141" s="171"/>
      <c r="I141" s="171"/>
    </row>
    <row r="142" spans="1:11" ht="26.1" customHeight="1" thickBot="1" x14ac:dyDescent="0.3">
      <c r="A142" s="166">
        <v>198</v>
      </c>
      <c r="B142" s="167" t="s">
        <v>1651</v>
      </c>
      <c r="C142" s="167" t="s">
        <v>1219</v>
      </c>
      <c r="D142" s="168">
        <v>10702</v>
      </c>
      <c r="E142" s="168">
        <v>124.578</v>
      </c>
      <c r="F142" s="169">
        <v>-2.5670609162563154</v>
      </c>
      <c r="G142" s="228">
        <v>25.732648112821128</v>
      </c>
      <c r="H142" s="171"/>
      <c r="I142" s="171"/>
    </row>
    <row r="143" spans="1:11" ht="26.1" customHeight="1" x14ac:dyDescent="0.25">
      <c r="A143" s="165"/>
      <c r="B143" s="149"/>
      <c r="C143" s="149"/>
      <c r="D143" s="150"/>
      <c r="E143" s="150"/>
      <c r="F143" s="151"/>
      <c r="G143" s="151"/>
      <c r="H143" s="171"/>
      <c r="I143" s="171"/>
    </row>
    <row r="144" spans="1:11" ht="26.1" customHeight="1" x14ac:dyDescent="0.25">
      <c r="A144" s="165"/>
      <c r="B144" s="149"/>
      <c r="C144" s="149"/>
      <c r="D144" s="150"/>
      <c r="E144" s="150"/>
      <c r="F144" s="151"/>
      <c r="G144" s="151"/>
      <c r="H144" s="171"/>
      <c r="I144" s="133" t="s">
        <v>29</v>
      </c>
      <c r="J144" s="134" t="s">
        <v>30</v>
      </c>
      <c r="K144" s="134" t="s">
        <v>31</v>
      </c>
    </row>
    <row r="145" spans="1:11" ht="27.95" customHeight="1" x14ac:dyDescent="0.25">
      <c r="A145" s="133">
        <v>2</v>
      </c>
      <c r="B145" s="59" t="s">
        <v>495</v>
      </c>
      <c r="C145" s="59" t="s">
        <v>496</v>
      </c>
      <c r="D145" s="60">
        <v>10693</v>
      </c>
      <c r="E145" s="60">
        <v>131.62899999999999</v>
      </c>
      <c r="F145" s="127">
        <v>-5.0098514239962775</v>
      </c>
      <c r="G145" s="229">
        <v>7.1014577442808875</v>
      </c>
      <c r="I145" s="135" t="s">
        <v>1660</v>
      </c>
      <c r="J145" s="132">
        <f>AVERAGE(F161:F194)</f>
        <v>4.4793386177850136</v>
      </c>
      <c r="K145" s="132">
        <f>AVERAGE(G161:G194)</f>
        <v>26.550634221010768</v>
      </c>
    </row>
    <row r="146" spans="1:11" ht="27.95" customHeight="1" x14ac:dyDescent="0.25">
      <c r="A146" s="133">
        <v>3</v>
      </c>
      <c r="B146" s="59" t="s">
        <v>502</v>
      </c>
      <c r="C146" s="59" t="s">
        <v>503</v>
      </c>
      <c r="D146" s="60">
        <v>14111</v>
      </c>
      <c r="E146" s="60">
        <v>173.148</v>
      </c>
      <c r="F146" s="127">
        <v>-5.0327782547007454</v>
      </c>
      <c r="G146" s="229">
        <v>7.1881600945447168</v>
      </c>
      <c r="I146" s="134" t="s">
        <v>18</v>
      </c>
      <c r="J146" s="136">
        <f>STDEV((F161:F194))</f>
        <v>3.8546566812432605E-2</v>
      </c>
      <c r="K146" s="136">
        <f>STDEV((G161:G194))</f>
        <v>8.9045751557143865E-2</v>
      </c>
    </row>
    <row r="147" spans="1:11" ht="27.95" customHeight="1" x14ac:dyDescent="0.25">
      <c r="A147" s="133">
        <v>4</v>
      </c>
      <c r="B147" s="59" t="s">
        <v>509</v>
      </c>
      <c r="C147" s="59" t="s">
        <v>510</v>
      </c>
      <c r="D147" s="60">
        <v>15229</v>
      </c>
      <c r="E147" s="60">
        <v>181.07900000000001</v>
      </c>
      <c r="F147" s="127">
        <v>-4.9595452630261923</v>
      </c>
      <c r="G147" s="229">
        <v>7.2034068901414674</v>
      </c>
      <c r="I147" s="134" t="s">
        <v>32</v>
      </c>
      <c r="J147" s="132">
        <v>4.49</v>
      </c>
      <c r="K147" s="132">
        <v>26.5</v>
      </c>
    </row>
    <row r="148" spans="1:11" ht="27.95" customHeight="1" x14ac:dyDescent="0.25">
      <c r="A148" s="133">
        <v>5</v>
      </c>
      <c r="B148" s="59" t="s">
        <v>519</v>
      </c>
      <c r="C148" s="59" t="s">
        <v>520</v>
      </c>
      <c r="D148" s="60">
        <v>12164</v>
      </c>
      <c r="E148" s="60">
        <v>150.96299999999999</v>
      </c>
      <c r="F148" s="127">
        <v>-5.0023670628418939</v>
      </c>
      <c r="G148" s="229">
        <v>7.386203338276438</v>
      </c>
      <c r="I148" s="127"/>
    </row>
    <row r="149" spans="1:11" ht="27.95" customHeight="1" x14ac:dyDescent="0.25">
      <c r="A149" s="133">
        <v>103</v>
      </c>
      <c r="B149" s="59" t="s">
        <v>1150</v>
      </c>
      <c r="C149" s="59" t="s">
        <v>654</v>
      </c>
      <c r="D149" s="60">
        <v>7571</v>
      </c>
      <c r="E149" s="60">
        <v>88.997</v>
      </c>
      <c r="F149" s="127">
        <v>-5.0530596276791551</v>
      </c>
      <c r="G149" s="229">
        <v>7.2223370847918753</v>
      </c>
      <c r="I149" s="134"/>
      <c r="J149" s="154"/>
      <c r="K149" s="154"/>
    </row>
    <row r="150" spans="1:11" ht="27.95" customHeight="1" x14ac:dyDescent="0.25">
      <c r="A150" s="133">
        <v>104</v>
      </c>
      <c r="B150" s="59" t="s">
        <v>1155</v>
      </c>
      <c r="C150" s="59" t="s">
        <v>876</v>
      </c>
      <c r="D150" s="60">
        <v>12399</v>
      </c>
      <c r="E150" s="60">
        <v>139.006</v>
      </c>
      <c r="F150" s="127">
        <v>-5.0446555448200865</v>
      </c>
      <c r="G150" s="229">
        <v>7.1004974845843023</v>
      </c>
      <c r="I150" s="127"/>
      <c r="J150" s="155"/>
      <c r="K150" s="155"/>
    </row>
    <row r="151" spans="1:11" ht="27.95" customHeight="1" x14ac:dyDescent="0.25">
      <c r="A151" s="133">
        <v>105</v>
      </c>
      <c r="B151" s="59" t="s">
        <v>1162</v>
      </c>
      <c r="C151" s="59" t="s">
        <v>934</v>
      </c>
      <c r="D151" s="60">
        <v>9278</v>
      </c>
      <c r="E151" s="60">
        <v>108.88200000000001</v>
      </c>
      <c r="F151" s="127">
        <v>-5.0212879722046218</v>
      </c>
      <c r="G151" s="229">
        <v>7.1849675169931473</v>
      </c>
    </row>
    <row r="152" spans="1:11" ht="27.95" customHeight="1" x14ac:dyDescent="0.25">
      <c r="A152" s="133">
        <v>106</v>
      </c>
      <c r="B152" s="59" t="s">
        <v>1167</v>
      </c>
      <c r="C152" s="59" t="s">
        <v>433</v>
      </c>
      <c r="D152" s="60">
        <v>12780</v>
      </c>
      <c r="E152" s="60">
        <v>141.95099999999999</v>
      </c>
      <c r="F152" s="127">
        <v>-5.0191742222999576</v>
      </c>
      <c r="G152" s="229">
        <v>7.1749735557697987</v>
      </c>
    </row>
    <row r="153" spans="1:11" ht="27.95" customHeight="1" x14ac:dyDescent="0.25">
      <c r="A153" s="133">
        <v>6</v>
      </c>
      <c r="B153" s="59" t="s">
        <v>527</v>
      </c>
      <c r="C153" s="59" t="s">
        <v>284</v>
      </c>
      <c r="D153" s="60">
        <v>10678</v>
      </c>
      <c r="E153" s="60">
        <v>126.699</v>
      </c>
      <c r="F153" s="127">
        <v>1.9474323153326236</v>
      </c>
      <c r="G153" s="229">
        <v>28.548465211411607</v>
      </c>
    </row>
    <row r="154" spans="1:11" ht="27.95" customHeight="1" x14ac:dyDescent="0.25">
      <c r="A154" s="133">
        <v>7</v>
      </c>
      <c r="B154" s="59" t="s">
        <v>533</v>
      </c>
      <c r="C154" s="59" t="s">
        <v>534</v>
      </c>
      <c r="D154" s="60">
        <v>9990</v>
      </c>
      <c r="E154" s="60">
        <v>124.348</v>
      </c>
      <c r="F154" s="127">
        <v>1.9976839370068715</v>
      </c>
      <c r="G154" s="229">
        <v>28.579405862919572</v>
      </c>
    </row>
    <row r="155" spans="1:11" ht="27.95" customHeight="1" x14ac:dyDescent="0.25">
      <c r="A155" s="133">
        <v>8</v>
      </c>
      <c r="B155" s="59" t="s">
        <v>542</v>
      </c>
      <c r="C155" s="59" t="s">
        <v>412</v>
      </c>
      <c r="D155" s="60">
        <v>14076</v>
      </c>
      <c r="E155" s="60">
        <v>166.077</v>
      </c>
      <c r="F155" s="127">
        <v>1.9561743003234562</v>
      </c>
      <c r="G155" s="229">
        <v>28.603548114473096</v>
      </c>
    </row>
    <row r="156" spans="1:11" ht="27.95" customHeight="1" x14ac:dyDescent="0.25">
      <c r="A156" s="133">
        <v>9</v>
      </c>
      <c r="B156" s="59" t="s">
        <v>550</v>
      </c>
      <c r="C156" s="59" t="s">
        <v>496</v>
      </c>
      <c r="D156" s="60">
        <v>14202</v>
      </c>
      <c r="E156" s="60">
        <v>175.852</v>
      </c>
      <c r="F156" s="127">
        <v>1.9739631671065654</v>
      </c>
      <c r="G156" s="229">
        <v>28.591514782449284</v>
      </c>
    </row>
    <row r="157" spans="1:11" ht="27.95" customHeight="1" x14ac:dyDescent="0.25">
      <c r="A157" s="133">
        <v>107</v>
      </c>
      <c r="B157" s="59" t="s">
        <v>1172</v>
      </c>
      <c r="C157" s="59" t="s">
        <v>280</v>
      </c>
      <c r="D157" s="60">
        <v>10142</v>
      </c>
      <c r="E157" s="60">
        <v>118.61499999999999</v>
      </c>
      <c r="F157" s="127">
        <v>1.9796098961197059</v>
      </c>
      <c r="G157" s="229">
        <v>28.504733860962226</v>
      </c>
    </row>
    <row r="158" spans="1:11" ht="27.95" customHeight="1" x14ac:dyDescent="0.25">
      <c r="A158" s="133">
        <v>108</v>
      </c>
      <c r="B158" s="59" t="s">
        <v>1178</v>
      </c>
      <c r="C158" s="59" t="s">
        <v>671</v>
      </c>
      <c r="D158" s="60">
        <v>11683</v>
      </c>
      <c r="E158" s="60">
        <v>130.32400000000001</v>
      </c>
      <c r="F158" s="127">
        <v>1.9185450037249492</v>
      </c>
      <c r="G158" s="229">
        <v>28.548909785294956</v>
      </c>
    </row>
    <row r="159" spans="1:11" ht="27.95" customHeight="1" x14ac:dyDescent="0.25">
      <c r="A159" s="133">
        <v>109</v>
      </c>
      <c r="B159" s="59" t="s">
        <v>1183</v>
      </c>
      <c r="C159" s="59" t="s">
        <v>317</v>
      </c>
      <c r="D159" s="60">
        <v>12915</v>
      </c>
      <c r="E159" s="60">
        <v>150.142</v>
      </c>
      <c r="F159" s="127">
        <v>1.9390741179327828</v>
      </c>
      <c r="G159" s="229">
        <v>28.488760530193687</v>
      </c>
    </row>
    <row r="160" spans="1:11" ht="27.95" customHeight="1" x14ac:dyDescent="0.25">
      <c r="A160" s="133">
        <v>110</v>
      </c>
      <c r="B160" s="59" t="s">
        <v>1189</v>
      </c>
      <c r="C160" s="59" t="s">
        <v>654</v>
      </c>
      <c r="D160" s="60">
        <v>11834</v>
      </c>
      <c r="E160" s="60">
        <v>133.88300000000001</v>
      </c>
      <c r="F160" s="127">
        <v>2.0035276917418687</v>
      </c>
      <c r="G160" s="229">
        <v>28.567584374826748</v>
      </c>
    </row>
    <row r="161" spans="1:7" ht="27.95" customHeight="1" x14ac:dyDescent="0.25">
      <c r="A161" s="133">
        <v>10</v>
      </c>
      <c r="B161" s="59" t="s">
        <v>557</v>
      </c>
      <c r="C161" s="59" t="s">
        <v>372</v>
      </c>
      <c r="D161" s="60">
        <v>16218</v>
      </c>
      <c r="E161" s="60">
        <v>192.9</v>
      </c>
      <c r="F161" s="127">
        <v>4.4168967650285911</v>
      </c>
      <c r="G161" s="229">
        <v>26.591318201485699</v>
      </c>
    </row>
    <row r="162" spans="1:7" ht="27.95" customHeight="1" x14ac:dyDescent="0.25">
      <c r="A162" s="133">
        <v>11</v>
      </c>
      <c r="B162" s="59" t="s">
        <v>562</v>
      </c>
      <c r="C162" s="59" t="s">
        <v>389</v>
      </c>
      <c r="D162" s="60">
        <v>12651</v>
      </c>
      <c r="E162" s="60">
        <v>156.36500000000001</v>
      </c>
      <c r="F162" s="127">
        <v>4.4598493786534918</v>
      </c>
      <c r="G162" s="229">
        <v>26.509803043813843</v>
      </c>
    </row>
    <row r="163" spans="1:7" ht="27.95" customHeight="1" x14ac:dyDescent="0.25">
      <c r="A163" s="133">
        <v>12</v>
      </c>
      <c r="B163" s="59" t="s">
        <v>569</v>
      </c>
      <c r="C163" s="59" t="s">
        <v>340</v>
      </c>
      <c r="D163" s="60">
        <v>12748</v>
      </c>
      <c r="E163" s="60">
        <v>154.93</v>
      </c>
      <c r="F163" s="127">
        <v>4.4803221422973625</v>
      </c>
      <c r="G163" s="229">
        <v>26.513584905539652</v>
      </c>
    </row>
    <row r="164" spans="1:7" ht="27.95" customHeight="1" x14ac:dyDescent="0.25">
      <c r="A164" s="133">
        <v>23</v>
      </c>
      <c r="B164" s="59" t="s">
        <v>646</v>
      </c>
      <c r="C164" s="59" t="s">
        <v>444</v>
      </c>
      <c r="D164" s="60">
        <v>14444</v>
      </c>
      <c r="E164" s="60">
        <v>175.05699999999999</v>
      </c>
      <c r="F164" s="127">
        <v>4.4832340576901597</v>
      </c>
      <c r="G164" s="229">
        <v>26.533867221430359</v>
      </c>
    </row>
    <row r="165" spans="1:7" ht="27.95" customHeight="1" x14ac:dyDescent="0.25">
      <c r="A165" s="133">
        <v>24</v>
      </c>
      <c r="B165" s="59" t="s">
        <v>653</v>
      </c>
      <c r="C165" s="59" t="s">
        <v>654</v>
      </c>
      <c r="D165" s="60">
        <v>15802</v>
      </c>
      <c r="E165" s="60">
        <v>192.35400000000001</v>
      </c>
      <c r="F165" s="127">
        <v>4.4748818978507447</v>
      </c>
      <c r="G165" s="229">
        <v>26.613438487256566</v>
      </c>
    </row>
    <row r="166" spans="1:7" ht="27.95" customHeight="1" x14ac:dyDescent="0.25">
      <c r="A166" s="133">
        <v>35</v>
      </c>
      <c r="B166" s="59" t="s">
        <v>721</v>
      </c>
      <c r="C166" s="59" t="s">
        <v>722</v>
      </c>
      <c r="D166" s="60">
        <v>14717</v>
      </c>
      <c r="E166" s="60">
        <v>180.59399999999999</v>
      </c>
      <c r="F166" s="127">
        <v>4.4968394988550449</v>
      </c>
      <c r="G166" s="229">
        <v>26.49029251614121</v>
      </c>
    </row>
    <row r="167" spans="1:7" ht="27.95" customHeight="1" x14ac:dyDescent="0.25">
      <c r="A167" s="133">
        <v>36</v>
      </c>
      <c r="B167" s="59" t="s">
        <v>731</v>
      </c>
      <c r="C167" s="59" t="s">
        <v>732</v>
      </c>
      <c r="D167" s="60">
        <v>16750</v>
      </c>
      <c r="E167" s="60">
        <v>203.67</v>
      </c>
      <c r="F167" s="127">
        <v>4.4649311932629017</v>
      </c>
      <c r="G167" s="229">
        <v>26.592388858723798</v>
      </c>
    </row>
    <row r="168" spans="1:7" ht="27.95" customHeight="1" x14ac:dyDescent="0.25">
      <c r="A168" s="133">
        <v>47</v>
      </c>
      <c r="B168" s="59" t="s">
        <v>809</v>
      </c>
      <c r="C168" s="59" t="s">
        <v>678</v>
      </c>
      <c r="D168" s="60">
        <v>16373</v>
      </c>
      <c r="E168" s="60">
        <v>202.316</v>
      </c>
      <c r="F168" s="127">
        <v>4.5252329380199852</v>
      </c>
      <c r="G168" s="229">
        <v>26.471353370338786</v>
      </c>
    </row>
    <row r="169" spans="1:7" ht="27.95" customHeight="1" x14ac:dyDescent="0.25">
      <c r="A169" s="133">
        <v>48</v>
      </c>
      <c r="B169" s="59" t="s">
        <v>817</v>
      </c>
      <c r="C169" s="59" t="s">
        <v>278</v>
      </c>
      <c r="D169" s="60">
        <v>11444</v>
      </c>
      <c r="E169" s="60">
        <v>135.602</v>
      </c>
      <c r="F169" s="127">
        <v>4.4870616697473604</v>
      </c>
      <c r="G169" s="229">
        <v>26.59327402820071</v>
      </c>
    </row>
    <row r="170" spans="1:7" ht="27.95" customHeight="1" x14ac:dyDescent="0.25">
      <c r="A170" s="133">
        <v>59</v>
      </c>
      <c r="B170" s="59" t="s">
        <v>894</v>
      </c>
      <c r="C170" s="59" t="s">
        <v>433</v>
      </c>
      <c r="D170" s="60">
        <v>16473</v>
      </c>
      <c r="E170" s="60">
        <v>194.422</v>
      </c>
      <c r="F170" s="127">
        <v>4.5077199877482812</v>
      </c>
      <c r="G170" s="229">
        <v>26.653968309002366</v>
      </c>
    </row>
    <row r="171" spans="1:7" ht="27.95" customHeight="1" x14ac:dyDescent="0.25">
      <c r="A171" s="133">
        <v>60</v>
      </c>
      <c r="B171" s="59" t="s">
        <v>899</v>
      </c>
      <c r="C171" s="59" t="s">
        <v>220</v>
      </c>
      <c r="D171" s="60">
        <v>11493</v>
      </c>
      <c r="E171" s="60">
        <v>141.96100000000001</v>
      </c>
      <c r="F171" s="127">
        <v>4.5222904323210349</v>
      </c>
      <c r="G171" s="229">
        <v>26.567731915929475</v>
      </c>
    </row>
    <row r="172" spans="1:7" ht="27.95" customHeight="1" x14ac:dyDescent="0.25">
      <c r="A172" s="133">
        <v>71</v>
      </c>
      <c r="B172" s="59" t="s">
        <v>970</v>
      </c>
      <c r="C172" s="59" t="s">
        <v>414</v>
      </c>
      <c r="D172" s="60">
        <v>17989</v>
      </c>
      <c r="E172" s="60">
        <v>219.322</v>
      </c>
      <c r="F172" s="127">
        <v>4.5145722163262052</v>
      </c>
      <c r="G172" s="229">
        <v>26.643966391199449</v>
      </c>
    </row>
    <row r="173" spans="1:7" ht="27.95" customHeight="1" x14ac:dyDescent="0.25">
      <c r="A173" s="133">
        <v>72</v>
      </c>
      <c r="B173" s="59" t="s">
        <v>977</v>
      </c>
      <c r="C173" s="59" t="s">
        <v>732</v>
      </c>
      <c r="D173" s="60">
        <v>16282</v>
      </c>
      <c r="E173" s="60">
        <v>200.94399999999999</v>
      </c>
      <c r="F173" s="127">
        <v>4.4873458375913469</v>
      </c>
      <c r="G173" s="229">
        <v>26.719394268215744</v>
      </c>
    </row>
    <row r="174" spans="1:7" ht="27.95" customHeight="1" x14ac:dyDescent="0.25">
      <c r="A174" s="133">
        <v>83</v>
      </c>
      <c r="B174" s="59" t="s">
        <v>1043</v>
      </c>
      <c r="C174" s="59" t="s">
        <v>420</v>
      </c>
      <c r="D174" s="60">
        <v>10092</v>
      </c>
      <c r="E174" s="60">
        <v>125.098</v>
      </c>
      <c r="F174" s="127">
        <v>4.4441122761546854</v>
      </c>
      <c r="G174" s="229">
        <v>26.580735950660564</v>
      </c>
    </row>
    <row r="175" spans="1:7" ht="27.95" customHeight="1" x14ac:dyDescent="0.25">
      <c r="A175" s="133">
        <v>84</v>
      </c>
      <c r="B175" s="59" t="s">
        <v>1050</v>
      </c>
      <c r="C175" s="59" t="s">
        <v>340</v>
      </c>
      <c r="D175" s="60">
        <v>12713</v>
      </c>
      <c r="E175" s="60">
        <v>150.786</v>
      </c>
      <c r="F175" s="127">
        <v>4.4544113479790299</v>
      </c>
      <c r="G175" s="229">
        <v>26.664843958699073</v>
      </c>
    </row>
    <row r="176" spans="1:7" ht="27.95" customHeight="1" x14ac:dyDescent="0.25">
      <c r="A176" s="133">
        <v>100</v>
      </c>
      <c r="B176" s="59" t="s">
        <v>1118</v>
      </c>
      <c r="C176" s="59" t="s">
        <v>503</v>
      </c>
      <c r="D176" s="60">
        <v>8143</v>
      </c>
      <c r="E176" s="60">
        <v>93.548000000000002</v>
      </c>
      <c r="F176" s="127">
        <v>4.4365610993316036</v>
      </c>
      <c r="G176" s="229">
        <v>26.484782087504296</v>
      </c>
    </row>
    <row r="177" spans="1:7" ht="27.95" customHeight="1" x14ac:dyDescent="0.25">
      <c r="A177" s="133">
        <v>101</v>
      </c>
      <c r="B177" s="59" t="s">
        <v>1123</v>
      </c>
      <c r="C177" s="59" t="s">
        <v>443</v>
      </c>
      <c r="D177" s="60">
        <v>6594</v>
      </c>
      <c r="E177" s="60">
        <v>77.305999999999997</v>
      </c>
      <c r="F177" s="127">
        <v>4.5867182458723104</v>
      </c>
      <c r="G177" s="229">
        <v>26.607675934504609</v>
      </c>
    </row>
    <row r="178" spans="1:7" ht="27.95" customHeight="1" x14ac:dyDescent="0.25">
      <c r="A178" s="133">
        <v>111</v>
      </c>
      <c r="B178" s="59" t="s">
        <v>1196</v>
      </c>
      <c r="C178" s="59" t="s">
        <v>281</v>
      </c>
      <c r="D178" s="60">
        <v>10656</v>
      </c>
      <c r="E178" s="60">
        <v>123.729</v>
      </c>
      <c r="F178" s="127">
        <v>4.4426648716688879</v>
      </c>
      <c r="G178" s="229">
        <v>26.446337386891475</v>
      </c>
    </row>
    <row r="179" spans="1:7" ht="27.95" customHeight="1" x14ac:dyDescent="0.25">
      <c r="A179" s="133">
        <v>112</v>
      </c>
      <c r="B179" s="59" t="s">
        <v>1201</v>
      </c>
      <c r="C179" s="59" t="s">
        <v>317</v>
      </c>
      <c r="D179" s="60">
        <v>13865</v>
      </c>
      <c r="E179" s="60">
        <v>160.4</v>
      </c>
      <c r="F179" s="127">
        <v>4.4131168496987456</v>
      </c>
      <c r="G179" s="229">
        <v>26.523989127896957</v>
      </c>
    </row>
    <row r="180" spans="1:7" ht="27.95" customHeight="1" x14ac:dyDescent="0.25">
      <c r="A180" s="133">
        <v>113</v>
      </c>
      <c r="B180" s="59" t="s">
        <v>1206</v>
      </c>
      <c r="C180" s="59" t="s">
        <v>946</v>
      </c>
      <c r="D180" s="60">
        <v>19135</v>
      </c>
      <c r="E180" s="60">
        <v>213.96100000000001</v>
      </c>
      <c r="F180" s="127">
        <v>4.4652368950724011</v>
      </c>
      <c r="G180" s="229">
        <v>26.427727444568674</v>
      </c>
    </row>
    <row r="181" spans="1:7" ht="27.95" customHeight="1" x14ac:dyDescent="0.25">
      <c r="A181" s="133">
        <v>124</v>
      </c>
      <c r="B181" s="59" t="s">
        <v>1275</v>
      </c>
      <c r="C181" s="59" t="s">
        <v>327</v>
      </c>
      <c r="D181" s="60">
        <v>15489</v>
      </c>
      <c r="E181" s="60">
        <v>173.566</v>
      </c>
      <c r="F181" s="127">
        <v>4.4431669954442032</v>
      </c>
      <c r="G181" s="229">
        <v>26.589146552549924</v>
      </c>
    </row>
    <row r="182" spans="1:7" ht="27.95" customHeight="1" x14ac:dyDescent="0.25">
      <c r="A182" s="133">
        <v>125</v>
      </c>
      <c r="B182" s="59" t="s">
        <v>1280</v>
      </c>
      <c r="C182" s="59" t="s">
        <v>601</v>
      </c>
      <c r="D182" s="60">
        <v>13982</v>
      </c>
      <c r="E182" s="60">
        <v>163.673</v>
      </c>
      <c r="F182" s="127">
        <v>4.4544087317028458</v>
      </c>
      <c r="G182" s="229">
        <v>26.566851222028568</v>
      </c>
    </row>
    <row r="183" spans="1:7" ht="27.95" customHeight="1" x14ac:dyDescent="0.25">
      <c r="A183" s="133">
        <v>136</v>
      </c>
      <c r="B183" s="59" t="s">
        <v>1343</v>
      </c>
      <c r="C183" s="59" t="s">
        <v>722</v>
      </c>
      <c r="D183" s="60">
        <v>16124</v>
      </c>
      <c r="E183" s="60">
        <v>187.91900000000001</v>
      </c>
      <c r="F183" s="127">
        <v>4.4458138619343597</v>
      </c>
      <c r="G183" s="229">
        <v>26.448515997834381</v>
      </c>
    </row>
    <row r="184" spans="1:7" ht="27.95" customHeight="1" x14ac:dyDescent="0.25">
      <c r="A184" s="133">
        <v>137</v>
      </c>
      <c r="B184" s="59" t="s">
        <v>1347</v>
      </c>
      <c r="C184" s="59" t="s">
        <v>357</v>
      </c>
      <c r="D184" s="60">
        <v>11156</v>
      </c>
      <c r="E184" s="60">
        <v>124.178</v>
      </c>
      <c r="F184" s="127">
        <v>4.4160162874666664</v>
      </c>
      <c r="G184" s="229">
        <v>26.533865729571687</v>
      </c>
    </row>
    <row r="185" spans="1:7" ht="27.95" customHeight="1" x14ac:dyDescent="0.25">
      <c r="A185" s="133">
        <v>148</v>
      </c>
      <c r="B185" s="59" t="s">
        <v>1405</v>
      </c>
      <c r="C185" s="59" t="s">
        <v>654</v>
      </c>
      <c r="D185" s="60">
        <v>11179</v>
      </c>
      <c r="E185" s="60">
        <v>126</v>
      </c>
      <c r="F185" s="127">
        <v>4.4588380872823672</v>
      </c>
      <c r="G185" s="229">
        <v>26.444028486958153</v>
      </c>
    </row>
    <row r="186" spans="1:7" ht="27.95" customHeight="1" x14ac:dyDescent="0.25">
      <c r="A186" s="133">
        <v>149</v>
      </c>
      <c r="B186" s="59" t="s">
        <v>1411</v>
      </c>
      <c r="C186" s="59" t="s">
        <v>336</v>
      </c>
      <c r="D186" s="60">
        <v>14334</v>
      </c>
      <c r="E186" s="60">
        <v>166.37299999999999</v>
      </c>
      <c r="F186" s="127">
        <v>4.4951928548752349</v>
      </c>
      <c r="G186" s="229">
        <v>26.491766969792366</v>
      </c>
    </row>
    <row r="187" spans="1:7" ht="27.95" customHeight="1" x14ac:dyDescent="0.25">
      <c r="A187" s="133">
        <v>160</v>
      </c>
      <c r="B187" s="59" t="s">
        <v>1466</v>
      </c>
      <c r="C187" s="59" t="s">
        <v>1467</v>
      </c>
      <c r="D187" s="60">
        <v>11317</v>
      </c>
      <c r="E187" s="60">
        <v>129.435</v>
      </c>
      <c r="F187" s="127">
        <v>4.4821744658356382</v>
      </c>
      <c r="G187" s="229">
        <v>26.560577956325606</v>
      </c>
    </row>
    <row r="188" spans="1:7" ht="27.95" customHeight="1" x14ac:dyDescent="0.25">
      <c r="A188" s="133">
        <v>161</v>
      </c>
      <c r="B188" s="59" t="s">
        <v>1472</v>
      </c>
      <c r="C188" s="59" t="s">
        <v>340</v>
      </c>
      <c r="D188" s="60">
        <v>12853</v>
      </c>
      <c r="E188" s="60">
        <v>150.20099999999999</v>
      </c>
      <c r="F188" s="127">
        <v>4.5125641237289749</v>
      </c>
      <c r="G188" s="229">
        <v>26.630087630002141</v>
      </c>
    </row>
    <row r="189" spans="1:7" ht="27.95" customHeight="1" x14ac:dyDescent="0.25">
      <c r="A189" s="133">
        <v>172</v>
      </c>
      <c r="B189" s="59" t="s">
        <v>1522</v>
      </c>
      <c r="C189" s="59" t="s">
        <v>327</v>
      </c>
      <c r="D189" s="60">
        <v>16040</v>
      </c>
      <c r="E189" s="60">
        <v>187.54300000000001</v>
      </c>
      <c r="F189" s="127">
        <v>4.5032222064839473</v>
      </c>
      <c r="G189" s="229">
        <v>26.593045773824354</v>
      </c>
    </row>
    <row r="190" spans="1:7" ht="27.95" customHeight="1" x14ac:dyDescent="0.25">
      <c r="A190" s="133">
        <v>173</v>
      </c>
      <c r="B190" s="59" t="s">
        <v>1527</v>
      </c>
      <c r="C190" s="59" t="s">
        <v>632</v>
      </c>
      <c r="D190" s="60">
        <v>10739</v>
      </c>
      <c r="E190" s="60">
        <v>120.542</v>
      </c>
      <c r="F190" s="127">
        <v>4.4527512201142709</v>
      </c>
      <c r="G190" s="229">
        <v>26.540173805310264</v>
      </c>
    </row>
    <row r="191" spans="1:7" ht="27.95" customHeight="1" x14ac:dyDescent="0.25">
      <c r="A191" s="133">
        <v>184</v>
      </c>
      <c r="B191" s="59" t="s">
        <v>1579</v>
      </c>
      <c r="C191" s="59" t="s">
        <v>586</v>
      </c>
      <c r="D191" s="60">
        <v>16341</v>
      </c>
      <c r="E191" s="60">
        <v>181.12700000000001</v>
      </c>
      <c r="F191" s="127">
        <v>4.5093193375047651</v>
      </c>
      <c r="G191" s="229">
        <v>26.255483410085464</v>
      </c>
    </row>
    <row r="192" spans="1:7" ht="27.95" customHeight="1" x14ac:dyDescent="0.25">
      <c r="A192" s="133">
        <v>185</v>
      </c>
      <c r="B192" s="59" t="s">
        <v>1585</v>
      </c>
      <c r="C192" s="59" t="s">
        <v>220</v>
      </c>
      <c r="D192" s="60">
        <v>8577</v>
      </c>
      <c r="E192" s="60">
        <v>100.68300000000001</v>
      </c>
      <c r="F192" s="127">
        <v>4.4986793447684432</v>
      </c>
      <c r="G192" s="229">
        <v>26.554885520931084</v>
      </c>
    </row>
    <row r="193" spans="1:7" ht="27.95" customHeight="1" x14ac:dyDescent="0.25">
      <c r="A193" s="133">
        <v>196</v>
      </c>
      <c r="B193" s="59" t="s">
        <v>1642</v>
      </c>
      <c r="C193" s="59" t="s">
        <v>1643</v>
      </c>
      <c r="D193" s="60">
        <v>15115</v>
      </c>
      <c r="E193" s="60">
        <v>175.61199999999999</v>
      </c>
      <c r="F193" s="127">
        <v>4.5420984605621539</v>
      </c>
      <c r="G193" s="229">
        <v>26.684159550172296</v>
      </c>
    </row>
    <row r="194" spans="1:7" ht="27.95" customHeight="1" x14ac:dyDescent="0.25">
      <c r="A194" s="133">
        <v>197</v>
      </c>
      <c r="B194" s="59" t="s">
        <v>1647</v>
      </c>
      <c r="C194" s="59" t="s">
        <v>403</v>
      </c>
      <c r="D194" s="60">
        <v>13031</v>
      </c>
      <c r="E194" s="60">
        <v>147.99</v>
      </c>
      <c r="F194" s="127">
        <v>4.5192674258164249</v>
      </c>
      <c r="G194" s="229">
        <v>26.598501500976738</v>
      </c>
    </row>
    <row r="195" spans="1:7" ht="27.95" customHeight="1" x14ac:dyDescent="0.25"/>
    <row r="197" spans="1:7" ht="15.75" x14ac:dyDescent="0.25">
      <c r="A197" s="130"/>
      <c r="B197" s="130"/>
      <c r="C197" s="130"/>
      <c r="D197" s="131"/>
      <c r="E197" s="131"/>
      <c r="F197" s="129"/>
      <c r="G197" s="129"/>
    </row>
    <row r="198" spans="1:7" ht="15.75" x14ac:dyDescent="0.25">
      <c r="A198" s="130"/>
      <c r="B198" s="130"/>
      <c r="C198" s="130"/>
      <c r="D198" s="131"/>
      <c r="E198" s="131"/>
      <c r="F198" s="129"/>
      <c r="G198" s="129"/>
    </row>
    <row r="199" spans="1:7" ht="15.75" x14ac:dyDescent="0.25">
      <c r="A199" s="130"/>
      <c r="B199" s="130"/>
      <c r="C199" s="130"/>
      <c r="D199" s="131"/>
      <c r="E199" s="131"/>
      <c r="F199" s="129"/>
      <c r="G199" s="129"/>
    </row>
    <row r="200" spans="1:7" ht="15.75" x14ac:dyDescent="0.25">
      <c r="A200" s="130"/>
      <c r="B200" s="130"/>
      <c r="C200" s="130"/>
      <c r="D200" s="131"/>
      <c r="E200" s="131"/>
      <c r="F200" s="129"/>
      <c r="G200" s="129"/>
    </row>
    <row r="201" spans="1:7" ht="15.75" x14ac:dyDescent="0.25">
      <c r="A201" s="130"/>
      <c r="B201" s="130"/>
      <c r="C201" s="130"/>
      <c r="D201" s="131"/>
      <c r="E201" s="131"/>
      <c r="F201" s="129"/>
      <c r="G201" s="129"/>
    </row>
    <row r="202" spans="1:7" ht="15.75" x14ac:dyDescent="0.25">
      <c r="A202" s="130"/>
      <c r="B202" s="130"/>
      <c r="C202" s="130"/>
      <c r="D202" s="131"/>
      <c r="E202" s="131"/>
      <c r="F202" s="129"/>
      <c r="G202" s="129"/>
    </row>
    <row r="203" spans="1:7" ht="15.75" x14ac:dyDescent="0.25">
      <c r="A203" s="130"/>
      <c r="B203" s="130"/>
      <c r="C203" s="130"/>
      <c r="D203" s="131"/>
      <c r="E203" s="131"/>
      <c r="F203" s="129"/>
      <c r="G203" s="129"/>
    </row>
    <row r="204" spans="1:7" ht="15.75" x14ac:dyDescent="0.25">
      <c r="A204" s="130"/>
      <c r="B204" s="130"/>
      <c r="C204" s="130"/>
      <c r="D204" s="131"/>
      <c r="E204" s="131"/>
      <c r="F204" s="129"/>
      <c r="G204" s="129"/>
    </row>
    <row r="205" spans="1:7" ht="15.75" x14ac:dyDescent="0.25">
      <c r="A205" s="130"/>
      <c r="B205" s="130"/>
      <c r="C205" s="130"/>
      <c r="D205" s="131"/>
      <c r="E205" s="131"/>
      <c r="F205" s="129"/>
      <c r="G205" s="129"/>
    </row>
    <row r="206" spans="1:7" ht="15.75" x14ac:dyDescent="0.25">
      <c r="A206" s="130"/>
      <c r="B206" s="130"/>
      <c r="C206" s="130"/>
      <c r="D206" s="131"/>
      <c r="E206" s="131"/>
      <c r="F206" s="129"/>
      <c r="G206" s="129"/>
    </row>
    <row r="207" spans="1:7" ht="15.75" x14ac:dyDescent="0.25">
      <c r="A207" s="130"/>
      <c r="B207" s="130"/>
      <c r="C207" s="130"/>
      <c r="D207" s="131"/>
      <c r="E207" s="131"/>
      <c r="F207" s="129"/>
      <c r="G207" s="129"/>
    </row>
    <row r="208" spans="1:7" ht="15.75" x14ac:dyDescent="0.25">
      <c r="A208" s="130"/>
      <c r="B208" s="130"/>
      <c r="C208" s="130"/>
      <c r="D208" s="131"/>
      <c r="E208" s="131"/>
      <c r="F208" s="129"/>
      <c r="G208" s="129"/>
    </row>
    <row r="209" spans="1:7" ht="15.75" x14ac:dyDescent="0.25">
      <c r="A209" s="130"/>
      <c r="B209" s="130"/>
      <c r="C209" s="130"/>
      <c r="D209" s="131"/>
      <c r="E209" s="131"/>
      <c r="F209" s="129"/>
      <c r="G209" s="129"/>
    </row>
    <row r="210" spans="1:7" ht="15.75" x14ac:dyDescent="0.25">
      <c r="A210" s="130"/>
      <c r="B210" s="130"/>
      <c r="C210" s="130"/>
      <c r="D210" s="131"/>
      <c r="E210" s="131"/>
      <c r="F210" s="129"/>
      <c r="G210" s="129"/>
    </row>
    <row r="211" spans="1:7" ht="15.75" x14ac:dyDescent="0.25">
      <c r="A211" s="130"/>
      <c r="B211" s="130"/>
      <c r="C211" s="130"/>
      <c r="D211" s="131"/>
      <c r="E211" s="131"/>
      <c r="F211" s="129"/>
      <c r="G211" s="129"/>
    </row>
    <row r="212" spans="1:7" ht="15.75" x14ac:dyDescent="0.25">
      <c r="A212" s="130"/>
      <c r="B212" s="130"/>
      <c r="C212" s="130"/>
      <c r="D212" s="131"/>
      <c r="E212" s="131"/>
      <c r="F212" s="129"/>
      <c r="G212" s="129"/>
    </row>
    <row r="213" spans="1:7" ht="15.75" x14ac:dyDescent="0.25">
      <c r="A213" s="130"/>
      <c r="B213" s="130"/>
      <c r="C213" s="130"/>
      <c r="D213" s="131"/>
      <c r="E213" s="131"/>
      <c r="F213" s="129"/>
      <c r="G213" s="129"/>
    </row>
    <row r="214" spans="1:7" ht="15.75" x14ac:dyDescent="0.25">
      <c r="A214" s="130"/>
      <c r="B214" s="130"/>
      <c r="C214" s="130"/>
      <c r="D214" s="131"/>
      <c r="E214" s="131"/>
      <c r="F214" s="129"/>
      <c r="G214" s="129"/>
    </row>
    <row r="215" spans="1:7" ht="15.75" x14ac:dyDescent="0.25">
      <c r="A215" s="130"/>
      <c r="B215" s="130"/>
      <c r="C215" s="130"/>
      <c r="D215" s="131"/>
      <c r="E215" s="131"/>
      <c r="F215" s="129"/>
      <c r="G215" s="129"/>
    </row>
    <row r="216" spans="1:7" ht="15.75" x14ac:dyDescent="0.25">
      <c r="A216" s="130"/>
      <c r="B216" s="130"/>
      <c r="C216" s="130"/>
      <c r="D216" s="131"/>
      <c r="E216" s="131"/>
      <c r="F216" s="129"/>
      <c r="G216" s="129"/>
    </row>
    <row r="217" spans="1:7" ht="15.75" x14ac:dyDescent="0.25">
      <c r="A217" s="130"/>
      <c r="B217" s="130"/>
      <c r="C217" s="130"/>
      <c r="D217" s="131"/>
      <c r="E217" s="131"/>
      <c r="F217" s="129"/>
      <c r="G217" s="129"/>
    </row>
    <row r="218" spans="1:7" ht="15.75" x14ac:dyDescent="0.25">
      <c r="A218" s="130"/>
      <c r="B218" s="130"/>
      <c r="C218" s="130"/>
      <c r="D218" s="131"/>
      <c r="E218" s="131"/>
      <c r="F218" s="129"/>
      <c r="G218" s="129"/>
    </row>
    <row r="219" spans="1:7" ht="15.75" x14ac:dyDescent="0.25">
      <c r="A219" s="130"/>
      <c r="B219" s="130"/>
      <c r="C219" s="130"/>
      <c r="D219" s="131"/>
      <c r="E219" s="131"/>
      <c r="F219" s="129"/>
      <c r="G219" s="129"/>
    </row>
    <row r="220" spans="1:7" ht="15.75" x14ac:dyDescent="0.25">
      <c r="A220" s="130"/>
      <c r="B220" s="130"/>
      <c r="C220" s="130"/>
      <c r="D220" s="131"/>
      <c r="E220" s="131"/>
      <c r="F220" s="129"/>
      <c r="G220" s="129"/>
    </row>
    <row r="221" spans="1:7" ht="15.75" x14ac:dyDescent="0.25">
      <c r="A221" s="130"/>
      <c r="B221" s="130"/>
      <c r="C221" s="130"/>
      <c r="D221" s="131"/>
      <c r="E221" s="131"/>
      <c r="F221" s="129"/>
      <c r="G221" s="129"/>
    </row>
    <row r="222" spans="1:7" ht="15.75" x14ac:dyDescent="0.25">
      <c r="A222" s="130"/>
      <c r="B222" s="130"/>
      <c r="C222" s="130"/>
      <c r="D222" s="131"/>
      <c r="E222" s="131"/>
      <c r="F222" s="129"/>
      <c r="G222" s="129"/>
    </row>
    <row r="223" spans="1:7" ht="15.75" x14ac:dyDescent="0.25">
      <c r="A223" s="130"/>
      <c r="B223" s="130"/>
      <c r="C223" s="130"/>
      <c r="D223" s="131"/>
      <c r="E223" s="131"/>
      <c r="F223" s="129"/>
      <c r="G223" s="129"/>
    </row>
    <row r="224" spans="1:7" ht="15.75" x14ac:dyDescent="0.25">
      <c r="A224" s="130"/>
      <c r="B224" s="130"/>
      <c r="C224" s="130"/>
      <c r="D224" s="131"/>
      <c r="E224" s="131"/>
      <c r="F224" s="129"/>
      <c r="G224" s="129"/>
    </row>
    <row r="225" spans="1:7" ht="15.75" x14ac:dyDescent="0.25">
      <c r="A225" s="130"/>
      <c r="B225" s="130"/>
      <c r="C225" s="130"/>
      <c r="D225" s="131"/>
      <c r="E225" s="131"/>
      <c r="F225" s="129"/>
      <c r="G225" s="129"/>
    </row>
    <row r="226" spans="1:7" ht="15.75" x14ac:dyDescent="0.25">
      <c r="A226" s="130"/>
      <c r="B226" s="130"/>
      <c r="C226" s="130"/>
      <c r="D226" s="131"/>
      <c r="E226" s="131"/>
      <c r="F226" s="129"/>
      <c r="G226" s="129"/>
    </row>
    <row r="227" spans="1:7" ht="15.75" x14ac:dyDescent="0.25">
      <c r="A227" s="130"/>
      <c r="B227" s="130"/>
      <c r="C227" s="130"/>
      <c r="D227" s="131"/>
      <c r="E227" s="131"/>
      <c r="F227" s="129"/>
      <c r="G227" s="129"/>
    </row>
    <row r="228" spans="1:7" ht="15.75" x14ac:dyDescent="0.25">
      <c r="A228" s="130"/>
      <c r="B228" s="130"/>
      <c r="C228" s="130"/>
      <c r="D228" s="131"/>
      <c r="E228" s="131"/>
      <c r="F228" s="129"/>
      <c r="G228" s="129"/>
    </row>
    <row r="229" spans="1:7" ht="15.75" x14ac:dyDescent="0.25">
      <c r="A229" s="130"/>
      <c r="B229" s="130"/>
      <c r="C229" s="130"/>
      <c r="D229" s="131"/>
      <c r="E229" s="131"/>
      <c r="F229" s="129"/>
      <c r="G229" s="129"/>
    </row>
    <row r="230" spans="1:7" ht="15.75" x14ac:dyDescent="0.25">
      <c r="A230" s="130"/>
      <c r="B230" s="130"/>
      <c r="C230" s="130"/>
      <c r="D230" s="131"/>
      <c r="E230" s="131"/>
      <c r="F230" s="129"/>
      <c r="G230" s="129"/>
    </row>
    <row r="231" spans="1:7" ht="15.75" x14ac:dyDescent="0.25">
      <c r="A231" s="130"/>
      <c r="B231" s="130"/>
      <c r="C231" s="130"/>
      <c r="D231" s="131"/>
      <c r="E231" s="131"/>
      <c r="F231" s="129"/>
      <c r="G231" s="129"/>
    </row>
    <row r="232" spans="1:7" ht="15.75" x14ac:dyDescent="0.25">
      <c r="A232" s="130"/>
      <c r="B232" s="130"/>
      <c r="C232" s="130"/>
      <c r="D232" s="131"/>
      <c r="E232" s="131"/>
      <c r="F232" s="129"/>
      <c r="G232" s="129"/>
    </row>
    <row r="234" spans="1:7" x14ac:dyDescent="0.25">
      <c r="G234" s="133"/>
    </row>
    <row r="235" spans="1:7" x14ac:dyDescent="0.25">
      <c r="G235" s="133"/>
    </row>
    <row r="236" spans="1:7" x14ac:dyDescent="0.25">
      <c r="G236" s="133"/>
    </row>
    <row r="237" spans="1:7" x14ac:dyDescent="0.25">
      <c r="G237" s="133"/>
    </row>
  </sheetData>
  <mergeCells count="1">
    <mergeCell ref="C53:G5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961C-9F3E-4075-A68C-8320FBC9CBDF}">
  <dimension ref="A1:G196"/>
  <sheetViews>
    <sheetView topLeftCell="A166" zoomScaleNormal="100" workbookViewId="0">
      <selection activeCell="A147" sqref="A147:G196"/>
    </sheetView>
  </sheetViews>
  <sheetFormatPr defaultRowHeight="15" x14ac:dyDescent="0.25"/>
  <sheetData>
    <row r="1" spans="1:7" ht="16.5" thickBot="1" x14ac:dyDescent="0.3">
      <c r="A1" s="63" t="s">
        <v>1</v>
      </c>
      <c r="B1" s="47" t="s">
        <v>2</v>
      </c>
      <c r="C1" s="47" t="s">
        <v>3</v>
      </c>
      <c r="D1" s="47" t="s">
        <v>5</v>
      </c>
      <c r="E1" s="47" t="s">
        <v>6</v>
      </c>
      <c r="F1" s="85" t="s">
        <v>30</v>
      </c>
      <c r="G1" s="86" t="s">
        <v>31</v>
      </c>
    </row>
    <row r="2" spans="1:7" x14ac:dyDescent="0.25">
      <c r="A2" s="63"/>
      <c r="B2" s="47"/>
      <c r="C2" s="47"/>
      <c r="D2" s="47"/>
      <c r="E2" s="47"/>
      <c r="F2" s="87"/>
      <c r="G2" s="88"/>
    </row>
    <row r="3" spans="1:7" ht="16.5" x14ac:dyDescent="0.25">
      <c r="A3" s="27">
        <v>13</v>
      </c>
      <c r="B3" s="26" t="s">
        <v>575</v>
      </c>
      <c r="C3" s="26" t="s">
        <v>389</v>
      </c>
      <c r="D3" s="26">
        <v>13165</v>
      </c>
      <c r="E3" s="26">
        <v>160.52099999999999</v>
      </c>
      <c r="F3" s="19">
        <v>-2.6963176386230736</v>
      </c>
      <c r="G3" s="20">
        <v>25.44064711283221</v>
      </c>
    </row>
    <row r="4" spans="1:7" ht="16.5" x14ac:dyDescent="0.25">
      <c r="A4" s="27">
        <v>14</v>
      </c>
      <c r="B4" s="26" t="s">
        <v>579</v>
      </c>
      <c r="C4" s="26" t="s">
        <v>280</v>
      </c>
      <c r="D4" s="26">
        <v>14161</v>
      </c>
      <c r="E4" s="26">
        <v>175.798</v>
      </c>
      <c r="F4" s="19">
        <v>-2.3114515380870455</v>
      </c>
      <c r="G4" s="20">
        <v>25.275009028535152</v>
      </c>
    </row>
    <row r="5" spans="1:7" ht="16.5" x14ac:dyDescent="0.25">
      <c r="A5" s="27">
        <v>15</v>
      </c>
      <c r="B5" s="26" t="s">
        <v>585</v>
      </c>
      <c r="C5" s="26" t="s">
        <v>586</v>
      </c>
      <c r="D5" s="26">
        <v>14122</v>
      </c>
      <c r="E5" s="26">
        <v>169.81700000000001</v>
      </c>
      <c r="F5" s="19">
        <v>-2.0294437319691472</v>
      </c>
      <c r="G5" s="20">
        <v>25.172704820311356</v>
      </c>
    </row>
    <row r="6" spans="1:7" ht="16.5" x14ac:dyDescent="0.25">
      <c r="A6" s="27">
        <v>16</v>
      </c>
      <c r="B6" s="26" t="s">
        <v>593</v>
      </c>
      <c r="C6" s="26" t="s">
        <v>420</v>
      </c>
      <c r="D6" s="26">
        <v>9853</v>
      </c>
      <c r="E6" s="26">
        <v>122.736</v>
      </c>
      <c r="F6" s="19">
        <v>-2.232598986421265</v>
      </c>
      <c r="G6" s="20">
        <v>25.295881623172537</v>
      </c>
    </row>
    <row r="7" spans="1:7" ht="16.5" x14ac:dyDescent="0.25">
      <c r="A7" s="27">
        <v>17</v>
      </c>
      <c r="B7" s="26" t="s">
        <v>600</v>
      </c>
      <c r="C7" s="26" t="s">
        <v>601</v>
      </c>
      <c r="D7" s="26">
        <v>13918</v>
      </c>
      <c r="E7" s="26">
        <v>165.69</v>
      </c>
      <c r="F7" s="19">
        <v>-2.6998830193058296</v>
      </c>
      <c r="G7" s="20">
        <v>25.30968330500529</v>
      </c>
    </row>
    <row r="8" spans="1:7" ht="16.5" x14ac:dyDescent="0.25">
      <c r="A8" s="27">
        <v>18</v>
      </c>
      <c r="B8" s="26" t="s">
        <v>607</v>
      </c>
      <c r="C8" s="26" t="s">
        <v>608</v>
      </c>
      <c r="D8" s="26">
        <v>16023</v>
      </c>
      <c r="E8" s="26">
        <v>197.922</v>
      </c>
      <c r="F8" s="19">
        <v>-3.1309658398843263</v>
      </c>
      <c r="G8" s="20">
        <v>25.334855436326617</v>
      </c>
    </row>
    <row r="9" spans="1:7" ht="16.5" x14ac:dyDescent="0.25">
      <c r="A9" s="27">
        <v>19</v>
      </c>
      <c r="B9" s="26" t="s">
        <v>616</v>
      </c>
      <c r="C9" s="26" t="s">
        <v>617</v>
      </c>
      <c r="D9" s="26">
        <v>16894</v>
      </c>
      <c r="E9" s="26">
        <v>199.095</v>
      </c>
      <c r="F9" s="19">
        <v>-3.2271781890390399</v>
      </c>
      <c r="G9" s="20">
        <v>25.485705720210753</v>
      </c>
    </row>
    <row r="10" spans="1:7" ht="16.5" x14ac:dyDescent="0.25">
      <c r="A10" s="27">
        <v>20</v>
      </c>
      <c r="B10" s="26" t="s">
        <v>625</v>
      </c>
      <c r="C10" s="26" t="s">
        <v>420</v>
      </c>
      <c r="D10" s="26">
        <v>8817</v>
      </c>
      <c r="E10" s="26">
        <v>109.331</v>
      </c>
      <c r="F10" s="19">
        <v>-2.8911768825477235</v>
      </c>
      <c r="G10" s="20">
        <v>25.389915464221847</v>
      </c>
    </row>
    <row r="11" spans="1:7" ht="16.5" x14ac:dyDescent="0.25">
      <c r="A11" s="27">
        <v>21</v>
      </c>
      <c r="B11" s="26" t="s">
        <v>631</v>
      </c>
      <c r="C11" s="26" t="s">
        <v>632</v>
      </c>
      <c r="D11" s="26">
        <v>12579</v>
      </c>
      <c r="E11" s="26">
        <v>150.47</v>
      </c>
      <c r="F11" s="19">
        <v>-2.9792192049358306</v>
      </c>
      <c r="G11" s="20">
        <v>25.27809071125899</v>
      </c>
    </row>
    <row r="12" spans="1:7" ht="16.5" x14ac:dyDescent="0.25">
      <c r="A12" s="27">
        <v>22</v>
      </c>
      <c r="B12" s="26" t="s">
        <v>639</v>
      </c>
      <c r="C12" s="26" t="s">
        <v>414</v>
      </c>
      <c r="D12" s="26">
        <v>16356</v>
      </c>
      <c r="E12" s="26">
        <v>201.07</v>
      </c>
      <c r="F12" s="19">
        <v>-2.7922401848774041</v>
      </c>
      <c r="G12" s="20">
        <v>25.213369406623592</v>
      </c>
    </row>
    <row r="13" spans="1:7" ht="16.5" x14ac:dyDescent="0.25">
      <c r="A13" s="27">
        <v>25</v>
      </c>
      <c r="B13" s="26" t="s">
        <v>659</v>
      </c>
      <c r="C13" s="26" t="s">
        <v>375</v>
      </c>
      <c r="D13" s="26">
        <v>15280</v>
      </c>
      <c r="E13" s="26">
        <v>189.66900000000001</v>
      </c>
      <c r="F13" s="19">
        <v>-3.0708742022300206</v>
      </c>
      <c r="G13" s="20">
        <v>25.189516078365621</v>
      </c>
    </row>
    <row r="14" spans="1:7" ht="16.5" x14ac:dyDescent="0.25">
      <c r="A14" s="27">
        <v>26</v>
      </c>
      <c r="B14" s="26" t="s">
        <v>664</v>
      </c>
      <c r="C14" s="26" t="s">
        <v>420</v>
      </c>
      <c r="D14" s="26">
        <v>9433</v>
      </c>
      <c r="E14" s="26">
        <v>114.142</v>
      </c>
      <c r="F14" s="19">
        <v>-3.1451404217452392</v>
      </c>
      <c r="G14" s="20">
        <v>25.173814763161062</v>
      </c>
    </row>
    <row r="15" spans="1:7" ht="16.5" x14ac:dyDescent="0.25">
      <c r="A15" s="27">
        <v>27</v>
      </c>
      <c r="B15" s="26" t="s">
        <v>670</v>
      </c>
      <c r="C15" s="26" t="s">
        <v>671</v>
      </c>
      <c r="D15" s="26">
        <v>9115</v>
      </c>
      <c r="E15" s="26">
        <v>113.502</v>
      </c>
      <c r="F15" s="19">
        <v>-3.3425680438745267</v>
      </c>
      <c r="G15" s="20">
        <v>25.256191717857355</v>
      </c>
    </row>
    <row r="16" spans="1:7" ht="16.5" x14ac:dyDescent="0.25">
      <c r="A16" s="27">
        <v>28</v>
      </c>
      <c r="B16" s="26" t="s">
        <v>677</v>
      </c>
      <c r="C16" s="26" t="s">
        <v>678</v>
      </c>
      <c r="D16" s="26">
        <v>12495</v>
      </c>
      <c r="E16" s="26">
        <v>148.44499999999999</v>
      </c>
      <c r="F16" s="19">
        <v>-3.2991275953673158</v>
      </c>
      <c r="G16" s="20">
        <v>25.411534982766163</v>
      </c>
    </row>
    <row r="17" spans="1:7" ht="16.5" x14ac:dyDescent="0.25">
      <c r="A17" s="26">
        <v>29</v>
      </c>
      <c r="B17" s="26" t="s">
        <v>685</v>
      </c>
      <c r="C17" s="26" t="s">
        <v>397</v>
      </c>
      <c r="D17" s="26">
        <v>8240</v>
      </c>
      <c r="E17" s="26">
        <v>102.55800000000001</v>
      </c>
      <c r="F17" s="19">
        <v>-3.0097145201365976</v>
      </c>
      <c r="G17" s="20">
        <v>25.28088943812196</v>
      </c>
    </row>
    <row r="18" spans="1:7" ht="16.5" x14ac:dyDescent="0.25">
      <c r="A18" s="27">
        <v>30</v>
      </c>
      <c r="B18" s="26" t="s">
        <v>691</v>
      </c>
      <c r="C18" s="26" t="s">
        <v>432</v>
      </c>
      <c r="D18" s="26">
        <v>14501</v>
      </c>
      <c r="E18" s="26">
        <v>170.489</v>
      </c>
      <c r="F18" s="19">
        <v>-2.7970356178706721</v>
      </c>
      <c r="G18" s="20">
        <v>25.200553346084796</v>
      </c>
    </row>
    <row r="19" spans="1:7" ht="16.5" x14ac:dyDescent="0.25">
      <c r="A19" s="27">
        <v>31</v>
      </c>
      <c r="B19" s="26" t="s">
        <v>697</v>
      </c>
      <c r="C19" s="26" t="s">
        <v>698</v>
      </c>
      <c r="D19" s="26">
        <v>8447</v>
      </c>
      <c r="E19" s="26">
        <v>105.161</v>
      </c>
      <c r="F19" s="19">
        <v>-2.8176569055009879</v>
      </c>
      <c r="G19" s="20">
        <v>25.062078527145893</v>
      </c>
    </row>
    <row r="20" spans="1:7" ht="16.5" x14ac:dyDescent="0.25">
      <c r="A20" s="27">
        <v>32</v>
      </c>
      <c r="B20" s="26" t="s">
        <v>704</v>
      </c>
      <c r="C20" s="26" t="s">
        <v>278</v>
      </c>
      <c r="D20" s="26">
        <v>10609</v>
      </c>
      <c r="E20" s="26">
        <v>126.03400000000001</v>
      </c>
      <c r="F20" s="19">
        <v>-2.9242111931590604</v>
      </c>
      <c r="G20" s="20">
        <v>25.075292913949301</v>
      </c>
    </row>
    <row r="21" spans="1:7" ht="16.5" x14ac:dyDescent="0.25">
      <c r="A21" s="27">
        <v>33</v>
      </c>
      <c r="B21" s="26" t="s">
        <v>711</v>
      </c>
      <c r="C21" s="26" t="s">
        <v>412</v>
      </c>
      <c r="D21" s="26">
        <v>12377</v>
      </c>
      <c r="E21" s="26">
        <v>152.886</v>
      </c>
      <c r="F21" s="19">
        <v>-2.9944258071253258</v>
      </c>
      <c r="G21" s="20">
        <v>25.059808415537962</v>
      </c>
    </row>
    <row r="22" spans="1:7" ht="16.5" x14ac:dyDescent="0.25">
      <c r="A22" s="27">
        <v>34</v>
      </c>
      <c r="B22" s="26" t="s">
        <v>716</v>
      </c>
      <c r="C22" s="26" t="s">
        <v>476</v>
      </c>
      <c r="D22" s="26">
        <v>9897</v>
      </c>
      <c r="E22" s="26">
        <v>120.197</v>
      </c>
      <c r="F22" s="19">
        <v>-3.5302482259502668</v>
      </c>
      <c r="G22" s="20">
        <v>25.181953846772668</v>
      </c>
    </row>
    <row r="23" spans="1:7" ht="16.5" x14ac:dyDescent="0.25">
      <c r="A23" s="27">
        <v>37</v>
      </c>
      <c r="B23" s="26" t="s">
        <v>740</v>
      </c>
      <c r="C23" s="26" t="s">
        <v>741</v>
      </c>
      <c r="D23" s="26">
        <v>15634</v>
      </c>
      <c r="E23" s="26">
        <v>187.24700000000001</v>
      </c>
      <c r="F23" s="19">
        <v>-3.8896631917682889</v>
      </c>
      <c r="G23" s="20">
        <v>25.33144653926805</v>
      </c>
    </row>
    <row r="24" spans="1:7" ht="16.5" x14ac:dyDescent="0.25">
      <c r="A24" s="27">
        <v>38</v>
      </c>
      <c r="B24" s="26" t="s">
        <v>747</v>
      </c>
      <c r="C24" s="26" t="s">
        <v>503</v>
      </c>
      <c r="D24" s="26">
        <v>15144</v>
      </c>
      <c r="E24" s="26">
        <v>187.40700000000001</v>
      </c>
      <c r="F24" s="19">
        <v>-3.1324526897648983</v>
      </c>
      <c r="G24" s="20">
        <v>25.598246068048486</v>
      </c>
    </row>
    <row r="25" spans="1:7" ht="16.5" x14ac:dyDescent="0.25">
      <c r="A25" s="27">
        <v>39</v>
      </c>
      <c r="B25" s="26" t="s">
        <v>755</v>
      </c>
      <c r="C25" s="26" t="s">
        <v>756</v>
      </c>
      <c r="D25" s="26">
        <v>14782</v>
      </c>
      <c r="E25" s="26">
        <v>176.13</v>
      </c>
      <c r="F25" s="19">
        <v>-2.7137231203192185</v>
      </c>
      <c r="G25" s="20">
        <v>25.441557643906499</v>
      </c>
    </row>
    <row r="26" spans="1:7" ht="16.5" x14ac:dyDescent="0.25">
      <c r="A26" s="27">
        <v>40</v>
      </c>
      <c r="B26" s="26" t="s">
        <v>761</v>
      </c>
      <c r="C26" s="26" t="s">
        <v>762</v>
      </c>
      <c r="D26" s="26">
        <v>16004</v>
      </c>
      <c r="E26" s="26">
        <v>197.61</v>
      </c>
      <c r="F26" s="19">
        <v>-2.3219411955687939</v>
      </c>
      <c r="G26" s="20">
        <v>25.313612363453107</v>
      </c>
    </row>
    <row r="27" spans="1:7" ht="16.5" x14ac:dyDescent="0.25">
      <c r="A27" s="27">
        <v>41</v>
      </c>
      <c r="B27" s="26" t="s">
        <v>769</v>
      </c>
      <c r="C27" s="26" t="s">
        <v>732</v>
      </c>
      <c r="D27" s="26">
        <v>16700</v>
      </c>
      <c r="E27" s="26">
        <v>199.35499999999999</v>
      </c>
      <c r="F27" s="19">
        <v>-2.5068525524337995</v>
      </c>
      <c r="G27" s="20">
        <v>25.273068120406833</v>
      </c>
    </row>
    <row r="28" spans="1:7" ht="16.5" x14ac:dyDescent="0.25">
      <c r="A28" s="27">
        <v>42</v>
      </c>
      <c r="B28" s="26" t="s">
        <v>773</v>
      </c>
      <c r="C28" s="26" t="s">
        <v>534</v>
      </c>
      <c r="D28" s="26">
        <v>11262</v>
      </c>
      <c r="E28" s="26">
        <v>138.96100000000001</v>
      </c>
      <c r="F28" s="19">
        <v>-2.4809298842466316</v>
      </c>
      <c r="G28" s="20">
        <v>25.15723524048671</v>
      </c>
    </row>
    <row r="29" spans="1:7" ht="16.5" x14ac:dyDescent="0.25">
      <c r="A29" s="27">
        <v>43</v>
      </c>
      <c r="B29" s="26" t="s">
        <v>780</v>
      </c>
      <c r="C29" s="26" t="s">
        <v>281</v>
      </c>
      <c r="D29" s="26">
        <v>11526</v>
      </c>
      <c r="E29" s="26">
        <v>140.66800000000001</v>
      </c>
      <c r="F29" s="19">
        <v>-2.9015298899118611</v>
      </c>
      <c r="G29" s="20">
        <v>25.256875486413968</v>
      </c>
    </row>
    <row r="30" spans="1:7" ht="16.5" x14ac:dyDescent="0.25">
      <c r="A30" s="27">
        <v>44</v>
      </c>
      <c r="B30" s="26" t="s">
        <v>787</v>
      </c>
      <c r="C30" s="26" t="s">
        <v>788</v>
      </c>
      <c r="D30" s="26">
        <v>9374</v>
      </c>
      <c r="E30" s="26">
        <v>115.27800000000001</v>
      </c>
      <c r="F30" s="19">
        <v>-2.6249534731519581</v>
      </c>
      <c r="G30" s="20">
        <v>24.99030570386855</v>
      </c>
    </row>
    <row r="31" spans="1:7" ht="16.5" x14ac:dyDescent="0.25">
      <c r="A31" s="27">
        <v>45</v>
      </c>
      <c r="B31" s="26" t="s">
        <v>795</v>
      </c>
      <c r="C31" s="26" t="s">
        <v>476</v>
      </c>
      <c r="D31" s="26">
        <v>11731</v>
      </c>
      <c r="E31" s="26">
        <v>144.333</v>
      </c>
      <c r="F31" s="19">
        <v>-3.2152298569587012</v>
      </c>
      <c r="G31" s="20">
        <v>25.195772436337005</v>
      </c>
    </row>
    <row r="32" spans="1:7" ht="16.5" x14ac:dyDescent="0.25">
      <c r="A32" s="27">
        <v>46</v>
      </c>
      <c r="B32" s="26" t="s">
        <v>802</v>
      </c>
      <c r="C32" s="26" t="s">
        <v>803</v>
      </c>
      <c r="D32" s="26">
        <v>13396</v>
      </c>
      <c r="E32" s="26">
        <v>160.30199999999999</v>
      </c>
      <c r="F32" s="19">
        <v>-3.3093169848439459</v>
      </c>
      <c r="G32" s="20">
        <v>25.452547172148265</v>
      </c>
    </row>
    <row r="33" spans="1:7" ht="16.5" x14ac:dyDescent="0.25">
      <c r="A33" s="27">
        <v>49</v>
      </c>
      <c r="B33" s="26" t="s">
        <v>824</v>
      </c>
      <c r="C33" s="26" t="s">
        <v>357</v>
      </c>
      <c r="D33" s="26">
        <v>12882</v>
      </c>
      <c r="E33" s="26">
        <v>159.92699999999999</v>
      </c>
      <c r="F33" s="19">
        <v>-2.8267249187547501</v>
      </c>
      <c r="G33" s="20">
        <v>25.575291833281675</v>
      </c>
    </row>
    <row r="34" spans="1:7" ht="16.5" x14ac:dyDescent="0.25">
      <c r="A34" s="27">
        <v>50</v>
      </c>
      <c r="B34" s="26" t="s">
        <v>830</v>
      </c>
      <c r="C34" s="26" t="s">
        <v>336</v>
      </c>
      <c r="D34" s="26">
        <v>17276</v>
      </c>
      <c r="E34" s="26">
        <v>203.298</v>
      </c>
      <c r="F34" s="19">
        <v>-2.9529624584051666</v>
      </c>
      <c r="G34" s="20">
        <v>25.400884106442252</v>
      </c>
    </row>
    <row r="35" spans="1:7" ht="16.5" x14ac:dyDescent="0.25">
      <c r="A35" s="27">
        <v>51</v>
      </c>
      <c r="B35" s="26" t="s">
        <v>839</v>
      </c>
      <c r="C35" s="26" t="s">
        <v>840</v>
      </c>
      <c r="D35" s="26">
        <v>17111</v>
      </c>
      <c r="E35" s="26">
        <v>212.048</v>
      </c>
      <c r="F35" s="19">
        <v>-2.1621203298124287</v>
      </c>
      <c r="G35" s="20">
        <v>25.356059720874743</v>
      </c>
    </row>
    <row r="36" spans="1:7" ht="16.5" x14ac:dyDescent="0.25">
      <c r="A36" s="27">
        <v>52</v>
      </c>
      <c r="B36" s="26" t="s">
        <v>846</v>
      </c>
      <c r="C36" s="26" t="s">
        <v>220</v>
      </c>
      <c r="D36" s="26">
        <v>11279</v>
      </c>
      <c r="E36" s="26">
        <v>136.523</v>
      </c>
      <c r="F36" s="19">
        <v>-2.6338182218714254</v>
      </c>
      <c r="G36" s="20">
        <v>25.374667176766433</v>
      </c>
    </row>
    <row r="37" spans="1:7" ht="16.5" x14ac:dyDescent="0.25">
      <c r="A37" s="27">
        <v>53</v>
      </c>
      <c r="B37" s="26" t="s">
        <v>853</v>
      </c>
      <c r="C37" s="26" t="s">
        <v>284</v>
      </c>
      <c r="D37" s="26">
        <v>12016</v>
      </c>
      <c r="E37" s="26">
        <v>146.054</v>
      </c>
      <c r="F37" s="19">
        <v>-2.8166116025394707</v>
      </c>
      <c r="G37" s="20">
        <v>25.304833769758734</v>
      </c>
    </row>
    <row r="38" spans="1:7" ht="16.5" x14ac:dyDescent="0.25">
      <c r="A38" s="137">
        <v>54</v>
      </c>
      <c r="B38" s="138" t="s">
        <v>860</v>
      </c>
      <c r="C38" s="138" t="s">
        <v>788</v>
      </c>
      <c r="D38" s="138">
        <v>9851</v>
      </c>
      <c r="E38" s="138">
        <v>122.31699999999999</v>
      </c>
      <c r="F38" s="19">
        <v>-2.7889275767244253</v>
      </c>
      <c r="G38" s="20">
        <v>25.439792775101122</v>
      </c>
    </row>
    <row r="39" spans="1:7" ht="16.5" x14ac:dyDescent="0.25">
      <c r="A39" s="27">
        <v>55</v>
      </c>
      <c r="B39" s="26" t="s">
        <v>867</v>
      </c>
      <c r="C39" s="26" t="s">
        <v>428</v>
      </c>
      <c r="D39" s="26">
        <v>13793</v>
      </c>
      <c r="E39" s="26">
        <v>164.91499999999999</v>
      </c>
      <c r="F39" s="19">
        <v>-2.9493385133862908</v>
      </c>
      <c r="G39" s="20">
        <v>25.185052437228098</v>
      </c>
    </row>
    <row r="40" spans="1:7" ht="16.5" x14ac:dyDescent="0.25">
      <c r="A40" s="27">
        <v>56</v>
      </c>
      <c r="B40" s="26" t="s">
        <v>875</v>
      </c>
      <c r="C40" s="26" t="s">
        <v>876</v>
      </c>
      <c r="D40" s="26">
        <v>13628</v>
      </c>
      <c r="E40" s="26">
        <v>169.03399999999999</v>
      </c>
      <c r="F40" s="19">
        <v>-2.8216829520441444</v>
      </c>
      <c r="G40" s="20">
        <v>25.344156677841351</v>
      </c>
    </row>
    <row r="41" spans="1:7" ht="16.5" x14ac:dyDescent="0.25">
      <c r="A41" s="27">
        <v>57</v>
      </c>
      <c r="B41" s="26" t="s">
        <v>882</v>
      </c>
      <c r="C41" s="26" t="s">
        <v>883</v>
      </c>
      <c r="D41" s="26">
        <v>20700</v>
      </c>
      <c r="E41" s="26">
        <v>245.58699999999999</v>
      </c>
      <c r="F41" s="19">
        <v>-2.707925049791434</v>
      </c>
      <c r="G41" s="20">
        <v>25.306092898475335</v>
      </c>
    </row>
    <row r="42" spans="1:7" ht="16.5" x14ac:dyDescent="0.25">
      <c r="A42" s="27">
        <v>58</v>
      </c>
      <c r="B42" s="26" t="s">
        <v>888</v>
      </c>
      <c r="C42" s="26" t="s">
        <v>269</v>
      </c>
      <c r="D42" s="26">
        <v>13605</v>
      </c>
      <c r="E42" s="26">
        <v>168.40899999999999</v>
      </c>
      <c r="F42" s="19">
        <v>-2.6700101765848423</v>
      </c>
      <c r="G42" s="20">
        <v>25.152030642876934</v>
      </c>
    </row>
    <row r="43" spans="1:7" ht="16.5" x14ac:dyDescent="0.25">
      <c r="A43" s="27">
        <v>61</v>
      </c>
      <c r="B43" s="26" t="s">
        <v>906</v>
      </c>
      <c r="C43" s="26" t="s">
        <v>907</v>
      </c>
      <c r="D43" s="26">
        <v>19919</v>
      </c>
      <c r="E43" s="26">
        <v>243.79599999999999</v>
      </c>
      <c r="F43" s="19">
        <v>-3.037003488247858</v>
      </c>
      <c r="G43" s="20">
        <v>25.229957383163736</v>
      </c>
    </row>
    <row r="44" spans="1:7" ht="16.5" x14ac:dyDescent="0.25">
      <c r="A44" s="27">
        <v>62</v>
      </c>
      <c r="B44" s="26" t="s">
        <v>912</v>
      </c>
      <c r="C44" s="26" t="s">
        <v>913</v>
      </c>
      <c r="D44" s="26">
        <v>17833</v>
      </c>
      <c r="E44" s="26">
        <v>215.066</v>
      </c>
      <c r="F44" s="19">
        <v>-3.0334286487204363</v>
      </c>
      <c r="G44" s="20">
        <v>25.329915892273704</v>
      </c>
    </row>
    <row r="45" spans="1:7" ht="16.5" x14ac:dyDescent="0.25">
      <c r="A45" s="27">
        <v>63</v>
      </c>
      <c r="B45" s="26" t="s">
        <v>919</v>
      </c>
      <c r="C45" s="26" t="s">
        <v>920</v>
      </c>
      <c r="D45" s="26">
        <v>19584</v>
      </c>
      <c r="E45" s="26">
        <v>242.77799999999999</v>
      </c>
      <c r="F45" s="19">
        <v>-3.0510118359450797</v>
      </c>
      <c r="G45" s="20">
        <v>25.364823893268646</v>
      </c>
    </row>
    <row r="46" spans="1:7" ht="16.5" x14ac:dyDescent="0.25">
      <c r="A46" s="27">
        <v>64</v>
      </c>
      <c r="B46" s="26" t="s">
        <v>925</v>
      </c>
      <c r="C46" s="26" t="s">
        <v>926</v>
      </c>
      <c r="D46" s="26">
        <v>16667</v>
      </c>
      <c r="E46" s="26">
        <v>196.74199999999999</v>
      </c>
      <c r="F46" s="19">
        <v>-2.9118414393610825</v>
      </c>
      <c r="G46" s="20">
        <v>25.444321560733858</v>
      </c>
    </row>
    <row r="47" spans="1:7" ht="16.5" x14ac:dyDescent="0.25">
      <c r="A47" s="27">
        <v>65</v>
      </c>
      <c r="B47" s="26" t="s">
        <v>933</v>
      </c>
      <c r="C47" s="26" t="s">
        <v>934</v>
      </c>
      <c r="D47" s="26">
        <v>12078</v>
      </c>
      <c r="E47" s="26">
        <v>149.471</v>
      </c>
      <c r="F47" s="19">
        <v>-2.5543802280964689</v>
      </c>
      <c r="G47" s="20">
        <v>25.437513712341179</v>
      </c>
    </row>
    <row r="48" spans="1:7" ht="16.5" x14ac:dyDescent="0.25">
      <c r="A48" s="27">
        <v>66</v>
      </c>
      <c r="B48" s="26" t="s">
        <v>940</v>
      </c>
      <c r="C48" s="26" t="s">
        <v>220</v>
      </c>
      <c r="D48" s="26">
        <v>13638</v>
      </c>
      <c r="E48" s="26">
        <v>160.73699999999999</v>
      </c>
      <c r="F48" s="19">
        <v>-2.4583035227992962</v>
      </c>
      <c r="G48" s="20">
        <v>24.865358064767317</v>
      </c>
    </row>
    <row r="49" spans="1:7" ht="16.5" x14ac:dyDescent="0.25">
      <c r="A49" s="27">
        <v>67</v>
      </c>
      <c r="B49" s="26" t="s">
        <v>945</v>
      </c>
      <c r="C49" s="26" t="s">
        <v>946</v>
      </c>
      <c r="D49" s="26">
        <v>15760</v>
      </c>
      <c r="E49" s="26">
        <v>194.35</v>
      </c>
      <c r="F49" s="19">
        <v>-2.3601764619819194</v>
      </c>
      <c r="G49" s="20">
        <v>25.22619789931796</v>
      </c>
    </row>
    <row r="50" spans="1:7" ht="16.5" x14ac:dyDescent="0.25">
      <c r="A50" s="27">
        <v>68</v>
      </c>
      <c r="B50" s="26" t="s">
        <v>952</v>
      </c>
      <c r="C50" s="26" t="s">
        <v>402</v>
      </c>
      <c r="D50" s="26">
        <v>19172</v>
      </c>
      <c r="E50" s="26">
        <v>227.77600000000001</v>
      </c>
      <c r="F50" s="19">
        <v>-2.7042363016240007</v>
      </c>
      <c r="G50" s="20">
        <v>24.88685127261099</v>
      </c>
    </row>
    <row r="51" spans="1:7" ht="16.5" x14ac:dyDescent="0.25">
      <c r="A51" s="27">
        <v>69</v>
      </c>
      <c r="B51" s="26" t="s">
        <v>958</v>
      </c>
      <c r="C51" s="26" t="s">
        <v>678</v>
      </c>
      <c r="D51" s="26">
        <v>14731</v>
      </c>
      <c r="E51" s="26">
        <v>181.60599999999999</v>
      </c>
      <c r="F51" s="19">
        <v>-2.7872738889241195</v>
      </c>
      <c r="G51" s="20">
        <v>25.062862747519546</v>
      </c>
    </row>
    <row r="52" spans="1:7" ht="16.5" x14ac:dyDescent="0.25">
      <c r="A52" s="27">
        <v>70</v>
      </c>
      <c r="B52" s="26" t="s">
        <v>965</v>
      </c>
      <c r="C52" s="26" t="s">
        <v>280</v>
      </c>
      <c r="D52" s="26">
        <v>12772</v>
      </c>
      <c r="E52" s="26">
        <v>155.61000000000001</v>
      </c>
      <c r="F52" s="19">
        <v>-3.1793862694817849</v>
      </c>
      <c r="G52" s="20">
        <v>25.215263072560724</v>
      </c>
    </row>
    <row r="53" spans="1:7" ht="16.5" x14ac:dyDescent="0.25">
      <c r="A53" s="27">
        <v>73</v>
      </c>
      <c r="B53" s="26" t="s">
        <v>982</v>
      </c>
      <c r="C53" s="26" t="s">
        <v>420</v>
      </c>
      <c r="D53" s="26">
        <v>12388</v>
      </c>
      <c r="E53" s="26">
        <v>149.55500000000001</v>
      </c>
      <c r="F53" s="19">
        <v>-3.5284399766030905</v>
      </c>
      <c r="G53" s="20">
        <v>25.484443607776811</v>
      </c>
    </row>
    <row r="54" spans="1:7" ht="16.5" x14ac:dyDescent="0.25">
      <c r="A54" s="27">
        <v>75</v>
      </c>
      <c r="B54" s="26" t="s">
        <v>993</v>
      </c>
      <c r="C54" s="26" t="s">
        <v>994</v>
      </c>
      <c r="D54" s="26">
        <v>20009</v>
      </c>
      <c r="E54" s="26">
        <v>237.33099999999999</v>
      </c>
      <c r="F54" s="19">
        <v>-2.5531859986444778</v>
      </c>
      <c r="G54" s="20">
        <v>25.47580325965243</v>
      </c>
    </row>
    <row r="55" spans="1:7" ht="16.5" x14ac:dyDescent="0.25">
      <c r="A55" s="27">
        <v>76</v>
      </c>
      <c r="B55" s="26" t="s">
        <v>999</v>
      </c>
      <c r="C55" s="26" t="s">
        <v>412</v>
      </c>
      <c r="D55" s="26">
        <v>15783</v>
      </c>
      <c r="E55" s="26">
        <v>195.19499999999999</v>
      </c>
      <c r="F55" s="19">
        <v>-2.2442949484758539</v>
      </c>
      <c r="G55" s="20">
        <v>25.306410167085598</v>
      </c>
    </row>
    <row r="56" spans="1:7" ht="16.5" x14ac:dyDescent="0.25">
      <c r="A56" s="27">
        <v>77</v>
      </c>
      <c r="B56" s="26" t="s">
        <v>1005</v>
      </c>
      <c r="C56" s="26" t="s">
        <v>1006</v>
      </c>
      <c r="D56" s="26">
        <v>18318</v>
      </c>
      <c r="E56" s="26">
        <v>217.08199999999999</v>
      </c>
      <c r="F56" s="19">
        <v>-2.3496207938395282</v>
      </c>
      <c r="G56" s="20">
        <v>25.158661457374233</v>
      </c>
    </row>
    <row r="57" spans="1:7" ht="16.5" x14ac:dyDescent="0.25">
      <c r="A57" s="27">
        <v>78</v>
      </c>
      <c r="B57" s="26" t="s">
        <v>1011</v>
      </c>
      <c r="C57" s="26" t="s">
        <v>428</v>
      </c>
      <c r="D57" s="26">
        <v>13262</v>
      </c>
      <c r="E57" s="26">
        <v>163.82</v>
      </c>
      <c r="F57" s="19">
        <v>-2.4870914159119781</v>
      </c>
      <c r="G57" s="20">
        <v>24.781936311716528</v>
      </c>
    </row>
    <row r="58" spans="1:7" ht="16.5" x14ac:dyDescent="0.25">
      <c r="A58" s="27">
        <v>79</v>
      </c>
      <c r="B58" s="26" t="s">
        <v>1018</v>
      </c>
      <c r="C58" s="26" t="s">
        <v>632</v>
      </c>
      <c r="D58" s="26">
        <v>13946</v>
      </c>
      <c r="E58" s="26">
        <v>168.94300000000001</v>
      </c>
      <c r="F58" s="19">
        <v>-2.3771001463561792</v>
      </c>
      <c r="G58" s="20">
        <v>25.036814895159541</v>
      </c>
    </row>
    <row r="59" spans="1:7" ht="16.5" x14ac:dyDescent="0.25">
      <c r="A59" s="27">
        <v>80</v>
      </c>
      <c r="B59" s="26" t="s">
        <v>1024</v>
      </c>
      <c r="C59" s="26" t="s">
        <v>310</v>
      </c>
      <c r="D59" s="26">
        <v>14698</v>
      </c>
      <c r="E59" s="26">
        <v>179.91</v>
      </c>
      <c r="F59" s="19">
        <v>-2.8721432720570701</v>
      </c>
      <c r="G59" s="20">
        <v>25.034847133575184</v>
      </c>
    </row>
    <row r="60" spans="1:7" ht="16.5" x14ac:dyDescent="0.25">
      <c r="A60" s="27">
        <v>81</v>
      </c>
      <c r="B60" s="26" t="s">
        <v>1030</v>
      </c>
      <c r="C60" s="26" t="s">
        <v>1031</v>
      </c>
      <c r="D60" s="26">
        <v>18489</v>
      </c>
      <c r="E60" s="26">
        <v>226.00200000000001</v>
      </c>
      <c r="F60" s="19">
        <v>-3.2172649173258296</v>
      </c>
      <c r="G60" s="20">
        <v>25.524887896292263</v>
      </c>
    </row>
    <row r="61" spans="1:7" ht="16.5" x14ac:dyDescent="0.25">
      <c r="A61" s="27">
        <v>82</v>
      </c>
      <c r="B61" s="26" t="s">
        <v>1036</v>
      </c>
      <c r="C61" s="26" t="s">
        <v>698</v>
      </c>
      <c r="D61" s="26">
        <v>10714</v>
      </c>
      <c r="E61" s="26">
        <v>130.06</v>
      </c>
      <c r="F61" s="19">
        <v>-2.6838394099894662</v>
      </c>
      <c r="G61" s="20">
        <v>25.279931664856488</v>
      </c>
    </row>
    <row r="62" spans="1:7" ht="16.5" x14ac:dyDescent="0.25">
      <c r="A62" s="27">
        <v>85</v>
      </c>
      <c r="B62" s="26" t="s">
        <v>1057</v>
      </c>
      <c r="C62" s="26" t="s">
        <v>280</v>
      </c>
      <c r="D62" s="26">
        <v>12372</v>
      </c>
      <c r="E62" s="26">
        <v>153.40899999999999</v>
      </c>
      <c r="F62" s="19">
        <v>-2.4605428539607912</v>
      </c>
      <c r="G62" s="20">
        <v>25.728149661647997</v>
      </c>
    </row>
    <row r="63" spans="1:7" ht="16.5" x14ac:dyDescent="0.25">
      <c r="A63" s="27">
        <v>86</v>
      </c>
      <c r="B63" s="26" t="s">
        <v>1062</v>
      </c>
      <c r="C63" s="26" t="s">
        <v>496</v>
      </c>
      <c r="D63" s="26">
        <v>15683</v>
      </c>
      <c r="E63" s="26">
        <v>186.47300000000001</v>
      </c>
      <c r="F63" s="19">
        <v>-1.9497485381201023</v>
      </c>
      <c r="G63" s="20">
        <v>25.532837016566692</v>
      </c>
    </row>
    <row r="64" spans="1:7" ht="16.5" x14ac:dyDescent="0.25">
      <c r="A64" s="27">
        <v>87</v>
      </c>
      <c r="B64" s="26" t="s">
        <v>1067</v>
      </c>
      <c r="C64" s="26" t="s">
        <v>340</v>
      </c>
      <c r="D64" s="26">
        <v>12712</v>
      </c>
      <c r="E64" s="26">
        <v>157.02500000000001</v>
      </c>
      <c r="F64" s="19">
        <v>-1.6949636894528228</v>
      </c>
      <c r="G64" s="20">
        <v>25.644607565331242</v>
      </c>
    </row>
    <row r="65" spans="1:7" ht="16.5" x14ac:dyDescent="0.25">
      <c r="A65" s="27">
        <v>88</v>
      </c>
      <c r="B65" s="26" t="s">
        <v>1075</v>
      </c>
      <c r="C65" s="26" t="s">
        <v>1076</v>
      </c>
      <c r="D65" s="26">
        <v>11079</v>
      </c>
      <c r="E65" s="26">
        <v>131.65199999999999</v>
      </c>
      <c r="F65" s="19">
        <v>-1.8716341788422395</v>
      </c>
      <c r="G65" s="20">
        <v>25.646968680317986</v>
      </c>
    </row>
    <row r="66" spans="1:7" ht="16.5" x14ac:dyDescent="0.25">
      <c r="A66" s="27">
        <v>89</v>
      </c>
      <c r="B66" s="26" t="s">
        <v>1081</v>
      </c>
      <c r="C66" s="26" t="s">
        <v>397</v>
      </c>
      <c r="D66" s="26">
        <v>10677</v>
      </c>
      <c r="E66" s="26">
        <v>132.005</v>
      </c>
      <c r="F66" s="19">
        <v>-1.5385526365722724</v>
      </c>
      <c r="G66" s="20">
        <v>25.483592751049287</v>
      </c>
    </row>
    <row r="67" spans="1:7" ht="16.5" x14ac:dyDescent="0.25">
      <c r="A67" s="27">
        <v>90</v>
      </c>
      <c r="B67" s="26" t="s">
        <v>1086</v>
      </c>
      <c r="C67" s="26" t="s">
        <v>1087</v>
      </c>
      <c r="D67" s="26">
        <v>15383</v>
      </c>
      <c r="E67" s="26">
        <v>185.785</v>
      </c>
      <c r="F67" s="19">
        <v>-1.4286080574837579</v>
      </c>
      <c r="G67" s="20">
        <v>25.104873487637402</v>
      </c>
    </row>
    <row r="68" spans="1:7" ht="16.5" x14ac:dyDescent="0.25">
      <c r="A68" s="27">
        <v>91</v>
      </c>
      <c r="B68" s="26" t="s">
        <v>1094</v>
      </c>
      <c r="C68" s="26" t="s">
        <v>1006</v>
      </c>
      <c r="D68" s="26">
        <v>18059</v>
      </c>
      <c r="E68" s="26">
        <v>219.92400000000001</v>
      </c>
      <c r="F68" s="19">
        <v>-1.5614313680453575</v>
      </c>
      <c r="G68" s="20">
        <v>25.589953322993967</v>
      </c>
    </row>
    <row r="69" spans="1:7" ht="16.5" x14ac:dyDescent="0.25">
      <c r="A69" s="27">
        <v>92</v>
      </c>
      <c r="B69" s="26" t="s">
        <v>1099</v>
      </c>
      <c r="C69" s="26" t="s">
        <v>601</v>
      </c>
      <c r="D69" s="26">
        <v>13505</v>
      </c>
      <c r="E69" s="26">
        <v>167.03399999999999</v>
      </c>
      <c r="F69" s="19">
        <v>-1.5542050119731208</v>
      </c>
      <c r="G69" s="20">
        <v>25.260933839279751</v>
      </c>
    </row>
    <row r="70" spans="1:7" ht="16.5" x14ac:dyDescent="0.25">
      <c r="A70" s="27">
        <v>93</v>
      </c>
      <c r="B70" s="26" t="s">
        <v>1106</v>
      </c>
      <c r="C70" s="26" t="s">
        <v>406</v>
      </c>
      <c r="D70" s="26">
        <v>12784</v>
      </c>
      <c r="E70" s="26">
        <v>152.126</v>
      </c>
      <c r="F70" s="19">
        <v>-1.7095041474754678</v>
      </c>
      <c r="G70" s="20">
        <v>25.527448920340639</v>
      </c>
    </row>
    <row r="71" spans="1:7" ht="16.5" x14ac:dyDescent="0.25">
      <c r="A71" s="27">
        <v>99</v>
      </c>
      <c r="B71" s="26" t="s">
        <v>1113</v>
      </c>
      <c r="C71" s="26" t="s">
        <v>436</v>
      </c>
      <c r="D71" s="26">
        <v>8750</v>
      </c>
      <c r="E71" s="26">
        <v>99.74</v>
      </c>
      <c r="F71" s="19">
        <v>-1.7865728012877855</v>
      </c>
      <c r="G71" s="20">
        <v>25.612085046347957</v>
      </c>
    </row>
    <row r="72" spans="1:7" ht="16.5" x14ac:dyDescent="0.25">
      <c r="A72" s="121">
        <v>114</v>
      </c>
      <c r="B72" s="76" t="s">
        <v>1212</v>
      </c>
      <c r="C72" s="76" t="s">
        <v>325</v>
      </c>
      <c r="D72" s="76">
        <v>10558</v>
      </c>
      <c r="E72" s="76">
        <v>123.745</v>
      </c>
      <c r="F72" s="19">
        <v>-1.7895301996357826</v>
      </c>
      <c r="G72" s="20">
        <v>25.605259792937478</v>
      </c>
    </row>
    <row r="73" spans="1:7" ht="16.5" x14ac:dyDescent="0.25">
      <c r="A73" s="121">
        <v>115</v>
      </c>
      <c r="B73" s="76" t="s">
        <v>1218</v>
      </c>
      <c r="C73" s="76" t="s">
        <v>1219</v>
      </c>
      <c r="D73" s="76">
        <v>14882</v>
      </c>
      <c r="E73" s="76">
        <v>165.09399999999999</v>
      </c>
      <c r="F73" s="19">
        <v>-1.9657482744973809</v>
      </c>
      <c r="G73" s="20">
        <v>25.457218678926999</v>
      </c>
    </row>
    <row r="74" spans="1:7" ht="16.5" x14ac:dyDescent="0.25">
      <c r="A74" s="121">
        <v>116</v>
      </c>
      <c r="B74" s="76" t="s">
        <v>1226</v>
      </c>
      <c r="C74" s="76" t="s">
        <v>586</v>
      </c>
      <c r="D74" s="76">
        <v>12897</v>
      </c>
      <c r="E74" s="76">
        <v>150.35499999999999</v>
      </c>
      <c r="F74" s="19">
        <v>-1.8997273500020606</v>
      </c>
      <c r="G74" s="20">
        <v>25.396602969348567</v>
      </c>
    </row>
    <row r="75" spans="1:7" ht="16.5" x14ac:dyDescent="0.25">
      <c r="A75" s="121">
        <v>117</v>
      </c>
      <c r="B75" s="76" t="s">
        <v>1233</v>
      </c>
      <c r="C75" s="76" t="s">
        <v>317</v>
      </c>
      <c r="D75" s="76">
        <v>14613</v>
      </c>
      <c r="E75" s="76">
        <v>163.04400000000001</v>
      </c>
      <c r="F75" s="19">
        <v>-1.6709233313540395</v>
      </c>
      <c r="G75" s="20">
        <v>25.44538823968216</v>
      </c>
    </row>
    <row r="76" spans="1:7" s="214" customFormat="1" ht="16.5" x14ac:dyDescent="0.25">
      <c r="A76" s="208">
        <v>118</v>
      </c>
      <c r="B76" s="118" t="s">
        <v>1239</v>
      </c>
      <c r="C76" s="118" t="s">
        <v>671</v>
      </c>
      <c r="D76" s="118">
        <v>11144</v>
      </c>
      <c r="E76" s="118">
        <v>120.26900000000001</v>
      </c>
      <c r="F76" s="61">
        <v>-8.8895134476374316E-2</v>
      </c>
      <c r="G76" s="62">
        <v>24.622614259737606</v>
      </c>
    </row>
    <row r="77" spans="1:7" ht="16.5" x14ac:dyDescent="0.25">
      <c r="A77" s="121">
        <v>119</v>
      </c>
      <c r="B77" s="76" t="s">
        <v>1244</v>
      </c>
      <c r="C77" s="76" t="s">
        <v>1006</v>
      </c>
      <c r="D77" s="76">
        <v>16405</v>
      </c>
      <c r="E77" s="76">
        <v>187.482</v>
      </c>
      <c r="F77" s="19">
        <v>-1.9756949540449407</v>
      </c>
      <c r="G77" s="20">
        <v>25.415451111772182</v>
      </c>
    </row>
    <row r="78" spans="1:7" ht="16.5" x14ac:dyDescent="0.25">
      <c r="A78" s="121">
        <v>120</v>
      </c>
      <c r="B78" s="76" t="s">
        <v>1250</v>
      </c>
      <c r="C78" s="76" t="s">
        <v>946</v>
      </c>
      <c r="D78" s="76">
        <v>17036</v>
      </c>
      <c r="E78" s="76">
        <v>193.322</v>
      </c>
      <c r="F78" s="19">
        <v>-2.3241026422008111</v>
      </c>
      <c r="G78" s="20">
        <v>25.188084888615865</v>
      </c>
    </row>
    <row r="79" spans="1:7" ht="16.5" x14ac:dyDescent="0.25">
      <c r="A79" s="121">
        <v>121</v>
      </c>
      <c r="B79" s="76" t="s">
        <v>1256</v>
      </c>
      <c r="C79" s="76" t="s">
        <v>281</v>
      </c>
      <c r="D79" s="76">
        <v>10071</v>
      </c>
      <c r="E79" s="76">
        <v>118.336</v>
      </c>
      <c r="F79" s="19">
        <v>-2.0182553274942552</v>
      </c>
      <c r="G79" s="20">
        <v>25.629035047258441</v>
      </c>
    </row>
    <row r="80" spans="1:7" ht="16.5" x14ac:dyDescent="0.25">
      <c r="A80" s="121">
        <v>122</v>
      </c>
      <c r="B80" s="76" t="s">
        <v>1263</v>
      </c>
      <c r="C80" s="76" t="s">
        <v>402</v>
      </c>
      <c r="D80" s="76">
        <v>18920</v>
      </c>
      <c r="E80" s="76">
        <v>211.93700000000001</v>
      </c>
      <c r="F80" s="19">
        <v>-1.6790227186636781</v>
      </c>
      <c r="G80" s="20">
        <v>25.532244251388892</v>
      </c>
    </row>
    <row r="81" spans="1:7" ht="16.5" x14ac:dyDescent="0.25">
      <c r="A81" s="121">
        <v>123</v>
      </c>
      <c r="B81" s="76" t="s">
        <v>1268</v>
      </c>
      <c r="C81" s="76" t="s">
        <v>406</v>
      </c>
      <c r="D81" s="76">
        <v>12497</v>
      </c>
      <c r="E81" s="76">
        <v>146.596</v>
      </c>
      <c r="F81" s="19">
        <v>-1.7924719003266754</v>
      </c>
      <c r="G81" s="20">
        <v>25.09610832067105</v>
      </c>
    </row>
    <row r="82" spans="1:7" ht="16.5" x14ac:dyDescent="0.25">
      <c r="A82" s="121">
        <v>126</v>
      </c>
      <c r="B82" s="76" t="s">
        <v>1285</v>
      </c>
      <c r="C82" s="76" t="s">
        <v>913</v>
      </c>
      <c r="D82" s="76">
        <v>17334</v>
      </c>
      <c r="E82" s="76">
        <v>193.89599999999999</v>
      </c>
      <c r="F82" s="19">
        <v>-2.1289449415391695</v>
      </c>
      <c r="G82" s="20">
        <v>25.16814023007057</v>
      </c>
    </row>
    <row r="83" spans="1:7" ht="16.5" x14ac:dyDescent="0.25">
      <c r="A83" s="121">
        <v>127</v>
      </c>
      <c r="B83" s="76" t="s">
        <v>1289</v>
      </c>
      <c r="C83" s="76" t="s">
        <v>1290</v>
      </c>
      <c r="D83" s="76">
        <v>15922</v>
      </c>
      <c r="E83" s="76">
        <v>185.07300000000001</v>
      </c>
      <c r="F83" s="19">
        <v>-1.83311917212944</v>
      </c>
      <c r="G83" s="20">
        <v>25.129080883686136</v>
      </c>
    </row>
    <row r="84" spans="1:7" ht="16.5" x14ac:dyDescent="0.25">
      <c r="A84" s="121">
        <v>128</v>
      </c>
      <c r="B84" s="76" t="s">
        <v>1296</v>
      </c>
      <c r="C84" s="76" t="s">
        <v>756</v>
      </c>
      <c r="D84" s="76">
        <v>17810</v>
      </c>
      <c r="E84" s="76">
        <v>199.73099999999999</v>
      </c>
      <c r="F84" s="19">
        <v>-2.3940079318213208</v>
      </c>
      <c r="G84" s="20">
        <v>25.321544575995954</v>
      </c>
    </row>
    <row r="85" spans="1:7" ht="16.5" x14ac:dyDescent="0.25">
      <c r="A85" s="121">
        <v>129</v>
      </c>
      <c r="B85" s="76" t="s">
        <v>1301</v>
      </c>
      <c r="C85" s="76" t="s">
        <v>1302</v>
      </c>
      <c r="D85" s="76">
        <v>13684</v>
      </c>
      <c r="E85" s="76">
        <v>158.749</v>
      </c>
      <c r="F85" s="19">
        <v>-2.6281213811067605</v>
      </c>
      <c r="G85" s="20">
        <v>25.528007372769054</v>
      </c>
    </row>
    <row r="86" spans="1:7" ht="16.5" x14ac:dyDescent="0.25">
      <c r="A86" s="121">
        <v>130</v>
      </c>
      <c r="B86" s="76" t="s">
        <v>1307</v>
      </c>
      <c r="C86" s="76" t="s">
        <v>496</v>
      </c>
      <c r="D86" s="76">
        <v>15718</v>
      </c>
      <c r="E86" s="76">
        <v>179.005</v>
      </c>
      <c r="F86" s="19">
        <v>-1.8438698534735458</v>
      </c>
      <c r="G86" s="20">
        <v>25.625131350407997</v>
      </c>
    </row>
    <row r="87" spans="1:7" ht="16.5" x14ac:dyDescent="0.25">
      <c r="A87" s="121">
        <v>131</v>
      </c>
      <c r="B87" s="76" t="s">
        <v>1314</v>
      </c>
      <c r="C87" s="76" t="s">
        <v>788</v>
      </c>
      <c r="D87" s="76">
        <v>15709</v>
      </c>
      <c r="E87" s="76">
        <v>181.16900000000001</v>
      </c>
      <c r="F87" s="19">
        <v>-1.4168044256015966</v>
      </c>
      <c r="G87" s="20">
        <v>25.506440566564368</v>
      </c>
    </row>
    <row r="88" spans="1:7" ht="16.5" x14ac:dyDescent="0.25">
      <c r="A88" s="121">
        <v>132</v>
      </c>
      <c r="B88" s="76" t="s">
        <v>1320</v>
      </c>
      <c r="C88" s="76" t="s">
        <v>671</v>
      </c>
      <c r="D88" s="76">
        <v>12332</v>
      </c>
      <c r="E88" s="76">
        <v>142.71899999999999</v>
      </c>
      <c r="F88" s="19">
        <v>-1.3708145165790788</v>
      </c>
      <c r="G88" s="20">
        <v>25.439292505160797</v>
      </c>
    </row>
    <row r="89" spans="1:7" ht="16.5" x14ac:dyDescent="0.25">
      <c r="A89" s="121">
        <v>133</v>
      </c>
      <c r="B89" s="76" t="s">
        <v>1326</v>
      </c>
      <c r="C89" s="76" t="s">
        <v>698</v>
      </c>
      <c r="D89" s="76">
        <v>10524</v>
      </c>
      <c r="E89" s="76">
        <v>119.319</v>
      </c>
      <c r="F89" s="19">
        <v>-1.636409415934641</v>
      </c>
      <c r="G89" s="20">
        <v>25.499643161182377</v>
      </c>
    </row>
    <row r="90" spans="1:7" ht="16.5" x14ac:dyDescent="0.25">
      <c r="A90" s="121">
        <v>134</v>
      </c>
      <c r="B90" s="76" t="s">
        <v>1331</v>
      </c>
      <c r="C90" s="76" t="s">
        <v>436</v>
      </c>
      <c r="D90" s="76">
        <v>18965</v>
      </c>
      <c r="E90" s="76">
        <v>220.26900000000001</v>
      </c>
      <c r="F90" s="19">
        <v>-1.5220694928569967</v>
      </c>
      <c r="G90" s="20">
        <v>25.555213902028616</v>
      </c>
    </row>
    <row r="91" spans="1:7" ht="16.5" x14ac:dyDescent="0.25">
      <c r="A91" s="121">
        <v>135</v>
      </c>
      <c r="B91" s="76" t="s">
        <v>1338</v>
      </c>
      <c r="C91" s="76" t="s">
        <v>436</v>
      </c>
      <c r="D91" s="76">
        <v>17920</v>
      </c>
      <c r="E91" s="76">
        <v>198.386</v>
      </c>
      <c r="F91" s="19">
        <v>-1.4474148569544596</v>
      </c>
      <c r="G91" s="20">
        <v>25.612927449209696</v>
      </c>
    </row>
    <row r="92" spans="1:7" ht="16.5" x14ac:dyDescent="0.25">
      <c r="A92" s="121">
        <v>138</v>
      </c>
      <c r="B92" s="76" t="s">
        <v>1353</v>
      </c>
      <c r="C92" s="76" t="s">
        <v>722</v>
      </c>
      <c r="D92" s="76">
        <v>16428</v>
      </c>
      <c r="E92" s="76">
        <v>191.14400000000001</v>
      </c>
      <c r="F92" s="19">
        <v>-1.1921804112875596</v>
      </c>
      <c r="G92" s="20">
        <v>25.331481349303658</v>
      </c>
    </row>
    <row r="93" spans="1:7" ht="16.5" x14ac:dyDescent="0.25">
      <c r="A93" s="121">
        <v>139</v>
      </c>
      <c r="B93" s="76" t="s">
        <v>1360</v>
      </c>
      <c r="C93" s="76" t="s">
        <v>654</v>
      </c>
      <c r="D93" s="76">
        <v>15349</v>
      </c>
      <c r="E93" s="76">
        <v>172.40600000000001</v>
      </c>
      <c r="F93" s="19">
        <v>-1.2116432923244038</v>
      </c>
      <c r="G93" s="20">
        <v>25.549293709543967</v>
      </c>
    </row>
    <row r="94" spans="1:7" ht="16.5" x14ac:dyDescent="0.25">
      <c r="A94" s="121">
        <v>140</v>
      </c>
      <c r="B94" s="76" t="s">
        <v>1364</v>
      </c>
      <c r="C94" s="76" t="s">
        <v>586</v>
      </c>
      <c r="D94" s="76">
        <v>14389</v>
      </c>
      <c r="E94" s="76">
        <v>166.84700000000001</v>
      </c>
      <c r="F94" s="19">
        <v>-1.2621883394352889</v>
      </c>
      <c r="G94" s="20">
        <v>25.436839889509031</v>
      </c>
    </row>
    <row r="95" spans="1:7" ht="16.5" x14ac:dyDescent="0.25">
      <c r="A95" s="121">
        <v>141</v>
      </c>
      <c r="B95" s="76" t="s">
        <v>1369</v>
      </c>
      <c r="C95" s="76" t="s">
        <v>1219</v>
      </c>
      <c r="D95" s="76">
        <v>17514</v>
      </c>
      <c r="E95" s="76">
        <v>202.203</v>
      </c>
      <c r="F95" s="19">
        <v>-1.4771168367154304</v>
      </c>
      <c r="G95" s="20">
        <v>25.514639324522747</v>
      </c>
    </row>
    <row r="96" spans="1:7" ht="16.5" x14ac:dyDescent="0.25">
      <c r="A96" s="121">
        <v>142</v>
      </c>
      <c r="B96" s="76" t="s">
        <v>1375</v>
      </c>
      <c r="C96" s="76" t="s">
        <v>1290</v>
      </c>
      <c r="D96" s="76">
        <v>20162</v>
      </c>
      <c r="E96" s="76">
        <v>231.642</v>
      </c>
      <c r="F96" s="19">
        <v>-1.7200765195350343</v>
      </c>
      <c r="G96" s="20">
        <v>25.577603716932334</v>
      </c>
    </row>
    <row r="97" spans="1:7" ht="16.5" x14ac:dyDescent="0.25">
      <c r="A97" s="121">
        <v>143</v>
      </c>
      <c r="B97" s="76" t="s">
        <v>1379</v>
      </c>
      <c r="C97" s="76" t="s">
        <v>397</v>
      </c>
      <c r="D97" s="76">
        <v>9608</v>
      </c>
      <c r="E97" s="76">
        <v>112.378</v>
      </c>
      <c r="F97" s="19">
        <v>-1.8883564099503314</v>
      </c>
      <c r="G97" s="20">
        <v>25.471713577754592</v>
      </c>
    </row>
    <row r="98" spans="1:7" ht="16.5" x14ac:dyDescent="0.25">
      <c r="A98" s="121">
        <v>144</v>
      </c>
      <c r="B98" s="76" t="s">
        <v>1384</v>
      </c>
      <c r="C98" s="76" t="s">
        <v>412</v>
      </c>
      <c r="D98" s="76">
        <v>11587</v>
      </c>
      <c r="E98" s="76">
        <v>130.03100000000001</v>
      </c>
      <c r="F98" s="19">
        <v>-1.6596852176316514</v>
      </c>
      <c r="G98" s="20">
        <v>25.457751272471814</v>
      </c>
    </row>
    <row r="99" spans="1:7" ht="16.5" x14ac:dyDescent="0.25">
      <c r="A99" s="121">
        <v>145</v>
      </c>
      <c r="B99" s="76" t="s">
        <v>1389</v>
      </c>
      <c r="C99" s="76" t="s">
        <v>934</v>
      </c>
      <c r="D99" s="76">
        <v>10610</v>
      </c>
      <c r="E99" s="76">
        <v>124.16</v>
      </c>
      <c r="F99" s="19">
        <v>-1.6577533995477856</v>
      </c>
      <c r="G99" s="20">
        <v>25.505956209783186</v>
      </c>
    </row>
    <row r="100" spans="1:7" ht="16.5" x14ac:dyDescent="0.25">
      <c r="A100" s="121">
        <v>146</v>
      </c>
      <c r="B100" s="76" t="s">
        <v>1394</v>
      </c>
      <c r="C100" s="76" t="s">
        <v>357</v>
      </c>
      <c r="D100" s="76">
        <v>11335</v>
      </c>
      <c r="E100" s="76">
        <v>126.404</v>
      </c>
      <c r="F100" s="19">
        <v>-1.7381972508894834</v>
      </c>
      <c r="G100" s="20">
        <v>25.464852022449829</v>
      </c>
    </row>
    <row r="101" spans="1:7" ht="16.5" x14ac:dyDescent="0.25">
      <c r="A101" s="121">
        <v>147</v>
      </c>
      <c r="B101" s="76" t="s">
        <v>1400</v>
      </c>
      <c r="C101" s="76" t="s">
        <v>280</v>
      </c>
      <c r="D101" s="76">
        <v>12352</v>
      </c>
      <c r="E101" s="76">
        <v>144.1</v>
      </c>
      <c r="F101" s="19">
        <v>-1.6769081637509595</v>
      </c>
      <c r="G101" s="20">
        <v>25.330799072605721</v>
      </c>
    </row>
    <row r="102" spans="1:7" ht="16.5" x14ac:dyDescent="0.25">
      <c r="A102" s="121">
        <v>150</v>
      </c>
      <c r="B102" s="76" t="s">
        <v>1417</v>
      </c>
      <c r="C102" s="76" t="s">
        <v>275</v>
      </c>
      <c r="D102" s="76">
        <v>15086</v>
      </c>
      <c r="E102" s="76">
        <v>173.964</v>
      </c>
      <c r="F102" s="19">
        <v>-1.9671544223202768</v>
      </c>
      <c r="G102" s="20">
        <v>25.278239897125889</v>
      </c>
    </row>
    <row r="103" spans="1:7" ht="16.5" x14ac:dyDescent="0.25">
      <c r="A103" s="121">
        <v>151</v>
      </c>
      <c r="B103" s="76" t="s">
        <v>1422</v>
      </c>
      <c r="C103" s="76" t="s">
        <v>389</v>
      </c>
      <c r="D103" s="76">
        <v>12145</v>
      </c>
      <c r="E103" s="76">
        <v>137.65899999999999</v>
      </c>
      <c r="F103" s="19">
        <v>-1.864843734632661</v>
      </c>
      <c r="G103" s="20">
        <v>25.333484418209842</v>
      </c>
    </row>
    <row r="104" spans="1:7" ht="16.5" x14ac:dyDescent="0.25">
      <c r="A104" s="121">
        <v>152</v>
      </c>
      <c r="B104" s="76" t="s">
        <v>1427</v>
      </c>
      <c r="C104" s="76" t="s">
        <v>444</v>
      </c>
      <c r="D104" s="76">
        <v>11440</v>
      </c>
      <c r="E104" s="76">
        <v>134.37299999999999</v>
      </c>
      <c r="F104" s="19">
        <v>-2.2452134626684539</v>
      </c>
      <c r="G104" s="20">
        <v>25.412027296126926</v>
      </c>
    </row>
    <row r="105" spans="1:7" ht="16.5" x14ac:dyDescent="0.25">
      <c r="A105" s="121">
        <v>153</v>
      </c>
      <c r="B105" s="76" t="s">
        <v>1434</v>
      </c>
      <c r="C105" s="76" t="s">
        <v>310</v>
      </c>
      <c r="D105" s="76">
        <v>14525</v>
      </c>
      <c r="E105" s="76">
        <v>162.29</v>
      </c>
      <c r="F105" s="19">
        <v>-2.5116383253303876</v>
      </c>
      <c r="G105" s="20">
        <v>25.543165651418114</v>
      </c>
    </row>
    <row r="106" spans="1:7" ht="16.5" x14ac:dyDescent="0.25">
      <c r="A106" s="121">
        <v>154</v>
      </c>
      <c r="B106" s="76" t="s">
        <v>1440</v>
      </c>
      <c r="C106" s="76" t="s">
        <v>722</v>
      </c>
      <c r="D106" s="76">
        <v>14707</v>
      </c>
      <c r="E106" s="76">
        <v>171.97300000000001</v>
      </c>
      <c r="F106" s="19">
        <v>-2.0034514305850819</v>
      </c>
      <c r="G106" s="20">
        <v>25.632642361519984</v>
      </c>
    </row>
    <row r="107" spans="1:7" ht="16.5" x14ac:dyDescent="0.25">
      <c r="A107" s="121">
        <v>155</v>
      </c>
      <c r="B107" s="76" t="s">
        <v>1445</v>
      </c>
      <c r="C107" s="76" t="s">
        <v>601</v>
      </c>
      <c r="D107" s="76">
        <v>15578</v>
      </c>
      <c r="E107" s="76">
        <v>172.81700000000001</v>
      </c>
      <c r="F107" s="19">
        <v>-1.7654365097532483</v>
      </c>
      <c r="G107" s="20">
        <v>25.551705050439224</v>
      </c>
    </row>
    <row r="108" spans="1:7" ht="16.5" x14ac:dyDescent="0.25">
      <c r="A108" s="121">
        <v>156</v>
      </c>
      <c r="B108" s="76" t="s">
        <v>1449</v>
      </c>
      <c r="C108" s="76" t="s">
        <v>420</v>
      </c>
      <c r="D108" s="76">
        <v>11426</v>
      </c>
      <c r="E108" s="76">
        <v>133.38900000000001</v>
      </c>
      <c r="F108" s="19">
        <v>-1.9180750936284769</v>
      </c>
      <c r="G108" s="20">
        <v>25.269805425497822</v>
      </c>
    </row>
    <row r="109" spans="1:7" ht="16.5" x14ac:dyDescent="0.25">
      <c r="A109" s="121">
        <v>157</v>
      </c>
      <c r="B109" s="76" t="s">
        <v>1454</v>
      </c>
      <c r="C109" s="76" t="s">
        <v>510</v>
      </c>
      <c r="D109" s="76">
        <v>17095</v>
      </c>
      <c r="E109" s="76">
        <v>193.935</v>
      </c>
      <c r="F109" s="19">
        <v>-1.8699704284412269</v>
      </c>
      <c r="G109" s="20">
        <v>25.284291373173406</v>
      </c>
    </row>
    <row r="110" spans="1:7" ht="16.5" x14ac:dyDescent="0.25">
      <c r="A110" s="121">
        <v>158</v>
      </c>
      <c r="B110" s="76" t="s">
        <v>1458</v>
      </c>
      <c r="C110" s="76" t="s">
        <v>433</v>
      </c>
      <c r="D110" s="76">
        <v>12182</v>
      </c>
      <c r="E110" s="76">
        <v>141.44499999999999</v>
      </c>
      <c r="F110" s="19">
        <v>-2.0721765783945925</v>
      </c>
      <c r="G110" s="20">
        <v>25.152630370061861</v>
      </c>
    </row>
    <row r="111" spans="1:7" ht="16.5" x14ac:dyDescent="0.25">
      <c r="A111" s="121">
        <v>159</v>
      </c>
      <c r="B111" s="76" t="s">
        <v>1462</v>
      </c>
      <c r="C111" s="76" t="s">
        <v>412</v>
      </c>
      <c r="D111" s="76">
        <v>12160</v>
      </c>
      <c r="E111" s="76">
        <v>141.17599999999999</v>
      </c>
      <c r="F111" s="19">
        <v>-1.6140257644163758</v>
      </c>
      <c r="G111" s="20">
        <v>25.793148949282049</v>
      </c>
    </row>
    <row r="112" spans="1:7" ht="16.5" x14ac:dyDescent="0.25">
      <c r="A112" s="121">
        <v>162</v>
      </c>
      <c r="B112" s="76" t="s">
        <v>1477</v>
      </c>
      <c r="C112" s="76" t="s">
        <v>340</v>
      </c>
      <c r="D112" s="76">
        <v>12203</v>
      </c>
      <c r="E112" s="76">
        <v>136.13499999999999</v>
      </c>
      <c r="F112" s="19">
        <v>-1.492244749367392</v>
      </c>
      <c r="G112" s="20">
        <v>25.585242530603626</v>
      </c>
    </row>
    <row r="113" spans="1:7" ht="16.5" x14ac:dyDescent="0.25">
      <c r="A113" s="121">
        <v>163</v>
      </c>
      <c r="B113" s="76" t="s">
        <v>1480</v>
      </c>
      <c r="C113" s="76" t="s">
        <v>617</v>
      </c>
      <c r="D113" s="76">
        <v>14670</v>
      </c>
      <c r="E113" s="76">
        <v>171.14500000000001</v>
      </c>
      <c r="F113" s="19">
        <v>-1.6130887350384735</v>
      </c>
      <c r="G113" s="20">
        <v>25.524725780983566</v>
      </c>
    </row>
    <row r="114" spans="1:7" ht="16.5" x14ac:dyDescent="0.25">
      <c r="A114" s="121">
        <v>164</v>
      </c>
      <c r="B114" s="76" t="s">
        <v>1483</v>
      </c>
      <c r="C114" s="76" t="s">
        <v>436</v>
      </c>
      <c r="D114" s="76">
        <v>15201</v>
      </c>
      <c r="E114" s="76">
        <v>168.46799999999999</v>
      </c>
      <c r="F114" s="19">
        <v>-1.9232778606983922</v>
      </c>
      <c r="G114" s="20">
        <v>25.444104743940631</v>
      </c>
    </row>
    <row r="115" spans="1:7" ht="16.5" x14ac:dyDescent="0.25">
      <c r="A115" s="121">
        <v>165</v>
      </c>
      <c r="B115" s="76" t="s">
        <v>1487</v>
      </c>
      <c r="C115" s="76" t="s">
        <v>722</v>
      </c>
      <c r="D115" s="76">
        <v>11024</v>
      </c>
      <c r="E115" s="76">
        <v>128.94399999999999</v>
      </c>
      <c r="F115" s="19">
        <v>-1.9714207637683323</v>
      </c>
      <c r="G115" s="20">
        <v>25.489093233961729</v>
      </c>
    </row>
    <row r="116" spans="1:7" ht="16.5" x14ac:dyDescent="0.25">
      <c r="A116" s="121">
        <v>166</v>
      </c>
      <c r="B116" s="76" t="s">
        <v>1493</v>
      </c>
      <c r="C116" s="76" t="s">
        <v>269</v>
      </c>
      <c r="D116" s="76">
        <v>11955</v>
      </c>
      <c r="E116" s="76">
        <v>133.601</v>
      </c>
      <c r="F116" s="19">
        <v>-2.0474588060161656</v>
      </c>
      <c r="G116" s="20">
        <v>25.587809024800457</v>
      </c>
    </row>
    <row r="117" spans="1:7" ht="16.5" x14ac:dyDescent="0.25">
      <c r="A117" s="121">
        <v>167</v>
      </c>
      <c r="B117" s="76" t="s">
        <v>1497</v>
      </c>
      <c r="C117" s="76" t="s">
        <v>1498</v>
      </c>
      <c r="D117" s="76">
        <v>10448</v>
      </c>
      <c r="E117" s="76">
        <v>122.012</v>
      </c>
      <c r="F117" s="19">
        <v>-1.6477733121658749</v>
      </c>
      <c r="G117" s="20">
        <v>25.340281823591837</v>
      </c>
    </row>
    <row r="118" spans="1:7" ht="16.5" x14ac:dyDescent="0.25">
      <c r="A118" s="121">
        <v>168</v>
      </c>
      <c r="B118" s="76" t="s">
        <v>1502</v>
      </c>
      <c r="C118" s="76" t="s">
        <v>284</v>
      </c>
      <c r="D118" s="76">
        <v>10442</v>
      </c>
      <c r="E118" s="76">
        <v>120.758</v>
      </c>
      <c r="F118" s="19">
        <v>-1.8113994510058693</v>
      </c>
      <c r="G118" s="20">
        <v>25.325657133060052</v>
      </c>
    </row>
    <row r="119" spans="1:7" ht="16.5" x14ac:dyDescent="0.25">
      <c r="A119" s="121">
        <v>169</v>
      </c>
      <c r="B119" s="76" t="s">
        <v>1507</v>
      </c>
      <c r="C119" s="76" t="s">
        <v>325</v>
      </c>
      <c r="D119" s="76">
        <v>10269</v>
      </c>
      <c r="E119" s="76">
        <v>118.193</v>
      </c>
      <c r="F119" s="19">
        <v>-1.7275580631612182</v>
      </c>
      <c r="G119" s="20">
        <v>25.367210867138979</v>
      </c>
    </row>
    <row r="120" spans="1:7" ht="16.5" x14ac:dyDescent="0.25">
      <c r="A120" s="121">
        <v>170</v>
      </c>
      <c r="B120" s="76" t="s">
        <v>1512</v>
      </c>
      <c r="C120" s="76" t="s">
        <v>1031</v>
      </c>
      <c r="D120" s="76">
        <v>11998</v>
      </c>
      <c r="E120" s="76">
        <v>140.476</v>
      </c>
      <c r="F120" s="19">
        <v>-1.8867244573675541</v>
      </c>
      <c r="G120" s="20">
        <v>25.43820891848091</v>
      </c>
    </row>
    <row r="121" spans="1:7" ht="16.5" x14ac:dyDescent="0.25">
      <c r="A121" s="121">
        <v>171</v>
      </c>
      <c r="B121" s="76" t="s">
        <v>1517</v>
      </c>
      <c r="C121" s="76" t="s">
        <v>678</v>
      </c>
      <c r="D121" s="76">
        <v>12329</v>
      </c>
      <c r="E121" s="76">
        <v>140.65</v>
      </c>
      <c r="F121" s="19">
        <v>-2.3403048381043274</v>
      </c>
      <c r="G121" s="20">
        <v>25.478436887489366</v>
      </c>
    </row>
    <row r="122" spans="1:7" ht="16.5" x14ac:dyDescent="0.25">
      <c r="A122" s="121">
        <v>174</v>
      </c>
      <c r="B122" s="76" t="s">
        <v>1532</v>
      </c>
      <c r="C122" s="76" t="s">
        <v>1533</v>
      </c>
      <c r="D122" s="76">
        <v>10895</v>
      </c>
      <c r="E122" s="76">
        <v>127.697</v>
      </c>
      <c r="F122" s="19">
        <v>-2.2594190373395464</v>
      </c>
      <c r="G122" s="20">
        <v>25.550693072975449</v>
      </c>
    </row>
    <row r="123" spans="1:7" ht="16.5" x14ac:dyDescent="0.25">
      <c r="A123" s="121">
        <v>175</v>
      </c>
      <c r="B123" s="76" t="s">
        <v>1538</v>
      </c>
      <c r="C123" s="76" t="s">
        <v>1467</v>
      </c>
      <c r="D123" s="76">
        <v>10480</v>
      </c>
      <c r="E123" s="76">
        <v>117.30200000000001</v>
      </c>
      <c r="F123" s="19">
        <v>-1.9235167468391943</v>
      </c>
      <c r="G123" s="20">
        <v>25.497686339894926</v>
      </c>
    </row>
    <row r="124" spans="1:7" ht="16.5" x14ac:dyDescent="0.25">
      <c r="A124" s="121">
        <v>176</v>
      </c>
      <c r="B124" s="76" t="s">
        <v>1543</v>
      </c>
      <c r="C124" s="76" t="s">
        <v>444</v>
      </c>
      <c r="D124" s="76">
        <v>11081</v>
      </c>
      <c r="E124" s="76">
        <v>129.23500000000001</v>
      </c>
      <c r="F124" s="19">
        <v>-2.0394912387757991</v>
      </c>
      <c r="G124" s="20">
        <v>25.364234111808184</v>
      </c>
    </row>
    <row r="125" spans="1:7" ht="16.5" x14ac:dyDescent="0.25">
      <c r="A125" s="121">
        <v>177</v>
      </c>
      <c r="B125" s="76" t="s">
        <v>1547</v>
      </c>
      <c r="C125" s="76" t="s">
        <v>441</v>
      </c>
      <c r="D125" s="76">
        <v>15556</v>
      </c>
      <c r="E125" s="76">
        <v>176.172</v>
      </c>
      <c r="F125" s="19">
        <v>-1.7912760608585709</v>
      </c>
      <c r="G125" s="20">
        <v>25.457860178154647</v>
      </c>
    </row>
    <row r="126" spans="1:7" ht="16.5" x14ac:dyDescent="0.25">
      <c r="A126" s="121">
        <v>178</v>
      </c>
      <c r="B126" s="76" t="s">
        <v>1551</v>
      </c>
      <c r="C126" s="76" t="s">
        <v>269</v>
      </c>
      <c r="D126" s="76">
        <v>10897</v>
      </c>
      <c r="E126" s="76">
        <v>126.82299999999999</v>
      </c>
      <c r="F126" s="19">
        <v>-2.1568505458217988</v>
      </c>
      <c r="G126" s="20">
        <v>25.330311732107194</v>
      </c>
    </row>
    <row r="127" spans="1:7" ht="16.5" x14ac:dyDescent="0.25">
      <c r="A127" s="121">
        <v>179</v>
      </c>
      <c r="B127" s="76" t="s">
        <v>1556</v>
      </c>
      <c r="C127" s="76" t="s">
        <v>741</v>
      </c>
      <c r="D127" s="76">
        <v>14596</v>
      </c>
      <c r="E127" s="76">
        <v>168.34200000000001</v>
      </c>
      <c r="F127" s="19">
        <v>-2.3411082361448319</v>
      </c>
      <c r="G127" s="20">
        <v>25.422756246387845</v>
      </c>
    </row>
    <row r="128" spans="1:7" ht="16.5" x14ac:dyDescent="0.25">
      <c r="A128" s="121">
        <v>180</v>
      </c>
      <c r="B128" s="76" t="s">
        <v>1561</v>
      </c>
      <c r="C128" s="76" t="s">
        <v>1562</v>
      </c>
      <c r="D128" s="76">
        <v>11000</v>
      </c>
      <c r="E128" s="76">
        <v>124.946</v>
      </c>
      <c r="F128" s="19">
        <v>-2.9010672115313212</v>
      </c>
      <c r="G128" s="20">
        <v>25.469830852114367</v>
      </c>
    </row>
    <row r="129" spans="1:7" ht="16.5" x14ac:dyDescent="0.25">
      <c r="A129" s="121">
        <v>181</v>
      </c>
      <c r="B129" s="76" t="s">
        <v>1566</v>
      </c>
      <c r="C129" s="76" t="s">
        <v>284</v>
      </c>
      <c r="D129" s="76">
        <v>10448</v>
      </c>
      <c r="E129" s="76">
        <v>122.574</v>
      </c>
      <c r="F129" s="19">
        <v>-2.4748880975297065</v>
      </c>
      <c r="G129" s="20">
        <v>25.578229800287076</v>
      </c>
    </row>
    <row r="130" spans="1:7" ht="16.5" x14ac:dyDescent="0.25">
      <c r="A130" s="121">
        <v>182</v>
      </c>
      <c r="B130" s="76" t="s">
        <v>1570</v>
      </c>
      <c r="C130" s="76" t="s">
        <v>281</v>
      </c>
      <c r="D130" s="76">
        <v>9375</v>
      </c>
      <c r="E130" s="76">
        <v>104.80200000000001</v>
      </c>
      <c r="F130" s="19">
        <v>-2.221288220721767</v>
      </c>
      <c r="G130" s="20">
        <v>25.467266347062434</v>
      </c>
    </row>
    <row r="131" spans="1:7" ht="16.5" x14ac:dyDescent="0.25">
      <c r="A131" s="121">
        <v>183</v>
      </c>
      <c r="B131" s="76" t="s">
        <v>1575</v>
      </c>
      <c r="C131" s="76" t="s">
        <v>520</v>
      </c>
      <c r="D131" s="76">
        <v>13434</v>
      </c>
      <c r="E131" s="76">
        <v>157.04900000000001</v>
      </c>
      <c r="F131" s="19">
        <v>-2.1094381875632391</v>
      </c>
      <c r="G131" s="20">
        <v>25.365219235815921</v>
      </c>
    </row>
    <row r="132" spans="1:7" ht="16.5" x14ac:dyDescent="0.25">
      <c r="A132" s="121">
        <v>186</v>
      </c>
      <c r="B132" s="76" t="s">
        <v>1590</v>
      </c>
      <c r="C132" s="76" t="s">
        <v>336</v>
      </c>
      <c r="D132" s="76">
        <v>13441</v>
      </c>
      <c r="E132" s="76">
        <v>150.59200000000001</v>
      </c>
      <c r="F132" s="19">
        <v>-2.4455521951824823</v>
      </c>
      <c r="G132" s="20">
        <v>25.291089773127847</v>
      </c>
    </row>
    <row r="133" spans="1:7" ht="16.5" x14ac:dyDescent="0.25">
      <c r="A133" s="121">
        <v>187</v>
      </c>
      <c r="B133" s="76" t="s">
        <v>1595</v>
      </c>
      <c r="C133" s="76" t="s">
        <v>327</v>
      </c>
      <c r="D133" s="76">
        <v>13766</v>
      </c>
      <c r="E133" s="76">
        <v>160.13300000000001</v>
      </c>
      <c r="F133" s="19">
        <v>-2.4957905342237958</v>
      </c>
      <c r="G133" s="20">
        <v>25.257817346520298</v>
      </c>
    </row>
    <row r="134" spans="1:7" ht="16.5" x14ac:dyDescent="0.25">
      <c r="A134" s="121">
        <v>188</v>
      </c>
      <c r="B134" s="76" t="s">
        <v>1600</v>
      </c>
      <c r="C134" s="76" t="s">
        <v>840</v>
      </c>
      <c r="D134" s="76">
        <v>14906</v>
      </c>
      <c r="E134" s="76">
        <v>171.63900000000001</v>
      </c>
      <c r="F134" s="19">
        <v>-3.3493778082774646</v>
      </c>
      <c r="G134" s="20">
        <v>25.515662242283423</v>
      </c>
    </row>
    <row r="135" spans="1:7" ht="16.5" x14ac:dyDescent="0.25">
      <c r="A135" s="121">
        <v>189</v>
      </c>
      <c r="B135" s="76" t="s">
        <v>1604</v>
      </c>
      <c r="C135" s="76" t="s">
        <v>1087</v>
      </c>
      <c r="D135" s="76">
        <v>14614</v>
      </c>
      <c r="E135" s="76">
        <v>166.119</v>
      </c>
      <c r="F135" s="19">
        <v>-3.0116087040938173</v>
      </c>
      <c r="G135" s="20">
        <v>25.45733355204451</v>
      </c>
    </row>
    <row r="136" spans="1:7" ht="16.5" x14ac:dyDescent="0.25">
      <c r="A136" s="121">
        <v>190</v>
      </c>
      <c r="B136" s="76" t="s">
        <v>1610</v>
      </c>
      <c r="C136" s="76" t="s">
        <v>428</v>
      </c>
      <c r="D136" s="76">
        <v>11060</v>
      </c>
      <c r="E136" s="76">
        <v>130.12799999999999</v>
      </c>
      <c r="F136" s="19">
        <v>-2.2169009268132043</v>
      </c>
      <c r="G136" s="20">
        <v>25.675888857901953</v>
      </c>
    </row>
    <row r="137" spans="1:7" ht="16.5" x14ac:dyDescent="0.25">
      <c r="A137" s="121">
        <v>191</v>
      </c>
      <c r="B137" s="76" t="s">
        <v>1616</v>
      </c>
      <c r="C137" s="76" t="s">
        <v>503</v>
      </c>
      <c r="D137" s="76">
        <v>14936</v>
      </c>
      <c r="E137" s="76">
        <v>167.94399999999999</v>
      </c>
      <c r="F137" s="19">
        <v>-1.9167892945100453</v>
      </c>
      <c r="G137" s="20">
        <v>25.480747776567576</v>
      </c>
    </row>
    <row r="138" spans="1:7" ht="16.5" x14ac:dyDescent="0.25">
      <c r="A138" s="121">
        <v>192</v>
      </c>
      <c r="B138" s="76" t="s">
        <v>1621</v>
      </c>
      <c r="C138" s="76" t="s">
        <v>432</v>
      </c>
      <c r="D138" s="76">
        <v>11865</v>
      </c>
      <c r="E138" s="76">
        <v>139.506</v>
      </c>
      <c r="F138" s="19">
        <v>-2.0804589037850962</v>
      </c>
      <c r="G138" s="20">
        <v>25.313186189160003</v>
      </c>
    </row>
    <row r="139" spans="1:7" ht="16.5" x14ac:dyDescent="0.25">
      <c r="A139" s="121">
        <v>193</v>
      </c>
      <c r="B139" s="76" t="s">
        <v>1627</v>
      </c>
      <c r="C139" s="76" t="s">
        <v>1628</v>
      </c>
      <c r="D139" s="76">
        <v>8496</v>
      </c>
      <c r="E139" s="76">
        <v>95.260999999999996</v>
      </c>
      <c r="F139" s="19">
        <v>-2.2582813597035321</v>
      </c>
      <c r="G139" s="20">
        <v>25.382704813988557</v>
      </c>
    </row>
    <row r="140" spans="1:7" ht="16.5" x14ac:dyDescent="0.25">
      <c r="A140" s="121">
        <v>194</v>
      </c>
      <c r="B140" s="76" t="s">
        <v>1633</v>
      </c>
      <c r="C140" s="76" t="s">
        <v>1628</v>
      </c>
      <c r="D140" s="76">
        <v>7907</v>
      </c>
      <c r="E140" s="76">
        <v>93.019000000000005</v>
      </c>
      <c r="F140" s="19">
        <v>-2.3019009225033407</v>
      </c>
      <c r="G140" s="20">
        <v>25.240476478638556</v>
      </c>
    </row>
    <row r="141" spans="1:7" ht="16.5" x14ac:dyDescent="0.25">
      <c r="A141" s="121">
        <v>195</v>
      </c>
      <c r="B141" s="76" t="s">
        <v>1638</v>
      </c>
      <c r="C141" s="76" t="s">
        <v>1498</v>
      </c>
      <c r="D141" s="76">
        <v>10803</v>
      </c>
      <c r="E141" s="76">
        <v>121.35</v>
      </c>
      <c r="F141" s="19">
        <v>-2.9613202533009781</v>
      </c>
      <c r="G141" s="20">
        <v>25.593626279036947</v>
      </c>
    </row>
    <row r="142" spans="1:7" ht="17.25" thickBot="1" x14ac:dyDescent="0.3">
      <c r="A142" s="121">
        <v>198</v>
      </c>
      <c r="B142" s="76" t="s">
        <v>1651</v>
      </c>
      <c r="C142" s="76" t="s">
        <v>1219</v>
      </c>
      <c r="D142" s="76">
        <v>10702</v>
      </c>
      <c r="E142" s="76">
        <v>124.578</v>
      </c>
      <c r="F142" s="195">
        <v>-2.5670609162563154</v>
      </c>
      <c r="G142" s="187">
        <v>25.732648112821128</v>
      </c>
    </row>
    <row r="147" spans="1:7" ht="16.5" x14ac:dyDescent="0.25">
      <c r="A147" s="89">
        <v>2</v>
      </c>
      <c r="B147" s="90" t="s">
        <v>495</v>
      </c>
      <c r="C147" s="90" t="s">
        <v>496</v>
      </c>
      <c r="D147" s="90">
        <v>10693</v>
      </c>
      <c r="E147" s="90">
        <v>131.62899999999999</v>
      </c>
      <c r="F147" s="96">
        <v>-5.0098514239962775</v>
      </c>
      <c r="G147" s="97">
        <v>7.1014577442808875</v>
      </c>
    </row>
    <row r="148" spans="1:7" ht="16.5" x14ac:dyDescent="0.25">
      <c r="A148" s="89">
        <v>3</v>
      </c>
      <c r="B148" s="90" t="s">
        <v>502</v>
      </c>
      <c r="C148" s="90" t="s">
        <v>503</v>
      </c>
      <c r="D148" s="90">
        <v>14111</v>
      </c>
      <c r="E148" s="90">
        <v>173.148</v>
      </c>
      <c r="F148" s="96">
        <v>-5.0327782547007454</v>
      </c>
      <c r="G148" s="97">
        <v>7.1881600945447168</v>
      </c>
    </row>
    <row r="149" spans="1:7" ht="16.5" x14ac:dyDescent="0.25">
      <c r="A149" s="89">
        <v>4</v>
      </c>
      <c r="B149" s="90" t="s">
        <v>509</v>
      </c>
      <c r="C149" s="90" t="s">
        <v>510</v>
      </c>
      <c r="D149" s="90">
        <v>15229</v>
      </c>
      <c r="E149" s="90">
        <v>181.07900000000001</v>
      </c>
      <c r="F149" s="96">
        <v>-4.9595452630261923</v>
      </c>
      <c r="G149" s="97">
        <v>7.2034068901414674</v>
      </c>
    </row>
    <row r="150" spans="1:7" ht="16.5" x14ac:dyDescent="0.25">
      <c r="A150" s="89">
        <v>5</v>
      </c>
      <c r="B150" s="90" t="s">
        <v>519</v>
      </c>
      <c r="C150" s="90" t="s">
        <v>520</v>
      </c>
      <c r="D150" s="90">
        <v>12164</v>
      </c>
      <c r="E150" s="90">
        <v>150.96299999999999</v>
      </c>
      <c r="F150" s="96">
        <v>-5.0023670628418939</v>
      </c>
      <c r="G150" s="97">
        <v>7.386203338276438</v>
      </c>
    </row>
    <row r="151" spans="1:7" ht="16.5" x14ac:dyDescent="0.25">
      <c r="A151" s="89">
        <v>103</v>
      </c>
      <c r="B151" s="90" t="s">
        <v>1150</v>
      </c>
      <c r="C151" s="90" t="s">
        <v>654</v>
      </c>
      <c r="D151" s="90">
        <v>7571</v>
      </c>
      <c r="E151" s="90">
        <v>88.997</v>
      </c>
      <c r="F151" s="96">
        <v>-5.0530596276791551</v>
      </c>
      <c r="G151" s="97">
        <v>7.2223370847918753</v>
      </c>
    </row>
    <row r="152" spans="1:7" ht="16.5" x14ac:dyDescent="0.25">
      <c r="A152" s="89">
        <v>104</v>
      </c>
      <c r="B152" s="90" t="s">
        <v>1155</v>
      </c>
      <c r="C152" s="90" t="s">
        <v>876</v>
      </c>
      <c r="D152" s="90">
        <v>12399</v>
      </c>
      <c r="E152" s="90">
        <v>139.006</v>
      </c>
      <c r="F152" s="96">
        <v>-5.0446555448200865</v>
      </c>
      <c r="G152" s="97">
        <v>7.1004974845843023</v>
      </c>
    </row>
    <row r="153" spans="1:7" ht="16.5" x14ac:dyDescent="0.25">
      <c r="A153" s="89">
        <v>105</v>
      </c>
      <c r="B153" s="90" t="s">
        <v>1162</v>
      </c>
      <c r="C153" s="90" t="s">
        <v>934</v>
      </c>
      <c r="D153" s="90">
        <v>9278</v>
      </c>
      <c r="E153" s="90">
        <v>108.88200000000001</v>
      </c>
      <c r="F153" s="96">
        <v>-5.0212879722046218</v>
      </c>
      <c r="G153" s="97">
        <v>7.1849675169931473</v>
      </c>
    </row>
    <row r="154" spans="1:7" ht="16.5" x14ac:dyDescent="0.25">
      <c r="A154" s="89">
        <v>106</v>
      </c>
      <c r="B154" s="90" t="s">
        <v>1167</v>
      </c>
      <c r="C154" s="90" t="s">
        <v>433</v>
      </c>
      <c r="D154" s="90">
        <v>12780</v>
      </c>
      <c r="E154" s="90">
        <v>141.95099999999999</v>
      </c>
      <c r="F154" s="96">
        <v>-5.0191742222999576</v>
      </c>
      <c r="G154" s="97">
        <v>7.1749735557697987</v>
      </c>
    </row>
    <row r="155" spans="1:7" ht="16.5" x14ac:dyDescent="0.25">
      <c r="A155" s="102">
        <v>6</v>
      </c>
      <c r="B155" s="103" t="s">
        <v>527</v>
      </c>
      <c r="C155" s="103" t="s">
        <v>284</v>
      </c>
      <c r="D155" s="103">
        <v>10678</v>
      </c>
      <c r="E155" s="103">
        <v>126.699</v>
      </c>
      <c r="F155" s="109">
        <v>1.9474323153326236</v>
      </c>
      <c r="G155" s="110">
        <v>28.548465211411607</v>
      </c>
    </row>
    <row r="156" spans="1:7" ht="16.5" x14ac:dyDescent="0.25">
      <c r="A156" s="102">
        <v>7</v>
      </c>
      <c r="B156" s="103" t="s">
        <v>533</v>
      </c>
      <c r="C156" s="103" t="s">
        <v>534</v>
      </c>
      <c r="D156" s="103">
        <v>9990</v>
      </c>
      <c r="E156" s="103">
        <v>124.348</v>
      </c>
      <c r="F156" s="109">
        <v>1.9976839370068715</v>
      </c>
      <c r="G156" s="110">
        <v>28.579405862919572</v>
      </c>
    </row>
    <row r="157" spans="1:7" ht="16.5" x14ac:dyDescent="0.25">
      <c r="A157" s="102">
        <v>8</v>
      </c>
      <c r="B157" s="103" t="s">
        <v>542</v>
      </c>
      <c r="C157" s="103" t="s">
        <v>412</v>
      </c>
      <c r="D157" s="103">
        <v>14076</v>
      </c>
      <c r="E157" s="103">
        <v>166.077</v>
      </c>
      <c r="F157" s="109">
        <v>1.9561743003234562</v>
      </c>
      <c r="G157" s="110">
        <v>28.603548114473096</v>
      </c>
    </row>
    <row r="158" spans="1:7" ht="16.5" x14ac:dyDescent="0.25">
      <c r="A158" s="102">
        <v>9</v>
      </c>
      <c r="B158" s="103" t="s">
        <v>550</v>
      </c>
      <c r="C158" s="103" t="s">
        <v>496</v>
      </c>
      <c r="D158" s="103">
        <v>14202</v>
      </c>
      <c r="E158" s="103">
        <v>175.852</v>
      </c>
      <c r="F158" s="109">
        <v>1.9739631671065654</v>
      </c>
      <c r="G158" s="110">
        <v>28.591514782449284</v>
      </c>
    </row>
    <row r="159" spans="1:7" ht="16.5" x14ac:dyDescent="0.25">
      <c r="A159" s="102">
        <v>107</v>
      </c>
      <c r="B159" s="103" t="s">
        <v>1172</v>
      </c>
      <c r="C159" s="103" t="s">
        <v>280</v>
      </c>
      <c r="D159" s="103">
        <v>10142</v>
      </c>
      <c r="E159" s="103">
        <v>118.61499999999999</v>
      </c>
      <c r="F159" s="109">
        <v>1.9796098961197059</v>
      </c>
      <c r="G159" s="110">
        <v>28.504733860962226</v>
      </c>
    </row>
    <row r="160" spans="1:7" ht="16.5" x14ac:dyDescent="0.25">
      <c r="A160" s="102">
        <v>108</v>
      </c>
      <c r="B160" s="103" t="s">
        <v>1178</v>
      </c>
      <c r="C160" s="103" t="s">
        <v>671</v>
      </c>
      <c r="D160" s="103">
        <v>11683</v>
      </c>
      <c r="E160" s="103">
        <v>130.32400000000001</v>
      </c>
      <c r="F160" s="109">
        <v>1.9185450037249492</v>
      </c>
      <c r="G160" s="110">
        <v>28.548909785294956</v>
      </c>
    </row>
    <row r="161" spans="1:7" ht="16.5" x14ac:dyDescent="0.25">
      <c r="A161" s="102">
        <v>109</v>
      </c>
      <c r="B161" s="103" t="s">
        <v>1183</v>
      </c>
      <c r="C161" s="103" t="s">
        <v>317</v>
      </c>
      <c r="D161" s="103">
        <v>12915</v>
      </c>
      <c r="E161" s="103">
        <v>150.142</v>
      </c>
      <c r="F161" s="109">
        <v>1.9390741179327828</v>
      </c>
      <c r="G161" s="110">
        <v>28.488760530193687</v>
      </c>
    </row>
    <row r="162" spans="1:7" ht="16.5" x14ac:dyDescent="0.25">
      <c r="A162" s="102">
        <v>110</v>
      </c>
      <c r="B162" s="103" t="s">
        <v>1189</v>
      </c>
      <c r="C162" s="103" t="s">
        <v>654</v>
      </c>
      <c r="D162" s="103">
        <v>11834</v>
      </c>
      <c r="E162" s="103">
        <v>133.88300000000001</v>
      </c>
      <c r="F162" s="109">
        <v>2.0035276917418687</v>
      </c>
      <c r="G162" s="110">
        <v>28.567584374826748</v>
      </c>
    </row>
    <row r="163" spans="1:7" ht="16.5" x14ac:dyDescent="0.25">
      <c r="A163" s="64">
        <v>10</v>
      </c>
      <c r="B163" s="65" t="s">
        <v>557</v>
      </c>
      <c r="C163" s="65" t="s">
        <v>372</v>
      </c>
      <c r="D163" s="65">
        <v>16218</v>
      </c>
      <c r="E163" s="65">
        <v>192.9</v>
      </c>
      <c r="F163" s="69">
        <v>4.4168967650285911</v>
      </c>
      <c r="G163" s="70">
        <v>26.591318201485699</v>
      </c>
    </row>
    <row r="164" spans="1:7" ht="16.5" x14ac:dyDescent="0.25">
      <c r="A164" s="64">
        <v>11</v>
      </c>
      <c r="B164" s="65" t="s">
        <v>562</v>
      </c>
      <c r="C164" s="65" t="s">
        <v>389</v>
      </c>
      <c r="D164" s="65">
        <v>12651</v>
      </c>
      <c r="E164" s="65">
        <v>156.36500000000001</v>
      </c>
      <c r="F164" s="69">
        <v>4.4598493786534918</v>
      </c>
      <c r="G164" s="70">
        <v>26.509803043813843</v>
      </c>
    </row>
    <row r="165" spans="1:7" ht="16.5" x14ac:dyDescent="0.25">
      <c r="A165" s="64">
        <v>12</v>
      </c>
      <c r="B165" s="65" t="s">
        <v>569</v>
      </c>
      <c r="C165" s="65" t="s">
        <v>340</v>
      </c>
      <c r="D165" s="65">
        <v>12748</v>
      </c>
      <c r="E165" s="65">
        <v>154.93</v>
      </c>
      <c r="F165" s="69">
        <v>4.4803221422973625</v>
      </c>
      <c r="G165" s="70">
        <v>26.513584905539652</v>
      </c>
    </row>
    <row r="166" spans="1:7" ht="16.5" x14ac:dyDescent="0.25">
      <c r="A166" s="64">
        <v>23</v>
      </c>
      <c r="B166" s="65" t="s">
        <v>646</v>
      </c>
      <c r="C166" s="65" t="s">
        <v>444</v>
      </c>
      <c r="D166" s="65">
        <v>14444</v>
      </c>
      <c r="E166" s="65">
        <v>175.05699999999999</v>
      </c>
      <c r="F166" s="69">
        <v>4.4832340576901597</v>
      </c>
      <c r="G166" s="70">
        <v>26.533867221430359</v>
      </c>
    </row>
    <row r="167" spans="1:7" ht="16.5" x14ac:dyDescent="0.25">
      <c r="A167" s="64">
        <v>24</v>
      </c>
      <c r="B167" s="65" t="s">
        <v>653</v>
      </c>
      <c r="C167" s="65" t="s">
        <v>654</v>
      </c>
      <c r="D167" s="65">
        <v>15802</v>
      </c>
      <c r="E167" s="65">
        <v>192.35400000000001</v>
      </c>
      <c r="F167" s="69">
        <v>4.4748818978507447</v>
      </c>
      <c r="G167" s="70">
        <v>26.613438487256566</v>
      </c>
    </row>
    <row r="168" spans="1:7" ht="16.5" x14ac:dyDescent="0.25">
      <c r="A168" s="64">
        <v>35</v>
      </c>
      <c r="B168" s="65" t="s">
        <v>721</v>
      </c>
      <c r="C168" s="65" t="s">
        <v>722</v>
      </c>
      <c r="D168" s="65">
        <v>14717</v>
      </c>
      <c r="E168" s="65">
        <v>180.59399999999999</v>
      </c>
      <c r="F168" s="69">
        <v>4.4968394988550449</v>
      </c>
      <c r="G168" s="70">
        <v>26.49029251614121</v>
      </c>
    </row>
    <row r="169" spans="1:7" ht="16.5" x14ac:dyDescent="0.25">
      <c r="A169" s="64">
        <v>36</v>
      </c>
      <c r="B169" s="65" t="s">
        <v>731</v>
      </c>
      <c r="C169" s="65" t="s">
        <v>732</v>
      </c>
      <c r="D169" s="65">
        <v>16750</v>
      </c>
      <c r="E169" s="65">
        <v>203.67</v>
      </c>
      <c r="F169" s="69">
        <v>4.4649311932629017</v>
      </c>
      <c r="G169" s="70">
        <v>26.592388858723798</v>
      </c>
    </row>
    <row r="170" spans="1:7" ht="16.5" x14ac:dyDescent="0.25">
      <c r="A170" s="64">
        <v>47</v>
      </c>
      <c r="B170" s="65" t="s">
        <v>809</v>
      </c>
      <c r="C170" s="65" t="s">
        <v>678</v>
      </c>
      <c r="D170" s="65">
        <v>16373</v>
      </c>
      <c r="E170" s="65">
        <v>202.316</v>
      </c>
      <c r="F170" s="69">
        <v>4.5252329380199852</v>
      </c>
      <c r="G170" s="70">
        <v>26.471353370338786</v>
      </c>
    </row>
    <row r="171" spans="1:7" ht="16.5" x14ac:dyDescent="0.25">
      <c r="A171" s="140">
        <v>48</v>
      </c>
      <c r="B171" s="141" t="s">
        <v>817</v>
      </c>
      <c r="C171" s="141" t="s">
        <v>278</v>
      </c>
      <c r="D171" s="141">
        <v>11444</v>
      </c>
      <c r="E171" s="141">
        <v>135.602</v>
      </c>
      <c r="F171" s="69">
        <v>4.4870616697473604</v>
      </c>
      <c r="G171" s="70">
        <v>26.59327402820071</v>
      </c>
    </row>
    <row r="172" spans="1:7" ht="16.5" x14ac:dyDescent="0.25">
      <c r="A172" s="64">
        <v>59</v>
      </c>
      <c r="B172" s="65" t="s">
        <v>894</v>
      </c>
      <c r="C172" s="65" t="s">
        <v>433</v>
      </c>
      <c r="D172" s="65">
        <v>16473</v>
      </c>
      <c r="E172" s="65">
        <v>194.422</v>
      </c>
      <c r="F172" s="69">
        <v>4.5077199877482812</v>
      </c>
      <c r="G172" s="70">
        <v>26.653968309002366</v>
      </c>
    </row>
    <row r="173" spans="1:7" ht="16.5" x14ac:dyDescent="0.25">
      <c r="A173" s="64">
        <v>60</v>
      </c>
      <c r="B173" s="65" t="s">
        <v>899</v>
      </c>
      <c r="C173" s="65" t="s">
        <v>220</v>
      </c>
      <c r="D173" s="65">
        <v>11493</v>
      </c>
      <c r="E173" s="65">
        <v>141.96100000000001</v>
      </c>
      <c r="F173" s="69">
        <v>4.5222904323210349</v>
      </c>
      <c r="G173" s="70">
        <v>26.567731915929475</v>
      </c>
    </row>
    <row r="174" spans="1:7" ht="16.5" x14ac:dyDescent="0.25">
      <c r="A174" s="64">
        <v>71</v>
      </c>
      <c r="B174" s="65" t="s">
        <v>970</v>
      </c>
      <c r="C174" s="65" t="s">
        <v>414</v>
      </c>
      <c r="D174" s="65">
        <v>17989</v>
      </c>
      <c r="E174" s="65">
        <v>219.322</v>
      </c>
      <c r="F174" s="69">
        <v>4.5145722163262052</v>
      </c>
      <c r="G174" s="70">
        <v>26.643966391199449</v>
      </c>
    </row>
    <row r="175" spans="1:7" ht="16.5" x14ac:dyDescent="0.25">
      <c r="A175" s="64">
        <v>72</v>
      </c>
      <c r="B175" s="65" t="s">
        <v>977</v>
      </c>
      <c r="C175" s="65" t="s">
        <v>732</v>
      </c>
      <c r="D175" s="65">
        <v>16282</v>
      </c>
      <c r="E175" s="65">
        <v>200.94399999999999</v>
      </c>
      <c r="F175" s="69">
        <v>4.4873458375913469</v>
      </c>
      <c r="G175" s="70">
        <v>26.719394268215744</v>
      </c>
    </row>
    <row r="176" spans="1:7" ht="16.5" x14ac:dyDescent="0.25">
      <c r="A176" s="64">
        <v>83</v>
      </c>
      <c r="B176" s="65" t="s">
        <v>1043</v>
      </c>
      <c r="C176" s="65" t="s">
        <v>420</v>
      </c>
      <c r="D176" s="65">
        <v>10092</v>
      </c>
      <c r="E176" s="65">
        <v>125.098</v>
      </c>
      <c r="F176" s="69">
        <v>4.4441122761546854</v>
      </c>
      <c r="G176" s="70">
        <v>26.580735950660564</v>
      </c>
    </row>
    <row r="177" spans="1:7" ht="16.5" x14ac:dyDescent="0.25">
      <c r="A177" s="64">
        <v>84</v>
      </c>
      <c r="B177" s="65" t="s">
        <v>1050</v>
      </c>
      <c r="C177" s="65" t="s">
        <v>340</v>
      </c>
      <c r="D177" s="65">
        <v>12713</v>
      </c>
      <c r="E177" s="65">
        <v>150.786</v>
      </c>
      <c r="F177" s="69">
        <v>4.4544113479790299</v>
      </c>
      <c r="G177" s="70">
        <v>26.664843958699073</v>
      </c>
    </row>
    <row r="178" spans="1:7" ht="16.5" x14ac:dyDescent="0.25">
      <c r="A178" s="64">
        <v>100</v>
      </c>
      <c r="B178" s="65" t="s">
        <v>1118</v>
      </c>
      <c r="C178" s="65" t="s">
        <v>503</v>
      </c>
      <c r="D178" s="65">
        <v>8143</v>
      </c>
      <c r="E178" s="65">
        <v>93.548000000000002</v>
      </c>
      <c r="F178" s="69">
        <v>4.4365610993316036</v>
      </c>
      <c r="G178" s="70">
        <v>26.484782087504296</v>
      </c>
    </row>
    <row r="179" spans="1:7" ht="16.5" x14ac:dyDescent="0.25">
      <c r="A179" s="140">
        <v>101</v>
      </c>
      <c r="B179" s="141" t="s">
        <v>1123</v>
      </c>
      <c r="C179" s="141" t="s">
        <v>443</v>
      </c>
      <c r="D179" s="65">
        <v>6594</v>
      </c>
      <c r="E179" s="65">
        <v>77.305999999999997</v>
      </c>
      <c r="F179" s="69">
        <v>4.5867182458723104</v>
      </c>
      <c r="G179" s="70">
        <v>26.607675934504609</v>
      </c>
    </row>
    <row r="180" spans="1:7" ht="16.5" x14ac:dyDescent="0.25">
      <c r="A180" s="64">
        <v>111</v>
      </c>
      <c r="B180" s="65" t="s">
        <v>1196</v>
      </c>
      <c r="C180" s="65" t="s">
        <v>281</v>
      </c>
      <c r="D180" s="65">
        <v>10656</v>
      </c>
      <c r="E180" s="65">
        <v>123.729</v>
      </c>
      <c r="F180" s="69">
        <v>4.4426648716688879</v>
      </c>
      <c r="G180" s="70">
        <v>26.446337386891475</v>
      </c>
    </row>
    <row r="181" spans="1:7" ht="16.5" x14ac:dyDescent="0.25">
      <c r="A181" s="64">
        <v>112</v>
      </c>
      <c r="B181" s="65" t="s">
        <v>1201</v>
      </c>
      <c r="C181" s="65" t="s">
        <v>317</v>
      </c>
      <c r="D181" s="65">
        <v>13865</v>
      </c>
      <c r="E181" s="65">
        <v>160.4</v>
      </c>
      <c r="F181" s="69">
        <v>4.4131168496987456</v>
      </c>
      <c r="G181" s="70">
        <v>26.523989127896957</v>
      </c>
    </row>
    <row r="182" spans="1:7" ht="16.5" x14ac:dyDescent="0.25">
      <c r="A182" s="64">
        <v>113</v>
      </c>
      <c r="B182" s="65" t="s">
        <v>1206</v>
      </c>
      <c r="C182" s="65" t="s">
        <v>946</v>
      </c>
      <c r="D182" s="65">
        <v>19135</v>
      </c>
      <c r="E182" s="65">
        <v>213.96100000000001</v>
      </c>
      <c r="F182" s="69">
        <v>4.4652368950724011</v>
      </c>
      <c r="G182" s="70">
        <v>26.427727444568674</v>
      </c>
    </row>
    <row r="183" spans="1:7" ht="16.5" x14ac:dyDescent="0.25">
      <c r="A183" s="120">
        <v>124</v>
      </c>
      <c r="B183" s="117" t="s">
        <v>1275</v>
      </c>
      <c r="C183" s="117" t="s">
        <v>327</v>
      </c>
      <c r="D183" s="117">
        <v>15489</v>
      </c>
      <c r="E183" s="117">
        <v>173.566</v>
      </c>
      <c r="F183" s="69">
        <v>4.4431669954442032</v>
      </c>
      <c r="G183" s="70">
        <v>26.589146552549924</v>
      </c>
    </row>
    <row r="184" spans="1:7" ht="16.5" x14ac:dyDescent="0.25">
      <c r="A184" s="120">
        <v>125</v>
      </c>
      <c r="B184" s="117" t="s">
        <v>1280</v>
      </c>
      <c r="C184" s="117" t="s">
        <v>601</v>
      </c>
      <c r="D184" s="117">
        <v>13982</v>
      </c>
      <c r="E184" s="117">
        <v>163.673</v>
      </c>
      <c r="F184" s="69">
        <v>4.4544087317028458</v>
      </c>
      <c r="G184" s="70">
        <v>26.566851222028568</v>
      </c>
    </row>
    <row r="185" spans="1:7" ht="16.5" x14ac:dyDescent="0.25">
      <c r="A185" s="120">
        <v>136</v>
      </c>
      <c r="B185" s="117" t="s">
        <v>1343</v>
      </c>
      <c r="C185" s="117" t="s">
        <v>722</v>
      </c>
      <c r="D185" s="117">
        <v>16124</v>
      </c>
      <c r="E185" s="117">
        <v>187.91900000000001</v>
      </c>
      <c r="F185" s="69">
        <v>4.4458138619343597</v>
      </c>
      <c r="G185" s="70">
        <v>26.448515997834381</v>
      </c>
    </row>
    <row r="186" spans="1:7" ht="16.5" x14ac:dyDescent="0.25">
      <c r="A186" s="120">
        <v>137</v>
      </c>
      <c r="B186" s="117" t="s">
        <v>1347</v>
      </c>
      <c r="C186" s="117" t="s">
        <v>357</v>
      </c>
      <c r="D186" s="117">
        <v>11156</v>
      </c>
      <c r="E186" s="117">
        <v>124.178</v>
      </c>
      <c r="F186" s="69">
        <v>4.4160162874666664</v>
      </c>
      <c r="G186" s="70">
        <v>26.533865729571687</v>
      </c>
    </row>
    <row r="187" spans="1:7" ht="16.5" x14ac:dyDescent="0.25">
      <c r="A187" s="120">
        <v>148</v>
      </c>
      <c r="B187" s="117" t="s">
        <v>1405</v>
      </c>
      <c r="C187" s="117" t="s">
        <v>654</v>
      </c>
      <c r="D187" s="117">
        <v>11179</v>
      </c>
      <c r="E187" s="117">
        <v>126</v>
      </c>
      <c r="F187" s="69">
        <v>4.4588380872823672</v>
      </c>
      <c r="G187" s="70">
        <v>26.444028486958153</v>
      </c>
    </row>
    <row r="188" spans="1:7" ht="16.5" x14ac:dyDescent="0.25">
      <c r="A188" s="120">
        <v>149</v>
      </c>
      <c r="B188" s="117" t="s">
        <v>1411</v>
      </c>
      <c r="C188" s="117" t="s">
        <v>336</v>
      </c>
      <c r="D188" s="117">
        <v>14334</v>
      </c>
      <c r="E188" s="117">
        <v>166.37299999999999</v>
      </c>
      <c r="F188" s="69">
        <v>4.4951928548752349</v>
      </c>
      <c r="G188" s="70">
        <v>26.491766969792366</v>
      </c>
    </row>
    <row r="189" spans="1:7" ht="16.5" x14ac:dyDescent="0.25">
      <c r="A189" s="120">
        <v>160</v>
      </c>
      <c r="B189" s="117" t="s">
        <v>1466</v>
      </c>
      <c r="C189" s="117" t="s">
        <v>1467</v>
      </c>
      <c r="D189" s="117">
        <v>11317</v>
      </c>
      <c r="E189" s="117">
        <v>129.435</v>
      </c>
      <c r="F189" s="69">
        <v>4.4821744658356382</v>
      </c>
      <c r="G189" s="70">
        <v>26.560577956325606</v>
      </c>
    </row>
    <row r="190" spans="1:7" ht="16.5" x14ac:dyDescent="0.25">
      <c r="A190" s="120">
        <v>161</v>
      </c>
      <c r="B190" s="117" t="s">
        <v>1472</v>
      </c>
      <c r="C190" s="117" t="s">
        <v>340</v>
      </c>
      <c r="D190" s="117">
        <v>12853</v>
      </c>
      <c r="E190" s="117">
        <v>150.20099999999999</v>
      </c>
      <c r="F190" s="69">
        <v>4.5125641237289749</v>
      </c>
      <c r="G190" s="70">
        <v>26.630087630002141</v>
      </c>
    </row>
    <row r="191" spans="1:7" ht="16.5" x14ac:dyDescent="0.25">
      <c r="A191" s="120">
        <v>172</v>
      </c>
      <c r="B191" s="117" t="s">
        <v>1522</v>
      </c>
      <c r="C191" s="117" t="s">
        <v>327</v>
      </c>
      <c r="D191" s="117">
        <v>16040</v>
      </c>
      <c r="E191" s="117">
        <v>187.54300000000001</v>
      </c>
      <c r="F191" s="69">
        <v>4.5032222064839473</v>
      </c>
      <c r="G191" s="70">
        <v>26.593045773824354</v>
      </c>
    </row>
    <row r="192" spans="1:7" ht="16.5" x14ac:dyDescent="0.25">
      <c r="A192" s="120">
        <v>173</v>
      </c>
      <c r="B192" s="117" t="s">
        <v>1527</v>
      </c>
      <c r="C192" s="117" t="s">
        <v>632</v>
      </c>
      <c r="D192" s="117">
        <v>10739</v>
      </c>
      <c r="E192" s="117">
        <v>120.542</v>
      </c>
      <c r="F192" s="69">
        <v>4.4527512201142709</v>
      </c>
      <c r="G192" s="70">
        <v>26.540173805310264</v>
      </c>
    </row>
    <row r="193" spans="1:7" ht="16.5" x14ac:dyDescent="0.25">
      <c r="A193" s="120">
        <v>184</v>
      </c>
      <c r="B193" s="117" t="s">
        <v>1579</v>
      </c>
      <c r="C193" s="117" t="s">
        <v>586</v>
      </c>
      <c r="D193" s="117">
        <v>16341</v>
      </c>
      <c r="E193" s="117">
        <v>181.12700000000001</v>
      </c>
      <c r="F193" s="69">
        <v>4.5093193375047651</v>
      </c>
      <c r="G193" s="70">
        <v>26.255483410085464</v>
      </c>
    </row>
    <row r="194" spans="1:7" ht="16.5" x14ac:dyDescent="0.25">
      <c r="A194" s="120">
        <v>185</v>
      </c>
      <c r="B194" s="117" t="s">
        <v>1585</v>
      </c>
      <c r="C194" s="117" t="s">
        <v>220</v>
      </c>
      <c r="D194" s="117">
        <v>8577</v>
      </c>
      <c r="E194" s="117">
        <v>100.68300000000001</v>
      </c>
      <c r="F194" s="69">
        <v>4.4986793447684432</v>
      </c>
      <c r="G194" s="70">
        <v>26.554885520931084</v>
      </c>
    </row>
    <row r="195" spans="1:7" ht="16.5" x14ac:dyDescent="0.25">
      <c r="A195" s="120">
        <v>196</v>
      </c>
      <c r="B195" s="117" t="s">
        <v>1642</v>
      </c>
      <c r="C195" s="117" t="s">
        <v>1643</v>
      </c>
      <c r="D195" s="117">
        <v>15115</v>
      </c>
      <c r="E195" s="117">
        <v>175.61199999999999</v>
      </c>
      <c r="F195" s="69">
        <v>4.5420984605621539</v>
      </c>
      <c r="G195" s="70">
        <v>26.684159550172296</v>
      </c>
    </row>
    <row r="196" spans="1:7" ht="16.5" x14ac:dyDescent="0.25">
      <c r="A196" s="120">
        <v>197</v>
      </c>
      <c r="B196" s="117" t="s">
        <v>1647</v>
      </c>
      <c r="C196" s="117" t="s">
        <v>403</v>
      </c>
      <c r="D196" s="117">
        <v>13031</v>
      </c>
      <c r="E196" s="117">
        <v>147.99</v>
      </c>
      <c r="F196" s="69">
        <v>4.5192674258164249</v>
      </c>
      <c r="G196" s="70">
        <v>26.598501500976738</v>
      </c>
    </row>
  </sheetData>
  <conditionalFormatting sqref="D1:D142 D147:D196">
    <cfRule type="cellIs" dxfId="2" priority="3" operator="greaterThan">
      <formula>37000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90ED-F32B-4C83-8ADD-421DE5223095}">
  <dimension ref="A1:AA390"/>
  <sheetViews>
    <sheetView zoomScale="85" zoomScaleNormal="85" workbookViewId="0">
      <pane ySplit="1" topLeftCell="A182" activePane="bottomLeft" state="frozen"/>
      <selection pane="bottomLeft" activeCell="Q223" sqref="Q223"/>
    </sheetView>
  </sheetViews>
  <sheetFormatPr defaultRowHeight="24.95" customHeight="1" x14ac:dyDescent="0.25"/>
  <cols>
    <col min="1" max="1" width="9.28515625" style="121" bestFit="1" customWidth="1"/>
    <col min="2" max="2" width="25.7109375" style="76" customWidth="1"/>
    <col min="3" max="3" width="9.140625" style="76"/>
    <col min="4" max="8" width="9.28515625" style="76" bestFit="1" customWidth="1"/>
    <col min="9" max="9" width="9.140625" style="76"/>
    <col min="10" max="10" width="13.140625" style="76" customWidth="1"/>
    <col min="11" max="11" width="11" style="76" bestFit="1" customWidth="1"/>
    <col min="12" max="12" width="9.140625" style="76"/>
    <col min="13" max="13" width="11.7109375" style="76" bestFit="1" customWidth="1"/>
    <col min="14" max="14" width="14" style="76" bestFit="1" customWidth="1"/>
    <col min="15" max="15" width="9.140625" style="76"/>
    <col min="16" max="16" width="15" style="76" customWidth="1"/>
    <col min="17" max="17" width="9.28515625" style="76" bestFit="1" customWidth="1"/>
    <col min="18" max="18" width="8.5703125" style="76" customWidth="1"/>
    <col min="19" max="19" width="17.7109375" style="76" bestFit="1" customWidth="1"/>
    <col min="20" max="20" width="19.7109375" style="76" bestFit="1" customWidth="1"/>
    <col min="21" max="21" width="19.7109375" style="76" customWidth="1"/>
    <col min="22" max="22" width="9.140625" style="76"/>
    <col min="23" max="23" width="18.140625" style="76" bestFit="1" customWidth="1"/>
    <col min="24" max="24" width="21" style="76" bestFit="1" customWidth="1"/>
    <col min="25" max="25" width="45.85546875" style="75" bestFit="1" customWidth="1"/>
    <col min="26" max="26" width="48.5703125" style="30" bestFit="1" customWidth="1"/>
    <col min="27" max="27" width="22.5703125" style="30" bestFit="1" customWidth="1"/>
    <col min="28" max="16384" width="9.140625" style="76"/>
  </cols>
  <sheetData>
    <row r="1" spans="1:27" ht="24.95" customHeight="1" thickBot="1" x14ac:dyDescent="0.3">
      <c r="A1" s="63" t="s">
        <v>1</v>
      </c>
      <c r="B1" s="47" t="s">
        <v>2</v>
      </c>
      <c r="C1" s="47" t="s">
        <v>3</v>
      </c>
      <c r="D1" s="47" t="s">
        <v>4</v>
      </c>
      <c r="E1" s="47" t="s">
        <v>5</v>
      </c>
      <c r="F1" s="47" t="s">
        <v>6</v>
      </c>
      <c r="G1" s="47" t="s">
        <v>7</v>
      </c>
      <c r="H1" s="47" t="s">
        <v>8</v>
      </c>
      <c r="I1" s="47"/>
      <c r="J1" s="83" t="s">
        <v>9</v>
      </c>
      <c r="K1" s="83" t="s">
        <v>10</v>
      </c>
      <c r="L1" s="84"/>
      <c r="M1" s="63" t="s">
        <v>27</v>
      </c>
      <c r="N1" s="63" t="s">
        <v>28</v>
      </c>
      <c r="O1" s="47"/>
      <c r="P1" s="83" t="s">
        <v>12</v>
      </c>
      <c r="Q1" s="83" t="s">
        <v>10</v>
      </c>
      <c r="R1" s="47"/>
      <c r="S1" s="47" t="s">
        <v>13</v>
      </c>
      <c r="T1" s="47" t="s">
        <v>14</v>
      </c>
      <c r="U1" s="47"/>
      <c r="V1" s="47"/>
      <c r="W1" s="47" t="s">
        <v>121</v>
      </c>
      <c r="X1" s="47" t="s">
        <v>120</v>
      </c>
      <c r="Z1" s="85" t="s">
        <v>30</v>
      </c>
      <c r="AA1" s="86" t="s">
        <v>31</v>
      </c>
    </row>
    <row r="2" spans="1:27" ht="24.95" customHeight="1" x14ac:dyDescent="0.25">
      <c r="A2" s="63"/>
      <c r="B2" s="47"/>
      <c r="C2" s="47"/>
      <c r="D2" s="47"/>
      <c r="E2" s="47"/>
      <c r="F2" s="47"/>
      <c r="G2" s="47"/>
      <c r="H2" s="47"/>
      <c r="I2" s="47"/>
      <c r="J2" s="83"/>
      <c r="K2" s="83"/>
      <c r="L2" s="47"/>
      <c r="M2" s="63"/>
      <c r="N2" s="63"/>
      <c r="O2" s="84"/>
      <c r="P2" s="83"/>
      <c r="Q2" s="83"/>
      <c r="R2" s="47"/>
      <c r="S2" s="84"/>
      <c r="T2" s="47"/>
      <c r="U2" s="47"/>
      <c r="V2" s="47"/>
      <c r="W2" s="84"/>
      <c r="X2" s="84"/>
      <c r="Z2" s="87"/>
      <c r="AA2" s="88"/>
    </row>
    <row r="3" spans="1:27" s="114" customFormat="1" ht="24.95" customHeight="1" x14ac:dyDescent="0.25">
      <c r="A3" s="89">
        <v>2</v>
      </c>
      <c r="B3" s="90" t="s">
        <v>495</v>
      </c>
      <c r="C3" s="90" t="s">
        <v>496</v>
      </c>
      <c r="D3" s="90">
        <v>6</v>
      </c>
      <c r="E3" s="90">
        <v>11410</v>
      </c>
      <c r="F3" s="90">
        <v>141.34299999999999</v>
      </c>
      <c r="G3" s="90">
        <v>-5.4560000000000004</v>
      </c>
      <c r="H3" s="90">
        <v>5.806</v>
      </c>
      <c r="I3" s="90"/>
      <c r="J3" s="90"/>
      <c r="K3" s="90"/>
      <c r="L3" s="90"/>
      <c r="M3" s="89"/>
      <c r="N3" s="89"/>
      <c r="O3" s="91"/>
      <c r="P3" s="92"/>
      <c r="Q3" s="92"/>
      <c r="R3" s="91"/>
      <c r="S3" s="28"/>
      <c r="T3" s="91"/>
      <c r="U3" s="91"/>
      <c r="V3" s="91"/>
      <c r="W3" s="28"/>
      <c r="X3" s="91"/>
      <c r="Y3" s="122"/>
      <c r="Z3" s="93"/>
      <c r="AA3" s="94"/>
    </row>
    <row r="4" spans="1:27" s="114" customFormat="1" ht="24.95" customHeight="1" x14ac:dyDescent="0.25">
      <c r="A4" s="89">
        <v>2</v>
      </c>
      <c r="B4" s="90" t="s">
        <v>495</v>
      </c>
      <c r="C4" s="90" t="s">
        <v>496</v>
      </c>
      <c r="D4" s="90">
        <v>7</v>
      </c>
      <c r="E4" s="90">
        <v>10693</v>
      </c>
      <c r="F4" s="90">
        <v>131.62899999999999</v>
      </c>
      <c r="G4" s="90">
        <v>-5.4210000000000003</v>
      </c>
      <c r="H4" s="90">
        <v>5.7930000000000001</v>
      </c>
      <c r="I4" s="90"/>
      <c r="J4" s="95">
        <f>AVERAGE(G3:G4)</f>
        <v>-5.4385000000000003</v>
      </c>
      <c r="K4" s="95">
        <f>STDEV(G3:G4)</f>
        <v>2.4748737341529263E-2</v>
      </c>
      <c r="L4" s="90"/>
      <c r="M4" s="89">
        <f>AVERAGE(E3:E4)</f>
        <v>11051.5</v>
      </c>
      <c r="N4" s="89">
        <f>STDEV(E3:E4)</f>
        <v>506.99556211075458</v>
      </c>
      <c r="O4" s="91"/>
      <c r="P4" s="92">
        <f>AVERAGE(H3:H4)</f>
        <v>5.7995000000000001</v>
      </c>
      <c r="Q4" s="92">
        <f>STDEV(H3:H4)</f>
        <v>9.1923881554250471E-3</v>
      </c>
      <c r="R4" s="91"/>
      <c r="S4" s="29">
        <f>J4-(A4-Standards!$A$121)*Standards!$AA$4</f>
        <v>-5.5106086176470592</v>
      </c>
      <c r="T4" s="92">
        <f>S4-(M4-Standards!$N$121)*Standards!$AA$55</f>
        <v>-5.4817301235294122</v>
      </c>
      <c r="U4" s="92"/>
      <c r="V4" s="91"/>
      <c r="W4" s="29">
        <f>P4-(A4-Standards!$A$121)*Standards!$AL$5</f>
        <v>5.6995652352941182</v>
      </c>
      <c r="X4" s="92">
        <f>W4-(M4-Standards!$N$121)*Standards!$AL$54</f>
        <v>5.6303771764705886</v>
      </c>
      <c r="Y4" s="122"/>
      <c r="Z4" s="96">
        <f>(T4*Standards!$O$156)+Standards!$O$157</f>
        <v>-5.0098514239962775</v>
      </c>
      <c r="AA4" s="97">
        <f>(X4*Standards!$T$156)+Standards!$T$157</f>
        <v>7.1014577442808875</v>
      </c>
    </row>
    <row r="5" spans="1:27" s="114" customFormat="1" ht="24.95" customHeight="1" x14ac:dyDescent="0.25">
      <c r="A5" s="89">
        <v>3</v>
      </c>
      <c r="B5" s="90" t="s">
        <v>502</v>
      </c>
      <c r="C5" s="90" t="s">
        <v>503</v>
      </c>
      <c r="D5" s="90">
        <v>6</v>
      </c>
      <c r="E5" s="90">
        <v>15181</v>
      </c>
      <c r="F5" s="90">
        <v>185.80799999999999</v>
      </c>
      <c r="G5" s="90">
        <v>-5.4480000000000004</v>
      </c>
      <c r="H5" s="90">
        <v>5.7960000000000003</v>
      </c>
      <c r="I5" s="90"/>
      <c r="J5" s="90"/>
      <c r="K5" s="90"/>
      <c r="L5" s="90"/>
      <c r="M5" s="98"/>
      <c r="N5" s="89"/>
      <c r="O5" s="91"/>
      <c r="P5" s="92"/>
      <c r="Q5" s="92"/>
      <c r="R5" s="91"/>
      <c r="S5" s="28"/>
      <c r="T5" s="91"/>
      <c r="U5" s="91"/>
      <c r="V5" s="91"/>
      <c r="W5" s="28"/>
      <c r="X5" s="91"/>
      <c r="Y5" s="101"/>
      <c r="Z5" s="99"/>
      <c r="AA5" s="100"/>
    </row>
    <row r="6" spans="1:27" s="115" customFormat="1" ht="24.95" customHeight="1" x14ac:dyDescent="0.25">
      <c r="A6" s="89">
        <v>3</v>
      </c>
      <c r="B6" s="90" t="s">
        <v>502</v>
      </c>
      <c r="C6" s="90" t="s">
        <v>503</v>
      </c>
      <c r="D6" s="90">
        <v>7</v>
      </c>
      <c r="E6" s="90">
        <v>14111</v>
      </c>
      <c r="F6" s="90">
        <v>173.148</v>
      </c>
      <c r="G6" s="90">
        <v>-5.407</v>
      </c>
      <c r="H6" s="90">
        <v>5.81</v>
      </c>
      <c r="I6" s="90"/>
      <c r="J6" s="95">
        <f>AVERAGE(G5:G6)</f>
        <v>-5.4275000000000002</v>
      </c>
      <c r="K6" s="95">
        <f>STDEV(G5:G6)</f>
        <v>2.899137802864871E-2</v>
      </c>
      <c r="L6" s="90"/>
      <c r="M6" s="89">
        <f>AVERAGE(E5:E6)</f>
        <v>14646</v>
      </c>
      <c r="N6" s="89">
        <f>STDEV(E5:E6)</f>
        <v>756.60425586960582</v>
      </c>
      <c r="O6" s="91"/>
      <c r="P6" s="92">
        <f>AVERAGE(H5:H6)</f>
        <v>5.8029999999999999</v>
      </c>
      <c r="Q6" s="92">
        <f>STDEV(H5:H6)</f>
        <v>9.8994949366112035E-3</v>
      </c>
      <c r="R6" s="91"/>
      <c r="S6" s="29">
        <f>J6-(A6-Standards!$A$121)*Standards!$AA$4</f>
        <v>-5.4988856176470593</v>
      </c>
      <c r="T6" s="92">
        <f>S6-(M6-Standards!$N$121)*Standards!$AA$55</f>
        <v>-5.5045143235294125</v>
      </c>
      <c r="U6" s="92"/>
      <c r="V6" s="91"/>
      <c r="W6" s="29">
        <f>P6-(A6-Standards!$A$121)*Standards!$AL$5</f>
        <v>5.7040672352941177</v>
      </c>
      <c r="X6" s="92">
        <f>W6-(M6-Standards!$N$121)*Standards!$AL$54</f>
        <v>5.7175526764705884</v>
      </c>
      <c r="Y6" s="122"/>
      <c r="Z6" s="96">
        <f>(T6*Standards!$O$156)+Standards!$O$157</f>
        <v>-5.0327782547007454</v>
      </c>
      <c r="AA6" s="97">
        <f>(X6*Standards!$T$156)+Standards!$T$157</f>
        <v>7.1881600945447168</v>
      </c>
    </row>
    <row r="7" spans="1:27" s="114" customFormat="1" ht="24.95" customHeight="1" x14ac:dyDescent="0.25">
      <c r="A7" s="89">
        <v>4</v>
      </c>
      <c r="B7" s="90" t="s">
        <v>509</v>
      </c>
      <c r="C7" s="90" t="s">
        <v>510</v>
      </c>
      <c r="D7" s="90">
        <v>6</v>
      </c>
      <c r="E7" s="90">
        <v>16135</v>
      </c>
      <c r="F7" s="90">
        <v>193.20699999999999</v>
      </c>
      <c r="G7" s="90">
        <v>-5.3869999999999996</v>
      </c>
      <c r="H7" s="90">
        <v>5.7930000000000001</v>
      </c>
      <c r="I7" s="90"/>
      <c r="J7" s="90"/>
      <c r="K7" s="90"/>
      <c r="L7" s="90"/>
      <c r="M7" s="89"/>
      <c r="N7" s="89"/>
      <c r="O7" s="91"/>
      <c r="P7" s="92"/>
      <c r="Q7" s="92"/>
      <c r="R7" s="91"/>
      <c r="S7" s="28"/>
      <c r="T7" s="91"/>
      <c r="U7" s="91"/>
      <c r="V7" s="91"/>
      <c r="W7" s="28" t="s">
        <v>29</v>
      </c>
      <c r="X7" s="91"/>
      <c r="Y7" s="101"/>
      <c r="Z7" s="99"/>
      <c r="AA7" s="100"/>
    </row>
    <row r="8" spans="1:27" s="114" customFormat="1" ht="24.95" customHeight="1" x14ac:dyDescent="0.25">
      <c r="A8" s="89">
        <v>4</v>
      </c>
      <c r="B8" s="90" t="s">
        <v>509</v>
      </c>
      <c r="C8" s="90" t="s">
        <v>510</v>
      </c>
      <c r="D8" s="90">
        <v>7</v>
      </c>
      <c r="E8" s="90">
        <v>15229</v>
      </c>
      <c r="F8" s="90">
        <v>181.07900000000001</v>
      </c>
      <c r="G8" s="90">
        <v>-5.3040000000000003</v>
      </c>
      <c r="H8" s="90">
        <v>5.7939999999999996</v>
      </c>
      <c r="I8" s="90"/>
      <c r="J8" s="95">
        <f>AVERAGE(G7:G8)</f>
        <v>-5.3454999999999995</v>
      </c>
      <c r="K8" s="95">
        <f>STDEV(G7:G8)</f>
        <v>5.8689862838482945E-2</v>
      </c>
      <c r="L8" s="90"/>
      <c r="M8" s="89">
        <f>AVERAGE(E7:E8)</f>
        <v>15682</v>
      </c>
      <c r="N8" s="89">
        <f>STDEV(E7:E8)</f>
        <v>640.638743755012</v>
      </c>
      <c r="O8" s="91"/>
      <c r="P8" s="92">
        <f>AVERAGE(H7:H8)</f>
        <v>5.7934999999999999</v>
      </c>
      <c r="Q8" s="92">
        <f>STDEV(H7:H8)</f>
        <v>7.0710678118615568E-4</v>
      </c>
      <c r="R8" s="91"/>
      <c r="S8" s="29">
        <f>J8-(A8-Standards!$A$121)*Standards!$AA$4</f>
        <v>-5.4161626176470579</v>
      </c>
      <c r="T8" s="92">
        <f>S8-(M8-Standards!$N$121)*Standards!$AA$55</f>
        <v>-5.4317369235294111</v>
      </c>
      <c r="U8" s="92"/>
      <c r="V8" s="91"/>
      <c r="W8" s="29">
        <f>P8-(A8-Standards!$A$121)*Standards!$AL$5</f>
        <v>5.6955692352941174</v>
      </c>
      <c r="X8" s="92">
        <f>W8-(M8-Standards!$N$121)*Standards!$AL$54</f>
        <v>5.732882676470588</v>
      </c>
      <c r="Y8" s="122"/>
      <c r="Z8" s="96">
        <f>(T8*Standards!$O$156)+Standards!$O$157</f>
        <v>-4.9595452630261923</v>
      </c>
      <c r="AA8" s="97">
        <f>(X8*Standards!$T$156)+Standards!$T$157</f>
        <v>7.2034068901414674</v>
      </c>
    </row>
    <row r="9" spans="1:27" s="114" customFormat="1" ht="24.95" customHeight="1" x14ac:dyDescent="0.25">
      <c r="A9" s="89">
        <v>5</v>
      </c>
      <c r="B9" s="90" t="s">
        <v>519</v>
      </c>
      <c r="C9" s="90" t="s">
        <v>520</v>
      </c>
      <c r="D9" s="90">
        <v>6</v>
      </c>
      <c r="E9" s="90">
        <v>13008</v>
      </c>
      <c r="F9" s="90">
        <v>161.98500000000001</v>
      </c>
      <c r="G9" s="90">
        <v>-5.4370000000000003</v>
      </c>
      <c r="H9" s="90">
        <v>6.0389999999999997</v>
      </c>
      <c r="I9" s="90"/>
      <c r="J9" s="95"/>
      <c r="K9" s="95"/>
      <c r="L9" s="90"/>
      <c r="M9" s="89"/>
      <c r="N9" s="89"/>
      <c r="O9" s="91"/>
      <c r="P9" s="92"/>
      <c r="Q9" s="92"/>
      <c r="R9" s="91"/>
      <c r="S9" s="28"/>
      <c r="T9" s="91"/>
      <c r="U9" s="91"/>
      <c r="V9" s="92"/>
      <c r="W9" s="28"/>
      <c r="X9" s="91"/>
      <c r="Y9" s="101"/>
      <c r="Z9" s="99"/>
      <c r="AA9" s="100"/>
    </row>
    <row r="10" spans="1:27" s="114" customFormat="1" ht="24.95" customHeight="1" x14ac:dyDescent="0.25">
      <c r="A10" s="89">
        <v>5</v>
      </c>
      <c r="B10" s="90" t="s">
        <v>519</v>
      </c>
      <c r="C10" s="90" t="s">
        <v>520</v>
      </c>
      <c r="D10" s="90">
        <v>7</v>
      </c>
      <c r="E10" s="90">
        <v>12164</v>
      </c>
      <c r="F10" s="90">
        <v>150.96299999999999</v>
      </c>
      <c r="G10" s="90">
        <v>-5.4</v>
      </c>
      <c r="H10" s="90">
        <v>6.056</v>
      </c>
      <c r="I10" s="90"/>
      <c r="J10" s="95">
        <f>AVERAGE(G9:G10)</f>
        <v>-5.4184999999999999</v>
      </c>
      <c r="K10" s="95">
        <f>STDEV(G9:G10)</f>
        <v>2.6162950903902204E-2</v>
      </c>
      <c r="L10" s="90"/>
      <c r="M10" s="89">
        <f>AVERAGE(E9:E10)</f>
        <v>12586</v>
      </c>
      <c r="N10" s="89">
        <f>STDEV(E9:E10)</f>
        <v>596.79812332144616</v>
      </c>
      <c r="O10" s="91"/>
      <c r="P10" s="92">
        <f>AVERAGE(H9:H10)</f>
        <v>6.0474999999999994</v>
      </c>
      <c r="Q10" s="92">
        <f>STDEV(H9:H10)</f>
        <v>1.2020815280171555E-2</v>
      </c>
      <c r="R10" s="91"/>
      <c r="S10" s="29">
        <f>J10-(A10-Standards!$A$121)*Standards!$AA$4</f>
        <v>-5.4884396176470585</v>
      </c>
      <c r="T10" s="92">
        <f>S10-(M10-Standards!$N$121)*Standards!$AA$55</f>
        <v>-5.4742923235294114</v>
      </c>
      <c r="U10" s="92"/>
      <c r="V10" s="91"/>
      <c r="W10" s="29">
        <f>P10-(A10-Standards!$A$121)*Standards!$AL$5</f>
        <v>5.9505712352941167</v>
      </c>
      <c r="X10" s="92">
        <f>W10-(M10-Standards!$N$121)*Standards!$AL$54</f>
        <v>5.9166766764705869</v>
      </c>
      <c r="Y10" s="122"/>
      <c r="Z10" s="96">
        <f>(T10*Standards!$O$156)+Standards!$O$157</f>
        <v>-5.0023670628418939</v>
      </c>
      <c r="AA10" s="97">
        <f>(X10*Standards!$T$156)+Standards!$T$157</f>
        <v>7.386203338276438</v>
      </c>
    </row>
    <row r="11" spans="1:27" s="116" customFormat="1" ht="24.95" customHeight="1" x14ac:dyDescent="0.25">
      <c r="A11" s="102">
        <v>6</v>
      </c>
      <c r="B11" s="103" t="s">
        <v>527</v>
      </c>
      <c r="C11" s="103" t="s">
        <v>284</v>
      </c>
      <c r="D11" s="103">
        <v>6</v>
      </c>
      <c r="E11" s="103">
        <v>11298</v>
      </c>
      <c r="F11" s="103">
        <v>135.06299999999999</v>
      </c>
      <c r="G11" s="103">
        <v>1.4410000000000001</v>
      </c>
      <c r="H11" s="103">
        <v>27.338999999999999</v>
      </c>
      <c r="I11" s="103"/>
      <c r="J11" s="103"/>
      <c r="K11" s="103"/>
      <c r="L11" s="103"/>
      <c r="M11" s="102"/>
      <c r="N11" s="102"/>
      <c r="O11" s="104"/>
      <c r="P11" s="105"/>
      <c r="Q11" s="105"/>
      <c r="R11" s="104"/>
      <c r="S11" s="28"/>
      <c r="T11" s="104"/>
      <c r="U11" s="104"/>
      <c r="V11" s="104"/>
      <c r="W11" s="28"/>
      <c r="X11" s="104"/>
      <c r="Y11" s="111"/>
      <c r="Z11" s="106"/>
      <c r="AA11" s="107"/>
    </row>
    <row r="12" spans="1:27" s="116" customFormat="1" ht="24.95" customHeight="1" x14ac:dyDescent="0.25">
      <c r="A12" s="102">
        <v>6</v>
      </c>
      <c r="B12" s="103" t="s">
        <v>527</v>
      </c>
      <c r="C12" s="103" t="s">
        <v>284</v>
      </c>
      <c r="D12" s="103">
        <v>7</v>
      </c>
      <c r="E12" s="103">
        <v>10678</v>
      </c>
      <c r="F12" s="103">
        <v>126.699</v>
      </c>
      <c r="G12" s="103">
        <v>1.5029999999999999</v>
      </c>
      <c r="H12" s="103">
        <v>27.382999999999999</v>
      </c>
      <c r="I12" s="103"/>
      <c r="J12" s="108">
        <f>AVERAGE(G11:G12)</f>
        <v>1.472</v>
      </c>
      <c r="K12" s="108">
        <f>STDEV(G11:G12)</f>
        <v>4.3840620433565826E-2</v>
      </c>
      <c r="L12" s="103"/>
      <c r="M12" s="102">
        <f>AVERAGE(E11:E12)</f>
        <v>10988</v>
      </c>
      <c r="N12" s="102">
        <f>STDEV(E11:E12)</f>
        <v>438.40620433565948</v>
      </c>
      <c r="O12" s="104"/>
      <c r="P12" s="105">
        <f>AVERAGE(H11:H12)</f>
        <v>27.360999999999997</v>
      </c>
      <c r="Q12" s="105">
        <f>STDEV(H11:H12)</f>
        <v>3.1112698372208432E-2</v>
      </c>
      <c r="R12" s="104"/>
      <c r="S12" s="29">
        <f>J12-(A12-Standards!$A$121)*Standards!$AA$4</f>
        <v>1.4027833823529412</v>
      </c>
      <c r="T12" s="105">
        <f>S12-(M12-Standards!$N$121)*Standards!$AA$55</f>
        <v>1.4322714764705882</v>
      </c>
      <c r="U12" s="105"/>
      <c r="V12" s="104"/>
      <c r="W12" s="29">
        <f>P12-(A12-Standards!$A$121)*Standards!$AL$5</f>
        <v>27.265073235294114</v>
      </c>
      <c r="X12" s="105">
        <f>W12-(M12-Standards!$N$121)*Standards!$AL$54</f>
        <v>27.194424676470586</v>
      </c>
      <c r="Y12" s="123"/>
      <c r="Z12" s="109">
        <f>(T12*Standards!$O$156)+Standards!$O$157</f>
        <v>1.9474323153326236</v>
      </c>
      <c r="AA12" s="110">
        <f>(X12*Standards!$T$156)+Standards!$T$157</f>
        <v>28.548465211411607</v>
      </c>
    </row>
    <row r="13" spans="1:27" s="116" customFormat="1" ht="24.95" customHeight="1" x14ac:dyDescent="0.25">
      <c r="A13" s="102">
        <v>7</v>
      </c>
      <c r="B13" s="103" t="s">
        <v>533</v>
      </c>
      <c r="C13" s="103" t="s">
        <v>534</v>
      </c>
      <c r="D13" s="103">
        <v>6</v>
      </c>
      <c r="E13" s="103">
        <v>10691</v>
      </c>
      <c r="F13" s="103">
        <v>133.483</v>
      </c>
      <c r="G13" s="103">
        <v>1.48</v>
      </c>
      <c r="H13" s="103">
        <v>27.395</v>
      </c>
      <c r="I13" s="103"/>
      <c r="J13" s="103"/>
      <c r="K13" s="103"/>
      <c r="L13" s="103"/>
      <c r="M13" s="102"/>
      <c r="N13" s="102"/>
      <c r="O13" s="104"/>
      <c r="P13" s="105"/>
      <c r="Q13" s="105"/>
      <c r="R13" s="104"/>
      <c r="S13" s="28"/>
      <c r="T13" s="104"/>
      <c r="U13" s="104"/>
      <c r="V13" s="104"/>
      <c r="W13" s="28"/>
      <c r="X13" s="104"/>
      <c r="Y13" s="111"/>
      <c r="Z13" s="106"/>
      <c r="AA13" s="107"/>
    </row>
    <row r="14" spans="1:27" s="116" customFormat="1" ht="24.95" customHeight="1" x14ac:dyDescent="0.25">
      <c r="A14" s="102">
        <v>7</v>
      </c>
      <c r="B14" s="103" t="s">
        <v>533</v>
      </c>
      <c r="C14" s="103" t="s">
        <v>534</v>
      </c>
      <c r="D14" s="103">
        <v>7</v>
      </c>
      <c r="E14" s="103">
        <v>9990</v>
      </c>
      <c r="F14" s="103">
        <v>124.348</v>
      </c>
      <c r="G14" s="103">
        <v>1.55</v>
      </c>
      <c r="H14" s="103">
        <v>27.417000000000002</v>
      </c>
      <c r="I14" s="103"/>
      <c r="J14" s="108">
        <f>AVERAGE(G13:G14)</f>
        <v>1.5150000000000001</v>
      </c>
      <c r="K14" s="108">
        <f>STDEV(G13:G14)</f>
        <v>4.9497474683058366E-2</v>
      </c>
      <c r="L14" s="103"/>
      <c r="M14" s="102">
        <f>AVERAGE(E13:E14)</f>
        <v>10340.5</v>
      </c>
      <c r="N14" s="102">
        <f>STDEV(E13:E14)</f>
        <v>495.68185361176984</v>
      </c>
      <c r="O14" s="104"/>
      <c r="P14" s="105">
        <f>AVERAGE(H13:H14)</f>
        <v>27.405999999999999</v>
      </c>
      <c r="Q14" s="105">
        <f>STDEV(H13:H14)</f>
        <v>1.5556349186105472E-2</v>
      </c>
      <c r="R14" s="104"/>
      <c r="S14" s="29">
        <f>J14-(A14-Standards!$A$121)*Standards!$AA$4</f>
        <v>1.4465063823529414</v>
      </c>
      <c r="T14" s="105">
        <f>S14-(M14-Standards!$N$121)*Standards!$AA$55</f>
        <v>1.4822104764705883</v>
      </c>
      <c r="U14" s="105"/>
      <c r="V14" s="104"/>
      <c r="W14" s="29">
        <f>P14-(A14-Standards!$A$121)*Standards!$AL$5</f>
        <v>27.311075235294116</v>
      </c>
      <c r="X14" s="105">
        <f>W14-(M14-Standards!$N$121)*Standards!$AL$54</f>
        <v>27.225534176470585</v>
      </c>
      <c r="Y14" s="123"/>
      <c r="Z14" s="109">
        <f>(T14*Standards!$O$156)+Standards!$O$157</f>
        <v>1.9976839370068715</v>
      </c>
      <c r="AA14" s="110">
        <f>(X14*Standards!$T$156)+Standards!$T$157</f>
        <v>28.579405862919572</v>
      </c>
    </row>
    <row r="15" spans="1:27" s="116" customFormat="1" ht="24.95" customHeight="1" x14ac:dyDescent="0.25">
      <c r="A15" s="102">
        <v>8</v>
      </c>
      <c r="B15" s="103" t="s">
        <v>542</v>
      </c>
      <c r="C15" s="103" t="s">
        <v>412</v>
      </c>
      <c r="D15" s="103">
        <v>6</v>
      </c>
      <c r="E15" s="103">
        <v>14933</v>
      </c>
      <c r="F15" s="103">
        <v>176.76400000000001</v>
      </c>
      <c r="G15" s="103">
        <v>1.4850000000000001</v>
      </c>
      <c r="H15" s="103">
        <v>27.305</v>
      </c>
      <c r="I15" s="103"/>
      <c r="J15" s="103"/>
      <c r="K15" s="103"/>
      <c r="L15" s="103"/>
      <c r="M15" s="102"/>
      <c r="N15" s="102"/>
      <c r="O15" s="104"/>
      <c r="P15" s="105"/>
      <c r="Q15" s="105"/>
      <c r="R15" s="104"/>
      <c r="S15" s="28"/>
      <c r="T15" s="104"/>
      <c r="U15" s="104"/>
      <c r="V15" s="104"/>
      <c r="W15" s="28"/>
      <c r="X15" s="104"/>
      <c r="Y15" s="111"/>
      <c r="Z15" s="106"/>
      <c r="AA15" s="107"/>
    </row>
    <row r="16" spans="1:27" s="116" customFormat="1" ht="24.95" customHeight="1" x14ac:dyDescent="0.25">
      <c r="A16" s="102">
        <v>8</v>
      </c>
      <c r="B16" s="103" t="s">
        <v>542</v>
      </c>
      <c r="C16" s="103" t="s">
        <v>412</v>
      </c>
      <c r="D16" s="103">
        <v>7</v>
      </c>
      <c r="E16" s="103">
        <v>14076</v>
      </c>
      <c r="F16" s="103">
        <v>166.077</v>
      </c>
      <c r="G16" s="103">
        <v>1.5409999999999999</v>
      </c>
      <c r="H16" s="103">
        <v>27.361999999999998</v>
      </c>
      <c r="I16" s="103"/>
      <c r="J16" s="108">
        <f>AVERAGE(G15:G16)</f>
        <v>1.5129999999999999</v>
      </c>
      <c r="K16" s="108">
        <f>STDEV(G15:G16)</f>
        <v>3.9597979746446542E-2</v>
      </c>
      <c r="L16" s="103"/>
      <c r="M16" s="102">
        <f>AVERAGE(E15:E16)</f>
        <v>14504.5</v>
      </c>
      <c r="N16" s="102">
        <f>STDEV(E15:E16)</f>
        <v>605.99051147687123</v>
      </c>
      <c r="O16" s="104"/>
      <c r="P16" s="105">
        <f>AVERAGE(H15:H16)</f>
        <v>27.333500000000001</v>
      </c>
      <c r="Q16" s="105">
        <f>STDEV(H15:H16)</f>
        <v>4.0305086527632226E-2</v>
      </c>
      <c r="R16" s="104"/>
      <c r="S16" s="29">
        <f>J16-(A16-Standards!$A$121)*Standards!$AA$4</f>
        <v>1.4452293823529412</v>
      </c>
      <c r="T16" s="105">
        <f>S16-(M16-Standards!$N$121)*Standards!$AA$55</f>
        <v>1.4409590764705882</v>
      </c>
      <c r="U16" s="105"/>
      <c r="V16" s="104"/>
      <c r="W16" s="29">
        <f>P16-(A16-Standards!$A$121)*Standards!$AL$5</f>
        <v>27.239577235294117</v>
      </c>
      <c r="X16" s="105">
        <f>W16-(M16-Standards!$N$121)*Standards!$AL$54</f>
        <v>27.249808176470587</v>
      </c>
      <c r="Y16" s="123"/>
      <c r="Z16" s="109">
        <f>(T16*Standards!$O$156)+Standards!$O$157</f>
        <v>1.9561743003234562</v>
      </c>
      <c r="AA16" s="110">
        <f>(X16*Standards!$T$156)+Standards!$T$157</f>
        <v>28.603548114473096</v>
      </c>
    </row>
    <row r="17" spans="1:27" s="116" customFormat="1" ht="24.95" customHeight="1" x14ac:dyDescent="0.25">
      <c r="A17" s="102">
        <v>9</v>
      </c>
      <c r="B17" s="103" t="s">
        <v>550</v>
      </c>
      <c r="C17" s="103" t="s">
        <v>496</v>
      </c>
      <c r="D17" s="103">
        <v>6</v>
      </c>
      <c r="E17" s="103">
        <v>15233</v>
      </c>
      <c r="F17" s="103">
        <v>189.197</v>
      </c>
      <c r="G17" s="103">
        <v>1.5149999999999999</v>
      </c>
      <c r="H17" s="103">
        <v>27.309000000000001</v>
      </c>
      <c r="I17" s="103"/>
      <c r="J17" s="108"/>
      <c r="K17" s="108"/>
      <c r="L17" s="103"/>
      <c r="M17" s="102"/>
      <c r="N17" s="102"/>
      <c r="O17" s="104"/>
      <c r="P17" s="105"/>
      <c r="Q17" s="105"/>
      <c r="R17" s="104"/>
      <c r="S17" s="29"/>
      <c r="T17" s="105"/>
      <c r="U17" s="105"/>
      <c r="V17" s="105"/>
      <c r="W17" s="29"/>
      <c r="X17" s="105"/>
      <c r="Y17" s="111"/>
      <c r="Z17" s="112"/>
      <c r="AA17" s="113"/>
    </row>
    <row r="18" spans="1:27" s="116" customFormat="1" ht="24.95" customHeight="1" x14ac:dyDescent="0.25">
      <c r="A18" s="102">
        <v>9</v>
      </c>
      <c r="B18" s="103" t="s">
        <v>550</v>
      </c>
      <c r="C18" s="103" t="s">
        <v>496</v>
      </c>
      <c r="D18" s="103">
        <v>7</v>
      </c>
      <c r="E18" s="103">
        <v>14202</v>
      </c>
      <c r="F18" s="103">
        <v>175.852</v>
      </c>
      <c r="G18" s="103">
        <v>1.5489999999999999</v>
      </c>
      <c r="H18" s="103">
        <v>27.321999999999999</v>
      </c>
      <c r="I18" s="103"/>
      <c r="J18" s="108">
        <f>AVERAGE(G17:G18)</f>
        <v>1.532</v>
      </c>
      <c r="K18" s="108">
        <f>STDEV(G17:G18)</f>
        <v>2.4041630560342638E-2</v>
      </c>
      <c r="L18" s="103"/>
      <c r="M18" s="102">
        <f>AVERAGE(E17:E18)</f>
        <v>14717.5</v>
      </c>
      <c r="N18" s="102">
        <f>STDEV(E17:E18)</f>
        <v>729.02709140333047</v>
      </c>
      <c r="O18" s="104"/>
      <c r="P18" s="105">
        <f>AVERAGE(H17:H18)</f>
        <v>27.3155</v>
      </c>
      <c r="Q18" s="105">
        <f>STDEV(H17:H18)</f>
        <v>9.1923881554237911E-3</v>
      </c>
      <c r="R18" s="104"/>
      <c r="S18" s="29">
        <f>J18-(A18-Standards!$A$121)*Standards!$AA$4</f>
        <v>1.4649523823529411</v>
      </c>
      <c r="T18" s="105">
        <f>S18-(M18-Standards!$N$121)*Standards!$AA$55</f>
        <v>1.4586372764705882</v>
      </c>
      <c r="U18" s="105"/>
      <c r="V18" s="104"/>
      <c r="W18" s="29">
        <f>P18-(A18-Standards!$A$121)*Standards!$AL$5</f>
        <v>27.222579235294116</v>
      </c>
      <c r="X18" s="105">
        <f>W18-(M18-Standards!$N$121)*Standards!$AL$54</f>
        <v>27.237709176470588</v>
      </c>
      <c r="Y18" s="123"/>
      <c r="Z18" s="109">
        <f>(T18*Standards!$O$156)+Standards!$O$157</f>
        <v>1.9739631671065654</v>
      </c>
      <c r="AA18" s="110">
        <f>(X18*Standards!$T$156)+Standards!$T$157</f>
        <v>28.591514782449284</v>
      </c>
    </row>
    <row r="19" spans="1:27" s="117" customFormat="1" ht="24.95" customHeight="1" x14ac:dyDescent="0.25">
      <c r="A19" s="64">
        <v>10</v>
      </c>
      <c r="B19" s="65" t="s">
        <v>557</v>
      </c>
      <c r="C19" s="65" t="s">
        <v>372</v>
      </c>
      <c r="D19" s="65">
        <v>6</v>
      </c>
      <c r="E19" s="65">
        <v>17381</v>
      </c>
      <c r="F19" s="65">
        <v>204.71899999999999</v>
      </c>
      <c r="G19" s="65">
        <v>3.9950000000000001</v>
      </c>
      <c r="H19" s="65">
        <v>25.23</v>
      </c>
      <c r="I19" s="65"/>
      <c r="J19" s="65"/>
      <c r="K19" s="65"/>
      <c r="L19" s="65"/>
      <c r="M19" s="64"/>
      <c r="N19" s="64"/>
      <c r="O19" s="67"/>
      <c r="P19" s="68"/>
      <c r="Q19" s="68"/>
      <c r="R19" s="67"/>
      <c r="S19" s="28"/>
      <c r="T19" s="67"/>
      <c r="U19" s="67"/>
      <c r="V19" s="67"/>
      <c r="W19" s="28"/>
      <c r="X19" s="67"/>
      <c r="Y19" s="74"/>
      <c r="Z19" s="72"/>
      <c r="AA19" s="73"/>
    </row>
    <row r="20" spans="1:27" s="117" customFormat="1" ht="24.95" customHeight="1" x14ac:dyDescent="0.25">
      <c r="A20" s="64">
        <v>10</v>
      </c>
      <c r="B20" s="65" t="s">
        <v>557</v>
      </c>
      <c r="C20" s="65" t="s">
        <v>372</v>
      </c>
      <c r="D20" s="65">
        <v>7</v>
      </c>
      <c r="E20" s="65">
        <v>16218</v>
      </c>
      <c r="F20" s="65">
        <v>192.9</v>
      </c>
      <c r="G20" s="65">
        <v>3.9630000000000001</v>
      </c>
      <c r="H20" s="65">
        <v>25.280999999999999</v>
      </c>
      <c r="I20" s="65"/>
      <c r="J20" s="66">
        <f>AVERAGE(G19:G20)</f>
        <v>3.9790000000000001</v>
      </c>
      <c r="K20" s="66">
        <f>STDEV(G19:G20)</f>
        <v>2.2627416997969541E-2</v>
      </c>
      <c r="L20" s="65"/>
      <c r="M20" s="64">
        <f>AVERAGE(E19:E20)</f>
        <v>16799.5</v>
      </c>
      <c r="N20" s="64">
        <f>STDEV(E19:E20)</f>
        <v>822.36518651995482</v>
      </c>
      <c r="O20" s="67"/>
      <c r="P20" s="68">
        <f>AVERAGE(H19:H20)</f>
        <v>25.255499999999998</v>
      </c>
      <c r="Q20" s="68">
        <f>STDEV(H19:H20)</f>
        <v>3.6062445840512776E-2</v>
      </c>
      <c r="R20" s="67"/>
      <c r="S20" s="29">
        <f>J20-(A20-Standards!$A$121)*Standards!$AA$4</f>
        <v>3.9126753823529414</v>
      </c>
      <c r="T20" s="68">
        <f>S20-(M20-Standards!$N$121)*Standards!$AA$55</f>
        <v>3.8863730764705884</v>
      </c>
      <c r="U20" s="68"/>
      <c r="V20" s="67"/>
      <c r="W20" s="29">
        <f>P20-(A20-Standards!$A$121)*Standards!$AL$5</f>
        <v>25.163581235294114</v>
      </c>
      <c r="X20" s="68">
        <f>W20-(M20-Standards!$N$121)*Standards!$AL$54</f>
        <v>25.226597176470584</v>
      </c>
      <c r="Y20" s="124"/>
      <c r="Z20" s="69">
        <f>(T20*Standards!$O$156)+Standards!$O$157</f>
        <v>4.4168967650285911</v>
      </c>
      <c r="AA20" s="70">
        <f>(X20*Standards!$T$156)+Standards!$T$157</f>
        <v>26.591318201485699</v>
      </c>
    </row>
    <row r="21" spans="1:27" s="117" customFormat="1" ht="24.95" customHeight="1" x14ac:dyDescent="0.25">
      <c r="A21" s="64">
        <v>11</v>
      </c>
      <c r="B21" s="65" t="s">
        <v>562</v>
      </c>
      <c r="C21" s="65" t="s">
        <v>389</v>
      </c>
      <c r="D21" s="65">
        <v>6</v>
      </c>
      <c r="E21" s="65">
        <v>13560</v>
      </c>
      <c r="F21" s="65">
        <v>168.17400000000001</v>
      </c>
      <c r="G21" s="65">
        <v>3.968</v>
      </c>
      <c r="H21" s="65">
        <v>25.234000000000002</v>
      </c>
      <c r="I21" s="65"/>
      <c r="J21" s="65"/>
      <c r="K21" s="65"/>
      <c r="L21" s="65"/>
      <c r="M21" s="64"/>
      <c r="N21" s="64"/>
      <c r="O21" s="67"/>
      <c r="P21" s="68"/>
      <c r="Q21" s="68"/>
      <c r="R21" s="67"/>
      <c r="S21" s="28"/>
      <c r="T21" s="67"/>
      <c r="U21" s="67"/>
      <c r="V21" s="67"/>
      <c r="W21" s="28"/>
      <c r="X21" s="67"/>
      <c r="Y21" s="74"/>
      <c r="Z21" s="72"/>
      <c r="AA21" s="73"/>
    </row>
    <row r="22" spans="1:27" s="117" customFormat="1" ht="24.95" customHeight="1" x14ac:dyDescent="0.25">
      <c r="A22" s="64">
        <v>11</v>
      </c>
      <c r="B22" s="65" t="s">
        <v>562</v>
      </c>
      <c r="C22" s="65" t="s">
        <v>389</v>
      </c>
      <c r="D22" s="65">
        <v>7</v>
      </c>
      <c r="E22" s="65">
        <v>12651</v>
      </c>
      <c r="F22" s="65">
        <v>156.36500000000001</v>
      </c>
      <c r="G22" s="65">
        <v>4.0030000000000001</v>
      </c>
      <c r="H22" s="65">
        <v>25.280999999999999</v>
      </c>
      <c r="I22" s="65"/>
      <c r="J22" s="66">
        <f>AVERAGE(G21:G22)</f>
        <v>3.9855</v>
      </c>
      <c r="K22" s="66">
        <f>STDEV(G21:G22)</f>
        <v>2.4748737341529263E-2</v>
      </c>
      <c r="L22" s="65"/>
      <c r="M22" s="64">
        <f>AVERAGE(E21:E22)</f>
        <v>13105.5</v>
      </c>
      <c r="N22" s="64">
        <f>STDEV(E21:E22)</f>
        <v>642.76006409857166</v>
      </c>
      <c r="O22" s="67"/>
      <c r="P22" s="68">
        <f>AVERAGE(H21:H22)</f>
        <v>25.2575</v>
      </c>
      <c r="Q22" s="68">
        <f>STDEV(H21:H22)</f>
        <v>3.3234018715765645E-2</v>
      </c>
      <c r="R22" s="67"/>
      <c r="S22" s="29">
        <f>J22-(A22-Standards!$A$121)*Standards!$AA$4</f>
        <v>3.9198983823529412</v>
      </c>
      <c r="T22" s="68">
        <f>S22-(M22-Standards!$N$121)*Standards!$AA$55</f>
        <v>3.9290584764705883</v>
      </c>
      <c r="U22" s="68"/>
      <c r="V22" s="67"/>
      <c r="W22" s="29">
        <f>P22-(A22-Standards!$A$121)*Standards!$AL$5</f>
        <v>25.166583235294119</v>
      </c>
      <c r="X22" s="68">
        <f>W22-(M22-Standards!$N$121)*Standards!$AL$54</f>
        <v>25.144637176470589</v>
      </c>
      <c r="Y22" s="124"/>
      <c r="Z22" s="69">
        <f>(T22*Standards!$O$156)+Standards!$O$157</f>
        <v>4.4598493786534918</v>
      </c>
      <c r="AA22" s="70">
        <f>(X22*Standards!$T$156)+Standards!$T$157</f>
        <v>26.509803043813843</v>
      </c>
    </row>
    <row r="23" spans="1:27" s="117" customFormat="1" ht="24.95" customHeight="1" x14ac:dyDescent="0.25">
      <c r="A23" s="64">
        <v>12</v>
      </c>
      <c r="B23" s="65" t="s">
        <v>569</v>
      </c>
      <c r="C23" s="65" t="s">
        <v>340</v>
      </c>
      <c r="D23" s="65">
        <v>6</v>
      </c>
      <c r="E23" s="65">
        <v>13750</v>
      </c>
      <c r="F23" s="65">
        <v>166.66800000000001</v>
      </c>
      <c r="G23" s="65">
        <v>3.9860000000000002</v>
      </c>
      <c r="H23" s="65">
        <v>25.228000000000002</v>
      </c>
      <c r="I23" s="65"/>
      <c r="J23" s="66"/>
      <c r="K23" s="66"/>
      <c r="L23" s="65"/>
      <c r="M23" s="64"/>
      <c r="N23" s="64"/>
      <c r="O23" s="67"/>
      <c r="P23" s="68"/>
      <c r="Q23" s="68"/>
      <c r="R23" s="67"/>
      <c r="S23" s="29"/>
      <c r="T23" s="68"/>
      <c r="U23" s="68"/>
      <c r="V23" s="67"/>
      <c r="W23" s="29"/>
      <c r="X23" s="68"/>
      <c r="Y23" s="124"/>
      <c r="Z23" s="69"/>
      <c r="AA23" s="70"/>
    </row>
    <row r="24" spans="1:27" s="117" customFormat="1" ht="24.95" customHeight="1" x14ac:dyDescent="0.25">
      <c r="A24" s="64">
        <v>12</v>
      </c>
      <c r="B24" s="65" t="s">
        <v>569</v>
      </c>
      <c r="C24" s="65" t="s">
        <v>340</v>
      </c>
      <c r="D24" s="65">
        <v>7</v>
      </c>
      <c r="E24" s="65">
        <v>12748</v>
      </c>
      <c r="F24" s="65">
        <v>154.93</v>
      </c>
      <c r="G24" s="65">
        <v>4.0270000000000001</v>
      </c>
      <c r="H24" s="65">
        <v>25.286000000000001</v>
      </c>
      <c r="I24" s="65"/>
      <c r="J24" s="66">
        <f>AVERAGE(G23:G24)</f>
        <v>4.0065</v>
      </c>
      <c r="K24" s="66">
        <f>STDEV(G23:G24)</f>
        <v>2.8991378028648394E-2</v>
      </c>
      <c r="L24" s="65"/>
      <c r="M24" s="64">
        <f>AVERAGE(E23:E24)</f>
        <v>13249</v>
      </c>
      <c r="N24" s="64">
        <f>STDEV(E23:E24)</f>
        <v>708.52099474892066</v>
      </c>
      <c r="O24" s="67"/>
      <c r="P24" s="68">
        <f>AVERAGE(H23:H24)</f>
        <v>25.257000000000001</v>
      </c>
      <c r="Q24" s="68">
        <f>STDEV(H23:H24)</f>
        <v>4.1012193308819639E-2</v>
      </c>
      <c r="R24" s="67"/>
      <c r="S24" s="29">
        <f>J24-(A24-Standards!$A$121)*Standards!$AA$4</f>
        <v>3.9416213823529409</v>
      </c>
      <c r="T24" s="68">
        <f>S24-(M24-Standards!$N$121)*Standards!$AA$55</f>
        <v>3.9494038764705879</v>
      </c>
      <c r="U24" s="68"/>
      <c r="V24" s="67"/>
      <c r="W24" s="29">
        <f>P24-(A24-Standards!$A$121)*Standards!$AL$5</f>
        <v>25.16708523529412</v>
      </c>
      <c r="X24" s="68">
        <f>W24-(M24-Standards!$N$121)*Standards!$AL$54</f>
        <v>25.148439676470591</v>
      </c>
      <c r="Y24" s="124"/>
      <c r="Z24" s="69">
        <f>(T24*Standards!$O$156)+Standards!$O$157</f>
        <v>4.4803221422973625</v>
      </c>
      <c r="AA24" s="70">
        <f>(X24*Standards!$T$156)+Standards!$T$157</f>
        <v>26.513584905539652</v>
      </c>
    </row>
    <row r="25" spans="1:27" ht="24.95" customHeight="1" x14ac:dyDescent="0.25">
      <c r="A25" s="27">
        <v>13</v>
      </c>
      <c r="B25" s="26" t="s">
        <v>575</v>
      </c>
      <c r="C25" s="26" t="s">
        <v>389</v>
      </c>
      <c r="D25" s="26">
        <v>6</v>
      </c>
      <c r="E25" s="26">
        <v>14003</v>
      </c>
      <c r="F25" s="26">
        <v>172.18899999999999</v>
      </c>
      <c r="G25" s="26">
        <v>-3.133</v>
      </c>
      <c r="H25" s="26">
        <v>24.157</v>
      </c>
      <c r="I25" s="26"/>
      <c r="J25" s="31"/>
      <c r="K25" s="31"/>
      <c r="L25" s="26"/>
      <c r="M25" s="27"/>
      <c r="N25" s="27"/>
      <c r="O25" s="28"/>
      <c r="P25" s="29"/>
      <c r="Q25" s="29"/>
      <c r="R25" s="28"/>
      <c r="S25" s="29"/>
      <c r="T25" s="29"/>
      <c r="U25" s="29"/>
      <c r="V25" s="29"/>
      <c r="W25" s="29"/>
      <c r="X25" s="29"/>
      <c r="Y25" s="32"/>
      <c r="Z25" s="19"/>
      <c r="AA25" s="20"/>
    </row>
    <row r="26" spans="1:27" ht="24.95" customHeight="1" x14ac:dyDescent="0.25">
      <c r="A26" s="27">
        <v>13</v>
      </c>
      <c r="B26" s="26" t="s">
        <v>575</v>
      </c>
      <c r="C26" s="26" t="s">
        <v>389</v>
      </c>
      <c r="D26" s="26">
        <v>7</v>
      </c>
      <c r="E26" s="26">
        <v>13165</v>
      </c>
      <c r="F26" s="26">
        <v>160.52099999999999</v>
      </c>
      <c r="G26" s="26">
        <v>-3.113</v>
      </c>
      <c r="H26" s="26">
        <v>24.181999999999999</v>
      </c>
      <c r="I26" s="26"/>
      <c r="J26" s="31">
        <f>AVERAGE(G25:G26)</f>
        <v>-3.1230000000000002</v>
      </c>
      <c r="K26" s="31">
        <f>STDEV(G25:G26)</f>
        <v>1.4142135623730963E-2</v>
      </c>
      <c r="L26" s="26"/>
      <c r="M26" s="27">
        <f>AVERAGE(E25:E26)</f>
        <v>13584</v>
      </c>
      <c r="N26" s="27">
        <f>STDEV(E25:E26)</f>
        <v>592.55548263432684</v>
      </c>
      <c r="O26" s="28"/>
      <c r="P26" s="29">
        <f>AVERAGE(H25:H26)</f>
        <v>24.169499999999999</v>
      </c>
      <c r="Q26" s="29">
        <f>STDEV(H25:H26)</f>
        <v>1.7677669529662685E-2</v>
      </c>
      <c r="R26" s="28"/>
      <c r="S26" s="29">
        <f>J26-(A26-Standards!$A$121)*Standards!$AA$4</f>
        <v>-3.187155617647059</v>
      </c>
      <c r="T26" s="29">
        <f>S26-(M26-Standards!$N$121)*Standards!$AA$55</f>
        <v>-3.1825891235294121</v>
      </c>
      <c r="U26" s="29"/>
      <c r="V26" s="28"/>
      <c r="W26" s="29">
        <f>P26-(A26-Standards!$A$121)*Standards!$AL$5</f>
        <v>24.080587235294118</v>
      </c>
      <c r="X26" s="29">
        <f>W26-(M26-Standards!$N$121)*Standards!$AL$54</f>
        <v>24.069646676470587</v>
      </c>
      <c r="Y26" s="125"/>
      <c r="Z26" s="19">
        <f>(T26*Standards!$O$156)+Standards!$O$157</f>
        <v>-2.6963176386230736</v>
      </c>
      <c r="AA26" s="20">
        <f>(X26*Standards!$T$156)+Standards!$T$157</f>
        <v>25.44064711283221</v>
      </c>
    </row>
    <row r="27" spans="1:27" ht="24.95" customHeight="1" x14ac:dyDescent="0.25">
      <c r="A27" s="27">
        <v>14</v>
      </c>
      <c r="B27" s="26" t="s">
        <v>579</v>
      </c>
      <c r="C27" s="26" t="s">
        <v>280</v>
      </c>
      <c r="D27" s="26">
        <v>6</v>
      </c>
      <c r="E27" s="26">
        <v>15351</v>
      </c>
      <c r="F27" s="26">
        <v>190.06299999999999</v>
      </c>
      <c r="G27" s="26">
        <v>-2.7519999999999998</v>
      </c>
      <c r="H27" s="26">
        <v>23.946000000000002</v>
      </c>
      <c r="I27" s="26"/>
      <c r="Y27" s="78"/>
      <c r="Z27" s="190"/>
      <c r="AA27" s="119"/>
    </row>
    <row r="28" spans="1:27" ht="24.95" customHeight="1" x14ac:dyDescent="0.25">
      <c r="A28" s="27">
        <v>14</v>
      </c>
      <c r="B28" s="26" t="s">
        <v>579</v>
      </c>
      <c r="C28" s="26" t="s">
        <v>280</v>
      </c>
      <c r="D28" s="26">
        <v>7</v>
      </c>
      <c r="E28" s="26">
        <v>14161</v>
      </c>
      <c r="F28" s="26">
        <v>175.798</v>
      </c>
      <c r="G28" s="26">
        <v>-2.7080000000000002</v>
      </c>
      <c r="H28" s="26">
        <v>24.004000000000001</v>
      </c>
      <c r="I28" s="26"/>
      <c r="J28" s="31">
        <f>AVERAGE(G27:G28)</f>
        <v>-2.73</v>
      </c>
      <c r="K28" s="31">
        <f>STDEV(G27:G28)</f>
        <v>3.1112698372207804E-2</v>
      </c>
      <c r="L28" s="26"/>
      <c r="M28" s="27">
        <f>AVERAGE(E27:E28)</f>
        <v>14756</v>
      </c>
      <c r="N28" s="27">
        <f>STDEV(E27:E28)</f>
        <v>841.45706961199153</v>
      </c>
      <c r="O28" s="28"/>
      <c r="P28" s="29">
        <f>AVERAGE(H27:H28)</f>
        <v>23.975000000000001</v>
      </c>
      <c r="Q28" s="29">
        <f>STDEV(H27:H28)</f>
        <v>4.1012193308819639E-2</v>
      </c>
      <c r="R28" s="28"/>
      <c r="S28" s="29">
        <f>J28-(A28-Standards!$A$121)*Standards!$AA$4</f>
        <v>-2.793432617647059</v>
      </c>
      <c r="T28" s="29">
        <f>S28-(M28-Standards!$N$121)*Standards!$AA$55</f>
        <v>-2.8001173235294119</v>
      </c>
      <c r="U28" s="29"/>
      <c r="V28" s="28"/>
      <c r="W28" s="29">
        <f>P28-(A28-Standards!$A$121)*Standards!$AL$5</f>
        <v>23.88708923529412</v>
      </c>
      <c r="X28" s="29">
        <f>W28-(M28-Standards!$N$121)*Standards!$AL$54</f>
        <v>23.903104676470591</v>
      </c>
      <c r="Y28" s="125"/>
      <c r="Z28" s="19">
        <f>(T28*Standards!$O$156)+Standards!$O$157</f>
        <v>-2.3114515380870455</v>
      </c>
      <c r="AA28" s="20">
        <f>(X28*Standards!$T$156)+Standards!$T$157</f>
        <v>25.275009028535152</v>
      </c>
    </row>
    <row r="29" spans="1:27" ht="24.95" customHeight="1" x14ac:dyDescent="0.25">
      <c r="A29" s="27">
        <v>15</v>
      </c>
      <c r="B29" s="26" t="s">
        <v>585</v>
      </c>
      <c r="C29" s="26" t="s">
        <v>586</v>
      </c>
      <c r="D29" s="26">
        <v>6</v>
      </c>
      <c r="E29" s="26">
        <v>14967</v>
      </c>
      <c r="F29" s="26">
        <v>181.75</v>
      </c>
      <c r="G29" s="26">
        <v>-2.4590000000000001</v>
      </c>
      <c r="H29" s="26">
        <v>23.861999999999998</v>
      </c>
      <c r="I29" s="26"/>
      <c r="J29" s="31"/>
      <c r="K29" s="31"/>
      <c r="L29" s="26"/>
      <c r="M29" s="27"/>
      <c r="N29" s="27"/>
      <c r="O29" s="28"/>
      <c r="P29" s="29"/>
      <c r="Q29" s="29"/>
      <c r="R29" s="28"/>
      <c r="S29" s="29"/>
      <c r="T29" s="29"/>
      <c r="U29" s="29"/>
      <c r="V29" s="28"/>
      <c r="W29" s="29"/>
      <c r="X29" s="29"/>
      <c r="Y29" s="125"/>
      <c r="Z29" s="19"/>
      <c r="AA29" s="20"/>
    </row>
    <row r="30" spans="1:27" ht="24.95" customHeight="1" x14ac:dyDescent="0.25">
      <c r="A30" s="27">
        <v>15</v>
      </c>
      <c r="B30" s="26" t="s">
        <v>585</v>
      </c>
      <c r="C30" s="26" t="s">
        <v>586</v>
      </c>
      <c r="D30" s="26">
        <v>7</v>
      </c>
      <c r="E30" s="26">
        <v>14122</v>
      </c>
      <c r="F30" s="26">
        <v>169.81700000000001</v>
      </c>
      <c r="G30" s="26">
        <v>-2.4460000000000002</v>
      </c>
      <c r="H30" s="26">
        <v>23.89</v>
      </c>
      <c r="I30" s="26"/>
      <c r="J30" s="31">
        <f>AVERAGE(G29:G30)</f>
        <v>-2.4525000000000001</v>
      </c>
      <c r="K30" s="31">
        <f>STDEV(G29:G30)</f>
        <v>9.1923881554250471E-3</v>
      </c>
      <c r="L30" s="26"/>
      <c r="M30" s="27">
        <f>AVERAGE(E29:E30)</f>
        <v>14544.5</v>
      </c>
      <c r="N30" s="27">
        <f>STDEV(E29:E30)</f>
        <v>597.50523010263271</v>
      </c>
      <c r="O30" s="28"/>
      <c r="P30" s="29">
        <f>AVERAGE(H29:H30)</f>
        <v>23.875999999999998</v>
      </c>
      <c r="Q30" s="29">
        <f>STDEV(H29:H30)</f>
        <v>1.9798989873224919E-2</v>
      </c>
      <c r="R30" s="28"/>
      <c r="S30" s="29">
        <f>J30-(A30-Standards!$A$121)*Standards!$AA$4</f>
        <v>-2.5152096176470589</v>
      </c>
      <c r="T30" s="29">
        <f>S30-(M30-Standards!$N$121)*Standards!$AA$55</f>
        <v>-2.5198639235294116</v>
      </c>
      <c r="U30" s="29"/>
      <c r="V30" s="28"/>
      <c r="W30" s="29">
        <f>P30-(A30-Standards!$A$121)*Standards!$AL$5</f>
        <v>23.789091235294116</v>
      </c>
      <c r="X30" s="29">
        <f>W30-(M30-Standards!$N$121)*Standards!$AL$54</f>
        <v>23.800242176470586</v>
      </c>
      <c r="Y30" s="125"/>
      <c r="Z30" s="19">
        <f>(T30*Standards!$O$156)+Standards!$O$157</f>
        <v>-2.0294437319691472</v>
      </c>
      <c r="AA30" s="20">
        <f>(X30*Standards!$T$156)+Standards!$T$157</f>
        <v>25.172704820311356</v>
      </c>
    </row>
    <row r="31" spans="1:27" ht="24.95" customHeight="1" x14ac:dyDescent="0.25">
      <c r="A31" s="27">
        <v>16</v>
      </c>
      <c r="B31" s="26" t="s">
        <v>593</v>
      </c>
      <c r="C31" s="26" t="s">
        <v>420</v>
      </c>
      <c r="D31" s="26">
        <v>6</v>
      </c>
      <c r="E31" s="26">
        <v>10614</v>
      </c>
      <c r="F31" s="26">
        <v>132.22</v>
      </c>
      <c r="G31" s="26">
        <v>-2.7330000000000001</v>
      </c>
      <c r="H31" s="26">
        <v>24.074999999999999</v>
      </c>
      <c r="I31" s="26"/>
      <c r="J31" s="31"/>
      <c r="K31" s="31"/>
      <c r="L31" s="26"/>
      <c r="M31" s="27"/>
      <c r="N31" s="27"/>
      <c r="O31" s="28"/>
      <c r="P31" s="29"/>
      <c r="Q31" s="29"/>
      <c r="R31" s="28"/>
      <c r="S31" s="29"/>
      <c r="T31" s="29"/>
      <c r="U31" s="29"/>
      <c r="V31" s="28"/>
      <c r="W31" s="29"/>
      <c r="X31" s="29"/>
      <c r="Y31" s="125"/>
      <c r="Z31" s="19"/>
      <c r="AA31" s="20"/>
    </row>
    <row r="32" spans="1:27" ht="24.95" customHeight="1" x14ac:dyDescent="0.25">
      <c r="A32" s="27">
        <v>16</v>
      </c>
      <c r="B32" s="26" t="s">
        <v>593</v>
      </c>
      <c r="C32" s="26" t="s">
        <v>420</v>
      </c>
      <c r="D32" s="26">
        <v>7</v>
      </c>
      <c r="E32" s="26">
        <v>9853</v>
      </c>
      <c r="F32" s="26">
        <v>122.736</v>
      </c>
      <c r="G32" s="26">
        <v>-2.66</v>
      </c>
      <c r="H32" s="26">
        <v>24.120999999999999</v>
      </c>
      <c r="I32" s="26"/>
      <c r="J32" s="31">
        <f>AVERAGE(G31:G32)</f>
        <v>-2.6965000000000003</v>
      </c>
      <c r="K32" s="31">
        <f>STDEV(G31:G32)</f>
        <v>5.1618795026617939E-2</v>
      </c>
      <c r="L32" s="26"/>
      <c r="M32" s="27">
        <f>AVERAGE(E31:E32)</f>
        <v>10233.5</v>
      </c>
      <c r="N32" s="27">
        <f>STDEV(E31:E32)</f>
        <v>538.10826048296269</v>
      </c>
      <c r="O32" s="28"/>
      <c r="P32" s="29">
        <f>AVERAGE(H31:H32)</f>
        <v>24.097999999999999</v>
      </c>
      <c r="Q32" s="29">
        <f>STDEV(H31:H32)</f>
        <v>3.2526911934580745E-2</v>
      </c>
      <c r="R32" s="28"/>
      <c r="S32" s="29">
        <f>J32-(A32-Standards!$A$121)*Standards!$AA$4</f>
        <v>-2.7584866176470593</v>
      </c>
      <c r="T32" s="29">
        <f>S32-(M32-Standards!$N$121)*Standards!$AA$55</f>
        <v>-2.7217553235294121</v>
      </c>
      <c r="U32" s="29"/>
      <c r="V32" s="28"/>
      <c r="W32" s="29">
        <f>P32-(A32-Standards!$A$121)*Standards!$AL$5</f>
        <v>24.012093235294117</v>
      </c>
      <c r="X32" s="29">
        <f>W32-(M32-Standards!$N$121)*Standards!$AL$54</f>
        <v>23.924091176470586</v>
      </c>
      <c r="Y32" s="125"/>
      <c r="Z32" s="19">
        <f>(T32*Standards!$O$156)+Standards!$O$157</f>
        <v>-2.232598986421265</v>
      </c>
      <c r="AA32" s="20">
        <f>(X32*Standards!$T$156)+Standards!$T$157</f>
        <v>25.295881623172537</v>
      </c>
    </row>
    <row r="33" spans="1:27" ht="24.95" customHeight="1" x14ac:dyDescent="0.25">
      <c r="A33" s="27">
        <v>17</v>
      </c>
      <c r="B33" s="26" t="s">
        <v>600</v>
      </c>
      <c r="C33" s="26" t="s">
        <v>601</v>
      </c>
      <c r="D33" s="26">
        <v>6</v>
      </c>
      <c r="E33" s="26">
        <v>14799</v>
      </c>
      <c r="F33" s="26">
        <v>176.81</v>
      </c>
      <c r="G33" s="26">
        <v>-3.1339999999999999</v>
      </c>
      <c r="H33" s="26">
        <v>23.986000000000001</v>
      </c>
      <c r="I33" s="26"/>
      <c r="J33" s="31"/>
      <c r="K33" s="31"/>
      <c r="L33" s="26"/>
      <c r="M33" s="27"/>
      <c r="N33" s="27"/>
      <c r="O33" s="28"/>
      <c r="P33" s="29"/>
      <c r="Q33" s="29"/>
      <c r="R33" s="28"/>
      <c r="S33" s="29"/>
      <c r="T33" s="29"/>
      <c r="U33" s="29"/>
      <c r="V33" s="28"/>
      <c r="W33" s="29"/>
      <c r="X33" s="29"/>
      <c r="Y33" s="125"/>
      <c r="Z33" s="19"/>
      <c r="AA33" s="20"/>
    </row>
    <row r="34" spans="1:27" ht="24.95" customHeight="1" x14ac:dyDescent="0.25">
      <c r="A34" s="27">
        <v>17</v>
      </c>
      <c r="B34" s="26" t="s">
        <v>600</v>
      </c>
      <c r="C34" s="26" t="s">
        <v>601</v>
      </c>
      <c r="D34" s="26">
        <v>7</v>
      </c>
      <c r="E34" s="26">
        <v>13918</v>
      </c>
      <c r="F34" s="26">
        <v>165.69</v>
      </c>
      <c r="G34" s="26">
        <v>-3.11</v>
      </c>
      <c r="H34" s="26">
        <v>24.045999999999999</v>
      </c>
      <c r="I34" s="26"/>
      <c r="J34" s="31">
        <f>AVERAGE(G33:G34)</f>
        <v>-3.1219999999999999</v>
      </c>
      <c r="K34" s="31">
        <f>STDEV(G33:G34)</f>
        <v>1.6970562748477157E-2</v>
      </c>
      <c r="L34" s="26"/>
      <c r="M34" s="27">
        <f>AVERAGE(E33:E34)</f>
        <v>14358.5</v>
      </c>
      <c r="N34" s="27">
        <f>STDEV(E33:E34)</f>
        <v>622.9610742253484</v>
      </c>
      <c r="O34" s="28"/>
      <c r="P34" s="29">
        <f>AVERAGE(H33:H34)</f>
        <v>24.015999999999998</v>
      </c>
      <c r="Q34" s="29">
        <f>STDEV(H33:H34)</f>
        <v>4.2426406871191945E-2</v>
      </c>
      <c r="R34" s="28"/>
      <c r="S34" s="29">
        <f>J34-(A34-Standards!$A$121)*Standards!$AA$4</f>
        <v>-3.1832636176470586</v>
      </c>
      <c r="T34" s="29">
        <f>S34-(M34-Standards!$N$121)*Standards!$AA$55</f>
        <v>-3.1861323235294114</v>
      </c>
      <c r="U34" s="29"/>
      <c r="V34" s="28"/>
      <c r="W34" s="29">
        <f>P34-(A34-Standards!$A$121)*Standards!$AL$5</f>
        <v>23.931095235294116</v>
      </c>
      <c r="X34" s="29">
        <f>W34-(M34-Standards!$N$121)*Standards!$AL$54</f>
        <v>23.937968176470587</v>
      </c>
      <c r="Y34" s="125"/>
      <c r="Z34" s="19">
        <f>(T34*Standards!$O$156)+Standards!$O$157</f>
        <v>-2.6998830193058296</v>
      </c>
      <c r="AA34" s="20">
        <f>(X34*Standards!$T$156)+Standards!$T$157</f>
        <v>25.30968330500529</v>
      </c>
    </row>
    <row r="35" spans="1:27" ht="24.95" customHeight="1" x14ac:dyDescent="0.25">
      <c r="A35" s="27">
        <v>18</v>
      </c>
      <c r="B35" s="26" t="s">
        <v>607</v>
      </c>
      <c r="C35" s="26" t="s">
        <v>608</v>
      </c>
      <c r="D35" s="26">
        <v>6</v>
      </c>
      <c r="E35" s="26">
        <v>17199</v>
      </c>
      <c r="F35" s="26">
        <v>212.90199999999999</v>
      </c>
      <c r="G35" s="26">
        <v>-3.5449999999999999</v>
      </c>
      <c r="H35" s="26">
        <v>23.99</v>
      </c>
      <c r="I35" s="26"/>
      <c r="J35" s="31"/>
      <c r="K35" s="31"/>
      <c r="L35" s="26"/>
      <c r="M35" s="27"/>
      <c r="N35" s="27"/>
      <c r="O35" s="28"/>
      <c r="P35" s="29"/>
      <c r="Q35" s="29"/>
      <c r="R35" s="28"/>
      <c r="S35" s="29"/>
      <c r="T35" s="29"/>
      <c r="U35" s="29"/>
      <c r="V35" s="28"/>
      <c r="W35" s="29"/>
      <c r="X35" s="29"/>
      <c r="Y35" s="125"/>
      <c r="Z35" s="19"/>
      <c r="AA35" s="20"/>
    </row>
    <row r="36" spans="1:27" ht="24.95" customHeight="1" x14ac:dyDescent="0.25">
      <c r="A36" s="27">
        <v>18</v>
      </c>
      <c r="B36" s="26" t="s">
        <v>607</v>
      </c>
      <c r="C36" s="26" t="s">
        <v>608</v>
      </c>
      <c r="D36" s="26">
        <v>7</v>
      </c>
      <c r="E36" s="26">
        <v>16023</v>
      </c>
      <c r="F36" s="26">
        <v>197.922</v>
      </c>
      <c r="G36" s="26">
        <v>-3.5139999999999998</v>
      </c>
      <c r="H36" s="26">
        <v>23.986999999999998</v>
      </c>
      <c r="I36" s="26"/>
      <c r="J36" s="31">
        <f>AVERAGE(G35:G36)</f>
        <v>-3.5294999999999996</v>
      </c>
      <c r="K36" s="31">
        <f>STDEV(G35:G36)</f>
        <v>2.1920310216783073E-2</v>
      </c>
      <c r="L36" s="26"/>
      <c r="M36" s="27">
        <f>AVERAGE(E35:E36)</f>
        <v>16611</v>
      </c>
      <c r="N36" s="27">
        <f>STDEV(E35:E36)</f>
        <v>831.5575746753799</v>
      </c>
      <c r="O36" s="28"/>
      <c r="P36" s="29">
        <f>AVERAGE(H35:H36)</f>
        <v>23.988499999999998</v>
      </c>
      <c r="Q36" s="29">
        <f>STDEV(H35:H36)</f>
        <v>2.1213203435597231E-3</v>
      </c>
      <c r="R36" s="28"/>
      <c r="S36" s="29">
        <f>J36-(A36-Standards!$A$121)*Standards!$AA$4</f>
        <v>-3.5900406176470585</v>
      </c>
      <c r="T36" s="29">
        <f>S36-(M36-Standards!$N$121)*Standards!$AA$55</f>
        <v>-3.6145333235294115</v>
      </c>
      <c r="U36" s="29"/>
      <c r="V36" s="28"/>
      <c r="W36" s="29">
        <f>P36-(A36-Standards!$A$121)*Standards!$AL$5</f>
        <v>23.904597235294116</v>
      </c>
      <c r="X36" s="29">
        <f>W36-(M36-Standards!$N$121)*Standards!$AL$54</f>
        <v>23.963277676470586</v>
      </c>
      <c r="Y36" s="125"/>
      <c r="Z36" s="19">
        <f>(T36*Standards!$O$156)+Standards!$O$157</f>
        <v>-3.1309658398843263</v>
      </c>
      <c r="AA36" s="20">
        <f>(X36*Standards!$T$156)+Standards!$T$157</f>
        <v>25.334855436326617</v>
      </c>
    </row>
    <row r="37" spans="1:27" ht="24.95" customHeight="1" x14ac:dyDescent="0.25">
      <c r="A37" s="27">
        <v>19</v>
      </c>
      <c r="B37" s="26" t="s">
        <v>616</v>
      </c>
      <c r="C37" s="26" t="s">
        <v>617</v>
      </c>
      <c r="D37" s="26">
        <v>6</v>
      </c>
      <c r="E37" s="26">
        <v>18169</v>
      </c>
      <c r="F37" s="26">
        <v>213.95</v>
      </c>
      <c r="G37" s="26">
        <v>-3.629</v>
      </c>
      <c r="H37" s="26">
        <v>24.109000000000002</v>
      </c>
      <c r="I37" s="26"/>
      <c r="J37" s="31"/>
      <c r="K37" s="31"/>
      <c r="L37" s="26"/>
      <c r="M37" s="27"/>
      <c r="N37" s="27"/>
      <c r="O37" s="28"/>
      <c r="P37" s="29"/>
      <c r="Q37" s="29"/>
      <c r="R37" s="28"/>
      <c r="S37" s="29"/>
      <c r="T37" s="29"/>
      <c r="U37" s="29"/>
      <c r="V37" s="28"/>
      <c r="W37" s="29"/>
      <c r="X37" s="29"/>
      <c r="Y37" s="125"/>
      <c r="Z37" s="19"/>
      <c r="AA37" s="20"/>
    </row>
    <row r="38" spans="1:27" ht="24.95" customHeight="1" x14ac:dyDescent="0.25">
      <c r="A38" s="27">
        <v>19</v>
      </c>
      <c r="B38" s="26" t="s">
        <v>616</v>
      </c>
      <c r="C38" s="26" t="s">
        <v>617</v>
      </c>
      <c r="D38" s="26">
        <v>7</v>
      </c>
      <c r="E38" s="26">
        <v>16894</v>
      </c>
      <c r="F38" s="26">
        <v>199.095</v>
      </c>
      <c r="G38" s="26">
        <v>-3.605</v>
      </c>
      <c r="H38" s="26">
        <v>24.126999999999999</v>
      </c>
      <c r="I38" s="26"/>
      <c r="J38" s="31">
        <f>AVERAGE(G37:G38)</f>
        <v>-3.617</v>
      </c>
      <c r="K38" s="31">
        <f>STDEV(G37:G38)</f>
        <v>1.6970562748477157E-2</v>
      </c>
      <c r="L38" s="26"/>
      <c r="M38" s="27">
        <f>AVERAGE(E37:E38)</f>
        <v>17531.5</v>
      </c>
      <c r="N38" s="27">
        <f>STDEV(E37:E38)</f>
        <v>901.5611460128481</v>
      </c>
      <c r="O38" s="28"/>
      <c r="P38" s="29">
        <f>AVERAGE(H37:H38)</f>
        <v>24.118000000000002</v>
      </c>
      <c r="Q38" s="29">
        <f>STDEV(H37:H38)</f>
        <v>1.2727922061355826E-2</v>
      </c>
      <c r="R38" s="28"/>
      <c r="S38" s="29">
        <f>J38-(A38-Standards!$A$121)*Standards!$AA$4</f>
        <v>-3.6768176176470586</v>
      </c>
      <c r="T38" s="29">
        <f>S38-(M38-Standards!$N$121)*Standards!$AA$55</f>
        <v>-3.7101471235294117</v>
      </c>
      <c r="U38" s="29"/>
      <c r="V38" s="28"/>
      <c r="W38" s="29">
        <f>P38-(A38-Standards!$A$121)*Standards!$AL$5</f>
        <v>24.035099235294119</v>
      </c>
      <c r="X38" s="29">
        <f>W38-(M38-Standards!$N$121)*Standards!$AL$54</f>
        <v>24.114951176470591</v>
      </c>
      <c r="Y38" s="125"/>
      <c r="Z38" s="19">
        <f>(T38*Standards!$O$156)+Standards!$O$157</f>
        <v>-3.2271781890390399</v>
      </c>
      <c r="AA38" s="20">
        <f>(X38*Standards!$T$156)+Standards!$T$157</f>
        <v>25.485705720210753</v>
      </c>
    </row>
    <row r="39" spans="1:27" ht="24.95" customHeight="1" x14ac:dyDescent="0.25">
      <c r="A39" s="27">
        <v>20</v>
      </c>
      <c r="B39" s="26" t="s">
        <v>625</v>
      </c>
      <c r="C39" s="26" t="s">
        <v>420</v>
      </c>
      <c r="D39" s="26">
        <v>6</v>
      </c>
      <c r="E39" s="26">
        <v>9436</v>
      </c>
      <c r="F39" s="26">
        <v>117.428</v>
      </c>
      <c r="G39" s="26">
        <v>-3.3940000000000001</v>
      </c>
      <c r="H39" s="26">
        <v>24.209</v>
      </c>
      <c r="I39" s="26"/>
      <c r="J39" s="31"/>
      <c r="K39" s="31"/>
      <c r="L39" s="26"/>
      <c r="M39" s="27"/>
      <c r="N39" s="27"/>
      <c r="O39" s="28"/>
      <c r="P39" s="29"/>
      <c r="Q39" s="29"/>
      <c r="R39" s="28"/>
      <c r="S39" s="29"/>
      <c r="T39" s="29"/>
      <c r="U39" s="29"/>
      <c r="V39" s="28"/>
      <c r="W39" s="29"/>
      <c r="X39" s="29"/>
      <c r="Y39" s="125"/>
      <c r="Z39" s="19"/>
      <c r="AA39" s="20"/>
    </row>
    <row r="40" spans="1:27" ht="24.95" customHeight="1" x14ac:dyDescent="0.25">
      <c r="A40" s="27">
        <v>20</v>
      </c>
      <c r="B40" s="26" t="s">
        <v>625</v>
      </c>
      <c r="C40" s="26" t="s">
        <v>420</v>
      </c>
      <c r="D40" s="26">
        <v>7</v>
      </c>
      <c r="E40" s="26">
        <v>8817</v>
      </c>
      <c r="F40" s="26">
        <v>109.331</v>
      </c>
      <c r="G40" s="26">
        <v>-3.335</v>
      </c>
      <c r="H40" s="26">
        <v>24.219000000000001</v>
      </c>
      <c r="I40" s="26"/>
      <c r="J40" s="31">
        <f>AVERAGE(G39:G40)</f>
        <v>-3.3645</v>
      </c>
      <c r="K40" s="31">
        <f>STDEV(G39:G40)</f>
        <v>4.171930009000642E-2</v>
      </c>
      <c r="L40" s="26"/>
      <c r="M40" s="27">
        <f>AVERAGE(E39:E40)</f>
        <v>9126.5</v>
      </c>
      <c r="N40" s="27">
        <f>STDEV(E39:E40)</f>
        <v>437.69909755447293</v>
      </c>
      <c r="O40" s="28"/>
      <c r="P40" s="29">
        <f>AVERAGE(H39:H40)</f>
        <v>24.213999999999999</v>
      </c>
      <c r="Q40" s="29">
        <f>STDEV(H39:H40)</f>
        <v>7.0710678118665812E-3</v>
      </c>
      <c r="R40" s="28"/>
      <c r="S40" s="29">
        <f>J40-(A40-Standards!$A$121)*Standards!$AA$4</f>
        <v>-3.4235946176470589</v>
      </c>
      <c r="T40" s="29">
        <f>S40-(M40-Standards!$N$121)*Standards!$AA$55</f>
        <v>-3.3762361235294116</v>
      </c>
      <c r="U40" s="29"/>
      <c r="V40" s="28"/>
      <c r="W40" s="29">
        <f>P40-(A40-Standards!$A$121)*Standards!$AL$5</f>
        <v>24.132101235294115</v>
      </c>
      <c r="X40" s="29">
        <f>W40-(M40-Standards!$N$121)*Standards!$AL$54</f>
        <v>24.018638176470585</v>
      </c>
      <c r="Y40" s="125"/>
      <c r="Z40" s="19">
        <f>(T40*Standards!$O$156)+Standards!$O$157</f>
        <v>-2.8911768825477235</v>
      </c>
      <c r="AA40" s="20">
        <f>(X40*Standards!$T$156)+Standards!$T$157</f>
        <v>25.389915464221847</v>
      </c>
    </row>
    <row r="41" spans="1:27" ht="24.95" customHeight="1" x14ac:dyDescent="0.25">
      <c r="A41" s="27">
        <v>21</v>
      </c>
      <c r="B41" s="26" t="s">
        <v>631</v>
      </c>
      <c r="C41" s="26" t="s">
        <v>632</v>
      </c>
      <c r="D41" s="26">
        <v>6</v>
      </c>
      <c r="E41" s="26">
        <v>13636</v>
      </c>
      <c r="F41" s="26">
        <v>162.23099999999999</v>
      </c>
      <c r="G41" s="26">
        <v>-3.44</v>
      </c>
      <c r="H41" s="26">
        <v>23.989000000000001</v>
      </c>
      <c r="I41" s="26"/>
      <c r="J41" s="31"/>
      <c r="K41" s="31"/>
      <c r="L41" s="26"/>
      <c r="M41" s="27"/>
      <c r="N41" s="27"/>
      <c r="O41" s="28"/>
      <c r="P41" s="29"/>
      <c r="Q41" s="29"/>
      <c r="R41" s="28"/>
      <c r="S41" s="29"/>
      <c r="T41" s="29"/>
      <c r="U41" s="29"/>
      <c r="V41" s="28"/>
      <c r="W41" s="29"/>
      <c r="X41" s="29"/>
      <c r="Y41" s="125"/>
      <c r="Z41" s="19"/>
      <c r="AA41" s="20"/>
    </row>
    <row r="42" spans="1:27" ht="24.95" customHeight="1" x14ac:dyDescent="0.25">
      <c r="A42" s="27">
        <v>21</v>
      </c>
      <c r="B42" s="26" t="s">
        <v>631</v>
      </c>
      <c r="C42" s="26" t="s">
        <v>632</v>
      </c>
      <c r="D42" s="26">
        <v>7</v>
      </c>
      <c r="E42" s="26">
        <v>12579</v>
      </c>
      <c r="F42" s="26">
        <v>150.47</v>
      </c>
      <c r="G42" s="26">
        <v>-3.3889999999999998</v>
      </c>
      <c r="H42" s="26">
        <v>24.029</v>
      </c>
      <c r="I42" s="26"/>
      <c r="J42" s="31">
        <f>AVERAGE(G41:G42)</f>
        <v>-3.4144999999999999</v>
      </c>
      <c r="K42" s="31">
        <f>STDEV(G41:G42)</f>
        <v>3.6062445840514032E-2</v>
      </c>
      <c r="L42" s="26"/>
      <c r="M42" s="27">
        <f>AVERAGE(E41:E42)</f>
        <v>13107.5</v>
      </c>
      <c r="N42" s="27">
        <f>STDEV(E41:E42)</f>
        <v>747.41186771418074</v>
      </c>
      <c r="O42" s="28"/>
      <c r="P42" s="29">
        <f>AVERAGE(H41:H42)</f>
        <v>24.009</v>
      </c>
      <c r="Q42" s="29">
        <f>STDEV(H41:H42)</f>
        <v>2.8284271247461298E-2</v>
      </c>
      <c r="R42" s="28"/>
      <c r="S42" s="29">
        <f>J42-(A42-Standards!$A$121)*Standards!$AA$4</f>
        <v>-3.4728716176470589</v>
      </c>
      <c r="T42" s="29">
        <f>S42-(M42-Standards!$N$121)*Standards!$AA$55</f>
        <v>-3.4637307235294119</v>
      </c>
      <c r="U42" s="29"/>
      <c r="V42" s="28"/>
      <c r="W42" s="29">
        <f>P42-(A42-Standards!$A$121)*Standards!$AL$5</f>
        <v>23.928103235294117</v>
      </c>
      <c r="X42" s="29">
        <f>W42-(M42-Standards!$N$121)*Standards!$AL$54</f>
        <v>23.906203176470587</v>
      </c>
      <c r="Y42" s="125"/>
      <c r="Z42" s="19">
        <f>(T42*Standards!$O$156)+Standards!$O$157</f>
        <v>-2.9792192049358306</v>
      </c>
      <c r="AA42" s="20">
        <f>(X42*Standards!$T$156)+Standards!$T$157</f>
        <v>25.27809071125899</v>
      </c>
    </row>
    <row r="43" spans="1:27" s="118" customFormat="1" ht="24.95" customHeight="1" x14ac:dyDescent="0.25">
      <c r="A43" s="27">
        <v>22</v>
      </c>
      <c r="B43" s="26" t="s">
        <v>639</v>
      </c>
      <c r="C43" s="26" t="s">
        <v>414</v>
      </c>
      <c r="D43" s="26">
        <v>6</v>
      </c>
      <c r="E43" s="26">
        <v>17548</v>
      </c>
      <c r="F43" s="26">
        <v>216.274</v>
      </c>
      <c r="G43" s="26">
        <v>-3.2109999999999999</v>
      </c>
      <c r="H43" s="26">
        <v>23.832000000000001</v>
      </c>
      <c r="I43" s="21"/>
      <c r="J43" s="22"/>
      <c r="K43" s="22"/>
      <c r="L43" s="21"/>
      <c r="M43" s="23"/>
      <c r="N43" s="23"/>
      <c r="O43" s="24"/>
      <c r="P43" s="25"/>
      <c r="Q43" s="25"/>
      <c r="R43" s="24"/>
      <c r="S43" s="25"/>
      <c r="T43" s="25"/>
      <c r="U43" s="25"/>
      <c r="V43" s="24"/>
      <c r="W43" s="25"/>
      <c r="X43" s="25"/>
      <c r="Y43" s="126"/>
      <c r="Z43" s="61"/>
      <c r="AA43" s="62"/>
    </row>
    <row r="44" spans="1:27" s="118" customFormat="1" ht="24.95" customHeight="1" x14ac:dyDescent="0.25">
      <c r="A44" s="27">
        <v>22</v>
      </c>
      <c r="B44" s="26" t="s">
        <v>639</v>
      </c>
      <c r="C44" s="26" t="s">
        <v>414</v>
      </c>
      <c r="D44" s="26">
        <v>7</v>
      </c>
      <c r="E44" s="26">
        <v>16356</v>
      </c>
      <c r="F44" s="26">
        <v>201.07</v>
      </c>
      <c r="G44" s="26">
        <v>-3.1739999999999999</v>
      </c>
      <c r="H44" s="26">
        <v>23.876999999999999</v>
      </c>
      <c r="I44" s="21"/>
      <c r="J44" s="31">
        <f>AVERAGE(G43:G44)</f>
        <v>-3.1924999999999999</v>
      </c>
      <c r="K44" s="31">
        <f>STDEV(G43:G44)</f>
        <v>2.6162950903902204E-2</v>
      </c>
      <c r="L44" s="26"/>
      <c r="M44" s="27">
        <f>AVERAGE(E43:E44)</f>
        <v>16952</v>
      </c>
      <c r="N44" s="27">
        <f>STDEV(E43:E44)</f>
        <v>842.87128317436463</v>
      </c>
      <c r="O44" s="28"/>
      <c r="P44" s="29">
        <f>AVERAGE(H43:H44)</f>
        <v>23.854500000000002</v>
      </c>
      <c r="Q44" s="29">
        <f>STDEV(H43:H44)</f>
        <v>3.1819805153393332E-2</v>
      </c>
      <c r="R44" s="28"/>
      <c r="S44" s="29">
        <f>J44-(A44-Standards!$A$121)*Standards!$AA$4</f>
        <v>-3.2501486176470586</v>
      </c>
      <c r="T44" s="29">
        <f>S44-(M44-Standards!$N$121)*Standards!$AA$55</f>
        <v>-3.2779149235294116</v>
      </c>
      <c r="U44" s="29"/>
      <c r="V44" s="28"/>
      <c r="W44" s="29">
        <f>P44-(A44-Standards!$A$121)*Standards!$AL$5</f>
        <v>23.774605235294118</v>
      </c>
      <c r="X44" s="29">
        <f>W44-(M44-Standards!$N$121)*Standards!$AL$54</f>
        <v>23.841128676470589</v>
      </c>
      <c r="Y44" s="125"/>
      <c r="Z44" s="19">
        <f>(T44*Standards!$O$156)+Standards!$O$157</f>
        <v>-2.7922401848774041</v>
      </c>
      <c r="AA44" s="20">
        <f>(X44*Standards!$T$156)+Standards!$T$157</f>
        <v>25.213369406623592</v>
      </c>
    </row>
    <row r="45" spans="1:27" s="117" customFormat="1" ht="24.95" customHeight="1" x14ac:dyDescent="0.25">
      <c r="A45" s="64">
        <v>23</v>
      </c>
      <c r="B45" s="65" t="s">
        <v>646</v>
      </c>
      <c r="C45" s="65" t="s">
        <v>444</v>
      </c>
      <c r="D45" s="65">
        <v>6</v>
      </c>
      <c r="E45" s="65">
        <v>15608</v>
      </c>
      <c r="F45" s="65">
        <v>188.458</v>
      </c>
      <c r="G45" s="65">
        <v>3.9849999999999999</v>
      </c>
      <c r="H45" s="65">
        <v>25.207000000000001</v>
      </c>
      <c r="I45" s="65"/>
      <c r="J45" s="66"/>
      <c r="K45" s="66"/>
      <c r="L45" s="65"/>
      <c r="M45" s="64"/>
      <c r="N45" s="64"/>
      <c r="O45" s="67"/>
      <c r="P45" s="68"/>
      <c r="Q45" s="68"/>
      <c r="R45" s="67"/>
      <c r="S45" s="29"/>
      <c r="T45" s="68"/>
      <c r="U45" s="68"/>
      <c r="V45" s="67"/>
      <c r="W45" s="29"/>
      <c r="X45" s="68"/>
      <c r="Y45" s="124"/>
      <c r="Z45" s="69"/>
      <c r="AA45" s="70"/>
    </row>
    <row r="46" spans="1:27" s="117" customFormat="1" ht="24.95" customHeight="1" x14ac:dyDescent="0.25">
      <c r="A46" s="64">
        <v>23</v>
      </c>
      <c r="B46" s="65" t="s">
        <v>646</v>
      </c>
      <c r="C46" s="65" t="s">
        <v>444</v>
      </c>
      <c r="D46" s="65">
        <v>7</v>
      </c>
      <c r="E46" s="65">
        <v>14444</v>
      </c>
      <c r="F46" s="65">
        <v>175.05699999999999</v>
      </c>
      <c r="G46" s="65">
        <v>4.0519999999999996</v>
      </c>
      <c r="H46" s="65">
        <v>25.244</v>
      </c>
      <c r="I46" s="65"/>
      <c r="J46" s="66">
        <f>AVERAGE(G45:G46)</f>
        <v>4.0184999999999995</v>
      </c>
      <c r="K46" s="66">
        <f>STDEV(G45:G46)</f>
        <v>4.7376154339498489E-2</v>
      </c>
      <c r="L46" s="65"/>
      <c r="M46" s="64">
        <f>AVERAGE(E45:E46)</f>
        <v>15026</v>
      </c>
      <c r="N46" s="64">
        <f>STDEV(E45:E46)</f>
        <v>823.07229330114137</v>
      </c>
      <c r="O46" s="67"/>
      <c r="P46" s="68">
        <f>AVERAGE(H45:H46)</f>
        <v>25.2255</v>
      </c>
      <c r="Q46" s="68">
        <f>STDEV(H45:H46)</f>
        <v>2.6162950903901576E-2</v>
      </c>
      <c r="R46" s="67"/>
      <c r="S46" s="29">
        <f>J46-(A46-Standards!$A$121)*Standards!$AA$4</f>
        <v>3.9615743823529406</v>
      </c>
      <c r="T46" s="68">
        <f>S46-(M46-Standards!$N$121)*Standards!$AA$55</f>
        <v>3.9522976764705877</v>
      </c>
      <c r="U46" s="68"/>
      <c r="V46" s="67"/>
      <c r="W46" s="29">
        <f>P46-(A46-Standards!$A$121)*Standards!$AL$5</f>
        <v>25.14660723529412</v>
      </c>
      <c r="X46" s="68">
        <f>W46-(M46-Standards!$N$121)*Standards!$AL$54</f>
        <v>25.16883267647059</v>
      </c>
      <c r="Y46" s="124"/>
      <c r="Z46" s="69">
        <f>(T46*Standards!$O$156)+Standards!$O$157</f>
        <v>4.4832340576901597</v>
      </c>
      <c r="AA46" s="70">
        <f>(X46*Standards!$T$156)+Standards!$T$157</f>
        <v>26.533867221430359</v>
      </c>
    </row>
    <row r="47" spans="1:27" s="117" customFormat="1" ht="24.95" customHeight="1" x14ac:dyDescent="0.25">
      <c r="A47" s="64">
        <v>24</v>
      </c>
      <c r="B47" s="65" t="s">
        <v>653</v>
      </c>
      <c r="C47" s="65" t="s">
        <v>654</v>
      </c>
      <c r="D47" s="65">
        <v>6</v>
      </c>
      <c r="E47" s="65">
        <v>16859</v>
      </c>
      <c r="F47" s="65">
        <v>206.78200000000001</v>
      </c>
      <c r="G47" s="65">
        <v>4.0049999999999999</v>
      </c>
      <c r="H47" s="65">
        <v>25.263999999999999</v>
      </c>
      <c r="I47" s="65"/>
      <c r="J47" s="66"/>
      <c r="K47" s="66"/>
      <c r="L47" s="65"/>
      <c r="M47" s="64"/>
      <c r="N47" s="64"/>
      <c r="O47" s="67"/>
      <c r="P47" s="68"/>
      <c r="Q47" s="68"/>
      <c r="R47" s="67"/>
      <c r="S47" s="29"/>
      <c r="T47" s="68"/>
      <c r="U47" s="68"/>
      <c r="V47" s="67"/>
      <c r="W47" s="29"/>
      <c r="X47" s="68"/>
      <c r="Y47" s="124"/>
      <c r="Z47" s="69"/>
      <c r="AA47" s="70"/>
    </row>
    <row r="48" spans="1:27" s="117" customFormat="1" ht="24.95" customHeight="1" x14ac:dyDescent="0.25">
      <c r="A48" s="64">
        <v>24</v>
      </c>
      <c r="B48" s="65" t="s">
        <v>653</v>
      </c>
      <c r="C48" s="65" t="s">
        <v>654</v>
      </c>
      <c r="D48" s="65">
        <v>7</v>
      </c>
      <c r="E48" s="65">
        <v>15802</v>
      </c>
      <c r="F48" s="65">
        <v>192.35400000000001</v>
      </c>
      <c r="G48" s="65">
        <v>4.0389999999999997</v>
      </c>
      <c r="H48" s="65">
        <v>25.285</v>
      </c>
      <c r="I48" s="65"/>
      <c r="J48" s="66">
        <f>AVERAGE(G47:G48)</f>
        <v>4.0220000000000002</v>
      </c>
      <c r="K48" s="66">
        <f>STDEV(G47:G48)</f>
        <v>2.4041630560342479E-2</v>
      </c>
      <c r="L48" s="65"/>
      <c r="M48" s="64">
        <f>AVERAGE(E47:E48)</f>
        <v>16330.5</v>
      </c>
      <c r="N48" s="64">
        <f>STDEV(E47:E48)</f>
        <v>747.41186771418074</v>
      </c>
      <c r="O48" s="67"/>
      <c r="P48" s="68">
        <f>AVERAGE(H47:H48)</f>
        <v>25.2745</v>
      </c>
      <c r="Q48" s="68">
        <f>STDEV(H47:H48)</f>
        <v>1.4849242404918061E-2</v>
      </c>
      <c r="R48" s="67"/>
      <c r="S48" s="29">
        <f>J48-(A48-Standards!$A$121)*Standards!$AA$4</f>
        <v>3.9657973823529415</v>
      </c>
      <c r="T48" s="68">
        <f>S48-(M48-Standards!$N$121)*Standards!$AA$55</f>
        <v>3.9439974764705887</v>
      </c>
      <c r="U48" s="68"/>
      <c r="V48" s="67"/>
      <c r="W48" s="29">
        <f>P48-(A48-Standards!$A$121)*Standards!$AL$5</f>
        <v>25.196609235294119</v>
      </c>
      <c r="X48" s="68">
        <f>W48-(M48-Standards!$N$121)*Standards!$AL$54</f>
        <v>25.248838176470588</v>
      </c>
      <c r="Y48" s="124"/>
      <c r="Z48" s="69">
        <f>(T48*Standards!$O$156)+Standards!$O$157</f>
        <v>4.4748818978507447</v>
      </c>
      <c r="AA48" s="70">
        <f>(X48*Standards!$T$156)+Standards!$T$157</f>
        <v>26.613438487256566</v>
      </c>
    </row>
    <row r="49" spans="1:27" ht="24.95" customHeight="1" x14ac:dyDescent="0.25">
      <c r="A49" s="27">
        <v>25</v>
      </c>
      <c r="B49" s="26" t="s">
        <v>659</v>
      </c>
      <c r="C49" s="26" t="s">
        <v>375</v>
      </c>
      <c r="D49" s="26">
        <v>6</v>
      </c>
      <c r="E49" s="26">
        <v>16451</v>
      </c>
      <c r="F49" s="26">
        <v>202.125</v>
      </c>
      <c r="G49" s="26">
        <v>-3.4660000000000002</v>
      </c>
      <c r="H49" s="26">
        <v>23.835999999999999</v>
      </c>
      <c r="I49" s="26"/>
      <c r="J49" s="31"/>
      <c r="K49" s="31"/>
      <c r="L49" s="26"/>
      <c r="M49" s="27"/>
      <c r="N49" s="27"/>
      <c r="O49" s="28"/>
      <c r="P49" s="29"/>
      <c r="Q49" s="29"/>
      <c r="R49" s="28"/>
      <c r="S49" s="29"/>
      <c r="T49" s="29"/>
      <c r="U49" s="29"/>
      <c r="V49" s="28"/>
      <c r="W49" s="29"/>
      <c r="X49" s="29"/>
      <c r="Y49" s="125"/>
      <c r="Z49" s="19"/>
      <c r="AA49" s="20"/>
    </row>
    <row r="50" spans="1:27" ht="24.95" customHeight="1" x14ac:dyDescent="0.25">
      <c r="A50" s="27">
        <v>25</v>
      </c>
      <c r="B50" s="26" t="s">
        <v>659</v>
      </c>
      <c r="C50" s="26" t="s">
        <v>375</v>
      </c>
      <c r="D50" s="26">
        <v>7</v>
      </c>
      <c r="E50" s="26">
        <v>15280</v>
      </c>
      <c r="F50" s="26">
        <v>189.66900000000001</v>
      </c>
      <c r="G50" s="26">
        <v>-3.4980000000000002</v>
      </c>
      <c r="H50" s="26">
        <v>23.869</v>
      </c>
      <c r="I50" s="26"/>
      <c r="J50" s="31">
        <f>AVERAGE(G49:G50)</f>
        <v>-3.4820000000000002</v>
      </c>
      <c r="K50" s="31">
        <f>STDEV(G49:G50)</f>
        <v>2.2627416997969541E-2</v>
      </c>
      <c r="L50" s="26"/>
      <c r="M50" s="27">
        <f>AVERAGE(E49:E50)</f>
        <v>15865.5</v>
      </c>
      <c r="N50" s="27">
        <f>STDEV(E49:E50)</f>
        <v>828.02204076944713</v>
      </c>
      <c r="O50" s="28"/>
      <c r="P50" s="29">
        <f>AVERAGE(H49:H50)</f>
        <v>23.852499999999999</v>
      </c>
      <c r="Q50" s="29">
        <f>STDEV(H49:H50)</f>
        <v>2.3334523779156954E-2</v>
      </c>
      <c r="R50" s="28"/>
      <c r="S50" s="29">
        <f>J50-(A50-Standards!$A$121)*Standards!$AA$4</f>
        <v>-3.5374796176470591</v>
      </c>
      <c r="T50" s="29">
        <f>S50-(M50-Standards!$N$121)*Standards!$AA$55</f>
        <v>-3.5548155235294119</v>
      </c>
      <c r="U50" s="29"/>
      <c r="V50" s="28"/>
      <c r="W50" s="29">
        <f>P50-(A50-Standards!$A$121)*Standards!$AL$5</f>
        <v>23.775611235294118</v>
      </c>
      <c r="X50" s="29">
        <f>W50-(M50-Standards!$N$121)*Standards!$AL$54</f>
        <v>23.817145176470589</v>
      </c>
      <c r="Y50" s="125"/>
      <c r="Z50" s="19">
        <f>(T50*Standards!$O$156)+Standards!$O$157</f>
        <v>-3.0708742022300206</v>
      </c>
      <c r="AA50" s="20">
        <f>(X50*Standards!$T$156)+Standards!$T$157</f>
        <v>25.189516078365621</v>
      </c>
    </row>
    <row r="51" spans="1:27" ht="24.95" customHeight="1" x14ac:dyDescent="0.25">
      <c r="A51" s="27">
        <v>26</v>
      </c>
      <c r="B51" s="26" t="s">
        <v>664</v>
      </c>
      <c r="C51" s="26" t="s">
        <v>420</v>
      </c>
      <c r="D51" s="26">
        <v>6</v>
      </c>
      <c r="E51" s="26">
        <v>10012</v>
      </c>
      <c r="F51" s="26">
        <v>122.366</v>
      </c>
      <c r="G51" s="26">
        <v>-3.625</v>
      </c>
      <c r="H51" s="26">
        <v>23.981999999999999</v>
      </c>
      <c r="I51" s="26"/>
      <c r="J51" s="31"/>
      <c r="K51" s="31"/>
      <c r="L51" s="26"/>
      <c r="M51" s="27"/>
      <c r="N51" s="27"/>
      <c r="O51" s="28"/>
      <c r="P51" s="29"/>
      <c r="Q51" s="29"/>
      <c r="R51" s="28"/>
      <c r="S51" s="29"/>
      <c r="T51" s="29"/>
      <c r="U51" s="29"/>
      <c r="V51" s="28"/>
      <c r="W51" s="29"/>
      <c r="X51" s="29"/>
      <c r="Y51" s="125"/>
      <c r="Z51" s="19"/>
      <c r="AA51" s="20"/>
    </row>
    <row r="52" spans="1:27" ht="24.95" customHeight="1" x14ac:dyDescent="0.25">
      <c r="A52" s="27">
        <v>26</v>
      </c>
      <c r="B52" s="26" t="s">
        <v>664</v>
      </c>
      <c r="C52" s="26" t="s">
        <v>420</v>
      </c>
      <c r="D52" s="26">
        <v>7</v>
      </c>
      <c r="E52" s="26">
        <v>9433</v>
      </c>
      <c r="F52" s="26">
        <v>114.142</v>
      </c>
      <c r="G52" s="26">
        <v>-3.6059999999999999</v>
      </c>
      <c r="H52" s="26">
        <v>23.972000000000001</v>
      </c>
      <c r="I52" s="26"/>
      <c r="J52" s="31">
        <f>AVERAGE(G51:G52)</f>
        <v>-3.6154999999999999</v>
      </c>
      <c r="K52" s="31">
        <f>STDEV(G51:G52)</f>
        <v>1.3435028842544494E-2</v>
      </c>
      <c r="L52" s="26"/>
      <c r="M52" s="27">
        <f>AVERAGE(E51:E52)</f>
        <v>9722.5</v>
      </c>
      <c r="N52" s="27">
        <f>STDEV(E51:E52)</f>
        <v>409.41482630701103</v>
      </c>
      <c r="O52" s="28"/>
      <c r="P52" s="29">
        <f>AVERAGE(H51:H52)</f>
        <v>23.977</v>
      </c>
      <c r="Q52" s="29">
        <f>STDEV(H51:H52)</f>
        <v>7.0710678118640685E-3</v>
      </c>
      <c r="R52" s="28"/>
      <c r="S52" s="29">
        <f>J52-(A52-Standards!$A$121)*Standards!$AA$4</f>
        <v>-3.6702566176470586</v>
      </c>
      <c r="T52" s="29">
        <f>S52-(M52-Standards!$N$121)*Standards!$AA$55</f>
        <v>-3.6286197235294115</v>
      </c>
      <c r="U52" s="29"/>
      <c r="V52" s="28"/>
      <c r="W52" s="29">
        <f>P52-(A52-Standards!$A$121)*Standards!$AL$5</f>
        <v>23.901113235294119</v>
      </c>
      <c r="X52" s="29">
        <f>W52-(M52-Standards!$N$121)*Standards!$AL$54</f>
        <v>23.80135817647059</v>
      </c>
      <c r="Y52" s="125"/>
      <c r="Z52" s="19">
        <f>(T52*Standards!$O$156)+Standards!$O$157</f>
        <v>-3.1451404217452392</v>
      </c>
      <c r="AA52" s="20">
        <f>(X52*Standards!$T$156)+Standards!$T$157</f>
        <v>25.173814763161062</v>
      </c>
    </row>
    <row r="53" spans="1:27" ht="24.95" customHeight="1" x14ac:dyDescent="0.25">
      <c r="A53" s="27">
        <v>27</v>
      </c>
      <c r="B53" s="26" t="s">
        <v>670</v>
      </c>
      <c r="C53" s="26" t="s">
        <v>671</v>
      </c>
      <c r="D53" s="26">
        <v>6</v>
      </c>
      <c r="E53" s="26">
        <v>9793</v>
      </c>
      <c r="F53" s="26">
        <v>122.108</v>
      </c>
      <c r="G53" s="26">
        <v>-3.8359999999999999</v>
      </c>
      <c r="H53" s="26">
        <v>24.047999999999998</v>
      </c>
      <c r="I53" s="26"/>
      <c r="J53" s="31"/>
      <c r="K53" s="31"/>
      <c r="L53" s="26"/>
      <c r="M53" s="27"/>
      <c r="N53" s="27"/>
      <c r="O53" s="28"/>
      <c r="P53" s="29"/>
      <c r="Q53" s="29"/>
      <c r="R53" s="28"/>
      <c r="S53" s="29"/>
      <c r="T53" s="29"/>
      <c r="U53" s="29"/>
      <c r="V53" s="28"/>
      <c r="W53" s="29"/>
      <c r="X53" s="29"/>
      <c r="Y53" s="125"/>
      <c r="Z53" s="19"/>
      <c r="AA53" s="20"/>
    </row>
    <row r="54" spans="1:27" ht="24.95" customHeight="1" x14ac:dyDescent="0.25">
      <c r="A54" s="27">
        <v>27</v>
      </c>
      <c r="B54" s="26" t="s">
        <v>670</v>
      </c>
      <c r="C54" s="26" t="s">
        <v>671</v>
      </c>
      <c r="D54" s="26">
        <v>7</v>
      </c>
      <c r="E54" s="26">
        <v>9115</v>
      </c>
      <c r="F54" s="26">
        <v>113.502</v>
      </c>
      <c r="G54" s="26">
        <v>-3.794</v>
      </c>
      <c r="H54" s="26">
        <v>24.082000000000001</v>
      </c>
      <c r="I54" s="26"/>
      <c r="J54" s="31">
        <f>AVERAGE(G53:G54)</f>
        <v>-3.8149999999999999</v>
      </c>
      <c r="K54" s="31">
        <f>STDEV(G53:G54)</f>
        <v>2.9698484809834867E-2</v>
      </c>
      <c r="L54" s="26"/>
      <c r="M54" s="27">
        <f>AVERAGE(E53:E54)</f>
        <v>9454</v>
      </c>
      <c r="N54" s="27">
        <f>STDEV(E53:E54)</f>
        <v>479.41839764447923</v>
      </c>
      <c r="O54" s="28"/>
      <c r="P54" s="29">
        <f>AVERAGE(H53:H54)</f>
        <v>24.064999999999998</v>
      </c>
      <c r="Q54" s="29">
        <f>STDEV(H53:H54)</f>
        <v>2.4041630560344366E-2</v>
      </c>
      <c r="R54" s="28"/>
      <c r="S54" s="29">
        <f>J54-(A54-Standards!$A$121)*Standards!$AA$4</f>
        <v>-3.8690336176470588</v>
      </c>
      <c r="T54" s="29">
        <f>S54-(M54-Standards!$N$121)*Standards!$AA$55</f>
        <v>-3.8248191235294118</v>
      </c>
      <c r="U54" s="29"/>
      <c r="V54" s="28"/>
      <c r="W54" s="29">
        <f>P54-(A54-Standards!$A$121)*Standards!$AL$5</f>
        <v>23.990115235294116</v>
      </c>
      <c r="X54" s="29">
        <f>W54-(M54-Standards!$N$121)*Standards!$AL$54</f>
        <v>23.884184676470586</v>
      </c>
      <c r="Y54" s="125"/>
      <c r="Z54" s="19">
        <f>(T54*Standards!$O$156)+Standards!$O$157</f>
        <v>-3.3425680438745267</v>
      </c>
      <c r="AA54" s="20">
        <f>(X54*Standards!$T$156)+Standards!$T$157</f>
        <v>25.256191717857355</v>
      </c>
    </row>
    <row r="55" spans="1:27" ht="24.95" customHeight="1" x14ac:dyDescent="0.25">
      <c r="A55" s="27">
        <v>28</v>
      </c>
      <c r="B55" s="26" t="s">
        <v>677</v>
      </c>
      <c r="C55" s="26" t="s">
        <v>678</v>
      </c>
      <c r="D55" s="26">
        <v>6</v>
      </c>
      <c r="E55" s="26">
        <v>13299</v>
      </c>
      <c r="F55" s="26">
        <v>158.54900000000001</v>
      </c>
      <c r="G55" s="26">
        <v>-3.7570000000000001</v>
      </c>
      <c r="H55" s="26">
        <v>24.132999999999999</v>
      </c>
      <c r="I55" s="26"/>
      <c r="J55" s="31"/>
      <c r="K55" s="31"/>
      <c r="L55" s="26"/>
      <c r="M55" s="27"/>
      <c r="N55" s="27"/>
      <c r="O55" s="28"/>
      <c r="P55" s="29"/>
      <c r="Q55" s="29"/>
      <c r="R55" s="28"/>
      <c r="S55" s="29"/>
      <c r="T55" s="29"/>
      <c r="U55" s="29"/>
      <c r="V55" s="28"/>
      <c r="W55" s="29"/>
      <c r="X55" s="29"/>
      <c r="Y55" s="125"/>
      <c r="Z55" s="19"/>
      <c r="AA55" s="20"/>
    </row>
    <row r="56" spans="1:27" ht="24.95" customHeight="1" x14ac:dyDescent="0.25">
      <c r="A56" s="27">
        <v>28</v>
      </c>
      <c r="B56" s="26" t="s">
        <v>677</v>
      </c>
      <c r="C56" s="26" t="s">
        <v>678</v>
      </c>
      <c r="D56" s="26">
        <v>7</v>
      </c>
      <c r="E56" s="26">
        <v>12495</v>
      </c>
      <c r="F56" s="26">
        <v>148.44499999999999</v>
      </c>
      <c r="G56" s="26">
        <v>-3.722</v>
      </c>
      <c r="H56" s="26">
        <v>24.149000000000001</v>
      </c>
      <c r="I56" s="26"/>
      <c r="J56" s="31">
        <f>AVERAGE(G55:G56)</f>
        <v>-3.7395</v>
      </c>
      <c r="K56" s="31">
        <f>STDEV(G55:G56)</f>
        <v>2.4748737341529263E-2</v>
      </c>
      <c r="L56" s="26"/>
      <c r="M56" s="27">
        <f>AVERAGE(E55:E56)</f>
        <v>12897</v>
      </c>
      <c r="N56" s="27">
        <f>STDEV(E55:E56)</f>
        <v>568.51385207398425</v>
      </c>
      <c r="O56" s="28"/>
      <c r="P56" s="29">
        <f>AVERAGE(H55:H56)</f>
        <v>24.140999999999998</v>
      </c>
      <c r="Q56" s="29">
        <f>STDEV(H55:H56)</f>
        <v>1.1313708498986027E-2</v>
      </c>
      <c r="R56" s="28"/>
      <c r="S56" s="29">
        <f>J56-(A56-Standards!$A$121)*Standards!$AA$4</f>
        <v>-3.7928106176470591</v>
      </c>
      <c r="T56" s="29">
        <f>S56-(M56-Standards!$N$121)*Standards!$AA$55</f>
        <v>-3.7816489235294122</v>
      </c>
      <c r="U56" s="29"/>
      <c r="V56" s="28"/>
      <c r="W56" s="29">
        <f>P56-(A56-Standards!$A$121)*Standards!$AL$5</f>
        <v>24.067117235294116</v>
      </c>
      <c r="X56" s="29">
        <f>W56-(M56-Standards!$N$121)*Standards!$AL$54</f>
        <v>24.040375676470585</v>
      </c>
      <c r="Y56" s="125"/>
      <c r="Z56" s="19">
        <f>(T56*Standards!$O$156)+Standards!$O$157</f>
        <v>-3.2991275953673158</v>
      </c>
      <c r="AA56" s="20">
        <f>(X56*Standards!$T$156)+Standards!$T$157</f>
        <v>25.411534982766163</v>
      </c>
    </row>
    <row r="57" spans="1:27" ht="24.95" customHeight="1" x14ac:dyDescent="0.25">
      <c r="A57" s="26">
        <v>29</v>
      </c>
      <c r="B57" s="26" t="s">
        <v>685</v>
      </c>
      <c r="C57" s="26" t="s">
        <v>397</v>
      </c>
      <c r="D57" s="26">
        <v>6</v>
      </c>
      <c r="E57" s="26">
        <v>8827</v>
      </c>
      <c r="F57" s="26">
        <v>110.271</v>
      </c>
      <c r="G57" s="26">
        <v>-3.4980000000000002</v>
      </c>
      <c r="H57" s="26">
        <v>24.114000000000001</v>
      </c>
      <c r="I57" s="21"/>
      <c r="J57" s="22"/>
      <c r="K57" s="22"/>
      <c r="L57" s="21"/>
      <c r="M57" s="23"/>
      <c r="N57" s="23"/>
      <c r="O57" s="24"/>
      <c r="P57" s="25"/>
      <c r="Q57" s="25"/>
      <c r="R57" s="24"/>
      <c r="S57" s="25"/>
      <c r="T57" s="25"/>
      <c r="U57" s="25"/>
      <c r="V57" s="24"/>
      <c r="W57" s="25"/>
      <c r="X57" s="25"/>
      <c r="Y57" s="25"/>
      <c r="Z57" s="48"/>
      <c r="AA57" s="49"/>
    </row>
    <row r="58" spans="1:27" ht="24.95" customHeight="1" x14ac:dyDescent="0.25">
      <c r="A58" s="26">
        <v>29</v>
      </c>
      <c r="B58" s="26" t="s">
        <v>685</v>
      </c>
      <c r="C58" s="26" t="s">
        <v>397</v>
      </c>
      <c r="D58" s="26">
        <v>7</v>
      </c>
      <c r="E58" s="26">
        <v>8240</v>
      </c>
      <c r="F58" s="26">
        <v>102.55800000000001</v>
      </c>
      <c r="G58" s="26">
        <v>-3.4910000000000001</v>
      </c>
      <c r="H58" s="26">
        <v>24.103999999999999</v>
      </c>
      <c r="I58" s="26"/>
      <c r="J58" s="31">
        <f>AVERAGE(G57:G58)</f>
        <v>-3.4945000000000004</v>
      </c>
      <c r="K58" s="31">
        <f>STDEV(G57:G58)</f>
        <v>4.9497474683059157E-3</v>
      </c>
      <c r="L58" s="26"/>
      <c r="M58" s="27">
        <f>AVERAGE(E57:E58)</f>
        <v>8533.5</v>
      </c>
      <c r="N58" s="27">
        <f>STDEV(E57:E58)</f>
        <v>415.0716805565034</v>
      </c>
      <c r="O58" s="28"/>
      <c r="P58" s="29">
        <f>AVERAGE(H57:H58)</f>
        <v>24.109000000000002</v>
      </c>
      <c r="Q58" s="29">
        <f>STDEV(H57:H58)</f>
        <v>7.0710678118665812E-3</v>
      </c>
      <c r="R58" s="28"/>
      <c r="S58" s="29">
        <f>J58-(A58-Standards!$A$121)*Standards!$AA$4</f>
        <v>-3.5470876176470592</v>
      </c>
      <c r="T58" s="29">
        <f>S58-(M58-Standards!$N$121)*Standards!$AA$55</f>
        <v>-3.4940363235294121</v>
      </c>
      <c r="U58" s="29"/>
      <c r="V58" s="28"/>
      <c r="W58" s="29">
        <f>P58-(A58-Standards!$A$121)*Standards!$AL$5</f>
        <v>24.03611923529412</v>
      </c>
      <c r="X58" s="29">
        <f>W58-(M58-Standards!$N$121)*Standards!$AL$54</f>
        <v>23.909017176470591</v>
      </c>
      <c r="Y58" s="125"/>
      <c r="Z58" s="19">
        <f>(T58*Standards!$O$156)+Standards!$O$157</f>
        <v>-3.0097145201365976</v>
      </c>
      <c r="AA58" s="20">
        <f>(X58*Standards!$T$156)+Standards!$T$157</f>
        <v>25.28088943812196</v>
      </c>
    </row>
    <row r="59" spans="1:27" ht="24.95" customHeight="1" x14ac:dyDescent="0.25">
      <c r="A59" s="27">
        <v>30</v>
      </c>
      <c r="B59" s="26" t="s">
        <v>691</v>
      </c>
      <c r="C59" s="26" t="s">
        <v>432</v>
      </c>
      <c r="D59" s="26">
        <v>6</v>
      </c>
      <c r="E59" s="26">
        <v>15455</v>
      </c>
      <c r="F59" s="26">
        <v>182.60400000000001</v>
      </c>
      <c r="G59" s="26">
        <v>-3.254</v>
      </c>
      <c r="H59" s="26">
        <v>23.863</v>
      </c>
      <c r="I59" s="26"/>
      <c r="J59" s="31"/>
      <c r="K59" s="31"/>
      <c r="L59" s="26"/>
      <c r="M59" s="27"/>
      <c r="N59" s="27"/>
      <c r="O59" s="28"/>
      <c r="P59" s="29"/>
      <c r="Q59" s="29"/>
      <c r="R59" s="28"/>
      <c r="S59" s="29"/>
      <c r="T59" s="29"/>
      <c r="U59" s="29"/>
      <c r="V59" s="28"/>
      <c r="W59" s="29"/>
      <c r="X59" s="29"/>
      <c r="Y59" s="125"/>
      <c r="Z59" s="19"/>
      <c r="AA59" s="20"/>
    </row>
    <row r="60" spans="1:27" s="30" customFormat="1" ht="24.95" customHeight="1" x14ac:dyDescent="0.25">
      <c r="A60" s="27">
        <v>30</v>
      </c>
      <c r="B60" s="26" t="s">
        <v>691</v>
      </c>
      <c r="C60" s="26" t="s">
        <v>432</v>
      </c>
      <c r="D60" s="26">
        <v>7</v>
      </c>
      <c r="E60" s="26">
        <v>14501</v>
      </c>
      <c r="F60" s="26">
        <v>170.489</v>
      </c>
      <c r="G60" s="26">
        <v>-3.19</v>
      </c>
      <c r="H60" s="26">
        <v>23.895</v>
      </c>
      <c r="I60" s="50"/>
      <c r="J60" s="31">
        <f>AVERAGE(G59:G60)</f>
        <v>-3.222</v>
      </c>
      <c r="K60" s="31">
        <f>STDEV(G59:G60)</f>
        <v>4.5254833995939082E-2</v>
      </c>
      <c r="L60" s="26"/>
      <c r="M60" s="27">
        <f>AVERAGE(E59:E60)</f>
        <v>14978</v>
      </c>
      <c r="N60" s="27">
        <f>STDEV(E59:E60)</f>
        <v>674.57986925196633</v>
      </c>
      <c r="O60" s="28"/>
      <c r="P60" s="29">
        <f>AVERAGE(H59:H60)</f>
        <v>23.878999999999998</v>
      </c>
      <c r="Q60" s="29">
        <f>STDEV(H59:H60)</f>
        <v>2.2627416997969541E-2</v>
      </c>
      <c r="R60" s="28"/>
      <c r="S60" s="29">
        <f>J60-(A60-Standards!$A$121)*Standards!$AA$4</f>
        <v>-3.2738646176470589</v>
      </c>
      <c r="T60" s="29">
        <f>S60-(M60-Standards!$N$121)*Standards!$AA$55</f>
        <v>-3.2826805235294119</v>
      </c>
      <c r="U60" s="29"/>
      <c r="V60" s="28"/>
      <c r="W60" s="29">
        <f>P60-(A60-Standards!$A$121)*Standards!$AL$5</f>
        <v>23.807121235294115</v>
      </c>
      <c r="X60" s="29">
        <f>W60-(M60-Standards!$N$121)*Standards!$AL$54</f>
        <v>23.828242676470587</v>
      </c>
      <c r="Y60" s="125"/>
      <c r="Z60" s="19">
        <f>(T60*Standards!$O$156)+Standards!$O$157</f>
        <v>-2.7970356178706721</v>
      </c>
      <c r="AA60" s="20">
        <f>(X60*Standards!$T$156)+Standards!$T$157</f>
        <v>25.200553346084796</v>
      </c>
    </row>
    <row r="61" spans="1:27" s="30" customFormat="1" ht="24.95" customHeight="1" x14ac:dyDescent="0.25">
      <c r="A61" s="27">
        <v>31</v>
      </c>
      <c r="B61" s="26" t="s">
        <v>697</v>
      </c>
      <c r="C61" s="26" t="s">
        <v>698</v>
      </c>
      <c r="D61" s="26">
        <v>6</v>
      </c>
      <c r="E61" s="26">
        <v>9054</v>
      </c>
      <c r="F61" s="26">
        <v>113.131</v>
      </c>
      <c r="G61" s="26">
        <v>-3.3250000000000002</v>
      </c>
      <c r="H61" s="26">
        <v>23.881</v>
      </c>
      <c r="I61" s="26"/>
      <c r="J61" s="31"/>
      <c r="K61" s="31"/>
      <c r="L61" s="26"/>
      <c r="M61" s="27"/>
      <c r="N61" s="27"/>
      <c r="O61" s="28"/>
      <c r="P61" s="29"/>
      <c r="Q61" s="29"/>
      <c r="R61" s="28"/>
      <c r="S61" s="29"/>
      <c r="T61" s="29"/>
      <c r="U61" s="29"/>
      <c r="V61" s="28"/>
      <c r="W61" s="29"/>
      <c r="X61" s="29"/>
      <c r="Y61" s="29"/>
      <c r="Z61" s="37"/>
      <c r="AA61" s="38"/>
    </row>
    <row r="62" spans="1:27" s="30" customFormat="1" ht="24.95" customHeight="1" x14ac:dyDescent="0.25">
      <c r="A62" s="27">
        <v>31</v>
      </c>
      <c r="B62" s="26" t="s">
        <v>697</v>
      </c>
      <c r="C62" s="26" t="s">
        <v>698</v>
      </c>
      <c r="D62" s="26">
        <v>7</v>
      </c>
      <c r="E62" s="26">
        <v>8447</v>
      </c>
      <c r="F62" s="26">
        <v>105.161</v>
      </c>
      <c r="G62" s="26">
        <v>-3.2810000000000001</v>
      </c>
      <c r="H62" s="26">
        <v>23.882999999999999</v>
      </c>
      <c r="I62" s="26"/>
      <c r="J62" s="31">
        <f>AVERAGE(G61:G62)</f>
        <v>-3.3029999999999999</v>
      </c>
      <c r="K62" s="31">
        <f>STDEV(G61:G62)</f>
        <v>3.111269837220812E-2</v>
      </c>
      <c r="L62" s="26"/>
      <c r="M62" s="27">
        <f>AVERAGE(E61:E62)</f>
        <v>8750.5</v>
      </c>
      <c r="N62" s="27">
        <f>STDEV(E61:E62)</f>
        <v>429.21381618023435</v>
      </c>
      <c r="O62" s="28"/>
      <c r="P62" s="29">
        <f>AVERAGE(H61:H62)</f>
        <v>23.881999999999998</v>
      </c>
      <c r="Q62" s="29">
        <f>STDEV(H61:H62)</f>
        <v>1.4142135623723114E-3</v>
      </c>
      <c r="R62" s="28"/>
      <c r="S62" s="29">
        <f>J62-(A62-Standards!$A$121)*Standards!$AA$4</f>
        <v>-3.3541416176470586</v>
      </c>
      <c r="T62" s="29">
        <f>S62-(M62-Standards!$N$121)*Standards!$AA$55</f>
        <v>-3.3031735235294115</v>
      </c>
      <c r="U62" s="29"/>
      <c r="V62" s="28"/>
      <c r="W62" s="29">
        <f>P62-(A62-Standards!$A$121)*Standards!$AL$5</f>
        <v>23.811123235294115</v>
      </c>
      <c r="X62" s="29">
        <f>W62-(M62-Standards!$N$121)*Standards!$AL$54</f>
        <v>23.689012176470587</v>
      </c>
      <c r="Y62" s="125"/>
      <c r="Z62" s="19">
        <f>(T62*Standards!$O$156)+Standards!$O$157</f>
        <v>-2.8176569055009879</v>
      </c>
      <c r="AA62" s="20">
        <f>(X62*Standards!$T$156)+Standards!$T$157</f>
        <v>25.062078527145893</v>
      </c>
    </row>
    <row r="63" spans="1:27" s="30" customFormat="1" ht="24.95" customHeight="1" x14ac:dyDescent="0.25">
      <c r="A63" s="27">
        <v>32</v>
      </c>
      <c r="B63" s="26" t="s">
        <v>704</v>
      </c>
      <c r="C63" s="26" t="s">
        <v>278</v>
      </c>
      <c r="D63" s="26">
        <v>6</v>
      </c>
      <c r="E63" s="26">
        <v>11395</v>
      </c>
      <c r="F63" s="26">
        <v>135.31</v>
      </c>
      <c r="G63" s="26">
        <v>-3.419</v>
      </c>
      <c r="H63" s="26">
        <v>23.831</v>
      </c>
      <c r="I63" s="26"/>
      <c r="J63" s="31"/>
      <c r="K63" s="31"/>
      <c r="L63" s="26"/>
      <c r="M63" s="27"/>
      <c r="N63" s="27"/>
      <c r="O63" s="28"/>
      <c r="P63" s="29"/>
      <c r="Q63" s="29"/>
      <c r="R63" s="28"/>
      <c r="S63" s="29"/>
      <c r="T63" s="29"/>
      <c r="U63" s="29"/>
      <c r="V63" s="28"/>
      <c r="W63" s="29"/>
      <c r="X63" s="29"/>
      <c r="Y63" s="125"/>
      <c r="Z63" s="19"/>
      <c r="AA63" s="20"/>
    </row>
    <row r="64" spans="1:27" s="30" customFormat="1" ht="24.95" customHeight="1" x14ac:dyDescent="0.25">
      <c r="A64" s="27">
        <v>32</v>
      </c>
      <c r="B64" s="26" t="s">
        <v>704</v>
      </c>
      <c r="C64" s="26" t="s">
        <v>278</v>
      </c>
      <c r="D64" s="26">
        <v>7</v>
      </c>
      <c r="E64" s="26">
        <v>10609</v>
      </c>
      <c r="F64" s="26">
        <v>126.03400000000001</v>
      </c>
      <c r="G64" s="26">
        <v>-3.3570000000000002</v>
      </c>
      <c r="H64" s="26">
        <v>23.853999999999999</v>
      </c>
      <c r="I64" s="26"/>
      <c r="J64" s="31">
        <f>AVERAGE(G63:G64)</f>
        <v>-3.3879999999999999</v>
      </c>
      <c r="K64" s="31">
        <f>STDEV(G63:G64)</f>
        <v>4.3840620433565826E-2</v>
      </c>
      <c r="L64" s="26"/>
      <c r="M64" s="27">
        <f>AVERAGE(E63:E64)</f>
        <v>11002</v>
      </c>
      <c r="N64" s="27">
        <f>STDEV(E63:E64)</f>
        <v>555.78593001262641</v>
      </c>
      <c r="O64" s="28"/>
      <c r="P64" s="29">
        <f>AVERAGE(H63:H64)</f>
        <v>23.842500000000001</v>
      </c>
      <c r="Q64" s="29">
        <f>STDEV(H63:H64)</f>
        <v>1.6263455967290372E-2</v>
      </c>
      <c r="R64" s="28"/>
      <c r="S64" s="29">
        <f>J64-(A64-Standards!$A$121)*Standards!$AA$4</f>
        <v>-3.4384186176470588</v>
      </c>
      <c r="T64" s="29">
        <f>S64-(M64-Standards!$N$121)*Standards!$AA$55</f>
        <v>-3.4090649235294119</v>
      </c>
      <c r="U64" s="29"/>
      <c r="V64" s="28"/>
      <c r="W64" s="29">
        <f>P64-(A64-Standards!$A$121)*Standards!$AL$5</f>
        <v>23.772625235294118</v>
      </c>
      <c r="X64" s="29">
        <f>W64-(M64-Standards!$N$121)*Standards!$AL$54</f>
        <v>23.702298676470587</v>
      </c>
      <c r="Y64" s="125"/>
      <c r="Z64" s="19">
        <f>(T64*Standards!$O$156)+Standards!$O$157</f>
        <v>-2.9242111931590604</v>
      </c>
      <c r="AA64" s="20">
        <f>(X64*Standards!$T$156)+Standards!$T$157</f>
        <v>25.075292913949301</v>
      </c>
    </row>
    <row r="65" spans="1:27" s="30" customFormat="1" ht="24.95" customHeight="1" x14ac:dyDescent="0.25">
      <c r="A65" s="27">
        <v>33</v>
      </c>
      <c r="B65" s="26" t="s">
        <v>711</v>
      </c>
      <c r="C65" s="26" t="s">
        <v>412</v>
      </c>
      <c r="D65" s="26">
        <v>6</v>
      </c>
      <c r="E65" s="26">
        <v>13273</v>
      </c>
      <c r="F65" s="26">
        <v>164.387</v>
      </c>
      <c r="G65" s="26">
        <v>-3.4460000000000002</v>
      </c>
      <c r="H65" s="26">
        <v>23.771999999999998</v>
      </c>
      <c r="I65" s="26"/>
      <c r="J65" s="31"/>
      <c r="K65" s="31"/>
      <c r="L65" s="26"/>
      <c r="M65" s="27"/>
      <c r="N65" s="27"/>
      <c r="O65" s="28"/>
      <c r="P65" s="29"/>
      <c r="Q65" s="29"/>
      <c r="R65" s="28"/>
      <c r="S65" s="29"/>
      <c r="T65" s="29"/>
      <c r="U65" s="29"/>
      <c r="V65" s="28"/>
      <c r="W65" s="29"/>
      <c r="X65" s="29"/>
      <c r="Y65" s="125"/>
      <c r="Z65" s="19"/>
      <c r="AA65" s="20"/>
    </row>
    <row r="66" spans="1:27" s="30" customFormat="1" ht="24.95" customHeight="1" x14ac:dyDescent="0.25">
      <c r="A66" s="27">
        <v>33</v>
      </c>
      <c r="B66" s="26" t="s">
        <v>711</v>
      </c>
      <c r="C66" s="26" t="s">
        <v>412</v>
      </c>
      <c r="D66" s="26">
        <v>7</v>
      </c>
      <c r="E66" s="26">
        <v>12377</v>
      </c>
      <c r="F66" s="26">
        <v>152.886</v>
      </c>
      <c r="G66" s="26">
        <v>-3.4359999999999999</v>
      </c>
      <c r="H66" s="26">
        <v>23.795999999999999</v>
      </c>
      <c r="I66" s="26"/>
      <c r="J66" s="31">
        <f>AVERAGE(G65:G66)</f>
        <v>-3.4409999999999998</v>
      </c>
      <c r="K66" s="31">
        <f>STDEV(G65:G66)</f>
        <v>7.0710678118656384E-3</v>
      </c>
      <c r="L66" s="26"/>
      <c r="M66" s="27">
        <f>AVERAGE(E65:E66)</f>
        <v>12825</v>
      </c>
      <c r="N66" s="27">
        <f>STDEV(E65:E66)</f>
        <v>633.56767594314658</v>
      </c>
      <c r="O66" s="28"/>
      <c r="P66" s="29">
        <f>AVERAGE(H65:H66)</f>
        <v>23.783999999999999</v>
      </c>
      <c r="Q66" s="29">
        <f>STDEV(H65:H66)</f>
        <v>1.6970562748477785E-2</v>
      </c>
      <c r="R66" s="28"/>
      <c r="S66" s="29">
        <f>J66-(A66-Standards!$A$121)*Standards!$AA$4</f>
        <v>-3.4906956176470585</v>
      </c>
      <c r="T66" s="29">
        <f>S66-(M66-Standards!$N$121)*Standards!$AA$55</f>
        <v>-3.4788427235294113</v>
      </c>
      <c r="U66" s="29"/>
      <c r="V66" s="28"/>
      <c r="W66" s="29">
        <f>P66-(A66-Standards!$A$121)*Standards!$AL$5</f>
        <v>23.715127235294116</v>
      </c>
      <c r="X66" s="29">
        <f>W66-(M66-Standards!$N$121)*Standards!$AL$54</f>
        <v>23.686729676470588</v>
      </c>
      <c r="Y66" s="125"/>
      <c r="Z66" s="19">
        <f>(T66*Standards!$O$156)+Standards!$O$157</f>
        <v>-2.9944258071253258</v>
      </c>
      <c r="AA66" s="20">
        <f>(X66*Standards!$T$156)+Standards!$T$157</f>
        <v>25.059808415537962</v>
      </c>
    </row>
    <row r="67" spans="1:27" s="30" customFormat="1" ht="24.95" customHeight="1" x14ac:dyDescent="0.25">
      <c r="A67" s="27">
        <v>34</v>
      </c>
      <c r="B67" s="26" t="s">
        <v>716</v>
      </c>
      <c r="C67" s="26" t="s">
        <v>476</v>
      </c>
      <c r="D67" s="26">
        <v>6</v>
      </c>
      <c r="E67" s="26">
        <v>10693</v>
      </c>
      <c r="F67" s="26">
        <v>129.27099999999999</v>
      </c>
      <c r="G67" s="26">
        <v>-4.0330000000000004</v>
      </c>
      <c r="H67" s="26">
        <v>23.922999999999998</v>
      </c>
      <c r="I67" s="26"/>
      <c r="J67" s="31"/>
      <c r="K67" s="31"/>
      <c r="L67" s="26"/>
      <c r="M67" s="27"/>
      <c r="N67" s="27"/>
      <c r="O67" s="28"/>
      <c r="P67" s="29"/>
      <c r="Q67" s="29"/>
      <c r="R67" s="28"/>
      <c r="S67" s="29"/>
      <c r="T67" s="29"/>
      <c r="U67" s="29"/>
      <c r="V67" s="28"/>
      <c r="W67" s="29"/>
      <c r="X67" s="29"/>
      <c r="Y67" s="125"/>
      <c r="Z67" s="19"/>
      <c r="AA67" s="20"/>
    </row>
    <row r="68" spans="1:27" s="30" customFormat="1" ht="24.95" customHeight="1" x14ac:dyDescent="0.25">
      <c r="A68" s="27">
        <v>34</v>
      </c>
      <c r="B68" s="26" t="s">
        <v>716</v>
      </c>
      <c r="C68" s="26" t="s">
        <v>476</v>
      </c>
      <c r="D68" s="26">
        <v>7</v>
      </c>
      <c r="E68" s="26">
        <v>9897</v>
      </c>
      <c r="F68" s="26">
        <v>120.197</v>
      </c>
      <c r="G68" s="26">
        <v>-3.964</v>
      </c>
      <c r="H68" s="26">
        <v>24.004999999999999</v>
      </c>
      <c r="I68" s="26"/>
      <c r="J68" s="31">
        <f>AVERAGE(G67:G68)</f>
        <v>-3.9984999999999999</v>
      </c>
      <c r="K68" s="31">
        <f>STDEV(G67:G68)</f>
        <v>4.8790367901872064E-2</v>
      </c>
      <c r="L68" s="26"/>
      <c r="M68" s="27">
        <f>AVERAGE(E67:E68)</f>
        <v>10295</v>
      </c>
      <c r="N68" s="27">
        <f>STDEV(E67:E68)</f>
        <v>562.85699782449183</v>
      </c>
      <c r="O68" s="28"/>
      <c r="P68" s="29">
        <f>AVERAGE(H67:H68)</f>
        <v>23.963999999999999</v>
      </c>
      <c r="Q68" s="29">
        <f>STDEV(H67:H68)</f>
        <v>5.798275605729742E-2</v>
      </c>
      <c r="R68" s="28"/>
      <c r="S68" s="29">
        <f>J68-(A68-Standards!$A$121)*Standards!$AA$4</f>
        <v>-4.0474726176470588</v>
      </c>
      <c r="T68" s="29">
        <f>S68-(M68-Standards!$N$121)*Standards!$AA$55</f>
        <v>-4.0113317235294117</v>
      </c>
      <c r="U68" s="29"/>
      <c r="V68" s="28"/>
      <c r="W68" s="29">
        <f>P68-(A68-Standards!$A$121)*Standards!$AL$5</f>
        <v>23.896129235294115</v>
      </c>
      <c r="X68" s="29">
        <f>W68-(M68-Standards!$N$121)*Standards!$AL$54</f>
        <v>23.809541676470584</v>
      </c>
      <c r="Y68" s="125"/>
      <c r="Z68" s="19">
        <f>(T68*Standards!$O$156)+Standards!$O$157</f>
        <v>-3.5302482259502668</v>
      </c>
      <c r="AA68" s="20">
        <f>(X68*Standards!$T$156)+Standards!$T$157</f>
        <v>25.181953846772668</v>
      </c>
    </row>
    <row r="69" spans="1:27" s="71" customFormat="1" ht="24.95" customHeight="1" x14ac:dyDescent="0.25">
      <c r="A69" s="64">
        <v>35</v>
      </c>
      <c r="B69" s="65" t="s">
        <v>721</v>
      </c>
      <c r="C69" s="65" t="s">
        <v>722</v>
      </c>
      <c r="D69" s="65">
        <v>6</v>
      </c>
      <c r="E69" s="65">
        <v>15784</v>
      </c>
      <c r="F69" s="65">
        <v>194.42400000000001</v>
      </c>
      <c r="G69" s="65">
        <v>4.01</v>
      </c>
      <c r="H69" s="65">
        <v>25.12</v>
      </c>
      <c r="I69" s="65"/>
      <c r="J69" s="66"/>
      <c r="K69" s="66"/>
      <c r="L69" s="65"/>
      <c r="M69" s="64"/>
      <c r="N69" s="64"/>
      <c r="O69" s="67"/>
      <c r="P69" s="68"/>
      <c r="Q69" s="68"/>
      <c r="R69" s="67"/>
      <c r="S69" s="29"/>
      <c r="T69" s="68"/>
      <c r="U69" s="68"/>
      <c r="V69" s="67"/>
      <c r="W69" s="29"/>
      <c r="X69" s="68"/>
      <c r="Y69" s="124"/>
      <c r="Z69" s="69"/>
      <c r="AA69" s="70"/>
    </row>
    <row r="70" spans="1:27" s="71" customFormat="1" ht="24.95" customHeight="1" x14ac:dyDescent="0.25">
      <c r="A70" s="64">
        <v>35</v>
      </c>
      <c r="B70" s="65" t="s">
        <v>721</v>
      </c>
      <c r="C70" s="65" t="s">
        <v>722</v>
      </c>
      <c r="D70" s="65">
        <v>7</v>
      </c>
      <c r="E70" s="65">
        <v>14717</v>
      </c>
      <c r="F70" s="65">
        <v>180.59399999999999</v>
      </c>
      <c r="G70" s="65">
        <v>4.0410000000000004</v>
      </c>
      <c r="H70" s="65">
        <v>25.209</v>
      </c>
      <c r="I70" s="65"/>
      <c r="J70" s="66">
        <f>AVERAGE(G69:G70)</f>
        <v>4.0255000000000001</v>
      </c>
      <c r="K70" s="66">
        <f>STDEV(G69:G70)</f>
        <v>2.1920310216783385E-2</v>
      </c>
      <c r="L70" s="65"/>
      <c r="M70" s="64">
        <f>AVERAGE(E69:E70)</f>
        <v>15250.5</v>
      </c>
      <c r="N70" s="64">
        <f>STDEV(E69:E70)</f>
        <v>754.48293552604616</v>
      </c>
      <c r="O70" s="67"/>
      <c r="P70" s="68">
        <f>AVERAGE(H69:H70)</f>
        <v>25.1645</v>
      </c>
      <c r="Q70" s="68">
        <f>STDEV(H69:H70)</f>
        <v>6.2932503525601757E-2</v>
      </c>
      <c r="R70" s="67"/>
      <c r="S70" s="29">
        <f>J70-(A70-Standards!$A$121)*Standards!$AA$4</f>
        <v>3.977250382352941</v>
      </c>
      <c r="T70" s="68">
        <f>S70-(M70-Standards!$N$121)*Standards!$AA$55</f>
        <v>3.9658184764705879</v>
      </c>
      <c r="U70" s="68"/>
      <c r="V70" s="67"/>
      <c r="W70" s="29">
        <f>P70-(A70-Standards!$A$121)*Standards!$AL$5</f>
        <v>25.097631235294116</v>
      </c>
      <c r="X70" s="68">
        <f>W70-(M70-Standards!$N$121)*Standards!$AL$54</f>
        <v>25.125020176470588</v>
      </c>
      <c r="Y70" s="124"/>
      <c r="Z70" s="69">
        <f>(T70*Standards!$O$156)+Standards!$O$157</f>
        <v>4.4968394988550449</v>
      </c>
      <c r="AA70" s="70">
        <f>(X70*Standards!$T$156)+Standards!$T$157</f>
        <v>26.49029251614121</v>
      </c>
    </row>
    <row r="71" spans="1:27" s="71" customFormat="1" ht="24.95" customHeight="1" x14ac:dyDescent="0.25">
      <c r="A71" s="64">
        <v>36</v>
      </c>
      <c r="B71" s="65" t="s">
        <v>731</v>
      </c>
      <c r="C71" s="65" t="s">
        <v>732</v>
      </c>
      <c r="D71" s="65">
        <v>6</v>
      </c>
      <c r="E71" s="65">
        <v>18112</v>
      </c>
      <c r="F71" s="65">
        <v>219.363</v>
      </c>
      <c r="G71" s="65">
        <v>3.9860000000000002</v>
      </c>
      <c r="H71" s="65">
        <v>25.18</v>
      </c>
      <c r="I71" s="65"/>
      <c r="J71" s="66"/>
      <c r="K71" s="66"/>
      <c r="L71" s="65"/>
      <c r="M71" s="64"/>
      <c r="N71" s="64"/>
      <c r="O71" s="67"/>
      <c r="P71" s="68"/>
      <c r="Q71" s="68"/>
      <c r="R71" s="67"/>
      <c r="S71" s="29"/>
      <c r="T71" s="68"/>
      <c r="U71" s="68"/>
      <c r="V71" s="67"/>
      <c r="W71" s="29"/>
      <c r="X71" s="68"/>
      <c r="Y71" s="124"/>
      <c r="Z71" s="69"/>
      <c r="AA71" s="70"/>
    </row>
    <row r="72" spans="1:27" s="71" customFormat="1" ht="24.95" customHeight="1" x14ac:dyDescent="0.25">
      <c r="A72" s="64">
        <v>36</v>
      </c>
      <c r="B72" s="65" t="s">
        <v>731</v>
      </c>
      <c r="C72" s="65" t="s">
        <v>732</v>
      </c>
      <c r="D72" s="65">
        <v>7</v>
      </c>
      <c r="E72" s="65">
        <v>16750</v>
      </c>
      <c r="F72" s="65">
        <v>203.67</v>
      </c>
      <c r="G72" s="65">
        <v>4.0419999999999998</v>
      </c>
      <c r="H72" s="65">
        <v>25.251999999999999</v>
      </c>
      <c r="I72" s="65"/>
      <c r="J72" s="66">
        <f>AVERAGE(G71:G72)</f>
        <v>4.0140000000000002</v>
      </c>
      <c r="K72" s="66">
        <f>STDEV(G71:G72)</f>
        <v>3.9597979746446382E-2</v>
      </c>
      <c r="L72" s="65"/>
      <c r="M72" s="64">
        <f>AVERAGE(E71:E72)</f>
        <v>17431</v>
      </c>
      <c r="N72" s="64">
        <f>STDEV(E71:E72)</f>
        <v>963.07943597607778</v>
      </c>
      <c r="O72" s="67"/>
      <c r="P72" s="68">
        <f>AVERAGE(H71:H72)</f>
        <v>25.216000000000001</v>
      </c>
      <c r="Q72" s="68">
        <f>STDEV(H71:H72)</f>
        <v>5.0911688245430839E-2</v>
      </c>
      <c r="R72" s="67"/>
      <c r="S72" s="29">
        <f>J72-(A72-Standards!$A$121)*Standards!$AA$4</f>
        <v>3.9664733823529414</v>
      </c>
      <c r="T72" s="68">
        <f>S72-(M72-Standards!$N$121)*Standards!$AA$55</f>
        <v>3.9341086764705886</v>
      </c>
      <c r="U72" s="68"/>
      <c r="V72" s="67"/>
      <c r="W72" s="29">
        <f>P72-(A72-Standards!$A$121)*Standards!$AL$5</f>
        <v>25.15013323529412</v>
      </c>
      <c r="X72" s="68">
        <f>W72-(M72-Standards!$N$121)*Standards!$AL$54</f>
        <v>25.227673676470591</v>
      </c>
      <c r="Y72" s="124"/>
      <c r="Z72" s="69">
        <f>(T72*Standards!$O$156)+Standards!$O$157</f>
        <v>4.4649311932629017</v>
      </c>
      <c r="AA72" s="70">
        <f>(X72*Standards!$T$156)+Standards!$T$157</f>
        <v>26.592388858723798</v>
      </c>
    </row>
    <row r="73" spans="1:27" ht="24.95" customHeight="1" x14ac:dyDescent="0.25">
      <c r="A73" s="27">
        <v>37</v>
      </c>
      <c r="B73" s="26" t="s">
        <v>740</v>
      </c>
      <c r="C73" s="26" t="s">
        <v>741</v>
      </c>
      <c r="D73" s="26">
        <v>6</v>
      </c>
      <c r="E73" s="26">
        <v>16591</v>
      </c>
      <c r="F73" s="26">
        <v>200.24199999999999</v>
      </c>
      <c r="G73" s="26">
        <v>-4.3040000000000003</v>
      </c>
      <c r="H73" s="26">
        <v>23.96</v>
      </c>
      <c r="I73" s="26"/>
      <c r="J73" s="31"/>
      <c r="K73" s="31"/>
      <c r="L73" s="26"/>
      <c r="M73" s="27"/>
      <c r="N73" s="27"/>
      <c r="O73" s="28"/>
      <c r="P73" s="29"/>
      <c r="Q73" s="29"/>
      <c r="R73" s="28"/>
      <c r="S73" s="29"/>
      <c r="T73" s="29"/>
      <c r="U73" s="29"/>
      <c r="V73" s="28"/>
      <c r="W73" s="29"/>
      <c r="X73" s="29"/>
      <c r="Y73" s="125"/>
      <c r="Z73" s="19"/>
      <c r="AA73" s="20"/>
    </row>
    <row r="74" spans="1:27" ht="24.95" customHeight="1" x14ac:dyDescent="0.25">
      <c r="A74" s="27">
        <v>37</v>
      </c>
      <c r="B74" s="26" t="s">
        <v>740</v>
      </c>
      <c r="C74" s="26" t="s">
        <v>741</v>
      </c>
      <c r="D74" s="26">
        <v>7</v>
      </c>
      <c r="E74" s="26">
        <v>15634</v>
      </c>
      <c r="F74" s="26">
        <v>187.24700000000001</v>
      </c>
      <c r="G74" s="26">
        <v>-4.3</v>
      </c>
      <c r="H74" s="26">
        <v>23.995000000000001</v>
      </c>
      <c r="I74" s="26"/>
      <c r="J74" s="31">
        <f>AVERAGE(G73:G74)</f>
        <v>-4.3019999999999996</v>
      </c>
      <c r="K74" s="31">
        <f>STDEV(G73:G74)</f>
        <v>2.8284271247465066E-3</v>
      </c>
      <c r="L74" s="26"/>
      <c r="M74" s="27">
        <f>AVERAGE(E73:E74)</f>
        <v>16112.5</v>
      </c>
      <c r="N74" s="27">
        <f>STDEV(E73:E74)</f>
        <v>676.70118959552599</v>
      </c>
      <c r="O74" s="28"/>
      <c r="P74" s="29">
        <f>AVERAGE(H73:H74)</f>
        <v>23.977499999999999</v>
      </c>
      <c r="Q74" s="29">
        <f>STDEV(H73:H74)</f>
        <v>2.4748737341529263E-2</v>
      </c>
      <c r="R74" s="28"/>
      <c r="S74" s="29">
        <f>J74-(A74-Standards!$A$121)*Standards!$AA$4</f>
        <v>-4.3488036176470581</v>
      </c>
      <c r="T74" s="29">
        <f>S74-(M74-Standards!$N$121)*Standards!$AA$55</f>
        <v>-4.3685107235294112</v>
      </c>
      <c r="U74" s="29"/>
      <c r="V74" s="28"/>
      <c r="W74" s="29">
        <f>P74-(A74-Standards!$A$121)*Standards!$AL$5</f>
        <v>23.912635235294118</v>
      </c>
      <c r="X74" s="29">
        <f>W74-(M74-Standards!$N$121)*Standards!$AL$54</f>
        <v>23.959850176470589</v>
      </c>
      <c r="Y74" s="125"/>
      <c r="Z74" s="19">
        <f>(T74*Standards!$O$156)+Standards!$O$157</f>
        <v>-3.8896631917682889</v>
      </c>
      <c r="AA74" s="20">
        <f>(X74*Standards!$T$156)+Standards!$T$157</f>
        <v>25.33144653926805</v>
      </c>
    </row>
    <row r="75" spans="1:27" ht="24.95" customHeight="1" x14ac:dyDescent="0.25">
      <c r="A75" s="27">
        <v>38</v>
      </c>
      <c r="B75" s="26" t="s">
        <v>747</v>
      </c>
      <c r="C75" s="26" t="s">
        <v>503</v>
      </c>
      <c r="D75" s="26">
        <v>6</v>
      </c>
      <c r="E75" s="26">
        <v>16190</v>
      </c>
      <c r="F75" s="26">
        <v>200.578</v>
      </c>
      <c r="G75" s="26">
        <v>-3.5710000000000002</v>
      </c>
      <c r="H75" s="26">
        <v>24.233000000000001</v>
      </c>
      <c r="I75" s="26"/>
      <c r="J75" s="31"/>
      <c r="K75" s="31"/>
      <c r="L75" s="26"/>
      <c r="M75" s="27"/>
      <c r="N75" s="27"/>
      <c r="O75" s="28"/>
      <c r="P75" s="29"/>
      <c r="Q75" s="29"/>
      <c r="R75" s="28"/>
      <c r="S75" s="29"/>
      <c r="T75" s="29"/>
      <c r="U75" s="29"/>
      <c r="V75" s="28"/>
      <c r="W75" s="29"/>
      <c r="X75" s="29"/>
      <c r="Y75" s="125"/>
      <c r="Z75" s="19"/>
      <c r="AA75" s="20"/>
    </row>
    <row r="76" spans="1:27" ht="24.95" customHeight="1" x14ac:dyDescent="0.25">
      <c r="A76" s="27">
        <v>38</v>
      </c>
      <c r="B76" s="26" t="s">
        <v>747</v>
      </c>
      <c r="C76" s="26" t="s">
        <v>503</v>
      </c>
      <c r="D76" s="26">
        <v>7</v>
      </c>
      <c r="E76" s="26">
        <v>15144</v>
      </c>
      <c r="F76" s="26">
        <v>187.40700000000001</v>
      </c>
      <c r="G76" s="26">
        <v>-3.5379999999999998</v>
      </c>
      <c r="H76" s="26">
        <v>24.277000000000001</v>
      </c>
      <c r="I76" s="26"/>
      <c r="J76" s="31">
        <f>AVERAGE(G75:G76)</f>
        <v>-3.5545</v>
      </c>
      <c r="K76" s="31">
        <f>STDEV(G75:G76)</f>
        <v>2.3334523779156326E-2</v>
      </c>
      <c r="L76" s="26"/>
      <c r="M76" s="27">
        <f>AVERAGE(E75:E76)</f>
        <v>15667</v>
      </c>
      <c r="N76" s="27">
        <f>STDEV(E75:E76)</f>
        <v>739.63369312112866</v>
      </c>
      <c r="O76" s="28"/>
      <c r="P76" s="29">
        <f>AVERAGE(H75:H76)</f>
        <v>24.255000000000003</v>
      </c>
      <c r="Q76" s="29">
        <f>STDEV(H75:H76)</f>
        <v>3.1112698372208432E-2</v>
      </c>
      <c r="R76" s="28"/>
      <c r="S76" s="29">
        <f>J76-(A76-Standards!$A$121)*Standards!$AA$4</f>
        <v>-3.6005806176470587</v>
      </c>
      <c r="T76" s="29">
        <f>S76-(M76-Standards!$N$121)*Standards!$AA$55</f>
        <v>-3.6160109235294118</v>
      </c>
      <c r="U76" s="29"/>
      <c r="V76" s="28"/>
      <c r="W76" s="29">
        <f>P76-(A76-Standards!$A$121)*Standards!$AL$5</f>
        <v>24.191137235294121</v>
      </c>
      <c r="X76" s="29">
        <f>W76-(M76-Standards!$N$121)*Standards!$AL$54</f>
        <v>24.228105676470591</v>
      </c>
      <c r="Y76" s="125"/>
      <c r="Z76" s="19">
        <f>(T76*Standards!$O$156)+Standards!$O$157</f>
        <v>-3.1324526897648983</v>
      </c>
      <c r="AA76" s="20">
        <f>(X76*Standards!$T$156)+Standards!$T$157</f>
        <v>25.598246068048486</v>
      </c>
    </row>
    <row r="77" spans="1:27" ht="24.95" customHeight="1" x14ac:dyDescent="0.25">
      <c r="A77" s="27">
        <v>39</v>
      </c>
      <c r="B77" s="26" t="s">
        <v>755</v>
      </c>
      <c r="C77" s="26" t="s">
        <v>756</v>
      </c>
      <c r="D77" s="26">
        <v>6</v>
      </c>
      <c r="E77" s="26">
        <v>15635</v>
      </c>
      <c r="F77" s="26">
        <v>185.28899999999999</v>
      </c>
      <c r="G77" s="26">
        <v>-3.129</v>
      </c>
      <c r="H77" s="26">
        <v>24.088000000000001</v>
      </c>
      <c r="I77" s="26"/>
      <c r="J77" s="31"/>
      <c r="K77" s="31"/>
      <c r="L77" s="26"/>
      <c r="M77" s="27"/>
      <c r="N77" s="27"/>
      <c r="O77" s="28"/>
      <c r="P77" s="29"/>
      <c r="Q77" s="29"/>
      <c r="R77" s="28"/>
      <c r="S77" s="29"/>
      <c r="T77" s="29"/>
      <c r="U77" s="29"/>
      <c r="V77" s="28"/>
      <c r="W77" s="29"/>
      <c r="X77" s="29"/>
      <c r="Y77" s="125"/>
      <c r="Z77" s="19"/>
      <c r="AA77" s="20"/>
    </row>
    <row r="78" spans="1:27" ht="24.95" customHeight="1" x14ac:dyDescent="0.25">
      <c r="A78" s="27">
        <v>39</v>
      </c>
      <c r="B78" s="26" t="s">
        <v>755</v>
      </c>
      <c r="C78" s="26" t="s">
        <v>756</v>
      </c>
      <c r="D78" s="26">
        <v>7</v>
      </c>
      <c r="E78" s="26">
        <v>14782</v>
      </c>
      <c r="F78" s="26">
        <v>176.13</v>
      </c>
      <c r="G78" s="26">
        <v>-3.1579999999999999</v>
      </c>
      <c r="H78" s="26">
        <v>24.126000000000001</v>
      </c>
      <c r="I78" s="26"/>
      <c r="J78" s="31">
        <f>AVERAGE(G77:G78)</f>
        <v>-3.1435</v>
      </c>
      <c r="K78" s="31">
        <f>STDEV(G77:G78)</f>
        <v>2.0506096654409819E-2</v>
      </c>
      <c r="L78" s="26"/>
      <c r="M78" s="27">
        <f>AVERAGE(E77:E78)</f>
        <v>15208.5</v>
      </c>
      <c r="N78" s="27">
        <f>STDEV(E77:E78)</f>
        <v>603.16208435212502</v>
      </c>
      <c r="O78" s="28"/>
      <c r="P78" s="29">
        <f>AVERAGE(H77:H78)</f>
        <v>24.106999999999999</v>
      </c>
      <c r="Q78" s="29">
        <f>STDEV(H77:H78)</f>
        <v>2.6870057685088988E-2</v>
      </c>
      <c r="R78" s="28"/>
      <c r="S78" s="29">
        <f>J78-(A78-Standards!$A$121)*Standards!$AA$4</f>
        <v>-3.1888576176470589</v>
      </c>
      <c r="T78" s="29">
        <f>S78-(M78-Standards!$N$121)*Standards!$AA$55</f>
        <v>-3.1998863235294119</v>
      </c>
      <c r="U78" s="29"/>
      <c r="V78" s="28"/>
      <c r="W78" s="29">
        <f>P78-(A78-Standards!$A$121)*Standards!$AL$5</f>
        <v>24.044139235294118</v>
      </c>
      <c r="X78" s="29">
        <f>W78-(M78-Standards!$N$121)*Standards!$AL$54</f>
        <v>24.070562176470588</v>
      </c>
      <c r="Y78" s="125"/>
      <c r="Z78" s="19">
        <f>(T78*Standards!$O$156)+Standards!$O$157</f>
        <v>-2.7137231203192185</v>
      </c>
      <c r="AA78" s="20">
        <f>(X78*Standards!$T$156)+Standards!$T$157</f>
        <v>25.441557643906499</v>
      </c>
    </row>
    <row r="79" spans="1:27" ht="24.95" customHeight="1" x14ac:dyDescent="0.25">
      <c r="A79" s="27">
        <v>40</v>
      </c>
      <c r="B79" s="26" t="s">
        <v>761</v>
      </c>
      <c r="C79" s="26" t="s">
        <v>762</v>
      </c>
      <c r="D79" s="26">
        <v>6</v>
      </c>
      <c r="E79" s="26">
        <v>17096</v>
      </c>
      <c r="F79" s="26">
        <v>211.74700000000001</v>
      </c>
      <c r="G79" s="26">
        <v>-2.7650000000000001</v>
      </c>
      <c r="H79" s="26">
        <v>23.927</v>
      </c>
      <c r="I79" s="26"/>
      <c r="J79" s="31"/>
      <c r="K79" s="31"/>
      <c r="L79" s="26"/>
      <c r="M79" s="27"/>
      <c r="N79" s="27"/>
      <c r="O79" s="28"/>
      <c r="P79" s="29"/>
      <c r="Q79" s="29"/>
      <c r="R79" s="28"/>
      <c r="S79" s="29"/>
      <c r="T79" s="29"/>
      <c r="U79" s="29"/>
      <c r="V79" s="28"/>
      <c r="W79" s="29"/>
      <c r="X79" s="29"/>
      <c r="Y79" s="125"/>
      <c r="Z79" s="19"/>
      <c r="AA79" s="20"/>
    </row>
    <row r="80" spans="1:27" ht="24.95" customHeight="1" x14ac:dyDescent="0.25">
      <c r="A80" s="27">
        <v>40</v>
      </c>
      <c r="B80" s="26" t="s">
        <v>761</v>
      </c>
      <c r="C80" s="26" t="s">
        <v>762</v>
      </c>
      <c r="D80" s="26">
        <v>7</v>
      </c>
      <c r="E80" s="26">
        <v>16004</v>
      </c>
      <c r="F80" s="26">
        <v>197.61</v>
      </c>
      <c r="G80" s="26">
        <v>-2.7189999999999999</v>
      </c>
      <c r="H80" s="26">
        <v>23.966000000000001</v>
      </c>
      <c r="I80" s="26"/>
      <c r="J80" s="31">
        <f>AVERAGE(G79:G80)</f>
        <v>-2.742</v>
      </c>
      <c r="K80" s="31">
        <f>STDEV(G79:G80)</f>
        <v>3.2526911934581369E-2</v>
      </c>
      <c r="L80" s="26"/>
      <c r="M80" s="27">
        <f>AVERAGE(E79:E80)</f>
        <v>16550</v>
      </c>
      <c r="N80" s="27">
        <f>STDEV(E79:E80)</f>
        <v>772.16060505570988</v>
      </c>
      <c r="O80" s="28"/>
      <c r="P80" s="29">
        <f>AVERAGE(H79:H80)</f>
        <v>23.9465</v>
      </c>
      <c r="Q80" s="29">
        <f>STDEV(H79:H80)</f>
        <v>2.7577164466276401E-2</v>
      </c>
      <c r="R80" s="28"/>
      <c r="S80" s="29">
        <f>J80-(A80-Standards!$A$121)*Standards!$AA$4</f>
        <v>-2.7866346176470587</v>
      </c>
      <c r="T80" s="29">
        <f>S80-(M80-Standards!$N$121)*Standards!$AA$55</f>
        <v>-2.8105417235294117</v>
      </c>
      <c r="U80" s="29"/>
      <c r="V80" s="28"/>
      <c r="W80" s="29">
        <f>P80-(A80-Standards!$A$121)*Standards!$AL$5</f>
        <v>23.884641235294119</v>
      </c>
      <c r="X80" s="29">
        <f>W80-(M80-Standards!$N$121)*Standards!$AL$54</f>
        <v>23.941918676470589</v>
      </c>
      <c r="Y80" s="125"/>
      <c r="Z80" s="19">
        <f>(T80*Standards!$O$156)+Standards!$O$157</f>
        <v>-2.3219411955687939</v>
      </c>
      <c r="AA80" s="20">
        <f>(X80*Standards!$T$156)+Standards!$T$157</f>
        <v>25.313612363453107</v>
      </c>
    </row>
    <row r="81" spans="1:27" ht="24.95" customHeight="1" x14ac:dyDescent="0.25">
      <c r="A81" s="27">
        <v>41</v>
      </c>
      <c r="B81" s="26" t="s">
        <v>769</v>
      </c>
      <c r="C81" s="26" t="s">
        <v>732</v>
      </c>
      <c r="D81" s="26">
        <v>6</v>
      </c>
      <c r="E81" s="26">
        <v>17855</v>
      </c>
      <c r="F81" s="26">
        <v>210.99299999999999</v>
      </c>
      <c r="G81" s="26">
        <v>-2.9039999999999999</v>
      </c>
      <c r="H81" s="26">
        <v>23.866</v>
      </c>
      <c r="I81" s="26"/>
      <c r="J81" s="31"/>
      <c r="K81" s="31"/>
      <c r="L81" s="26"/>
      <c r="M81" s="27"/>
      <c r="N81" s="27"/>
      <c r="O81" s="28"/>
      <c r="P81" s="29"/>
      <c r="Q81" s="29"/>
      <c r="R81" s="28"/>
      <c r="S81" s="29"/>
      <c r="T81" s="29"/>
      <c r="U81" s="29"/>
      <c r="V81" s="28"/>
      <c r="W81" s="29"/>
      <c r="X81" s="29"/>
      <c r="Y81" s="125"/>
      <c r="Z81" s="19"/>
      <c r="AA81" s="20"/>
    </row>
    <row r="82" spans="1:27" ht="24.95" customHeight="1" x14ac:dyDescent="0.25">
      <c r="A82" s="27">
        <v>41</v>
      </c>
      <c r="B82" s="26" t="s">
        <v>769</v>
      </c>
      <c r="C82" s="26" t="s">
        <v>732</v>
      </c>
      <c r="D82" s="26">
        <v>7</v>
      </c>
      <c r="E82" s="26">
        <v>16700</v>
      </c>
      <c r="F82" s="26">
        <v>199.35499999999999</v>
      </c>
      <c r="G82" s="26">
        <v>-2.9350000000000001</v>
      </c>
      <c r="H82" s="26">
        <v>23.91</v>
      </c>
      <c r="I82" s="26"/>
      <c r="J82" s="31">
        <f>AVERAGE(G81:G82)</f>
        <v>-2.9195000000000002</v>
      </c>
      <c r="K82" s="31">
        <f>STDEV(G81:G82)</f>
        <v>2.1920310216783073E-2</v>
      </c>
      <c r="L82" s="26"/>
      <c r="M82" s="27">
        <f>AVERAGE(E81:E82)</f>
        <v>17277.5</v>
      </c>
      <c r="N82" s="27">
        <f>STDEV(E81:E82)</f>
        <v>816.70833227046239</v>
      </c>
      <c r="O82" s="28"/>
      <c r="P82" s="29">
        <f>AVERAGE(H81:H82)</f>
        <v>23.887999999999998</v>
      </c>
      <c r="Q82" s="29">
        <f>STDEV(H81:H82)</f>
        <v>3.1112698372208432E-2</v>
      </c>
      <c r="R82" s="28"/>
      <c r="S82" s="29">
        <f>J82-(A82-Standards!$A$121)*Standards!$AA$4</f>
        <v>-2.9634116176470591</v>
      </c>
      <c r="T82" s="29">
        <f>S82-(M82-Standards!$N$121)*Standards!$AA$55</f>
        <v>-2.9943027235294122</v>
      </c>
      <c r="U82" s="29"/>
      <c r="V82" s="28"/>
      <c r="W82" s="29">
        <f>P82-(A82-Standards!$A$121)*Standards!$AL$5</f>
        <v>23.827143235294116</v>
      </c>
      <c r="X82" s="29">
        <f>W82-(M82-Standards!$N$121)*Standards!$AL$54</f>
        <v>23.901153176470586</v>
      </c>
      <c r="Y82" s="125"/>
      <c r="Z82" s="19">
        <f>(T82*Standards!$O$156)+Standards!$O$157</f>
        <v>-2.5068525524337995</v>
      </c>
      <c r="AA82" s="20">
        <f>(X82*Standards!$T$156)+Standards!$T$157</f>
        <v>25.273068120406833</v>
      </c>
    </row>
    <row r="83" spans="1:27" ht="24.95" customHeight="1" x14ac:dyDescent="0.25">
      <c r="A83" s="27">
        <v>42</v>
      </c>
      <c r="B83" s="26" t="s">
        <v>773</v>
      </c>
      <c r="C83" s="26" t="s">
        <v>534</v>
      </c>
      <c r="D83" s="26">
        <v>6</v>
      </c>
      <c r="E83" s="26">
        <v>12035</v>
      </c>
      <c r="F83" s="26">
        <v>148.977</v>
      </c>
      <c r="G83" s="26">
        <v>-2.99</v>
      </c>
      <c r="H83" s="26">
        <v>23.895</v>
      </c>
      <c r="I83" s="26"/>
      <c r="J83" s="31"/>
      <c r="K83" s="31"/>
      <c r="L83" s="26"/>
      <c r="M83" s="27"/>
      <c r="N83" s="27"/>
      <c r="O83" s="28"/>
      <c r="P83" s="29"/>
      <c r="Q83" s="29"/>
      <c r="R83" s="28"/>
      <c r="S83" s="29"/>
      <c r="T83" s="29"/>
      <c r="U83" s="29"/>
      <c r="V83" s="28"/>
      <c r="W83" s="29"/>
      <c r="X83" s="29"/>
      <c r="Y83" s="125"/>
      <c r="Z83" s="19"/>
      <c r="AA83" s="20"/>
    </row>
    <row r="84" spans="1:27" ht="24.95" customHeight="1" x14ac:dyDescent="0.25">
      <c r="A84" s="27">
        <v>42</v>
      </c>
      <c r="B84" s="26" t="s">
        <v>773</v>
      </c>
      <c r="C84" s="26" t="s">
        <v>534</v>
      </c>
      <c r="D84" s="26">
        <v>7</v>
      </c>
      <c r="E84" s="26">
        <v>11262</v>
      </c>
      <c r="F84" s="26">
        <v>138.96100000000001</v>
      </c>
      <c r="G84" s="26">
        <v>-2.907</v>
      </c>
      <c r="H84" s="26">
        <v>23.905000000000001</v>
      </c>
      <c r="I84" s="26"/>
      <c r="J84" s="31">
        <f>AVERAGE(G83:G84)</f>
        <v>-2.9485000000000001</v>
      </c>
      <c r="K84" s="31">
        <f>STDEV(G83:G84)</f>
        <v>5.8689862838483577E-2</v>
      </c>
      <c r="L84" s="26"/>
      <c r="M84" s="27">
        <f>AVERAGE(E83:E84)</f>
        <v>11648.5</v>
      </c>
      <c r="N84" s="27">
        <f>STDEV(E83:E84)</f>
        <v>546.59354185720122</v>
      </c>
      <c r="O84" s="28"/>
      <c r="P84" s="29">
        <f>AVERAGE(H83:H84)</f>
        <v>23.9</v>
      </c>
      <c r="Q84" s="29">
        <f>STDEV(H83:H84)</f>
        <v>7.0710678118665812E-3</v>
      </c>
      <c r="R84" s="28"/>
      <c r="S84" s="29">
        <f>J84-(A84-Standards!$A$121)*Standards!$AA$4</f>
        <v>-2.9916886176470587</v>
      </c>
      <c r="T84" s="29">
        <f>S84-(M84-Standards!$N$121)*Standards!$AA$55</f>
        <v>-2.9685413235294118</v>
      </c>
      <c r="U84" s="29"/>
      <c r="V84" s="28"/>
      <c r="W84" s="29">
        <f>P84-(A84-Standards!$A$121)*Standards!$AL$5</f>
        <v>23.840145235294116</v>
      </c>
      <c r="X84" s="29">
        <f>W84-(M84-Standards!$N$121)*Standards!$AL$54</f>
        <v>23.784688176470588</v>
      </c>
      <c r="Y84" s="125"/>
      <c r="Z84" s="19">
        <f>(T84*Standards!$O$156)+Standards!$O$157</f>
        <v>-2.4809298842466316</v>
      </c>
      <c r="AA84" s="20">
        <f>(X84*Standards!$T$156)+Standards!$T$157</f>
        <v>25.15723524048671</v>
      </c>
    </row>
    <row r="85" spans="1:27" ht="24.95" customHeight="1" x14ac:dyDescent="0.25">
      <c r="A85" s="27">
        <v>43</v>
      </c>
      <c r="B85" s="26" t="s">
        <v>780</v>
      </c>
      <c r="C85" s="26" t="s">
        <v>281</v>
      </c>
      <c r="D85" s="26">
        <v>6</v>
      </c>
      <c r="E85" s="26">
        <v>12439</v>
      </c>
      <c r="F85" s="26">
        <v>151.214</v>
      </c>
      <c r="G85" s="26">
        <v>-3.395</v>
      </c>
      <c r="H85" s="26">
        <v>23.981999999999999</v>
      </c>
      <c r="I85" s="26"/>
      <c r="J85" s="31"/>
      <c r="K85" s="31"/>
      <c r="L85" s="26"/>
      <c r="M85" s="27"/>
      <c r="N85" s="27"/>
      <c r="O85" s="28"/>
      <c r="P85" s="29"/>
      <c r="Q85" s="29"/>
      <c r="R85" s="28"/>
      <c r="S85" s="29"/>
      <c r="T85" s="29"/>
      <c r="U85" s="29"/>
      <c r="V85" s="28"/>
      <c r="W85" s="29"/>
      <c r="X85" s="29"/>
      <c r="Y85" s="29"/>
      <c r="Z85" s="37"/>
      <c r="AA85" s="38"/>
    </row>
    <row r="86" spans="1:27" ht="24.95" customHeight="1" x14ac:dyDescent="0.25">
      <c r="A86" s="27">
        <v>43</v>
      </c>
      <c r="B86" s="26" t="s">
        <v>780</v>
      </c>
      <c r="C86" s="26" t="s">
        <v>281</v>
      </c>
      <c r="D86" s="26">
        <v>7</v>
      </c>
      <c r="E86" s="26">
        <v>11526</v>
      </c>
      <c r="F86" s="26">
        <v>140.66800000000001</v>
      </c>
      <c r="G86" s="26">
        <v>-3.3330000000000002</v>
      </c>
      <c r="H86" s="26">
        <v>24.001000000000001</v>
      </c>
      <c r="I86" s="26"/>
      <c r="J86" s="31">
        <f>AVERAGE(G85:G86)</f>
        <v>-3.3639999999999999</v>
      </c>
      <c r="K86" s="31">
        <f>STDEV(G85:G86)</f>
        <v>4.3840620433565826E-2</v>
      </c>
      <c r="L86" s="26"/>
      <c r="M86" s="27">
        <f>AVERAGE(E85:E86)</f>
        <v>11982.5</v>
      </c>
      <c r="N86" s="27">
        <f>STDEV(E85:E86)</f>
        <v>645.58849122331787</v>
      </c>
      <c r="O86" s="28"/>
      <c r="P86" s="29">
        <f>AVERAGE(H85:H86)</f>
        <v>23.991500000000002</v>
      </c>
      <c r="Q86" s="29">
        <f>STDEV(H85:H86)</f>
        <v>1.343502884254575E-2</v>
      </c>
      <c r="R86" s="28"/>
      <c r="S86" s="29">
        <f>J86-(A86-Standards!$A$121)*Standards!$AA$4</f>
        <v>-3.4064656176470587</v>
      </c>
      <c r="T86" s="29">
        <f>S86-(M86-Standards!$N$121)*Standards!$AA$55</f>
        <v>-3.3865247235294116</v>
      </c>
      <c r="U86" s="29"/>
      <c r="V86" s="28"/>
      <c r="W86" s="29">
        <f>P86-(A86-Standards!$A$121)*Standards!$AL$5</f>
        <v>23.93264723529412</v>
      </c>
      <c r="X86" s="29">
        <f>W86-(M86-Standards!$N$121)*Standards!$AL$54</f>
        <v>23.884872176470591</v>
      </c>
      <c r="Y86" s="125"/>
      <c r="Z86" s="19">
        <f>(T86*Standards!$O$156)+Standards!$O$157</f>
        <v>-2.9015298899118611</v>
      </c>
      <c r="AA86" s="20">
        <f>(X86*Standards!$T$156)+Standards!$T$157</f>
        <v>25.256875486413968</v>
      </c>
    </row>
    <row r="87" spans="1:27" ht="24.75" customHeight="1" x14ac:dyDescent="0.25">
      <c r="A87" s="27">
        <v>44</v>
      </c>
      <c r="B87" s="26" t="s">
        <v>787</v>
      </c>
      <c r="C87" s="26" t="s">
        <v>788</v>
      </c>
      <c r="D87" s="26">
        <v>6</v>
      </c>
      <c r="E87" s="26">
        <v>9980</v>
      </c>
      <c r="F87" s="26">
        <v>123.53400000000001</v>
      </c>
      <c r="G87" s="26">
        <v>-3.109</v>
      </c>
      <c r="H87" s="26">
        <v>23.789000000000001</v>
      </c>
      <c r="I87" s="26"/>
      <c r="J87" s="31"/>
      <c r="K87" s="31"/>
      <c r="L87" s="26"/>
      <c r="M87" s="27"/>
      <c r="N87" s="27"/>
      <c r="O87" s="28"/>
      <c r="P87" s="29"/>
      <c r="Q87" s="29"/>
      <c r="R87" s="28"/>
      <c r="S87" s="29"/>
      <c r="T87" s="29"/>
      <c r="U87" s="29"/>
      <c r="V87" s="28"/>
      <c r="W87" s="29"/>
      <c r="X87" s="29"/>
      <c r="Y87" s="29"/>
      <c r="Z87" s="37"/>
      <c r="AA87" s="38"/>
    </row>
    <row r="88" spans="1:27" ht="24.95" customHeight="1" x14ac:dyDescent="0.25">
      <c r="A88" s="27">
        <v>44</v>
      </c>
      <c r="B88" s="26" t="s">
        <v>787</v>
      </c>
      <c r="C88" s="26" t="s">
        <v>788</v>
      </c>
      <c r="D88" s="26">
        <v>7</v>
      </c>
      <c r="E88" s="26">
        <v>9374</v>
      </c>
      <c r="F88" s="26">
        <v>115.27800000000001</v>
      </c>
      <c r="G88" s="26">
        <v>-3.1150000000000002</v>
      </c>
      <c r="H88" s="26">
        <v>23.762</v>
      </c>
      <c r="I88" s="26"/>
      <c r="J88" s="31">
        <f>AVERAGE(G87:G88)</f>
        <v>-3.1120000000000001</v>
      </c>
      <c r="K88" s="31">
        <f>STDEV(G87:G88)</f>
        <v>4.2426406871194462E-3</v>
      </c>
      <c r="L88" s="26"/>
      <c r="M88" s="27">
        <f>AVERAGE(E87:E88)</f>
        <v>9677</v>
      </c>
      <c r="N88" s="27">
        <f>STDEV(E87:E88)</f>
        <v>428.50670939904779</v>
      </c>
      <c r="O88" s="28"/>
      <c r="P88" s="29">
        <f>AVERAGE(H87:H88)</f>
        <v>23.775500000000001</v>
      </c>
      <c r="Q88" s="29">
        <f>STDEV(H87:H88)</f>
        <v>1.9091883092037507E-2</v>
      </c>
      <c r="R88" s="28"/>
      <c r="S88" s="29">
        <f>J88-(A88-Standards!$A$121)*Standards!$AA$4</f>
        <v>-3.1537426176470591</v>
      </c>
      <c r="T88" s="29">
        <f>S88-(M88-Standards!$N$121)*Standards!$AA$55</f>
        <v>-3.1116689235294119</v>
      </c>
      <c r="U88" s="29"/>
      <c r="V88" s="28"/>
      <c r="W88" s="29">
        <f>P88-(A88-Standards!$A$121)*Standards!$AL$5</f>
        <v>23.717649235294118</v>
      </c>
      <c r="X88" s="29">
        <f>W88-(M88-Standards!$N$121)*Standards!$AL$54</f>
        <v>23.616847676470588</v>
      </c>
      <c r="Y88" s="125"/>
      <c r="Z88" s="19">
        <f>(T88*Standards!$O$156)+Standards!$O$157</f>
        <v>-2.6249534731519581</v>
      </c>
      <c r="AA88" s="20">
        <f>(X88*Standards!$T$156)+Standards!$T$157</f>
        <v>24.99030570386855</v>
      </c>
    </row>
    <row r="89" spans="1:27" ht="24.95" customHeight="1" x14ac:dyDescent="0.25">
      <c r="A89" s="27">
        <v>45</v>
      </c>
      <c r="B89" s="26" t="s">
        <v>795</v>
      </c>
      <c r="C89" s="26" t="s">
        <v>476</v>
      </c>
      <c r="D89" s="26">
        <v>6</v>
      </c>
      <c r="E89" s="26">
        <v>12587</v>
      </c>
      <c r="F89" s="26">
        <v>154.75</v>
      </c>
      <c r="G89" s="26">
        <v>-3.694</v>
      </c>
      <c r="H89" s="26">
        <v>23.917999999999999</v>
      </c>
      <c r="I89" s="26"/>
      <c r="J89" s="31"/>
      <c r="K89" s="31"/>
      <c r="L89" s="26"/>
      <c r="M89" s="27"/>
      <c r="N89" s="27"/>
      <c r="O89" s="28"/>
      <c r="P89" s="29"/>
      <c r="Q89" s="29"/>
      <c r="R89" s="28"/>
      <c r="S89" s="29"/>
      <c r="T89" s="29"/>
      <c r="U89" s="29"/>
      <c r="V89" s="28"/>
      <c r="W89" s="29"/>
      <c r="X89" s="29"/>
      <c r="Y89" s="29"/>
      <c r="Z89" s="37"/>
      <c r="AA89" s="38"/>
    </row>
    <row r="90" spans="1:27" ht="24.95" customHeight="1" x14ac:dyDescent="0.25">
      <c r="A90" s="27">
        <v>45</v>
      </c>
      <c r="B90" s="26" t="s">
        <v>795</v>
      </c>
      <c r="C90" s="26" t="s">
        <v>476</v>
      </c>
      <c r="D90" s="26">
        <v>7</v>
      </c>
      <c r="E90" s="26">
        <v>11731</v>
      </c>
      <c r="F90" s="26">
        <v>144.333</v>
      </c>
      <c r="G90" s="26">
        <v>-3.657</v>
      </c>
      <c r="H90" s="26">
        <v>23.93</v>
      </c>
      <c r="I90" s="26"/>
      <c r="J90" s="31">
        <f>AVERAGE(G89:G90)</f>
        <v>-3.6755</v>
      </c>
      <c r="K90" s="31">
        <f>STDEV(G89:G90)</f>
        <v>2.6162950903902204E-2</v>
      </c>
      <c r="L90" s="26"/>
      <c r="M90" s="27">
        <f>AVERAGE(E89:E90)</f>
        <v>12159</v>
      </c>
      <c r="N90" s="27">
        <f>STDEV(E89:E90)</f>
        <v>605.28340469568468</v>
      </c>
      <c r="O90" s="28"/>
      <c r="P90" s="29">
        <f>AVERAGE(H89:H90)</f>
        <v>23.923999999999999</v>
      </c>
      <c r="Q90" s="29">
        <f>STDEV(H89:H90)</f>
        <v>8.4852813742388924E-3</v>
      </c>
      <c r="R90" s="28"/>
      <c r="S90" s="29">
        <f>J90-(A90-Standards!$A$121)*Standards!$AA$4</f>
        <v>-3.7165196176470587</v>
      </c>
      <c r="T90" s="29">
        <f>S90-(M90-Standards!$N$121)*Standards!$AA$55</f>
        <v>-3.6982731235294115</v>
      </c>
      <c r="U90" s="29"/>
      <c r="V90" s="28"/>
      <c r="W90" s="29">
        <f>P90-(A90-Standards!$A$121)*Standards!$AL$5</f>
        <v>23.867151235294116</v>
      </c>
      <c r="X90" s="29">
        <f>W90-(M90-Standards!$N$121)*Standards!$AL$54</f>
        <v>23.823435676470588</v>
      </c>
      <c r="Y90" s="125"/>
      <c r="Z90" s="19">
        <f>(T90*Standards!$O$156)+Standards!$O$157</f>
        <v>-3.2152298569587012</v>
      </c>
      <c r="AA90" s="20">
        <f>(X90*Standards!$T$156)+Standards!$T$157</f>
        <v>25.195772436337005</v>
      </c>
    </row>
    <row r="91" spans="1:27" ht="24.95" customHeight="1" x14ac:dyDescent="0.25">
      <c r="A91" s="27">
        <v>46</v>
      </c>
      <c r="B91" s="26" t="s">
        <v>802</v>
      </c>
      <c r="C91" s="26" t="s">
        <v>803</v>
      </c>
      <c r="D91" s="26">
        <v>6</v>
      </c>
      <c r="E91" s="26">
        <v>14198</v>
      </c>
      <c r="F91" s="26">
        <v>170.97399999999999</v>
      </c>
      <c r="G91" s="26">
        <v>-3.7549999999999999</v>
      </c>
      <c r="H91" s="26">
        <v>24.132999999999999</v>
      </c>
      <c r="I91" s="26"/>
      <c r="J91" s="31"/>
      <c r="K91" s="31"/>
      <c r="L91" s="26"/>
      <c r="M91" s="27"/>
      <c r="N91" s="27"/>
      <c r="O91" s="28"/>
      <c r="P91" s="29"/>
      <c r="Q91" s="29"/>
      <c r="R91" s="28"/>
      <c r="S91" s="29"/>
      <c r="T91" s="29"/>
      <c r="U91" s="29"/>
      <c r="V91" s="28"/>
      <c r="W91" s="29"/>
      <c r="X91" s="29"/>
      <c r="Y91" s="29"/>
      <c r="Z91" s="39"/>
      <c r="AA91" s="40"/>
    </row>
    <row r="92" spans="1:27" ht="24.95" customHeight="1" x14ac:dyDescent="0.25">
      <c r="A92" s="27">
        <v>46</v>
      </c>
      <c r="B92" s="26" t="s">
        <v>802</v>
      </c>
      <c r="C92" s="26" t="s">
        <v>803</v>
      </c>
      <c r="D92" s="26">
        <v>7</v>
      </c>
      <c r="E92" s="26">
        <v>13396</v>
      </c>
      <c r="F92" s="26">
        <v>160.30199999999999</v>
      </c>
      <c r="G92" s="26">
        <v>-3.7530000000000001</v>
      </c>
      <c r="H92" s="26">
        <v>24.154</v>
      </c>
      <c r="I92" s="26"/>
      <c r="J92" s="31">
        <f>AVERAGE(G91:G92)</f>
        <v>-3.754</v>
      </c>
      <c r="K92" s="31">
        <f>STDEV(G91:G92)</f>
        <v>1.4142135623729393E-3</v>
      </c>
      <c r="L92" s="26"/>
      <c r="M92" s="27">
        <f>AVERAGE(E91:E92)</f>
        <v>13797</v>
      </c>
      <c r="N92" s="27">
        <f>STDEV(E91:E92)</f>
        <v>567.09963851161115</v>
      </c>
      <c r="O92" s="28"/>
      <c r="P92" s="29">
        <f>AVERAGE(H91:H92)</f>
        <v>24.1435</v>
      </c>
      <c r="Q92" s="29">
        <f>STDEV(H91:H92)</f>
        <v>1.4849242404918061E-2</v>
      </c>
      <c r="R92" s="28"/>
      <c r="S92" s="29">
        <f>J92-(A92-Standards!$A$121)*Standards!$AA$4</f>
        <v>-3.7942966176470589</v>
      </c>
      <c r="T92" s="29">
        <f>S92-(M92-Standards!$N$121)*Standards!$AA$55</f>
        <v>-3.7917749235294118</v>
      </c>
      <c r="U92" s="29"/>
      <c r="V92" s="28"/>
      <c r="W92" s="29">
        <f>P92-(A92-Standards!$A$121)*Standards!$AL$5</f>
        <v>24.087653235294116</v>
      </c>
      <c r="X92" s="29">
        <f>W92-(M92-Standards!$N$121)*Standards!$AL$54</f>
        <v>24.081611676470587</v>
      </c>
      <c r="Y92" s="125"/>
      <c r="Z92" s="19">
        <f>(T92*Standards!$O$156)+Standards!$O$157</f>
        <v>-3.3093169848439459</v>
      </c>
      <c r="AA92" s="20">
        <f>(X92*Standards!$T$156)+Standards!$T$157</f>
        <v>25.452547172148265</v>
      </c>
    </row>
    <row r="93" spans="1:27" s="117" customFormat="1" ht="24.95" customHeight="1" x14ac:dyDescent="0.25">
      <c r="A93" s="64">
        <v>47</v>
      </c>
      <c r="B93" s="65" t="s">
        <v>809</v>
      </c>
      <c r="C93" s="65" t="s">
        <v>678</v>
      </c>
      <c r="D93" s="65">
        <v>6</v>
      </c>
      <c r="E93" s="65">
        <v>17557</v>
      </c>
      <c r="F93" s="65">
        <v>217.36699999999999</v>
      </c>
      <c r="G93" s="65">
        <v>4.0549999999999997</v>
      </c>
      <c r="H93" s="65">
        <v>25.09</v>
      </c>
      <c r="I93" s="65"/>
      <c r="J93" s="66"/>
      <c r="K93" s="66"/>
      <c r="L93" s="65"/>
      <c r="M93" s="64"/>
      <c r="N93" s="64"/>
      <c r="O93" s="67"/>
      <c r="P93" s="68"/>
      <c r="Q93" s="68"/>
      <c r="R93" s="67"/>
      <c r="S93" s="29"/>
      <c r="T93" s="68"/>
      <c r="U93" s="68"/>
      <c r="V93" s="67"/>
      <c r="W93" s="29"/>
      <c r="X93" s="68"/>
      <c r="Y93" s="124"/>
      <c r="Z93" s="69"/>
      <c r="AA93" s="70"/>
    </row>
    <row r="94" spans="1:27" s="117" customFormat="1" ht="24.95" customHeight="1" x14ac:dyDescent="0.25">
      <c r="A94" s="64">
        <v>47</v>
      </c>
      <c r="B94" s="65" t="s">
        <v>809</v>
      </c>
      <c r="C94" s="65" t="s">
        <v>678</v>
      </c>
      <c r="D94" s="65">
        <v>7</v>
      </c>
      <c r="E94" s="65">
        <v>16373</v>
      </c>
      <c r="F94" s="65">
        <v>202.316</v>
      </c>
      <c r="G94" s="65">
        <v>4.0679999999999996</v>
      </c>
      <c r="H94" s="65">
        <v>25.097999999999999</v>
      </c>
      <c r="I94" s="65"/>
      <c r="J94" s="66">
        <f>AVERAGE(G93:G94)</f>
        <v>4.0614999999999997</v>
      </c>
      <c r="K94" s="66">
        <f>STDEV(G93:G94)</f>
        <v>9.1923881554250471E-3</v>
      </c>
      <c r="L94" s="65"/>
      <c r="M94" s="64">
        <f>AVERAGE(E93:E94)</f>
        <v>16965</v>
      </c>
      <c r="N94" s="64">
        <f>STDEV(E93:E94)</f>
        <v>837.21442892487232</v>
      </c>
      <c r="O94" s="67"/>
      <c r="P94" s="68">
        <f>AVERAGE(H93:H94)</f>
        <v>25.094000000000001</v>
      </c>
      <c r="Q94" s="68">
        <f>STDEV(H93:H94)</f>
        <v>5.6568542494917573E-3</v>
      </c>
      <c r="R94" s="67"/>
      <c r="S94" s="29">
        <f>J94-(A94-Standards!$A$121)*Standards!$AA$4</f>
        <v>4.021926382352941</v>
      </c>
      <c r="T94" s="68">
        <f>S94-(M94-Standards!$N$121)*Standards!$AA$55</f>
        <v>3.994035276470588</v>
      </c>
      <c r="U94" s="68"/>
      <c r="V94" s="67"/>
      <c r="W94" s="29">
        <f>P94-(A94-Standards!$A$121)*Standards!$AL$5</f>
        <v>25.039155235294118</v>
      </c>
      <c r="X94" s="68">
        <f>W94-(M94-Standards!$N$121)*Standards!$AL$54</f>
        <v>25.105977676470587</v>
      </c>
      <c r="Y94" s="124"/>
      <c r="Z94" s="69">
        <f>(T94*Standards!$O$156)+Standards!$O$157</f>
        <v>4.5252329380199852</v>
      </c>
      <c r="AA94" s="70">
        <f>(X94*Standards!$T$156)+Standards!$T$157</f>
        <v>26.471353370338786</v>
      </c>
    </row>
    <row r="95" spans="1:27" s="147" customFormat="1" ht="24.95" customHeight="1" x14ac:dyDescent="0.25">
      <c r="A95" s="140">
        <v>48</v>
      </c>
      <c r="B95" s="141" t="s">
        <v>817</v>
      </c>
      <c r="C95" s="141" t="s">
        <v>278</v>
      </c>
      <c r="D95" s="141">
        <v>6</v>
      </c>
      <c r="E95" s="141">
        <v>12102</v>
      </c>
      <c r="F95" s="141">
        <v>144.43600000000001</v>
      </c>
      <c r="G95" s="141">
        <v>3.9460000000000002</v>
      </c>
      <c r="H95" s="141">
        <v>25.338999999999999</v>
      </c>
      <c r="I95" s="141"/>
      <c r="J95" s="142"/>
      <c r="K95" s="142"/>
      <c r="L95" s="141"/>
      <c r="M95" s="140"/>
      <c r="N95" s="140"/>
      <c r="O95" s="143"/>
      <c r="P95" s="144"/>
      <c r="Q95" s="144"/>
      <c r="R95" s="143"/>
      <c r="S95" s="181"/>
      <c r="T95" s="144"/>
      <c r="U95" s="144"/>
      <c r="V95" s="143"/>
      <c r="W95" s="181"/>
      <c r="X95" s="144"/>
      <c r="Y95" s="144"/>
      <c r="Z95" s="145"/>
      <c r="AA95" s="146"/>
    </row>
    <row r="96" spans="1:27" s="147" customFormat="1" ht="24.95" customHeight="1" x14ac:dyDescent="0.25">
      <c r="A96" s="140">
        <v>48</v>
      </c>
      <c r="B96" s="141" t="s">
        <v>817</v>
      </c>
      <c r="C96" s="141" t="s">
        <v>278</v>
      </c>
      <c r="D96" s="141">
        <v>7</v>
      </c>
      <c r="E96" s="141">
        <v>11444</v>
      </c>
      <c r="F96" s="141">
        <v>135.602</v>
      </c>
      <c r="G96" s="141">
        <v>4</v>
      </c>
      <c r="H96" s="141">
        <v>25.331</v>
      </c>
      <c r="I96" s="141"/>
      <c r="J96" s="66">
        <f>AVERAGE(G95:G96)</f>
        <v>3.9729999999999999</v>
      </c>
      <c r="K96" s="66">
        <f>STDEV(G95:G96)</f>
        <v>3.8183766184073445E-2</v>
      </c>
      <c r="L96" s="65"/>
      <c r="M96" s="64">
        <f>AVERAGE(E95:E96)</f>
        <v>11773</v>
      </c>
      <c r="N96" s="64">
        <f>STDEV(E95:E96)</f>
        <v>465.27626202074828</v>
      </c>
      <c r="O96" s="67"/>
      <c r="P96" s="68">
        <f>AVERAGE(H95:H96)</f>
        <v>25.335000000000001</v>
      </c>
      <c r="Q96" s="68">
        <f>STDEV(H95:H96)</f>
        <v>5.6568542494917573E-3</v>
      </c>
      <c r="R96" s="67"/>
      <c r="S96" s="29">
        <f>J96-(A96-Standards!$A$121)*Standards!$AA$4</f>
        <v>3.934149382352941</v>
      </c>
      <c r="T96" s="68">
        <f>S96-(M96-Standards!$N$121)*Standards!$AA$55</f>
        <v>3.9561014764705882</v>
      </c>
      <c r="U96" s="68"/>
      <c r="V96" s="67"/>
      <c r="W96" s="29">
        <f>P96-(A96-Standards!$A$121)*Standards!$AL$5</f>
        <v>25.281157235294117</v>
      </c>
      <c r="X96" s="68">
        <f>W96-(M96-Standards!$N$121)*Standards!$AL$54</f>
        <v>25.228563676470589</v>
      </c>
      <c r="Y96" s="124"/>
      <c r="Z96" s="69">
        <f>(T96*Standards!$O$156)+Standards!$O$157</f>
        <v>4.4870616697473604</v>
      </c>
      <c r="AA96" s="70">
        <f>(X96*Standards!$T$156)+Standards!$T$157</f>
        <v>26.59327402820071</v>
      </c>
    </row>
    <row r="97" spans="1:27" ht="24.95" customHeight="1" x14ac:dyDescent="0.25">
      <c r="A97" s="27">
        <v>49</v>
      </c>
      <c r="B97" s="26" t="s">
        <v>824</v>
      </c>
      <c r="C97" s="26" t="s">
        <v>357</v>
      </c>
      <c r="D97" s="26">
        <v>6</v>
      </c>
      <c r="E97" s="26">
        <v>13791</v>
      </c>
      <c r="F97" s="26">
        <v>171.69499999999999</v>
      </c>
      <c r="G97" s="26">
        <v>-3.3079999999999998</v>
      </c>
      <c r="H97" s="26">
        <v>24.262</v>
      </c>
      <c r="I97" s="26"/>
      <c r="J97" s="31"/>
      <c r="K97" s="31"/>
      <c r="L97" s="26"/>
      <c r="M97" s="27"/>
      <c r="N97" s="27"/>
      <c r="O97" s="28"/>
      <c r="P97" s="29"/>
      <c r="Q97" s="29"/>
      <c r="R97" s="28"/>
      <c r="S97" s="29"/>
      <c r="T97" s="29"/>
      <c r="U97" s="29"/>
      <c r="V97" s="28"/>
      <c r="W97" s="29"/>
      <c r="X97" s="29"/>
      <c r="Y97" s="125"/>
      <c r="Z97" s="19"/>
      <c r="AA97" s="20"/>
    </row>
    <row r="98" spans="1:27" ht="24.95" customHeight="1" x14ac:dyDescent="0.25">
      <c r="A98" s="27">
        <v>49</v>
      </c>
      <c r="B98" s="26" t="s">
        <v>824</v>
      </c>
      <c r="C98" s="26" t="s">
        <v>357</v>
      </c>
      <c r="D98" s="26">
        <v>7</v>
      </c>
      <c r="E98" s="26">
        <v>12882</v>
      </c>
      <c r="F98" s="26">
        <v>159.92699999999999</v>
      </c>
      <c r="G98" s="26">
        <v>-3.254</v>
      </c>
      <c r="H98" s="26">
        <v>24.286999999999999</v>
      </c>
      <c r="I98" s="26"/>
      <c r="J98" s="31">
        <f>AVERAGE(G97:G98)</f>
        <v>-3.2809999999999997</v>
      </c>
      <c r="K98" s="31">
        <f>STDEV(G97:G98)</f>
        <v>3.8183766184073445E-2</v>
      </c>
      <c r="L98" s="26"/>
      <c r="M98" s="27">
        <f>AVERAGE(E97:E98)</f>
        <v>13336.5</v>
      </c>
      <c r="N98" s="27">
        <f>STDEV(E97:E98)</f>
        <v>642.76006409857166</v>
      </c>
      <c r="O98" s="28"/>
      <c r="P98" s="29">
        <f>AVERAGE(H97:H98)</f>
        <v>24.2745</v>
      </c>
      <c r="Q98" s="29">
        <f>STDEV(H97:H98)</f>
        <v>1.7677669529662685E-2</v>
      </c>
      <c r="R98" s="28"/>
      <c r="S98" s="29">
        <f>J98-(A98-Standards!$A$121)*Standards!$AA$4</f>
        <v>-3.3191276176470583</v>
      </c>
      <c r="T98" s="29">
        <f>S98-(M98-Standards!$N$121)*Standards!$AA$55</f>
        <v>-3.3121851235294111</v>
      </c>
      <c r="U98" s="29"/>
      <c r="V98" s="28"/>
      <c r="W98" s="29">
        <f>P98-(A98-Standards!$A$121)*Standards!$AL$5</f>
        <v>24.221659235294119</v>
      </c>
      <c r="X98" s="29">
        <f>W98-(M98-Standards!$N$121)*Standards!$AL$54</f>
        <v>24.205026176470589</v>
      </c>
      <c r="Y98" s="125"/>
      <c r="Z98" s="19">
        <f>(T98*Standards!$O$156)+Standards!$O$157</f>
        <v>-2.8267249187547501</v>
      </c>
      <c r="AA98" s="20">
        <f>(X98*Standards!$T$156)+Standards!$T$157</f>
        <v>25.575291833281675</v>
      </c>
    </row>
    <row r="99" spans="1:27" ht="24.95" customHeight="1" x14ac:dyDescent="0.25">
      <c r="A99" s="27">
        <v>50</v>
      </c>
      <c r="B99" s="26" t="s">
        <v>830</v>
      </c>
      <c r="C99" s="26" t="s">
        <v>336</v>
      </c>
      <c r="D99" s="26">
        <v>6</v>
      </c>
      <c r="E99" s="26">
        <v>18496</v>
      </c>
      <c r="F99" s="26">
        <v>217.82300000000001</v>
      </c>
      <c r="G99" s="26">
        <v>-3.3780000000000001</v>
      </c>
      <c r="H99" s="26">
        <v>23.925999999999998</v>
      </c>
      <c r="I99" s="26"/>
      <c r="J99" s="31"/>
      <c r="K99" s="31"/>
      <c r="L99" s="26"/>
      <c r="M99" s="27"/>
      <c r="N99" s="27"/>
      <c r="O99" s="28"/>
      <c r="P99" s="29"/>
      <c r="Q99" s="29"/>
      <c r="R99" s="28"/>
      <c r="S99" s="29"/>
      <c r="T99" s="29"/>
      <c r="U99" s="29"/>
      <c r="V99" s="28"/>
      <c r="W99" s="29"/>
      <c r="X99" s="29"/>
      <c r="Y99" s="29"/>
      <c r="Z99" s="39"/>
      <c r="AA99" s="40"/>
    </row>
    <row r="100" spans="1:27" ht="24.95" customHeight="1" x14ac:dyDescent="0.25">
      <c r="A100" s="27">
        <v>50</v>
      </c>
      <c r="B100" s="26" t="s">
        <v>830</v>
      </c>
      <c r="C100" s="26" t="s">
        <v>336</v>
      </c>
      <c r="D100" s="26">
        <v>7</v>
      </c>
      <c r="E100" s="26">
        <v>17276</v>
      </c>
      <c r="F100" s="26">
        <v>203.298</v>
      </c>
      <c r="G100" s="26">
        <v>-3.3490000000000002</v>
      </c>
      <c r="H100" s="26">
        <v>24.061</v>
      </c>
      <c r="I100" s="26"/>
      <c r="J100" s="31">
        <f>AVERAGE(G99:G100)</f>
        <v>-3.3635000000000002</v>
      </c>
      <c r="K100" s="31">
        <f>STDEV(G99:G100)</f>
        <v>2.0506096654409819E-2</v>
      </c>
      <c r="L100" s="26"/>
      <c r="M100" s="27">
        <f>AVERAGE(E99:E100)</f>
        <v>17886</v>
      </c>
      <c r="N100" s="27">
        <f>STDEV(E99:E100)</f>
        <v>862.67027304758801</v>
      </c>
      <c r="O100" s="28"/>
      <c r="P100" s="29">
        <f>AVERAGE(H99:H100)</f>
        <v>23.993499999999997</v>
      </c>
      <c r="Q100" s="29">
        <f>STDEV(H99:H100)</f>
        <v>9.5459415460185021E-2</v>
      </c>
      <c r="R100" s="28"/>
      <c r="S100" s="29">
        <f>J100-(A100-Standards!$A$121)*Standards!$AA$4</f>
        <v>-3.400904617647059</v>
      </c>
      <c r="T100" s="29">
        <f>S100-(M100-Standards!$N$121)*Standards!$AA$55</f>
        <v>-3.4376373235294118</v>
      </c>
      <c r="U100" s="29"/>
      <c r="V100" s="28"/>
      <c r="W100" s="29">
        <f>P100-(A100-Standards!$A$121)*Standards!$AL$5</f>
        <v>23.941661235294116</v>
      </c>
      <c r="X100" s="29">
        <f>W100-(M100-Standards!$N$121)*Standards!$AL$54</f>
        <v>24.029666676470587</v>
      </c>
      <c r="Y100" s="125"/>
      <c r="Z100" s="19">
        <f>(T100*Standards!$O$156)+Standards!$O$157</f>
        <v>-2.9529624584051666</v>
      </c>
      <c r="AA100" s="20">
        <f>(X100*Standards!$T$156)+Standards!$T$157</f>
        <v>25.400884106442252</v>
      </c>
    </row>
    <row r="101" spans="1:27" ht="24.95" customHeight="1" x14ac:dyDescent="0.25">
      <c r="A101" s="27">
        <v>51</v>
      </c>
      <c r="B101" s="26" t="s">
        <v>839</v>
      </c>
      <c r="C101" s="26" t="s">
        <v>840</v>
      </c>
      <c r="D101" s="26">
        <v>6</v>
      </c>
      <c r="E101" s="26">
        <v>18307</v>
      </c>
      <c r="F101" s="26">
        <v>225.68799999999999</v>
      </c>
      <c r="G101" s="26">
        <v>-2.556</v>
      </c>
      <c r="H101" s="26">
        <v>23.925999999999998</v>
      </c>
      <c r="I101" s="26"/>
      <c r="J101" s="31"/>
      <c r="K101" s="31"/>
      <c r="L101" s="26"/>
      <c r="M101" s="27"/>
      <c r="N101" s="27"/>
      <c r="O101" s="28"/>
      <c r="P101" s="29"/>
      <c r="Q101" s="29"/>
      <c r="R101" s="28"/>
      <c r="S101" s="29"/>
      <c r="T101" s="29"/>
      <c r="U101" s="29"/>
      <c r="V101" s="28"/>
      <c r="W101" s="29"/>
      <c r="X101" s="29"/>
      <c r="Y101" s="125"/>
      <c r="Z101" s="19"/>
      <c r="AA101" s="20"/>
    </row>
    <row r="102" spans="1:27" ht="24.95" customHeight="1" x14ac:dyDescent="0.25">
      <c r="A102" s="27">
        <v>51</v>
      </c>
      <c r="B102" s="26" t="s">
        <v>839</v>
      </c>
      <c r="C102" s="26" t="s">
        <v>840</v>
      </c>
      <c r="D102" s="26">
        <v>7</v>
      </c>
      <c r="E102" s="26">
        <v>17111</v>
      </c>
      <c r="F102" s="26">
        <v>212.048</v>
      </c>
      <c r="G102" s="26">
        <v>-2.6040000000000001</v>
      </c>
      <c r="H102" s="26">
        <v>23.977</v>
      </c>
      <c r="I102" s="26"/>
      <c r="J102" s="31">
        <f>AVERAGE(G101:G102)</f>
        <v>-2.58</v>
      </c>
      <c r="K102" s="31">
        <f>STDEV(G101:G102)</f>
        <v>3.3941125496954314E-2</v>
      </c>
      <c r="L102" s="26"/>
      <c r="M102" s="27">
        <f>AVERAGE(E101:E102)</f>
        <v>17709</v>
      </c>
      <c r="N102" s="27">
        <f>STDEV(E101:E102)</f>
        <v>845.69971029911085</v>
      </c>
      <c r="O102" s="28"/>
      <c r="P102" s="29">
        <f>AVERAGE(H101:H102)</f>
        <v>23.951499999999999</v>
      </c>
      <c r="Q102" s="29">
        <f>STDEV(H101:H102)</f>
        <v>3.6062445840515295E-2</v>
      </c>
      <c r="R102" s="28"/>
      <c r="S102" s="29">
        <f>J102-(A102-Standards!$A$121)*Standards!$AA$4</f>
        <v>-2.6166816176470591</v>
      </c>
      <c r="T102" s="29">
        <f>S102-(M102-Standards!$N$121)*Standards!$AA$55</f>
        <v>-2.6517151235294119</v>
      </c>
      <c r="U102" s="29"/>
      <c r="V102" s="28"/>
      <c r="W102" s="29">
        <f>P102-(A102-Standards!$A$121)*Standards!$AL$5</f>
        <v>23.900663235294118</v>
      </c>
      <c r="X102" s="29">
        <f>W102-(M102-Standards!$N$121)*Standards!$AL$54</f>
        <v>23.984597676470589</v>
      </c>
      <c r="Y102" s="125"/>
      <c r="Z102" s="19">
        <f>(T102*Standards!$O$156)+Standards!$O$157</f>
        <v>-2.1621203298124287</v>
      </c>
      <c r="AA102" s="20">
        <f>(X102*Standards!$T$156)+Standards!$T$157</f>
        <v>25.356059720874743</v>
      </c>
    </row>
    <row r="103" spans="1:27" ht="24.95" customHeight="1" x14ac:dyDescent="0.25">
      <c r="A103" s="27">
        <v>52</v>
      </c>
      <c r="B103" s="26" t="s">
        <v>846</v>
      </c>
      <c r="C103" s="26" t="s">
        <v>220</v>
      </c>
      <c r="D103" s="26">
        <v>6</v>
      </c>
      <c r="E103" s="26">
        <v>12157</v>
      </c>
      <c r="F103" s="26">
        <v>146.72300000000001</v>
      </c>
      <c r="G103" s="26">
        <v>-3.129</v>
      </c>
      <c r="H103" s="26">
        <v>24.11</v>
      </c>
      <c r="I103" s="26"/>
      <c r="J103" s="31"/>
      <c r="K103" s="31"/>
      <c r="L103" s="26"/>
      <c r="M103" s="27"/>
      <c r="N103" s="27"/>
      <c r="O103" s="28"/>
      <c r="P103" s="29"/>
      <c r="Q103" s="29"/>
      <c r="R103" s="28"/>
      <c r="S103" s="29"/>
      <c r="T103" s="29"/>
      <c r="U103" s="29"/>
      <c r="V103" s="28"/>
      <c r="W103" s="29"/>
      <c r="X103" s="29"/>
      <c r="Y103" s="125"/>
      <c r="Z103" s="19"/>
      <c r="AA103" s="20"/>
    </row>
    <row r="104" spans="1:27" ht="24.95" customHeight="1" x14ac:dyDescent="0.25">
      <c r="A104" s="27">
        <v>52</v>
      </c>
      <c r="B104" s="26" t="s">
        <v>846</v>
      </c>
      <c r="C104" s="26" t="s">
        <v>220</v>
      </c>
      <c r="D104" s="26">
        <v>7</v>
      </c>
      <c r="E104" s="26">
        <v>11279</v>
      </c>
      <c r="F104" s="26">
        <v>136.523</v>
      </c>
      <c r="G104" s="26">
        <v>-3.085</v>
      </c>
      <c r="H104" s="26">
        <v>24.103999999999999</v>
      </c>
      <c r="I104" s="26"/>
      <c r="J104" s="31">
        <f>AVERAGE(G103:G104)</f>
        <v>-3.1070000000000002</v>
      </c>
      <c r="K104" s="31">
        <f>STDEV(G103:G104)</f>
        <v>3.111269837220812E-2</v>
      </c>
      <c r="L104" s="26"/>
      <c r="M104" s="27">
        <f>AVERAGE(E103:E104)</f>
        <v>11718</v>
      </c>
      <c r="N104" s="27">
        <f>STDEV(E103:E104)</f>
        <v>620.83975388178874</v>
      </c>
      <c r="O104" s="28"/>
      <c r="P104" s="29">
        <f>AVERAGE(H103:H104)</f>
        <v>24.106999999999999</v>
      </c>
      <c r="Q104" s="29">
        <f>STDEV(H103:H104)</f>
        <v>4.2426406871194462E-3</v>
      </c>
      <c r="R104" s="28"/>
      <c r="S104" s="29">
        <f>J104-(A104-Standards!$A$121)*Standards!$AA$4</f>
        <v>-3.142958617647059</v>
      </c>
      <c r="T104" s="29">
        <f>S104-(M104-Standards!$N$121)*Standards!$AA$55</f>
        <v>-3.1204785235294121</v>
      </c>
      <c r="U104" s="29"/>
      <c r="V104" s="28"/>
      <c r="W104" s="29">
        <f>P104-(A104-Standards!$A$121)*Standards!$AL$5</f>
        <v>24.057165235294118</v>
      </c>
      <c r="X104" s="29">
        <f>W104-(M104-Standards!$N$121)*Standards!$AL$54</f>
        <v>24.00330667647059</v>
      </c>
      <c r="Y104" s="125"/>
      <c r="Z104" s="19">
        <f>(T104*Standards!$O$156)+Standards!$O$157</f>
        <v>-2.6338182218714254</v>
      </c>
      <c r="AA104" s="20">
        <f>(X104*Standards!$T$156)+Standards!$T$157</f>
        <v>25.374667176766433</v>
      </c>
    </row>
    <row r="105" spans="1:27" s="185" customFormat="1" ht="24.95" customHeight="1" x14ac:dyDescent="0.25">
      <c r="A105" s="63">
        <v>53</v>
      </c>
      <c r="B105" s="47" t="s">
        <v>853</v>
      </c>
      <c r="C105" s="47" t="s">
        <v>284</v>
      </c>
      <c r="D105" s="47">
        <v>6</v>
      </c>
      <c r="E105" s="47">
        <v>12749</v>
      </c>
      <c r="F105" s="47">
        <v>156.44399999999999</v>
      </c>
      <c r="G105" s="47">
        <v>-3.298</v>
      </c>
      <c r="H105" s="47">
        <v>24.024000000000001</v>
      </c>
      <c r="I105" s="47"/>
      <c r="J105" s="83"/>
      <c r="K105" s="83"/>
      <c r="L105" s="47"/>
      <c r="M105" s="63"/>
      <c r="N105" s="63"/>
      <c r="O105" s="84"/>
      <c r="P105" s="181"/>
      <c r="Q105" s="181"/>
      <c r="R105" s="84"/>
      <c r="S105" s="181"/>
      <c r="T105" s="181"/>
      <c r="U105" s="181"/>
      <c r="V105" s="84"/>
      <c r="W105" s="181"/>
      <c r="X105" s="181"/>
      <c r="Y105" s="182"/>
      <c r="Z105" s="183"/>
      <c r="AA105" s="184"/>
    </row>
    <row r="106" spans="1:27" ht="24.95" customHeight="1" x14ac:dyDescent="0.25">
      <c r="A106" s="27">
        <v>53</v>
      </c>
      <c r="B106" s="26" t="s">
        <v>853</v>
      </c>
      <c r="C106" s="26" t="s">
        <v>284</v>
      </c>
      <c r="D106" s="26">
        <v>7</v>
      </c>
      <c r="E106" s="26">
        <v>12016</v>
      </c>
      <c r="F106" s="26">
        <v>146.054</v>
      </c>
      <c r="G106" s="26">
        <v>-3.2679999999999998</v>
      </c>
      <c r="H106" s="26">
        <v>24.016999999999999</v>
      </c>
      <c r="I106" s="26"/>
      <c r="J106" s="31">
        <f>AVERAGE(G105:G106)</f>
        <v>-3.2829999999999999</v>
      </c>
      <c r="K106" s="31">
        <f>STDEV(G105:G106)</f>
        <v>2.12132034355966E-2</v>
      </c>
      <c r="L106" s="26"/>
      <c r="M106" s="27">
        <f>AVERAGE(E105:E106)</f>
        <v>12382.5</v>
      </c>
      <c r="N106" s="27">
        <f>STDEV(E105:E106)</f>
        <v>518.30927060973931</v>
      </c>
      <c r="O106" s="28"/>
      <c r="P106" s="29">
        <f>AVERAGE(H105:H106)</f>
        <v>24.020499999999998</v>
      </c>
      <c r="Q106" s="29">
        <f>STDEV(H105:H106)</f>
        <v>4.9497474683068577E-3</v>
      </c>
      <c r="R106" s="28"/>
      <c r="S106" s="29">
        <f>J106-(A106-Standards!$A$121)*Standards!$AA$4</f>
        <v>-3.3182356176470589</v>
      </c>
      <c r="T106" s="29">
        <f>S106-(M106-Standards!$N$121)*Standards!$AA$55</f>
        <v>-3.3021347235294116</v>
      </c>
      <c r="U106" s="29"/>
      <c r="V106" s="28"/>
      <c r="W106" s="29">
        <f>P106-(A106-Standards!$A$121)*Standards!$AL$5</f>
        <v>23.971667235294117</v>
      </c>
      <c r="X106" s="29">
        <f>W106-(M106-Standards!$N$121)*Standards!$AL$54</f>
        <v>23.933092176470588</v>
      </c>
      <c r="Y106" s="125"/>
      <c r="Z106" s="19">
        <f>(T106*Standards!$O$156)+Standards!$O$157</f>
        <v>-2.8166116025394707</v>
      </c>
      <c r="AA106" s="20">
        <f>(X106*Standards!$T$156)+Standards!$T$157</f>
        <v>25.304833769758734</v>
      </c>
    </row>
    <row r="107" spans="1:27" s="77" customFormat="1" ht="24.95" customHeight="1" x14ac:dyDescent="0.25">
      <c r="A107" s="137">
        <v>54</v>
      </c>
      <c r="B107" s="138" t="s">
        <v>860</v>
      </c>
      <c r="C107" s="138" t="s">
        <v>788</v>
      </c>
      <c r="D107" s="138">
        <v>6</v>
      </c>
      <c r="E107" s="138">
        <v>10583</v>
      </c>
      <c r="F107" s="138">
        <v>131.41800000000001</v>
      </c>
      <c r="G107" s="138">
        <v>-3.3079999999999998</v>
      </c>
      <c r="H107" s="138">
        <v>24.187999999999999</v>
      </c>
      <c r="I107" s="138"/>
      <c r="J107" s="178"/>
      <c r="K107" s="178"/>
      <c r="L107" s="138"/>
      <c r="M107" s="137"/>
      <c r="N107" s="137"/>
      <c r="O107" s="179"/>
      <c r="P107" s="139"/>
      <c r="Q107" s="139"/>
      <c r="R107" s="179"/>
      <c r="S107" s="139"/>
      <c r="T107" s="139"/>
      <c r="U107" s="139"/>
      <c r="V107" s="179"/>
      <c r="W107" s="139"/>
      <c r="X107" s="139"/>
      <c r="Y107" s="180"/>
      <c r="Z107" s="19"/>
      <c r="AA107" s="20"/>
    </row>
    <row r="108" spans="1:27" s="77" customFormat="1" ht="24.95" customHeight="1" x14ac:dyDescent="0.25">
      <c r="A108" s="137">
        <v>54</v>
      </c>
      <c r="B108" s="138" t="s">
        <v>860</v>
      </c>
      <c r="C108" s="138" t="s">
        <v>788</v>
      </c>
      <c r="D108" s="138">
        <v>7</v>
      </c>
      <c r="E108" s="138">
        <v>9851</v>
      </c>
      <c r="F108" s="138">
        <v>122.31699999999999</v>
      </c>
      <c r="G108" s="138">
        <v>-3.246</v>
      </c>
      <c r="H108" s="138">
        <v>24.222000000000001</v>
      </c>
      <c r="I108" s="138"/>
      <c r="J108" s="31">
        <f>AVERAGE(G107:G108)</f>
        <v>-3.2770000000000001</v>
      </c>
      <c r="K108" s="31">
        <f>STDEV(G107:G108)</f>
        <v>4.3840620433565826E-2</v>
      </c>
      <c r="L108" s="26"/>
      <c r="M108" s="27">
        <f>AVERAGE(E107:E108)</f>
        <v>10217</v>
      </c>
      <c r="N108" s="27">
        <f>STDEV(E107:E108)</f>
        <v>517.60216382855276</v>
      </c>
      <c r="O108" s="28"/>
      <c r="P108" s="29">
        <f>AVERAGE(H107:H108)</f>
        <v>24.204999999999998</v>
      </c>
      <c r="Q108" s="29">
        <f>STDEV(H107:H108)</f>
        <v>2.4041630560344366E-2</v>
      </c>
      <c r="R108" s="28"/>
      <c r="S108" s="29">
        <f>J108-(A108-Standards!$A$121)*Standards!$AA$4</f>
        <v>-3.3115126176470588</v>
      </c>
      <c r="T108" s="29">
        <f>S108-(M108-Standards!$N$121)*Standards!$AA$55</f>
        <v>-3.274622923529412</v>
      </c>
      <c r="U108" s="29"/>
      <c r="V108" s="28"/>
      <c r="W108" s="29">
        <f>P108-(A108-Standards!$A$121)*Standards!$AL$5</f>
        <v>24.157169235294116</v>
      </c>
      <c r="X108" s="29">
        <f>W108-(M108-Standards!$N$121)*Standards!$AL$54</f>
        <v>24.068787676470588</v>
      </c>
      <c r="Y108" s="125"/>
      <c r="Z108" s="19">
        <f>(T108*Standards!$O$156)+Standards!$O$157</f>
        <v>-2.7889275767244253</v>
      </c>
      <c r="AA108" s="20">
        <f>(X108*Standards!$T$156)+Standards!$T$157</f>
        <v>25.439792775101122</v>
      </c>
    </row>
    <row r="109" spans="1:27" ht="24.95" customHeight="1" x14ac:dyDescent="0.25">
      <c r="A109" s="27">
        <v>55</v>
      </c>
      <c r="B109" s="26" t="s">
        <v>867</v>
      </c>
      <c r="C109" s="26" t="s">
        <v>428</v>
      </c>
      <c r="D109" s="26">
        <v>6</v>
      </c>
      <c r="E109" s="26">
        <v>14586</v>
      </c>
      <c r="F109" s="26">
        <v>175.934</v>
      </c>
      <c r="G109" s="26">
        <v>-3.4129999999999998</v>
      </c>
      <c r="H109" s="26">
        <v>23.853999999999999</v>
      </c>
      <c r="I109" s="26"/>
      <c r="J109" s="31"/>
      <c r="K109" s="31"/>
      <c r="L109" s="26"/>
      <c r="M109" s="27"/>
      <c r="N109" s="27"/>
      <c r="O109" s="28"/>
      <c r="P109" s="29"/>
      <c r="Q109" s="29"/>
      <c r="R109" s="28"/>
      <c r="S109" s="29"/>
      <c r="T109" s="29"/>
      <c r="U109" s="29"/>
      <c r="V109" s="28"/>
      <c r="W109" s="29"/>
      <c r="X109" s="29"/>
      <c r="Y109" s="125"/>
      <c r="Z109" s="19"/>
      <c r="AA109" s="20"/>
    </row>
    <row r="110" spans="1:27" ht="24.95" customHeight="1" x14ac:dyDescent="0.25">
      <c r="A110" s="27">
        <v>55</v>
      </c>
      <c r="B110" s="26" t="s">
        <v>867</v>
      </c>
      <c r="C110" s="26" t="s">
        <v>428</v>
      </c>
      <c r="D110" s="26">
        <v>7</v>
      </c>
      <c r="E110" s="26">
        <v>13793</v>
      </c>
      <c r="F110" s="26">
        <v>164.91499999999999</v>
      </c>
      <c r="G110" s="26">
        <v>-3.3849999999999998</v>
      </c>
      <c r="H110" s="26">
        <v>23.859000000000002</v>
      </c>
      <c r="I110" s="26"/>
      <c r="J110" s="31">
        <f>AVERAGE(G109:G110)</f>
        <v>-3.399</v>
      </c>
      <c r="K110" s="31">
        <f>STDEV(G109:G110)</f>
        <v>1.9798989873223347E-2</v>
      </c>
      <c r="L110" s="26"/>
      <c r="M110" s="27">
        <f>AVERAGE(E109:E110)</f>
        <v>14189.5</v>
      </c>
      <c r="N110" s="27">
        <f>STDEV(E109:E110)</f>
        <v>560.73567748093217</v>
      </c>
      <c r="O110" s="28"/>
      <c r="P110" s="29">
        <f>AVERAGE(H109:H110)</f>
        <v>23.8565</v>
      </c>
      <c r="Q110" s="29">
        <f>STDEV(H109:H110)</f>
        <v>3.5355339059345461E-3</v>
      </c>
      <c r="R110" s="28"/>
      <c r="S110" s="29">
        <f>J110-(A110-Standards!$A$121)*Standards!$AA$4</f>
        <v>-3.4327896176470589</v>
      </c>
      <c r="T110" s="29">
        <f>S110-(M110-Standards!$N$121)*Standards!$AA$55</f>
        <v>-3.4340359235294118</v>
      </c>
      <c r="U110" s="29"/>
      <c r="V110" s="28"/>
      <c r="W110" s="29">
        <f>P110-(A110-Standards!$A$121)*Standards!$AL$5</f>
        <v>23.809671235294118</v>
      </c>
      <c r="X110" s="29">
        <f>W110-(M110-Standards!$N$121)*Standards!$AL$54</f>
        <v>23.812657176470587</v>
      </c>
      <c r="Y110" s="125"/>
      <c r="Z110" s="19">
        <f>(T110*Standards!$O$156)+Standards!$O$157</f>
        <v>-2.9493385133862908</v>
      </c>
      <c r="AA110" s="20">
        <f>(X110*Standards!$T$156)+Standards!$T$157</f>
        <v>25.185052437228098</v>
      </c>
    </row>
    <row r="111" spans="1:27" ht="24.95" customHeight="1" x14ac:dyDescent="0.25">
      <c r="A111" s="27">
        <v>56</v>
      </c>
      <c r="B111" s="26" t="s">
        <v>875</v>
      </c>
      <c r="C111" s="26" t="s">
        <v>876</v>
      </c>
      <c r="D111" s="26">
        <v>6</v>
      </c>
      <c r="E111" s="26">
        <v>14618</v>
      </c>
      <c r="F111" s="26">
        <v>181.48400000000001</v>
      </c>
      <c r="G111" s="26">
        <v>-3.286</v>
      </c>
      <c r="H111" s="26">
        <v>23.989000000000001</v>
      </c>
      <c r="I111" s="26"/>
      <c r="J111" s="31"/>
      <c r="K111" s="31"/>
      <c r="L111" s="26"/>
      <c r="M111" s="27"/>
      <c r="N111" s="27"/>
      <c r="O111" s="28"/>
      <c r="P111" s="29"/>
      <c r="Q111" s="29"/>
      <c r="R111" s="28"/>
      <c r="S111" s="29"/>
      <c r="T111" s="29"/>
      <c r="U111" s="29"/>
      <c r="V111" s="28"/>
      <c r="W111" s="29"/>
      <c r="X111" s="29"/>
      <c r="Y111" s="125"/>
      <c r="Z111" s="19"/>
      <c r="AA111" s="20"/>
    </row>
    <row r="112" spans="1:27" ht="24.95" customHeight="1" x14ac:dyDescent="0.25">
      <c r="A112" s="27">
        <v>56</v>
      </c>
      <c r="B112" s="26" t="s">
        <v>875</v>
      </c>
      <c r="C112" s="26" t="s">
        <v>876</v>
      </c>
      <c r="D112" s="26">
        <v>7</v>
      </c>
      <c r="E112" s="26">
        <v>13628</v>
      </c>
      <c r="F112" s="26">
        <v>169.03399999999999</v>
      </c>
      <c r="G112" s="26">
        <v>-3.2610000000000001</v>
      </c>
      <c r="H112" s="26">
        <v>24.045000000000002</v>
      </c>
      <c r="I112" s="26"/>
      <c r="J112" s="31">
        <f>AVERAGE(G111:G112)</f>
        <v>-3.2735000000000003</v>
      </c>
      <c r="K112" s="31">
        <f>STDEV(G111:G112)</f>
        <v>1.7677669529663625E-2</v>
      </c>
      <c r="L112" s="26"/>
      <c r="M112" s="27">
        <f>AVERAGE(E111:E112)</f>
        <v>14123</v>
      </c>
      <c r="N112" s="27">
        <f>STDEV(E111:E112)</f>
        <v>700.03571337468202</v>
      </c>
      <c r="O112" s="28"/>
      <c r="P112" s="29">
        <f>AVERAGE(H111:H112)</f>
        <v>24.017000000000003</v>
      </c>
      <c r="Q112" s="29">
        <f>STDEV(H111:H112)</f>
        <v>3.9597979746447326E-2</v>
      </c>
      <c r="R112" s="28"/>
      <c r="S112" s="29">
        <f>J112-(A112-Standards!$A$121)*Standards!$AA$4</f>
        <v>-3.3065666176470589</v>
      </c>
      <c r="T112" s="29">
        <f>S112-(M112-Standards!$N$121)*Standards!$AA$55</f>
        <v>-3.3071745235294121</v>
      </c>
      <c r="U112" s="29"/>
      <c r="V112" s="28"/>
      <c r="W112" s="29">
        <f>P112-(A112-Standards!$A$121)*Standards!$AL$5</f>
        <v>23.97117323529412</v>
      </c>
      <c r="X112" s="29">
        <f>W112-(M112-Standards!$N$121)*Standards!$AL$54</f>
        <v>23.972629676470589</v>
      </c>
      <c r="Y112" s="125"/>
      <c r="Z112" s="19">
        <f>(T112*Standards!$O$156)+Standards!$O$157</f>
        <v>-2.8216829520441444</v>
      </c>
      <c r="AA112" s="20">
        <f>(X112*Standards!$T$156)+Standards!$T$157</f>
        <v>25.344156677841351</v>
      </c>
    </row>
    <row r="113" spans="1:27" ht="24.95" customHeight="1" x14ac:dyDescent="0.25">
      <c r="A113" s="27">
        <v>57</v>
      </c>
      <c r="B113" s="26" t="s">
        <v>882</v>
      </c>
      <c r="C113" s="26" t="s">
        <v>883</v>
      </c>
      <c r="D113" s="26">
        <v>6</v>
      </c>
      <c r="E113" s="26">
        <v>21957</v>
      </c>
      <c r="F113" s="26">
        <v>259.51299999999998</v>
      </c>
      <c r="G113" s="26">
        <v>-3.0640000000000001</v>
      </c>
      <c r="H113" s="26">
        <v>23.8</v>
      </c>
      <c r="I113" s="26"/>
      <c r="J113" s="31"/>
      <c r="K113" s="31"/>
      <c r="L113" s="26"/>
      <c r="M113" s="27"/>
      <c r="N113" s="27"/>
      <c r="O113" s="28"/>
      <c r="P113" s="29"/>
      <c r="Q113" s="29"/>
      <c r="R113" s="28"/>
      <c r="S113" s="29"/>
      <c r="T113" s="29"/>
      <c r="U113" s="29"/>
      <c r="V113" s="28"/>
      <c r="W113" s="29"/>
      <c r="X113" s="29"/>
      <c r="Y113" s="125"/>
      <c r="Z113" s="19"/>
      <c r="AA113" s="20"/>
    </row>
    <row r="114" spans="1:27" ht="24.95" customHeight="1" x14ac:dyDescent="0.25">
      <c r="A114" s="27">
        <v>57</v>
      </c>
      <c r="B114" s="26" t="s">
        <v>882</v>
      </c>
      <c r="C114" s="26" t="s">
        <v>883</v>
      </c>
      <c r="D114" s="26">
        <v>7</v>
      </c>
      <c r="E114" s="26">
        <v>20700</v>
      </c>
      <c r="F114" s="26">
        <v>245.58699999999999</v>
      </c>
      <c r="G114" s="26">
        <v>-3.12</v>
      </c>
      <c r="H114" s="26">
        <v>23.824000000000002</v>
      </c>
      <c r="I114" s="26"/>
      <c r="J114" s="31">
        <f>AVERAGE(G113:G114)</f>
        <v>-3.0920000000000001</v>
      </c>
      <c r="K114" s="31">
        <f>STDEV(G113:G114)</f>
        <v>3.9597979746446695E-2</v>
      </c>
      <c r="L114" s="26"/>
      <c r="M114" s="27">
        <f>AVERAGE(E113:E114)</f>
        <v>21328.5</v>
      </c>
      <c r="N114" s="27">
        <f>STDEV(E113:E114)</f>
        <v>888.83322395149025</v>
      </c>
      <c r="O114" s="28"/>
      <c r="P114" s="29">
        <f>AVERAGE(H113:H114)</f>
        <v>23.812000000000001</v>
      </c>
      <c r="Q114" s="29">
        <f>STDEV(H113:H114)</f>
        <v>1.6970562748477785E-2</v>
      </c>
      <c r="R114" s="28"/>
      <c r="S114" s="29">
        <f>J114-(A114-Standards!$A$121)*Standards!$AA$4</f>
        <v>-3.1243436176470589</v>
      </c>
      <c r="T114" s="29">
        <f>S114-(M114-Standards!$N$121)*Standards!$AA$55</f>
        <v>-3.1941243235294117</v>
      </c>
      <c r="U114" s="29"/>
      <c r="V114" s="28"/>
      <c r="W114" s="29">
        <f>P114-(A114-Standards!$A$121)*Standards!$AL$5</f>
        <v>23.767175235294118</v>
      </c>
      <c r="X114" s="29">
        <f>W114-(M114-Standards!$N$121)*Standards!$AL$54</f>
        <v>23.934358176470589</v>
      </c>
      <c r="Y114" s="125"/>
      <c r="Z114" s="19">
        <f>(T114*Standards!$O$156)+Standards!$O$157</f>
        <v>-2.707925049791434</v>
      </c>
      <c r="AA114" s="20">
        <f>(X114*Standards!$T$156)+Standards!$T$157</f>
        <v>25.306092898475335</v>
      </c>
    </row>
    <row r="115" spans="1:27" ht="24.95" customHeight="1" x14ac:dyDescent="0.25">
      <c r="A115" s="27">
        <v>58</v>
      </c>
      <c r="B115" s="26" t="s">
        <v>888</v>
      </c>
      <c r="C115" s="26" t="s">
        <v>269</v>
      </c>
      <c r="D115" s="26">
        <v>6</v>
      </c>
      <c r="E115" s="26">
        <v>14582</v>
      </c>
      <c r="F115" s="26">
        <v>180.983</v>
      </c>
      <c r="G115" s="26">
        <v>-3.1429999999999998</v>
      </c>
      <c r="H115" s="26">
        <v>23.812000000000001</v>
      </c>
      <c r="I115" s="26"/>
      <c r="J115" s="31"/>
      <c r="K115" s="31"/>
      <c r="L115" s="26"/>
      <c r="M115" s="27"/>
      <c r="N115" s="27"/>
      <c r="O115" s="28"/>
      <c r="P115" s="29"/>
      <c r="Q115" s="29"/>
      <c r="R115" s="28"/>
      <c r="S115" s="29"/>
      <c r="T115" s="29"/>
      <c r="U115" s="29"/>
      <c r="V115" s="28"/>
      <c r="W115" s="29"/>
      <c r="X115" s="29"/>
      <c r="Y115" s="125"/>
      <c r="Z115" s="19"/>
      <c r="AA115" s="20"/>
    </row>
    <row r="116" spans="1:27" ht="24.95" customHeight="1" x14ac:dyDescent="0.25">
      <c r="A116" s="27">
        <v>58</v>
      </c>
      <c r="B116" s="26" t="s">
        <v>888</v>
      </c>
      <c r="C116" s="26" t="s">
        <v>269</v>
      </c>
      <c r="D116" s="26">
        <v>7</v>
      </c>
      <c r="E116" s="26">
        <v>13605</v>
      </c>
      <c r="F116" s="26">
        <v>168.40899999999999</v>
      </c>
      <c r="G116" s="26">
        <v>-3.1059999999999999</v>
      </c>
      <c r="H116" s="26">
        <v>23.832999999999998</v>
      </c>
      <c r="I116" s="26"/>
      <c r="J116" s="31">
        <f>AVERAGE(G115:G116)</f>
        <v>-3.1244999999999998</v>
      </c>
      <c r="K116" s="31">
        <f>STDEV(G115:G116)</f>
        <v>2.6162950903902204E-2</v>
      </c>
      <c r="L116" s="26"/>
      <c r="M116" s="27">
        <f>AVERAGE(E115:E116)</f>
        <v>14093.5</v>
      </c>
      <c r="N116" s="27">
        <f>STDEV(E115:E116)</f>
        <v>690.84332521925694</v>
      </c>
      <c r="O116" s="28"/>
      <c r="P116" s="29">
        <f>AVERAGE(H115:H116)</f>
        <v>23.822499999999998</v>
      </c>
      <c r="Q116" s="29">
        <f>STDEV(H115:H116)</f>
        <v>1.4849242404915548E-2</v>
      </c>
      <c r="R116" s="28"/>
      <c r="S116" s="29">
        <f>J116-(A116-Standards!$A$121)*Standards!$AA$4</f>
        <v>-3.1561206176470589</v>
      </c>
      <c r="T116" s="29">
        <f>S116-(M116-Standards!$N$121)*Standards!$AA$55</f>
        <v>-3.1564453235294119</v>
      </c>
      <c r="U116" s="29"/>
      <c r="V116" s="28"/>
      <c r="W116" s="29">
        <f>P116-(A116-Standards!$A$121)*Standards!$AL$5</f>
        <v>23.778677235294115</v>
      </c>
      <c r="X116" s="29">
        <f>W116-(M116-Standards!$N$121)*Standards!$AL$54</f>
        <v>23.779455176470584</v>
      </c>
      <c r="Y116" s="125"/>
      <c r="Z116" s="19">
        <f>(T116*Standards!$O$156)+Standards!$O$157</f>
        <v>-2.6700101765848423</v>
      </c>
      <c r="AA116" s="20">
        <f>(X116*Standards!$T$156)+Standards!$T$157</f>
        <v>25.152030642876934</v>
      </c>
    </row>
    <row r="117" spans="1:27" s="117" customFormat="1" ht="24.95" customHeight="1" x14ac:dyDescent="0.25">
      <c r="A117" s="64">
        <v>59</v>
      </c>
      <c r="B117" s="65" t="s">
        <v>894</v>
      </c>
      <c r="C117" s="65" t="s">
        <v>433</v>
      </c>
      <c r="D117" s="65">
        <v>6</v>
      </c>
      <c r="E117" s="65">
        <v>17682</v>
      </c>
      <c r="F117" s="65">
        <v>208.30099999999999</v>
      </c>
      <c r="G117" s="65">
        <v>4.0129999999999999</v>
      </c>
      <c r="H117" s="65">
        <v>25.263999999999999</v>
      </c>
      <c r="I117" s="65"/>
      <c r="J117" s="66"/>
      <c r="K117" s="66"/>
      <c r="L117" s="65"/>
      <c r="M117" s="64"/>
      <c r="N117" s="64"/>
      <c r="O117" s="67"/>
      <c r="P117" s="68"/>
      <c r="Q117" s="68"/>
      <c r="R117" s="67"/>
      <c r="S117" s="29"/>
      <c r="T117" s="68"/>
      <c r="U117" s="68"/>
      <c r="V117" s="67"/>
      <c r="W117" s="29"/>
      <c r="X117" s="68"/>
      <c r="Y117" s="124"/>
      <c r="Z117" s="69"/>
      <c r="AA117" s="70"/>
    </row>
    <row r="118" spans="1:27" s="117" customFormat="1" ht="24.95" customHeight="1" x14ac:dyDescent="0.25">
      <c r="A118" s="64">
        <v>59</v>
      </c>
      <c r="B118" s="65" t="s">
        <v>894</v>
      </c>
      <c r="C118" s="65" t="s">
        <v>433</v>
      </c>
      <c r="D118" s="65">
        <v>7</v>
      </c>
      <c r="E118" s="65">
        <v>16473</v>
      </c>
      <c r="F118" s="65">
        <v>194.422</v>
      </c>
      <c r="G118" s="65">
        <v>4.0599999999999996</v>
      </c>
      <c r="H118" s="65">
        <v>25.262</v>
      </c>
      <c r="I118" s="65"/>
      <c r="J118" s="66">
        <f>AVERAGE(G117:G118)</f>
        <v>4.0365000000000002</v>
      </c>
      <c r="K118" s="66">
        <f>STDEV(G117:G118)</f>
        <v>3.3234018715767526E-2</v>
      </c>
      <c r="L118" s="65"/>
      <c r="M118" s="64">
        <f>AVERAGE(E117:E118)</f>
        <v>17077.5</v>
      </c>
      <c r="N118" s="64">
        <f>STDEV(E117:E118)</f>
        <v>854.89209845453593</v>
      </c>
      <c r="O118" s="67"/>
      <c r="P118" s="68">
        <f>AVERAGE(H117:H118)</f>
        <v>25.262999999999998</v>
      </c>
      <c r="Q118" s="68">
        <f>STDEV(H117:H118)</f>
        <v>1.4142135623723114E-3</v>
      </c>
      <c r="R118" s="67"/>
      <c r="S118" s="29">
        <f>J118-(A118-Standards!$A$121)*Standards!$AA$4</f>
        <v>4.005602382352941</v>
      </c>
      <c r="T118" s="68">
        <f>S118-(M118-Standards!$N$121)*Standards!$AA$55</f>
        <v>3.976631276470588</v>
      </c>
      <c r="U118" s="68"/>
      <c r="V118" s="67"/>
      <c r="W118" s="29">
        <f>P118-(A118-Standards!$A$121)*Standards!$AL$5</f>
        <v>25.220179235294115</v>
      </c>
      <c r="X118" s="68">
        <f>W118-(M118-Standards!$N$121)*Standards!$AL$54</f>
        <v>25.289589176470585</v>
      </c>
      <c r="Y118" s="124"/>
      <c r="Z118" s="69">
        <f>(T118*Standards!$O$156)+Standards!$O$157</f>
        <v>4.5077199877482812</v>
      </c>
      <c r="AA118" s="70">
        <f>(X118*Standards!$T$156)+Standards!$T$157</f>
        <v>26.653968309002366</v>
      </c>
    </row>
    <row r="119" spans="1:27" s="117" customFormat="1" ht="24.95" customHeight="1" x14ac:dyDescent="0.25">
      <c r="A119" s="64">
        <v>60</v>
      </c>
      <c r="B119" s="65" t="s">
        <v>899</v>
      </c>
      <c r="C119" s="65" t="s">
        <v>220</v>
      </c>
      <c r="D119" s="65">
        <v>6</v>
      </c>
      <c r="E119" s="65">
        <v>12296</v>
      </c>
      <c r="F119" s="65">
        <v>152.47200000000001</v>
      </c>
      <c r="G119" s="65">
        <v>3.9780000000000002</v>
      </c>
      <c r="H119" s="65">
        <v>25.282</v>
      </c>
      <c r="I119" s="65"/>
      <c r="J119" s="66"/>
      <c r="K119" s="66"/>
      <c r="L119" s="65"/>
      <c r="M119" s="64"/>
      <c r="N119" s="64"/>
      <c r="O119" s="67"/>
      <c r="P119" s="68"/>
      <c r="Q119" s="68"/>
      <c r="R119" s="67"/>
      <c r="S119" s="29"/>
      <c r="T119" s="68"/>
      <c r="U119" s="68"/>
      <c r="V119" s="67"/>
      <c r="W119" s="29"/>
      <c r="X119" s="68"/>
      <c r="Y119" s="124"/>
      <c r="Z119" s="69"/>
      <c r="AA119" s="70"/>
    </row>
    <row r="120" spans="1:27" s="117" customFormat="1" ht="24.95" customHeight="1" x14ac:dyDescent="0.25">
      <c r="A120" s="64">
        <v>60</v>
      </c>
      <c r="B120" s="65" t="s">
        <v>899</v>
      </c>
      <c r="C120" s="65" t="s">
        <v>220</v>
      </c>
      <c r="D120" s="65">
        <v>7</v>
      </c>
      <c r="E120" s="65">
        <v>11493</v>
      </c>
      <c r="F120" s="65">
        <v>141.96100000000001</v>
      </c>
      <c r="G120" s="65">
        <v>4.0229999999999997</v>
      </c>
      <c r="H120" s="65">
        <v>25.306999999999999</v>
      </c>
      <c r="I120" s="65"/>
      <c r="J120" s="66">
        <f>AVERAGE(G119:G120)</f>
        <v>4.0004999999999997</v>
      </c>
      <c r="K120" s="66">
        <f>STDEV(G119:G120)</f>
        <v>3.1819805153394276E-2</v>
      </c>
      <c r="L120" s="65"/>
      <c r="M120" s="64">
        <f>AVERAGE(E119:E120)</f>
        <v>11894.5</v>
      </c>
      <c r="N120" s="64">
        <f>STDEV(E119:E120)</f>
        <v>567.8067452927977</v>
      </c>
      <c r="O120" s="67"/>
      <c r="P120" s="68">
        <f>AVERAGE(H119:H120)</f>
        <v>25.294499999999999</v>
      </c>
      <c r="Q120" s="68">
        <f>STDEV(H119:H120)</f>
        <v>1.7677669529662685E-2</v>
      </c>
      <c r="R120" s="67"/>
      <c r="S120" s="29">
        <f>J120-(A120-Standards!$A$121)*Standards!$AA$4</f>
        <v>3.9703253823529407</v>
      </c>
      <c r="T120" s="68">
        <f>S120-(M120-Standards!$N$121)*Standards!$AA$55</f>
        <v>3.9911110764705877</v>
      </c>
      <c r="U120" s="68"/>
      <c r="V120" s="67"/>
      <c r="W120" s="29">
        <f>P120-(A120-Standards!$A$121)*Standards!$AL$5</f>
        <v>25.252681235294116</v>
      </c>
      <c r="X120" s="68">
        <f>W120-(M120-Standards!$N$121)*Standards!$AL$54</f>
        <v>25.202882176470585</v>
      </c>
      <c r="Y120" s="124"/>
      <c r="Z120" s="69">
        <f>(T120*Standards!$O$156)+Standards!$O$157</f>
        <v>4.5222904323210349</v>
      </c>
      <c r="AA120" s="70">
        <f>(X120*Standards!$T$156)+Standards!$T$157</f>
        <v>26.567731915929475</v>
      </c>
    </row>
    <row r="121" spans="1:27" ht="24.95" customHeight="1" x14ac:dyDescent="0.25">
      <c r="A121" s="27">
        <v>61</v>
      </c>
      <c r="B121" s="26" t="s">
        <v>906</v>
      </c>
      <c r="C121" s="26" t="s">
        <v>907</v>
      </c>
      <c r="D121" s="26">
        <v>6</v>
      </c>
      <c r="E121" s="26">
        <v>21472</v>
      </c>
      <c r="F121" s="26">
        <v>259.87599999999998</v>
      </c>
      <c r="G121" s="26">
        <v>-3.4180000000000001</v>
      </c>
      <c r="H121" s="26">
        <v>23.718</v>
      </c>
      <c r="I121" s="26"/>
      <c r="J121" s="31"/>
      <c r="K121" s="31"/>
      <c r="L121" s="26"/>
      <c r="M121" s="27"/>
      <c r="N121" s="27"/>
      <c r="O121" s="28"/>
      <c r="P121" s="29"/>
      <c r="Q121" s="29"/>
      <c r="R121" s="28"/>
      <c r="S121" s="29"/>
      <c r="T121" s="29"/>
      <c r="U121" s="29"/>
      <c r="V121" s="28"/>
      <c r="W121" s="29"/>
      <c r="X121" s="29"/>
      <c r="Y121" s="125"/>
      <c r="Z121" s="19"/>
      <c r="AA121" s="20"/>
    </row>
    <row r="122" spans="1:27" ht="24.95" customHeight="1" x14ac:dyDescent="0.25">
      <c r="A122" s="27">
        <v>61</v>
      </c>
      <c r="B122" s="26" t="s">
        <v>906</v>
      </c>
      <c r="C122" s="26" t="s">
        <v>907</v>
      </c>
      <c r="D122" s="26">
        <v>7</v>
      </c>
      <c r="E122" s="26">
        <v>19919</v>
      </c>
      <c r="F122" s="26">
        <v>243.79599999999999</v>
      </c>
      <c r="G122" s="26">
        <v>-3.4380000000000002</v>
      </c>
      <c r="H122" s="26">
        <v>23.774000000000001</v>
      </c>
      <c r="I122" s="26"/>
      <c r="J122" s="31">
        <f>AVERAGE(G121:G122)</f>
        <v>-3.4279999999999999</v>
      </c>
      <c r="K122" s="31">
        <f>STDEV(G121:G122)</f>
        <v>1.4142135623730963E-2</v>
      </c>
      <c r="L122" s="26"/>
      <c r="M122" s="27">
        <f>AVERAGE(E121:E122)</f>
        <v>20695.5</v>
      </c>
      <c r="N122" s="27">
        <f>STDEV(E121:E122)</f>
        <v>1098.1368311827082</v>
      </c>
      <c r="O122" s="28"/>
      <c r="P122" s="29">
        <f>AVERAGE(H121:H122)</f>
        <v>23.746000000000002</v>
      </c>
      <c r="Q122" s="29">
        <f>STDEV(H121:H122)</f>
        <v>3.9597979746447326E-2</v>
      </c>
      <c r="R122" s="28"/>
      <c r="S122" s="29">
        <f>J122-(A122-Standards!$A$121)*Standards!$AA$4</f>
        <v>-3.4574516176470587</v>
      </c>
      <c r="T122" s="29">
        <f>S122-(M122-Standards!$N$121)*Standards!$AA$55</f>
        <v>-3.5211555235294116</v>
      </c>
      <c r="U122" s="29"/>
      <c r="V122" s="28"/>
      <c r="W122" s="29">
        <f>P122-(A122-Standards!$A$121)*Standards!$AL$5</f>
        <v>23.705183235294118</v>
      </c>
      <c r="X122" s="29">
        <f>W122-(M122-Standards!$N$121)*Standards!$AL$54</f>
        <v>23.85780717647059</v>
      </c>
      <c r="Y122" s="125"/>
      <c r="Z122" s="19">
        <f>(T122*Standards!$O$156)+Standards!$O$157</f>
        <v>-3.037003488247858</v>
      </c>
      <c r="AA122" s="20">
        <f>(X122*Standards!$T$156)+Standards!$T$157</f>
        <v>25.229957383163736</v>
      </c>
    </row>
    <row r="123" spans="1:27" ht="24.95" customHeight="1" x14ac:dyDescent="0.25">
      <c r="A123" s="27">
        <v>62</v>
      </c>
      <c r="B123" s="26" t="s">
        <v>912</v>
      </c>
      <c r="C123" s="26" t="s">
        <v>913</v>
      </c>
      <c r="D123" s="26">
        <v>6</v>
      </c>
      <c r="E123" s="26">
        <v>18906</v>
      </c>
      <c r="F123" s="26">
        <v>229.77799999999999</v>
      </c>
      <c r="G123" s="26">
        <v>-3.4569999999999999</v>
      </c>
      <c r="H123" s="26">
        <v>23.878</v>
      </c>
      <c r="I123" s="26"/>
      <c r="J123" s="31"/>
      <c r="K123" s="31"/>
      <c r="L123" s="26"/>
      <c r="M123" s="27"/>
      <c r="N123" s="27"/>
      <c r="O123" s="28"/>
      <c r="P123" s="29"/>
      <c r="Q123" s="29"/>
      <c r="R123" s="28"/>
      <c r="S123" s="29"/>
      <c r="T123" s="29"/>
      <c r="U123" s="29"/>
      <c r="V123" s="28"/>
      <c r="W123" s="29"/>
      <c r="X123" s="29"/>
      <c r="Y123" s="125"/>
      <c r="Z123" s="19"/>
      <c r="AA123" s="20"/>
    </row>
    <row r="124" spans="1:27" ht="24.95" customHeight="1" x14ac:dyDescent="0.25">
      <c r="A124" s="27">
        <v>62</v>
      </c>
      <c r="B124" s="26" t="s">
        <v>912</v>
      </c>
      <c r="C124" s="26" t="s">
        <v>913</v>
      </c>
      <c r="D124" s="26">
        <v>7</v>
      </c>
      <c r="E124" s="26">
        <v>17833</v>
      </c>
      <c r="F124" s="26">
        <v>215.066</v>
      </c>
      <c r="G124" s="26">
        <v>-3.4380000000000002</v>
      </c>
      <c r="H124" s="26">
        <v>23.92</v>
      </c>
      <c r="I124" s="26"/>
      <c r="J124" s="31">
        <f>AVERAGE(G123:G124)</f>
        <v>-3.4474999999999998</v>
      </c>
      <c r="K124" s="31">
        <f>STDEV(G123:G124)</f>
        <v>1.3435028842544178E-2</v>
      </c>
      <c r="L124" s="26"/>
      <c r="M124" s="27">
        <f>AVERAGE(E123:E124)</f>
        <v>18369.5</v>
      </c>
      <c r="N124" s="27">
        <f>STDEV(E123:E124)</f>
        <v>758.72557621316548</v>
      </c>
      <c r="O124" s="28"/>
      <c r="P124" s="29">
        <f>AVERAGE(H123:H124)</f>
        <v>23.899000000000001</v>
      </c>
      <c r="Q124" s="29">
        <f>STDEV(H123:H124)</f>
        <v>2.9698484809836122E-2</v>
      </c>
      <c r="R124" s="28"/>
      <c r="S124" s="29">
        <f>J124-(A124-Standards!$A$121)*Standards!$AA$4</f>
        <v>-3.4762286176470587</v>
      </c>
      <c r="T124" s="29">
        <f>S124-(M124-Standards!$N$121)*Standards!$AA$55</f>
        <v>-3.5176029235294117</v>
      </c>
      <c r="U124" s="29"/>
      <c r="V124" s="28"/>
      <c r="W124" s="29">
        <f>P124-(A124-Standards!$A$121)*Standards!$AL$5</f>
        <v>23.85918523529412</v>
      </c>
      <c r="X124" s="29">
        <f>W124-(M124-Standards!$N$121)*Standards!$AL$54</f>
        <v>23.958311176470591</v>
      </c>
      <c r="Y124" s="125"/>
      <c r="Z124" s="19">
        <f>(T124*Standards!$O$156)+Standards!$O$157</f>
        <v>-3.0334286487204363</v>
      </c>
      <c r="AA124" s="20">
        <f>(X124*Standards!$T$156)+Standards!$T$157</f>
        <v>25.329915892273704</v>
      </c>
    </row>
    <row r="125" spans="1:27" ht="24.95" customHeight="1" x14ac:dyDescent="0.25">
      <c r="A125" s="27">
        <v>63</v>
      </c>
      <c r="B125" s="26" t="s">
        <v>919</v>
      </c>
      <c r="C125" s="26" t="s">
        <v>920</v>
      </c>
      <c r="D125" s="26">
        <v>6</v>
      </c>
      <c r="E125" s="26">
        <v>20946</v>
      </c>
      <c r="F125" s="26">
        <v>257.262</v>
      </c>
      <c r="G125" s="26">
        <v>-3.4369999999999998</v>
      </c>
      <c r="H125" s="26">
        <v>23.87</v>
      </c>
      <c r="I125" s="26"/>
      <c r="J125" s="31"/>
      <c r="K125" s="31"/>
      <c r="L125" s="26"/>
      <c r="M125" s="27"/>
      <c r="N125" s="27"/>
      <c r="O125" s="28"/>
      <c r="P125" s="29"/>
      <c r="Q125" s="29"/>
      <c r="R125" s="28"/>
      <c r="S125" s="29"/>
      <c r="T125" s="29"/>
      <c r="U125" s="29"/>
      <c r="V125" s="28"/>
      <c r="W125" s="29"/>
      <c r="X125" s="29"/>
      <c r="Y125" s="125"/>
      <c r="Z125" s="19"/>
      <c r="AA125" s="20"/>
    </row>
    <row r="126" spans="1:27" ht="24.95" customHeight="1" x14ac:dyDescent="0.25">
      <c r="A126" s="27">
        <v>63</v>
      </c>
      <c r="B126" s="26" t="s">
        <v>919</v>
      </c>
      <c r="C126" s="26" t="s">
        <v>920</v>
      </c>
      <c r="D126" s="26">
        <v>7</v>
      </c>
      <c r="E126" s="26">
        <v>19584</v>
      </c>
      <c r="F126" s="26">
        <v>242.77799999999999</v>
      </c>
      <c r="G126" s="26">
        <v>-3.4580000000000002</v>
      </c>
      <c r="H126" s="26">
        <v>23.908999999999999</v>
      </c>
      <c r="I126" s="26"/>
      <c r="J126" s="31">
        <f>AVERAGE(G125:G126)</f>
        <v>-3.4474999999999998</v>
      </c>
      <c r="K126" s="31">
        <f>STDEV(G125:G126)</f>
        <v>1.4849242404917747E-2</v>
      </c>
      <c r="L126" s="26"/>
      <c r="M126" s="27">
        <f>AVERAGE(E125:E126)</f>
        <v>20265</v>
      </c>
      <c r="N126" s="27">
        <f>STDEV(E125:E126)</f>
        <v>963.07943597607778</v>
      </c>
      <c r="O126" s="28"/>
      <c r="P126" s="29">
        <f>AVERAGE(H125:H126)</f>
        <v>23.889499999999998</v>
      </c>
      <c r="Q126" s="29">
        <f>STDEV(H125:H126)</f>
        <v>2.7577164466273885E-2</v>
      </c>
      <c r="R126" s="28"/>
      <c r="S126" s="29">
        <f>J126-(A126-Standards!$A$121)*Standards!$AA$4</f>
        <v>-3.4755056176470585</v>
      </c>
      <c r="T126" s="29">
        <f>S126-(M126-Standards!$N$121)*Standards!$AA$55</f>
        <v>-3.5350767235294116</v>
      </c>
      <c r="U126" s="29"/>
      <c r="V126" s="28"/>
      <c r="W126" s="29">
        <f>P126-(A126-Standards!$A$121)*Standards!$AL$5</f>
        <v>23.850687235294117</v>
      </c>
      <c r="X126" s="29">
        <f>W126-(M126-Standards!$N$121)*Standards!$AL$54</f>
        <v>23.993409676470588</v>
      </c>
      <c r="Y126" s="125"/>
      <c r="Z126" s="19">
        <f>(T126*Standards!$O$156)+Standards!$O$157</f>
        <v>-3.0510118359450797</v>
      </c>
      <c r="AA126" s="20">
        <f>(X126*Standards!$T$156)+Standards!$T$157</f>
        <v>25.364823893268646</v>
      </c>
    </row>
    <row r="127" spans="1:27" ht="24.95" customHeight="1" x14ac:dyDescent="0.25">
      <c r="A127" s="27">
        <v>64</v>
      </c>
      <c r="B127" s="26" t="s">
        <v>925</v>
      </c>
      <c r="C127" s="26" t="s">
        <v>926</v>
      </c>
      <c r="D127" s="26">
        <v>6</v>
      </c>
      <c r="E127" s="26">
        <v>17596</v>
      </c>
      <c r="F127" s="26">
        <v>208.95400000000001</v>
      </c>
      <c r="G127" s="26">
        <v>-3.3820000000000001</v>
      </c>
      <c r="H127" s="26">
        <v>24.026</v>
      </c>
      <c r="I127" s="26"/>
      <c r="J127" s="31"/>
      <c r="K127" s="31"/>
      <c r="L127" s="26"/>
      <c r="M127" s="27"/>
      <c r="N127" s="27"/>
      <c r="O127" s="28"/>
      <c r="P127" s="29"/>
      <c r="Q127" s="29"/>
      <c r="R127" s="28"/>
      <c r="S127" s="29"/>
      <c r="T127" s="29"/>
      <c r="U127" s="29"/>
      <c r="V127" s="28"/>
      <c r="W127" s="29"/>
      <c r="X127" s="29"/>
      <c r="Y127" s="125"/>
      <c r="Z127" s="19"/>
      <c r="AA127" s="20"/>
    </row>
    <row r="128" spans="1:27" ht="24.95" customHeight="1" x14ac:dyDescent="0.25">
      <c r="A128" s="27">
        <v>64</v>
      </c>
      <c r="B128" s="26" t="s">
        <v>925</v>
      </c>
      <c r="C128" s="26" t="s">
        <v>926</v>
      </c>
      <c r="D128" s="26">
        <v>7</v>
      </c>
      <c r="E128" s="26">
        <v>16667</v>
      </c>
      <c r="F128" s="26">
        <v>196.74199999999999</v>
      </c>
      <c r="G128" s="26">
        <v>-3.298</v>
      </c>
      <c r="H128" s="26">
        <v>24.055</v>
      </c>
      <c r="I128" s="26"/>
      <c r="J128" s="31">
        <f>AVERAGE(G127:G128)</f>
        <v>-3.34</v>
      </c>
      <c r="K128" s="31">
        <f>STDEV(G127:G128)</f>
        <v>5.9396969619670045E-2</v>
      </c>
      <c r="L128" s="26"/>
      <c r="M128" s="27">
        <f>AVERAGE(E127:E128)</f>
        <v>17131.5</v>
      </c>
      <c r="N128" s="27">
        <f>STDEV(E127:E128)</f>
        <v>656.90219972230261</v>
      </c>
      <c r="O128" s="28"/>
      <c r="P128" s="29">
        <f>AVERAGE(H127:H128)</f>
        <v>24.040500000000002</v>
      </c>
      <c r="Q128" s="29">
        <f>STDEV(H127:H128)</f>
        <v>2.0506096654409816E-2</v>
      </c>
      <c r="R128" s="28"/>
      <c r="S128" s="29">
        <f>J128-(A128-Standards!$A$121)*Standards!$AA$4</f>
        <v>-3.3672826176470587</v>
      </c>
      <c r="T128" s="29">
        <f>S128-(M128-Standards!$N$121)*Standards!$AA$55</f>
        <v>-3.3967721235294115</v>
      </c>
      <c r="U128" s="29"/>
      <c r="V128" s="28"/>
      <c r="W128" s="29">
        <f>P128-(A128-Standards!$A$121)*Standards!$AL$5</f>
        <v>24.00268923529412</v>
      </c>
      <c r="X128" s="29">
        <f>W128-(M128-Standards!$N$121)*Standards!$AL$54</f>
        <v>24.073341176470592</v>
      </c>
      <c r="Y128" s="125"/>
      <c r="Z128" s="19">
        <f>(T128*Standards!$O$156)+Standards!$O$157</f>
        <v>-2.9118414393610825</v>
      </c>
      <c r="AA128" s="20">
        <f>(X128*Standards!$T$156)+Standards!$T$157</f>
        <v>25.444321560733858</v>
      </c>
    </row>
    <row r="129" spans="1:27" ht="24.95" customHeight="1" x14ac:dyDescent="0.25">
      <c r="A129" s="27">
        <v>65</v>
      </c>
      <c r="B129" s="26" t="s">
        <v>933</v>
      </c>
      <c r="C129" s="26" t="s">
        <v>934</v>
      </c>
      <c r="D129" s="26">
        <v>6</v>
      </c>
      <c r="E129" s="26">
        <v>12807</v>
      </c>
      <c r="F129" s="26">
        <v>159.01400000000001</v>
      </c>
      <c r="G129" s="26">
        <v>-3.0539999999999998</v>
      </c>
      <c r="H129" s="26">
        <v>24.13</v>
      </c>
      <c r="I129" s="26"/>
      <c r="J129" s="31"/>
      <c r="K129" s="31"/>
      <c r="L129" s="26"/>
      <c r="M129" s="27"/>
      <c r="N129" s="27"/>
      <c r="O129" s="28"/>
      <c r="P129" s="29"/>
      <c r="Q129" s="29"/>
      <c r="R129" s="28"/>
      <c r="S129" s="29"/>
      <c r="T129" s="29"/>
      <c r="U129" s="29"/>
      <c r="V129" s="28"/>
      <c r="W129" s="29"/>
      <c r="X129" s="29"/>
      <c r="Y129" s="125"/>
      <c r="Z129" s="19"/>
      <c r="AA129" s="20"/>
    </row>
    <row r="130" spans="1:27" ht="24.95" customHeight="1" x14ac:dyDescent="0.25">
      <c r="A130" s="27">
        <v>65</v>
      </c>
      <c r="B130" s="26" t="s">
        <v>933</v>
      </c>
      <c r="C130" s="26" t="s">
        <v>934</v>
      </c>
      <c r="D130" s="26">
        <v>7</v>
      </c>
      <c r="E130" s="26">
        <v>12078</v>
      </c>
      <c r="F130" s="26">
        <v>149.471</v>
      </c>
      <c r="G130" s="26">
        <v>-3.0070000000000001</v>
      </c>
      <c r="H130" s="26">
        <v>24.151</v>
      </c>
      <c r="I130" s="26"/>
      <c r="J130" s="31">
        <f>AVERAGE(G129:G130)</f>
        <v>-3.0305</v>
      </c>
      <c r="K130" s="31">
        <f>STDEV(G129:G130)</f>
        <v>3.3234018715767526E-2</v>
      </c>
      <c r="L130" s="26"/>
      <c r="M130" s="27">
        <f>AVERAGE(E129:E130)</f>
        <v>12442.5</v>
      </c>
      <c r="N130" s="27">
        <f>STDEV(E129:E130)</f>
        <v>515.4808434849931</v>
      </c>
      <c r="O130" s="28"/>
      <c r="P130" s="29">
        <f>AVERAGE(H129:H130)</f>
        <v>24.140499999999999</v>
      </c>
      <c r="Q130" s="29">
        <f>STDEV(H129:H130)</f>
        <v>1.4849242404918061E-2</v>
      </c>
      <c r="R130" s="28"/>
      <c r="S130" s="29">
        <f>J130-(A130-Standards!$A$121)*Standards!$AA$4</f>
        <v>-3.0570596176470586</v>
      </c>
      <c r="T130" s="29">
        <f>S130-(M130-Standards!$N$121)*Standards!$AA$55</f>
        <v>-3.0415347235294115</v>
      </c>
      <c r="U130" s="29"/>
      <c r="V130" s="28"/>
      <c r="W130" s="29">
        <f>P130-(A130-Standards!$A$121)*Standards!$AL$5</f>
        <v>24.103691235294118</v>
      </c>
      <c r="X130" s="29">
        <f>W130-(M130-Standards!$N$121)*Standards!$AL$54</f>
        <v>24.06649617647059</v>
      </c>
      <c r="Y130" s="125"/>
      <c r="Z130" s="19">
        <f>(T130*Standards!$O$156)+Standards!$O$157</f>
        <v>-2.5543802280964689</v>
      </c>
      <c r="AA130" s="20">
        <f>(X130*Standards!$T$156)+Standards!$T$157</f>
        <v>25.437513712341179</v>
      </c>
    </row>
    <row r="131" spans="1:27" ht="24.95" customHeight="1" x14ac:dyDescent="0.25">
      <c r="A131" s="27">
        <v>66</v>
      </c>
      <c r="B131" s="26" t="s">
        <v>940</v>
      </c>
      <c r="C131" s="26" t="s">
        <v>220</v>
      </c>
      <c r="D131" s="26">
        <v>6</v>
      </c>
      <c r="E131" s="26">
        <v>14527</v>
      </c>
      <c r="F131" s="26">
        <v>171.548</v>
      </c>
      <c r="G131" s="26">
        <v>-2.964</v>
      </c>
      <c r="H131" s="26">
        <v>23.478999999999999</v>
      </c>
      <c r="I131" s="26"/>
      <c r="J131" s="26"/>
      <c r="K131" s="26"/>
      <c r="L131" s="26"/>
      <c r="M131" s="27"/>
      <c r="N131" s="27"/>
      <c r="O131" s="28"/>
      <c r="P131" s="29"/>
      <c r="Q131" s="29"/>
      <c r="R131" s="28"/>
      <c r="S131" s="28"/>
      <c r="T131" s="28"/>
      <c r="U131" s="28"/>
      <c r="V131" s="28"/>
      <c r="W131" s="28"/>
      <c r="X131" s="28"/>
      <c r="Y131" s="125"/>
      <c r="Z131" s="51"/>
      <c r="AA131" s="52"/>
    </row>
    <row r="132" spans="1:27" ht="24.95" customHeight="1" x14ac:dyDescent="0.25">
      <c r="A132" s="27">
        <v>66</v>
      </c>
      <c r="B132" s="26" t="s">
        <v>940</v>
      </c>
      <c r="C132" s="26" t="s">
        <v>220</v>
      </c>
      <c r="D132" s="26">
        <v>7</v>
      </c>
      <c r="E132" s="26">
        <v>13638</v>
      </c>
      <c r="F132" s="26">
        <v>160.73699999999999</v>
      </c>
      <c r="G132" s="26">
        <v>-2.8759999999999999</v>
      </c>
      <c r="H132" s="26">
        <v>23.574000000000002</v>
      </c>
      <c r="I132" s="26"/>
      <c r="J132" s="31">
        <f>AVERAGE(G131:G132)</f>
        <v>-2.92</v>
      </c>
      <c r="K132" s="31">
        <f>STDEV(G131:G132)</f>
        <v>6.2225396744416239E-2</v>
      </c>
      <c r="L132" s="26"/>
      <c r="M132" s="27">
        <f>AVERAGE(E131:E132)</f>
        <v>14082.5</v>
      </c>
      <c r="N132" s="27">
        <f>STDEV(E131:E132)</f>
        <v>628.61792847484071</v>
      </c>
      <c r="O132" s="28"/>
      <c r="P132" s="29">
        <f>AVERAGE(H131:H132)</f>
        <v>23.526499999999999</v>
      </c>
      <c r="Q132" s="29">
        <f>STDEV(H131:H132)</f>
        <v>6.717514421272372E-2</v>
      </c>
      <c r="R132" s="28"/>
      <c r="S132" s="29">
        <f>J132-(A132-Standards!$A$121)*Standards!$AA$4</f>
        <v>-2.9458366176470587</v>
      </c>
      <c r="T132" s="29">
        <f>S132-(M132-Standards!$N$121)*Standards!$AA$55</f>
        <v>-2.9460557235294118</v>
      </c>
      <c r="U132" s="29"/>
      <c r="V132" s="28"/>
      <c r="W132" s="29">
        <f>P132-(A132-Standards!$A$121)*Standards!$AL$5</f>
        <v>23.490693235294117</v>
      </c>
      <c r="X132" s="29">
        <f>W132-(M132-Standards!$N$121)*Standards!$AL$54</f>
        <v>23.491218176470589</v>
      </c>
      <c r="Y132" s="125"/>
      <c r="Z132" s="19">
        <f>(T132*Standards!$O$156)+Standards!$O$157</f>
        <v>-2.4583035227992962</v>
      </c>
      <c r="AA132" s="20">
        <f>(X132*Standards!$T$156)+Standards!$T$157</f>
        <v>24.865358064767317</v>
      </c>
    </row>
    <row r="133" spans="1:27" ht="24.95" customHeight="1" x14ac:dyDescent="0.25">
      <c r="A133" s="27">
        <v>67</v>
      </c>
      <c r="B133" s="26" t="s">
        <v>945</v>
      </c>
      <c r="C133" s="26" t="s">
        <v>946</v>
      </c>
      <c r="D133" s="26">
        <v>6</v>
      </c>
      <c r="E133" s="26">
        <v>16823</v>
      </c>
      <c r="F133" s="26">
        <v>208.04400000000001</v>
      </c>
      <c r="G133" s="26">
        <v>-2.8239999999999998</v>
      </c>
      <c r="H133" s="26">
        <v>23.832999999999998</v>
      </c>
      <c r="I133" s="26"/>
      <c r="J133" s="26"/>
      <c r="K133" s="26"/>
      <c r="L133" s="26"/>
      <c r="M133" s="53"/>
      <c r="N133" s="27"/>
      <c r="O133" s="28"/>
      <c r="P133" s="29"/>
      <c r="Q133" s="29"/>
      <c r="R133" s="28"/>
      <c r="S133" s="28"/>
      <c r="T133" s="28"/>
      <c r="U133" s="28"/>
      <c r="V133" s="28"/>
      <c r="W133" s="28"/>
      <c r="X133" s="28"/>
      <c r="Y133" s="32"/>
      <c r="Z133" s="33"/>
      <c r="AA133" s="34"/>
    </row>
    <row r="134" spans="1:27" ht="24.95" customHeight="1" x14ac:dyDescent="0.25">
      <c r="A134" s="27">
        <v>67</v>
      </c>
      <c r="B134" s="26" t="s">
        <v>945</v>
      </c>
      <c r="C134" s="26" t="s">
        <v>946</v>
      </c>
      <c r="D134" s="26">
        <v>7</v>
      </c>
      <c r="E134" s="26">
        <v>15760</v>
      </c>
      <c r="F134" s="26">
        <v>194.35</v>
      </c>
      <c r="G134" s="26">
        <v>-2.78</v>
      </c>
      <c r="H134" s="26">
        <v>23.841999999999999</v>
      </c>
      <c r="I134" s="26"/>
      <c r="J134" s="31">
        <f>AVERAGE(G133:G134)</f>
        <v>-2.8019999999999996</v>
      </c>
      <c r="K134" s="31">
        <f>STDEV(G133:G134)</f>
        <v>3.111269837220812E-2</v>
      </c>
      <c r="L134" s="26"/>
      <c r="M134" s="27">
        <f>AVERAGE(E133:E134)</f>
        <v>16291.5</v>
      </c>
      <c r="N134" s="27">
        <f>STDEV(E133:E134)</f>
        <v>751.65450840130006</v>
      </c>
      <c r="O134" s="28"/>
      <c r="P134" s="29">
        <f>AVERAGE(H133:H134)</f>
        <v>23.837499999999999</v>
      </c>
      <c r="Q134" s="29">
        <f>STDEV(H133:H134)</f>
        <v>6.3639610306791689E-3</v>
      </c>
      <c r="R134" s="28"/>
      <c r="S134" s="29">
        <f>J134-(A134-Standards!$A$121)*Standards!$AA$4</f>
        <v>-2.8271136176470586</v>
      </c>
      <c r="T134" s="29">
        <f>S134-(M134-Standards!$N$121)*Standards!$AA$55</f>
        <v>-2.8485391235294117</v>
      </c>
      <c r="U134" s="29"/>
      <c r="V134" s="28"/>
      <c r="W134" s="29">
        <f>P134-(A134-Standards!$A$121)*Standards!$AL$5</f>
        <v>23.802695235294117</v>
      </c>
      <c r="X134" s="29">
        <f>W134-(M134-Standards!$N$121)*Standards!$AL$54</f>
        <v>23.854027176470588</v>
      </c>
      <c r="Y134" s="125"/>
      <c r="Z134" s="19">
        <f>(T134*Standards!$O$156)+Standards!$O$157</f>
        <v>-2.3601764619819194</v>
      </c>
      <c r="AA134" s="20">
        <f>(X134*Standards!$T$156)+Standards!$T$157</f>
        <v>25.22619789931796</v>
      </c>
    </row>
    <row r="135" spans="1:27" ht="24.95" customHeight="1" x14ac:dyDescent="0.25">
      <c r="A135" s="27">
        <v>68</v>
      </c>
      <c r="B135" s="26" t="s">
        <v>952</v>
      </c>
      <c r="C135" s="26" t="s">
        <v>402</v>
      </c>
      <c r="D135" s="26">
        <v>6</v>
      </c>
      <c r="E135" s="26">
        <v>20524</v>
      </c>
      <c r="F135" s="26">
        <v>241.18100000000001</v>
      </c>
      <c r="G135" s="26">
        <v>-3.0960000000000001</v>
      </c>
      <c r="H135" s="26">
        <v>23.382999999999999</v>
      </c>
      <c r="I135" s="26"/>
      <c r="J135" s="26"/>
      <c r="K135" s="26"/>
      <c r="L135" s="26"/>
      <c r="M135" s="27"/>
      <c r="N135" s="27"/>
      <c r="O135" s="28"/>
      <c r="P135" s="29"/>
      <c r="Q135" s="29"/>
      <c r="R135" s="28"/>
      <c r="S135" s="28"/>
      <c r="T135" s="28"/>
      <c r="U135" s="28"/>
      <c r="V135" s="28"/>
      <c r="W135" s="28"/>
      <c r="X135" s="28"/>
      <c r="Y135" s="32"/>
      <c r="Z135" s="33"/>
      <c r="AA135" s="34"/>
    </row>
    <row r="136" spans="1:27" ht="24.95" customHeight="1" x14ac:dyDescent="0.25">
      <c r="A136" s="27">
        <v>68</v>
      </c>
      <c r="B136" s="26" t="s">
        <v>952</v>
      </c>
      <c r="C136" s="26" t="s">
        <v>402</v>
      </c>
      <c r="D136" s="26">
        <v>7</v>
      </c>
      <c r="E136" s="26">
        <v>19172</v>
      </c>
      <c r="F136" s="26">
        <v>227.77600000000001</v>
      </c>
      <c r="G136" s="26">
        <v>-3.125</v>
      </c>
      <c r="H136" s="26">
        <v>23.443999999999999</v>
      </c>
      <c r="I136" s="26"/>
      <c r="J136" s="31">
        <f>AVERAGE(G135:G136)</f>
        <v>-3.1105</v>
      </c>
      <c r="K136" s="31">
        <f>STDEV(G135:G136)</f>
        <v>2.0506096654409819E-2</v>
      </c>
      <c r="L136" s="26"/>
      <c r="M136" s="27">
        <f>AVERAGE(E135:E136)</f>
        <v>19848</v>
      </c>
      <c r="N136" s="27">
        <f>STDEV(E135:E136)</f>
        <v>956.00836816421224</v>
      </c>
      <c r="O136" s="28"/>
      <c r="P136" s="29">
        <f>AVERAGE(H135:H136)</f>
        <v>23.413499999999999</v>
      </c>
      <c r="Q136" s="29">
        <f>STDEV(H135:H136)</f>
        <v>4.3133513652379357E-2</v>
      </c>
      <c r="R136" s="28"/>
      <c r="S136" s="29">
        <f>J136-(A136-Standards!$A$121)*Standards!$AA$4</f>
        <v>-3.1348906176470588</v>
      </c>
      <c r="T136" s="29">
        <f>S136-(M136-Standards!$N$121)*Standards!$AA$55</f>
        <v>-3.1904585235294118</v>
      </c>
      <c r="U136" s="29"/>
      <c r="V136" s="28"/>
      <c r="W136" s="29">
        <f>P136-(A136-Standards!$A$121)*Standards!$AL$5</f>
        <v>23.379697235294117</v>
      </c>
      <c r="X136" s="29">
        <f>W136-(M136-Standards!$N$121)*Standards!$AL$54</f>
        <v>23.512828676470587</v>
      </c>
      <c r="Y136" s="125"/>
      <c r="Z136" s="19">
        <f>(T136*Standards!$O$156)+Standards!$O$157</f>
        <v>-2.7042363016240007</v>
      </c>
      <c r="AA136" s="20">
        <f>(X136*Standards!$T$156)+Standards!$T$157</f>
        <v>24.88685127261099</v>
      </c>
    </row>
    <row r="137" spans="1:27" ht="24.95" customHeight="1" x14ac:dyDescent="0.25">
      <c r="A137" s="27">
        <v>69</v>
      </c>
      <c r="B137" s="26" t="s">
        <v>958</v>
      </c>
      <c r="C137" s="26" t="s">
        <v>678</v>
      </c>
      <c r="D137" s="26">
        <v>6</v>
      </c>
      <c r="E137" s="26">
        <v>15745</v>
      </c>
      <c r="F137" s="26">
        <v>194.595</v>
      </c>
      <c r="G137" s="26">
        <v>-3.2589999999999999</v>
      </c>
      <c r="H137" s="26">
        <v>23.675000000000001</v>
      </c>
      <c r="I137" s="26"/>
      <c r="J137" s="31"/>
      <c r="K137" s="31"/>
      <c r="L137" s="26"/>
      <c r="M137" s="27"/>
      <c r="N137" s="27"/>
      <c r="O137" s="28"/>
      <c r="P137" s="29"/>
      <c r="Q137" s="29"/>
      <c r="R137" s="28"/>
      <c r="S137" s="28"/>
      <c r="T137" s="28"/>
      <c r="U137" s="28"/>
      <c r="V137" s="29"/>
      <c r="W137" s="28"/>
      <c r="X137" s="28"/>
      <c r="Y137" s="32"/>
      <c r="Z137" s="33"/>
      <c r="AA137" s="34"/>
    </row>
    <row r="138" spans="1:27" ht="24.95" customHeight="1" x14ac:dyDescent="0.25">
      <c r="A138" s="27">
        <v>69</v>
      </c>
      <c r="B138" s="26" t="s">
        <v>958</v>
      </c>
      <c r="C138" s="26" t="s">
        <v>678</v>
      </c>
      <c r="D138" s="26">
        <v>7</v>
      </c>
      <c r="E138" s="26">
        <v>14731</v>
      </c>
      <c r="F138" s="26">
        <v>181.60599999999999</v>
      </c>
      <c r="G138" s="26">
        <v>-3.2170000000000001</v>
      </c>
      <c r="H138" s="26">
        <v>23.716000000000001</v>
      </c>
      <c r="I138" s="26"/>
      <c r="J138" s="31">
        <f>AVERAGE(G137:G138)</f>
        <v>-3.238</v>
      </c>
      <c r="K138" s="31">
        <f>STDEV(G137:G138)</f>
        <v>2.9698484809834867E-2</v>
      </c>
      <c r="L138" s="26"/>
      <c r="M138" s="27">
        <f>AVERAGE(E137:E138)</f>
        <v>15238</v>
      </c>
      <c r="N138" s="27">
        <f>STDEV(E137:E138)</f>
        <v>717.00627612315918</v>
      </c>
      <c r="O138" s="28"/>
      <c r="P138" s="29">
        <f>AVERAGE(H137:H138)</f>
        <v>23.695500000000003</v>
      </c>
      <c r="Q138" s="29">
        <f>STDEV(H137:H138)</f>
        <v>2.8991378028648707E-2</v>
      </c>
      <c r="R138" s="28"/>
      <c r="S138" s="29">
        <f>J138-(A138-Standards!$A$121)*Standards!$AA$4</f>
        <v>-3.2616676176470589</v>
      </c>
      <c r="T138" s="29">
        <f>S138-(M138-Standards!$N$121)*Standards!$AA$55</f>
        <v>-3.2729795235294117</v>
      </c>
      <c r="U138" s="29"/>
      <c r="V138" s="28"/>
      <c r="W138" s="29">
        <f>P138-(A138-Standards!$A$121)*Standards!$AL$5</f>
        <v>23.66269923529412</v>
      </c>
      <c r="X138" s="29">
        <f>W138-(M138-Standards!$N$121)*Standards!$AL$54</f>
        <v>23.68980067647059</v>
      </c>
      <c r="Y138" s="125"/>
      <c r="Z138" s="19">
        <f>(T138*Standards!$O$156)+Standards!$O$157</f>
        <v>-2.7872738889241195</v>
      </c>
      <c r="AA138" s="20">
        <f>(X138*Standards!$T$156)+Standards!$T$157</f>
        <v>25.062862747519546</v>
      </c>
    </row>
    <row r="139" spans="1:27" ht="24.95" customHeight="1" x14ac:dyDescent="0.25">
      <c r="A139" s="27">
        <v>70</v>
      </c>
      <c r="B139" s="26" t="s">
        <v>965</v>
      </c>
      <c r="C139" s="26" t="s">
        <v>280</v>
      </c>
      <c r="D139" s="26">
        <v>6</v>
      </c>
      <c r="E139" s="26">
        <v>13724</v>
      </c>
      <c r="F139" s="26">
        <v>166.614</v>
      </c>
      <c r="G139" s="26">
        <v>-3.6680000000000001</v>
      </c>
      <c r="H139" s="26">
        <v>23.885000000000002</v>
      </c>
      <c r="I139" s="26"/>
      <c r="J139" s="26"/>
      <c r="K139" s="26"/>
      <c r="L139" s="26"/>
      <c r="M139" s="27"/>
      <c r="N139" s="27"/>
      <c r="O139" s="28"/>
      <c r="P139" s="29"/>
      <c r="Q139" s="29"/>
      <c r="R139" s="28"/>
      <c r="S139" s="28"/>
      <c r="T139" s="28"/>
      <c r="U139" s="28"/>
      <c r="V139" s="28"/>
      <c r="W139" s="28"/>
      <c r="X139" s="28"/>
      <c r="Y139" s="32"/>
      <c r="Z139" s="33"/>
      <c r="AA139" s="34"/>
    </row>
    <row r="140" spans="1:27" ht="24.95" customHeight="1" x14ac:dyDescent="0.25">
      <c r="A140" s="27">
        <v>70</v>
      </c>
      <c r="B140" s="26" t="s">
        <v>965</v>
      </c>
      <c r="C140" s="26" t="s">
        <v>280</v>
      </c>
      <c r="D140" s="26">
        <v>7</v>
      </c>
      <c r="E140" s="26">
        <v>12772</v>
      </c>
      <c r="F140" s="26">
        <v>155.61000000000001</v>
      </c>
      <c r="G140" s="26">
        <v>-3.6269999999999998</v>
      </c>
      <c r="H140" s="26">
        <v>23.902000000000001</v>
      </c>
      <c r="I140" s="26"/>
      <c r="J140" s="31">
        <f>AVERAGE(G139:G140)</f>
        <v>-3.6475</v>
      </c>
      <c r="K140" s="31">
        <f>STDEV(G139:G140)</f>
        <v>2.899137802864871E-2</v>
      </c>
      <c r="L140" s="26"/>
      <c r="M140" s="27">
        <f>AVERAGE(E139:E140)</f>
        <v>13248</v>
      </c>
      <c r="N140" s="27">
        <f>STDEV(E139:E140)</f>
        <v>673.16565568959322</v>
      </c>
      <c r="O140" s="28"/>
      <c r="P140" s="29">
        <f>AVERAGE(H139:H140)</f>
        <v>23.893500000000003</v>
      </c>
      <c r="Q140" s="29">
        <f>STDEV(H139:H140)</f>
        <v>1.2020815280170927E-2</v>
      </c>
      <c r="R140" s="28"/>
      <c r="S140" s="29">
        <f>J140-(A140-Standards!$A$121)*Standards!$AA$4</f>
        <v>-3.6704446176470586</v>
      </c>
      <c r="T140" s="29">
        <f>S140-(M140-Standards!$N$121)*Standards!$AA$55</f>
        <v>-3.6626525235294114</v>
      </c>
      <c r="U140" s="29"/>
      <c r="V140" s="28"/>
      <c r="W140" s="29">
        <f>P140-(A140-Standards!$A$121)*Standards!$AL$5</f>
        <v>23.86170123529412</v>
      </c>
      <c r="X140" s="29">
        <f>W140-(M140-Standards!$N$121)*Standards!$AL$54</f>
        <v>23.843032676470592</v>
      </c>
      <c r="Y140" s="125"/>
      <c r="Z140" s="19">
        <f>(T140*Standards!$O$156)+Standards!$O$157</f>
        <v>-3.1793862694817849</v>
      </c>
      <c r="AA140" s="20">
        <f>(X140*Standards!$T$156)+Standards!$T$157</f>
        <v>25.215263072560724</v>
      </c>
    </row>
    <row r="141" spans="1:27" s="117" customFormat="1" ht="24.95" customHeight="1" x14ac:dyDescent="0.25">
      <c r="A141" s="64">
        <v>71</v>
      </c>
      <c r="B141" s="65" t="s">
        <v>970</v>
      </c>
      <c r="C141" s="65" t="s">
        <v>414</v>
      </c>
      <c r="D141" s="65">
        <v>6</v>
      </c>
      <c r="E141" s="65">
        <v>19159</v>
      </c>
      <c r="F141" s="65">
        <v>234.69300000000001</v>
      </c>
      <c r="G141" s="65">
        <v>4.0419999999999998</v>
      </c>
      <c r="H141" s="65">
        <v>25.186</v>
      </c>
      <c r="I141" s="65"/>
      <c r="J141" s="65"/>
      <c r="K141" s="65"/>
      <c r="L141" s="65"/>
      <c r="M141" s="64"/>
      <c r="N141" s="64"/>
      <c r="O141" s="67"/>
      <c r="P141" s="68"/>
      <c r="Q141" s="68"/>
      <c r="R141" s="67"/>
      <c r="S141" s="28"/>
      <c r="T141" s="67"/>
      <c r="U141" s="67"/>
      <c r="V141" s="67"/>
      <c r="W141" s="28"/>
      <c r="X141" s="67"/>
      <c r="Y141" s="74"/>
      <c r="Z141" s="72"/>
      <c r="AA141" s="73"/>
    </row>
    <row r="142" spans="1:27" s="117" customFormat="1" ht="24.95" customHeight="1" x14ac:dyDescent="0.25">
      <c r="A142" s="64">
        <v>71</v>
      </c>
      <c r="B142" s="65" t="s">
        <v>970</v>
      </c>
      <c r="C142" s="65" t="s">
        <v>414</v>
      </c>
      <c r="D142" s="65">
        <v>7</v>
      </c>
      <c r="E142" s="65">
        <v>17989</v>
      </c>
      <c r="F142" s="65">
        <v>219.322</v>
      </c>
      <c r="G142" s="65">
        <v>4.056</v>
      </c>
      <c r="H142" s="65">
        <v>25.227</v>
      </c>
      <c r="I142" s="65"/>
      <c r="J142" s="66">
        <f>AVERAGE(G141:G142)</f>
        <v>4.0489999999999995</v>
      </c>
      <c r="K142" s="66">
        <f>STDEV(G141:G142)</f>
        <v>9.8994949366118315E-3</v>
      </c>
      <c r="L142" s="65"/>
      <c r="M142" s="64">
        <f>AVERAGE(E141:E142)</f>
        <v>18574</v>
      </c>
      <c r="N142" s="64">
        <f>STDEV(E141:E142)</f>
        <v>827.31493398826058</v>
      </c>
      <c r="O142" s="67"/>
      <c r="P142" s="68">
        <f>AVERAGE(H141:H142)</f>
        <v>25.206499999999998</v>
      </c>
      <c r="Q142" s="68">
        <f>STDEV(H141:H142)</f>
        <v>2.8991378028648707E-2</v>
      </c>
      <c r="R142" s="67"/>
      <c r="S142" s="29">
        <f>J142-(A142-Standards!$A$121)*Standards!$AA$4</f>
        <v>4.0267783823529406</v>
      </c>
      <c r="T142" s="68">
        <f>S142-(M142-Standards!$N$121)*Standards!$AA$55</f>
        <v>3.9834408764705875</v>
      </c>
      <c r="U142" s="68"/>
      <c r="V142" s="67"/>
      <c r="W142" s="29">
        <f>P142-(A142-Standards!$A$121)*Standards!$AL$5</f>
        <v>25.175703235294115</v>
      </c>
      <c r="X142" s="68">
        <f>W142-(M142-Standards!$N$121)*Standards!$AL$54</f>
        <v>25.279532676470584</v>
      </c>
      <c r="Y142" s="124"/>
      <c r="Z142" s="69">
        <f>(T142*Standards!$O$156)+Standards!$O$157</f>
        <v>4.5145722163262052</v>
      </c>
      <c r="AA142" s="70">
        <f>(X142*Standards!$T$156)+Standards!$T$157</f>
        <v>26.643966391199449</v>
      </c>
    </row>
    <row r="143" spans="1:27" s="117" customFormat="1" ht="24.95" customHeight="1" x14ac:dyDescent="0.25">
      <c r="A143" s="64">
        <v>72</v>
      </c>
      <c r="B143" s="65" t="s">
        <v>977</v>
      </c>
      <c r="C143" s="65" t="s">
        <v>732</v>
      </c>
      <c r="D143" s="65">
        <v>6</v>
      </c>
      <c r="E143" s="65">
        <v>17591</v>
      </c>
      <c r="F143" s="65">
        <v>214.041</v>
      </c>
      <c r="G143" s="65">
        <v>4.0170000000000003</v>
      </c>
      <c r="H143" s="65">
        <v>25.295000000000002</v>
      </c>
      <c r="I143" s="65"/>
      <c r="J143" s="65"/>
      <c r="K143" s="65"/>
      <c r="L143" s="65"/>
      <c r="M143" s="64"/>
      <c r="N143" s="64"/>
      <c r="O143" s="67"/>
      <c r="P143" s="68"/>
      <c r="Q143" s="68"/>
      <c r="R143" s="67"/>
      <c r="S143" s="28"/>
      <c r="T143" s="67"/>
      <c r="U143" s="67"/>
      <c r="V143" s="67"/>
      <c r="W143" s="28"/>
      <c r="X143" s="67"/>
      <c r="Y143" s="74"/>
      <c r="Z143" s="72"/>
      <c r="AA143" s="73"/>
    </row>
    <row r="144" spans="1:27" s="117" customFormat="1" ht="24.95" customHeight="1" x14ac:dyDescent="0.25">
      <c r="A144" s="64">
        <v>72</v>
      </c>
      <c r="B144" s="65" t="s">
        <v>977</v>
      </c>
      <c r="C144" s="65" t="s">
        <v>732</v>
      </c>
      <c r="D144" s="65">
        <v>7</v>
      </c>
      <c r="E144" s="65">
        <v>16282</v>
      </c>
      <c r="F144" s="65">
        <v>200.94399999999999</v>
      </c>
      <c r="G144" s="65">
        <v>3.9940000000000002</v>
      </c>
      <c r="H144" s="65">
        <v>25.343</v>
      </c>
      <c r="I144" s="65"/>
      <c r="J144" s="66">
        <f>AVERAGE(G143:G144)</f>
        <v>4.0055000000000005</v>
      </c>
      <c r="K144" s="66">
        <f>STDEV(G143:G144)</f>
        <v>1.6263455967290685E-2</v>
      </c>
      <c r="L144" s="65"/>
      <c r="M144" s="64">
        <f>AVERAGE(E143:E144)</f>
        <v>16936.5</v>
      </c>
      <c r="N144" s="64">
        <f>STDEV(E143:E144)</f>
        <v>925.60277657319068</v>
      </c>
      <c r="O144" s="67"/>
      <c r="P144" s="68">
        <f>AVERAGE(H143:H144)</f>
        <v>25.319000000000003</v>
      </c>
      <c r="Q144" s="68">
        <f>STDEV(H143:H144)</f>
        <v>3.3941125496953058E-2</v>
      </c>
      <c r="R144" s="67"/>
      <c r="S144" s="29">
        <f>J144-(A144-Standards!$A$121)*Standards!$AA$4</f>
        <v>3.9840013823529419</v>
      </c>
      <c r="T144" s="68">
        <f>S144-(M144-Standards!$N$121)*Standards!$AA$55</f>
        <v>3.9563838764705888</v>
      </c>
      <c r="U144" s="68"/>
      <c r="V144" s="67"/>
      <c r="W144" s="29">
        <f>P144-(A144-Standards!$A$121)*Standards!$AL$5</f>
        <v>25.289205235294119</v>
      </c>
      <c r="X144" s="68">
        <f>W144-(M144-Standards!$N$121)*Standards!$AL$54</f>
        <v>25.355372176470588</v>
      </c>
      <c r="Y144" s="124"/>
      <c r="Z144" s="69">
        <f>(T144*Standards!$O$156)+Standards!$O$157</f>
        <v>4.4873458375913469</v>
      </c>
      <c r="AA144" s="70">
        <f>(X144*Standards!$T$156)+Standards!$T$157</f>
        <v>26.719394268215744</v>
      </c>
    </row>
    <row r="145" spans="1:27" ht="24.95" customHeight="1" x14ac:dyDescent="0.25">
      <c r="A145" s="27">
        <v>73</v>
      </c>
      <c r="B145" s="26" t="s">
        <v>982</v>
      </c>
      <c r="C145" s="26" t="s">
        <v>420</v>
      </c>
      <c r="D145" s="26">
        <v>6</v>
      </c>
      <c r="E145" s="26">
        <v>13077</v>
      </c>
      <c r="F145" s="26">
        <v>159.27500000000001</v>
      </c>
      <c r="G145" s="26">
        <v>-4.0229999999999997</v>
      </c>
      <c r="H145" s="26">
        <v>24.155999999999999</v>
      </c>
      <c r="I145" s="26"/>
      <c r="J145" s="31"/>
      <c r="K145" s="31"/>
      <c r="L145" s="26"/>
      <c r="M145" s="27"/>
      <c r="N145" s="27"/>
      <c r="O145" s="28"/>
      <c r="P145" s="29"/>
      <c r="Q145" s="29"/>
      <c r="R145" s="28"/>
      <c r="S145" s="29"/>
      <c r="T145" s="29"/>
      <c r="U145" s="29"/>
      <c r="V145" s="29"/>
      <c r="W145" s="29"/>
      <c r="X145" s="29"/>
      <c r="Y145" s="32"/>
      <c r="Z145" s="35"/>
      <c r="AA145" s="36"/>
    </row>
    <row r="146" spans="1:27" ht="24.95" customHeight="1" x14ac:dyDescent="0.25">
      <c r="A146" s="27">
        <v>73</v>
      </c>
      <c r="B146" s="26" t="s">
        <v>982</v>
      </c>
      <c r="C146" s="26" t="s">
        <v>420</v>
      </c>
      <c r="D146" s="26">
        <v>7</v>
      </c>
      <c r="E146" s="26">
        <v>12388</v>
      </c>
      <c r="F146" s="26">
        <v>149.55500000000001</v>
      </c>
      <c r="G146" s="26">
        <v>-3.98</v>
      </c>
      <c r="H146" s="26">
        <v>24.19</v>
      </c>
      <c r="I146" s="26"/>
      <c r="J146" s="31">
        <f>AVERAGE(G145:G146)</f>
        <v>-4.0015000000000001</v>
      </c>
      <c r="K146" s="31">
        <f>STDEV(G145:G146)</f>
        <v>3.0405591591021335E-2</v>
      </c>
      <c r="L146" s="26"/>
      <c r="M146" s="27">
        <f>AVERAGE(E145:E146)</f>
        <v>12732.5</v>
      </c>
      <c r="N146" s="27">
        <f>STDEV(E145:E146)</f>
        <v>487.19657223753126</v>
      </c>
      <c r="O146" s="28"/>
      <c r="P146" s="29">
        <f>AVERAGE(H145:H146)</f>
        <v>24.173000000000002</v>
      </c>
      <c r="Q146" s="29">
        <f>STDEV(H145:H146)</f>
        <v>2.4041630560344366E-2</v>
      </c>
      <c r="R146" s="28"/>
      <c r="S146" s="29">
        <f>J146-(A146-Standards!$A$121)*Standards!$AA$4</f>
        <v>-4.0222756176470593</v>
      </c>
      <c r="T146" s="29">
        <f>S146-(M146-Standards!$N$121)*Standards!$AA$55</f>
        <v>-4.0095347235294119</v>
      </c>
      <c r="U146" s="29"/>
      <c r="V146" s="28"/>
      <c r="W146" s="29">
        <f>P146-(A146-Standards!$A$121)*Standards!$AL$5</f>
        <v>24.144207235294118</v>
      </c>
      <c r="X146" s="29">
        <f>W146-(M146-Standards!$N$121)*Standards!$AL$54</f>
        <v>24.11368217647059</v>
      </c>
      <c r="Y146" s="125"/>
      <c r="Z146" s="19">
        <f>(T146*Standards!$O$156)+Standards!$O$157</f>
        <v>-3.5284399766030905</v>
      </c>
      <c r="AA146" s="20">
        <f>(X146*Standards!$T$156)+Standards!$T$157</f>
        <v>25.484443607776811</v>
      </c>
    </row>
    <row r="147" spans="1:27" ht="24.95" customHeight="1" x14ac:dyDescent="0.25">
      <c r="A147" s="27">
        <v>75</v>
      </c>
      <c r="B147" s="26" t="s">
        <v>993</v>
      </c>
      <c r="C147" s="26" t="s">
        <v>994</v>
      </c>
      <c r="D147" s="26">
        <v>6</v>
      </c>
      <c r="E147" s="26">
        <v>21135</v>
      </c>
      <c r="F147" s="26">
        <v>249.37299999999999</v>
      </c>
      <c r="G147" s="26">
        <v>-2.9430000000000001</v>
      </c>
      <c r="H147" s="26">
        <v>23.943999999999999</v>
      </c>
      <c r="I147" s="26"/>
      <c r="J147" s="26"/>
      <c r="K147" s="26"/>
      <c r="L147" s="26"/>
      <c r="M147" s="27"/>
      <c r="N147" s="27"/>
      <c r="O147" s="28"/>
      <c r="P147" s="29"/>
      <c r="Q147" s="29"/>
      <c r="R147" s="28"/>
      <c r="S147" s="28"/>
      <c r="T147" s="28"/>
      <c r="U147" s="28"/>
      <c r="V147" s="28"/>
      <c r="W147" s="28"/>
      <c r="X147" s="28"/>
      <c r="Y147" s="32"/>
      <c r="Z147" s="33"/>
      <c r="AA147" s="34"/>
    </row>
    <row r="148" spans="1:27" ht="24.95" customHeight="1" x14ac:dyDescent="0.25">
      <c r="A148" s="27">
        <v>75</v>
      </c>
      <c r="B148" s="26" t="s">
        <v>993</v>
      </c>
      <c r="C148" s="26" t="s">
        <v>994</v>
      </c>
      <c r="D148" s="26">
        <v>7</v>
      </c>
      <c r="E148" s="26">
        <v>20009</v>
      </c>
      <c r="F148" s="26">
        <v>237.33099999999999</v>
      </c>
      <c r="G148" s="26">
        <v>-2.9740000000000002</v>
      </c>
      <c r="H148" s="26">
        <v>24.02</v>
      </c>
      <c r="I148" s="26"/>
      <c r="J148" s="31">
        <f>AVERAGE(G147:G148)</f>
        <v>-2.9584999999999999</v>
      </c>
      <c r="K148" s="31">
        <f>STDEV(G147:G148)</f>
        <v>2.1920310216783073E-2</v>
      </c>
      <c r="L148" s="26"/>
      <c r="M148" s="27">
        <f>AVERAGE(E147:E148)</f>
        <v>20572</v>
      </c>
      <c r="N148" s="27">
        <f>STDEV(E147:E148)</f>
        <v>796.20223561605246</v>
      </c>
      <c r="O148" s="28"/>
      <c r="P148" s="29">
        <f>AVERAGE(H147:H148)</f>
        <v>23.981999999999999</v>
      </c>
      <c r="Q148" s="29">
        <f>STDEV(H147:H148)</f>
        <v>5.3740115370177977E-2</v>
      </c>
      <c r="R148" s="28"/>
      <c r="S148" s="29">
        <f>J148-(A148-Standards!$A$121)*Standards!$AA$4</f>
        <v>-2.9778296176470587</v>
      </c>
      <c r="T148" s="29">
        <f>S148-(M148-Standards!$N$121)*Standards!$AA$55</f>
        <v>-3.0403479235294117</v>
      </c>
      <c r="U148" s="29"/>
      <c r="V148" s="28"/>
      <c r="W148" s="29">
        <f>P148-(A148-Standards!$A$121)*Standards!$AL$5</f>
        <v>23.955211235294119</v>
      </c>
      <c r="X148" s="29">
        <f>W148-(M148-Standards!$N$121)*Standards!$AL$54</f>
        <v>24.104994676470589</v>
      </c>
      <c r="Y148" s="125"/>
      <c r="Z148" s="19">
        <f>(T148*Standards!$O$156)+Standards!$O$157</f>
        <v>-2.5531859986444778</v>
      </c>
      <c r="AA148" s="20">
        <f>(X148*Standards!$T$156)+Standards!$T$157</f>
        <v>25.47580325965243</v>
      </c>
    </row>
    <row r="149" spans="1:27" ht="24.95" customHeight="1" x14ac:dyDescent="0.25">
      <c r="A149" s="27">
        <v>76</v>
      </c>
      <c r="B149" s="26" t="s">
        <v>999</v>
      </c>
      <c r="C149" s="26" t="s">
        <v>412</v>
      </c>
      <c r="D149" s="26">
        <v>6</v>
      </c>
      <c r="E149" s="26">
        <v>16768</v>
      </c>
      <c r="F149" s="26">
        <v>207.90600000000001</v>
      </c>
      <c r="G149" s="26">
        <v>-2.7109999999999999</v>
      </c>
      <c r="H149" s="26">
        <v>23.878</v>
      </c>
      <c r="I149" s="26"/>
      <c r="J149" s="26"/>
      <c r="K149" s="26"/>
      <c r="L149" s="26"/>
      <c r="M149" s="27"/>
      <c r="N149" s="27"/>
      <c r="O149" s="28"/>
      <c r="P149" s="29"/>
      <c r="Q149" s="29"/>
      <c r="R149" s="28"/>
      <c r="S149" s="28"/>
      <c r="T149" s="28"/>
      <c r="U149" s="28"/>
      <c r="V149" s="28"/>
      <c r="W149" s="28"/>
      <c r="X149" s="28"/>
      <c r="Y149" s="32"/>
      <c r="Z149" s="33"/>
      <c r="AA149" s="34"/>
    </row>
    <row r="150" spans="1:27" ht="24.95" customHeight="1" x14ac:dyDescent="0.25">
      <c r="A150" s="27">
        <v>76</v>
      </c>
      <c r="B150" s="26" t="s">
        <v>999</v>
      </c>
      <c r="C150" s="26" t="s">
        <v>412</v>
      </c>
      <c r="D150" s="26">
        <v>7</v>
      </c>
      <c r="E150" s="26">
        <v>15783</v>
      </c>
      <c r="F150" s="26">
        <v>195.19499999999999</v>
      </c>
      <c r="G150" s="26">
        <v>-2.6760000000000002</v>
      </c>
      <c r="H150" s="26">
        <v>23.940999999999999</v>
      </c>
      <c r="I150" s="26"/>
      <c r="J150" s="31">
        <f>AVERAGE(G149:G150)</f>
        <v>-2.6935000000000002</v>
      </c>
      <c r="K150" s="31">
        <f>STDEV(G149:G150)</f>
        <v>2.4748737341528947E-2</v>
      </c>
      <c r="L150" s="26"/>
      <c r="M150" s="27">
        <f>AVERAGE(E149:E150)</f>
        <v>16275.5</v>
      </c>
      <c r="N150" s="27">
        <f>STDEV(E149:E150)</f>
        <v>696.50017946874937</v>
      </c>
      <c r="O150" s="28"/>
      <c r="P150" s="29">
        <f>AVERAGE(H149:H150)</f>
        <v>23.909500000000001</v>
      </c>
      <c r="Q150" s="29">
        <f>STDEV(H149:H150)</f>
        <v>4.454772721475167E-2</v>
      </c>
      <c r="R150" s="28"/>
      <c r="S150" s="29">
        <f>J150-(A150-Standards!$A$121)*Standards!$AA$4</f>
        <v>-2.7121066176470592</v>
      </c>
      <c r="T150" s="29">
        <f>S150-(M150-Standards!$N$121)*Standards!$AA$55</f>
        <v>-2.7333785235294119</v>
      </c>
      <c r="U150" s="29"/>
      <c r="V150" s="28"/>
      <c r="W150" s="29">
        <f>P150-(A150-Standards!$A$121)*Standards!$AL$5</f>
        <v>23.88371323529412</v>
      </c>
      <c r="X150" s="29">
        <f>W150-(M150-Standards!$N$121)*Standards!$AL$54</f>
        <v>23.93467717647059</v>
      </c>
      <c r="Y150" s="125"/>
      <c r="Z150" s="19">
        <f>(T150*Standards!$O$156)+Standards!$O$157</f>
        <v>-2.2442949484758539</v>
      </c>
      <c r="AA150" s="20">
        <f>(X150*Standards!$T$156)+Standards!$T$157</f>
        <v>25.306410167085598</v>
      </c>
    </row>
    <row r="151" spans="1:27" ht="24.95" customHeight="1" x14ac:dyDescent="0.25">
      <c r="A151" s="27">
        <v>77</v>
      </c>
      <c r="B151" s="26" t="s">
        <v>1005</v>
      </c>
      <c r="C151" s="26" t="s">
        <v>1006</v>
      </c>
      <c r="D151" s="26">
        <v>6</v>
      </c>
      <c r="E151" s="26">
        <v>19315</v>
      </c>
      <c r="F151" s="26">
        <v>227.29599999999999</v>
      </c>
      <c r="G151" s="26">
        <v>-2.7530000000000001</v>
      </c>
      <c r="H151" s="26">
        <v>23.687999999999999</v>
      </c>
      <c r="I151" s="26"/>
      <c r="J151" s="26"/>
      <c r="K151" s="26"/>
      <c r="L151" s="26"/>
      <c r="M151" s="27"/>
      <c r="N151" s="27"/>
      <c r="O151" s="28"/>
      <c r="P151" s="29"/>
      <c r="Q151" s="29"/>
      <c r="R151" s="28"/>
      <c r="S151" s="28"/>
      <c r="T151" s="28"/>
      <c r="U151" s="28"/>
      <c r="V151" s="28"/>
      <c r="W151" s="28"/>
      <c r="X151" s="28"/>
      <c r="Y151" s="32"/>
      <c r="Z151" s="33"/>
      <c r="AA151" s="34"/>
    </row>
    <row r="152" spans="1:27" ht="24.95" customHeight="1" x14ac:dyDescent="0.25">
      <c r="A152" s="27">
        <v>77</v>
      </c>
      <c r="B152" s="26" t="s">
        <v>1005</v>
      </c>
      <c r="C152" s="26" t="s">
        <v>1006</v>
      </c>
      <c r="D152" s="26">
        <v>7</v>
      </c>
      <c r="E152" s="26">
        <v>18318</v>
      </c>
      <c r="F152" s="26">
        <v>217.08199999999999</v>
      </c>
      <c r="G152" s="26">
        <v>-2.7959999999999998</v>
      </c>
      <c r="H152" s="26">
        <v>23.715</v>
      </c>
      <c r="I152" s="26"/>
      <c r="J152" s="31">
        <f>AVERAGE(G151:G152)</f>
        <v>-2.7744999999999997</v>
      </c>
      <c r="K152" s="31">
        <f>STDEV(G151:G152)</f>
        <v>3.0405591591021335E-2</v>
      </c>
      <c r="L152" s="26"/>
      <c r="M152" s="27">
        <f>AVERAGE(E151:E152)</f>
        <v>18816.5</v>
      </c>
      <c r="N152" s="27">
        <f>STDEV(E151:E152)</f>
        <v>704.98546084298789</v>
      </c>
      <c r="O152" s="28"/>
      <c r="P152" s="29">
        <f>AVERAGE(H151:H152)</f>
        <v>23.701499999999999</v>
      </c>
      <c r="Q152" s="29">
        <f>STDEV(H151:H152)</f>
        <v>1.9091883092037507E-2</v>
      </c>
      <c r="R152" s="28"/>
      <c r="S152" s="29">
        <f>J152-(A152-Standards!$A$121)*Standards!$AA$4</f>
        <v>-2.7923836176470584</v>
      </c>
      <c r="T152" s="29">
        <f>S152-(M152-Standards!$N$121)*Standards!$AA$55</f>
        <v>-2.8380491235294114</v>
      </c>
      <c r="U152" s="29"/>
      <c r="V152" s="28"/>
      <c r="W152" s="29">
        <f>P152-(A152-Standards!$A$121)*Standards!$AL$5</f>
        <v>23.676715235294118</v>
      </c>
      <c r="X152" s="29">
        <f>W152-(M152-Standards!$N$121)*Standards!$AL$54</f>
        <v>23.786122176470588</v>
      </c>
      <c r="Y152" s="125"/>
      <c r="Z152" s="19">
        <f>(T152*Standards!$O$156)+Standards!$O$157</f>
        <v>-2.3496207938395282</v>
      </c>
      <c r="AA152" s="20">
        <f>(X152*Standards!$T$156)+Standards!$T$157</f>
        <v>25.158661457374233</v>
      </c>
    </row>
    <row r="153" spans="1:27" ht="24.95" customHeight="1" x14ac:dyDescent="0.25">
      <c r="A153" s="27">
        <v>78</v>
      </c>
      <c r="B153" s="26" t="s">
        <v>1011</v>
      </c>
      <c r="C153" s="26" t="s">
        <v>428</v>
      </c>
      <c r="D153" s="26">
        <v>6</v>
      </c>
      <c r="E153" s="26">
        <v>14129</v>
      </c>
      <c r="F153" s="26">
        <v>175.124</v>
      </c>
      <c r="G153" s="26">
        <v>-2.9809999999999999</v>
      </c>
      <c r="H153" s="26">
        <v>23.399000000000001</v>
      </c>
      <c r="I153" s="26"/>
      <c r="J153" s="31"/>
      <c r="K153" s="31"/>
      <c r="L153" s="26"/>
      <c r="M153" s="27"/>
      <c r="N153" s="27"/>
      <c r="O153" s="28"/>
      <c r="P153" s="29"/>
      <c r="Q153" s="29"/>
      <c r="R153" s="28"/>
      <c r="S153" s="29"/>
      <c r="T153" s="29"/>
      <c r="U153" s="29"/>
      <c r="V153" s="29"/>
      <c r="W153" s="29"/>
      <c r="X153" s="29"/>
      <c r="Y153" s="32"/>
      <c r="Z153" s="19"/>
      <c r="AA153" s="20"/>
    </row>
    <row r="154" spans="1:27" ht="24.95" customHeight="1" x14ac:dyDescent="0.25">
      <c r="A154" s="27">
        <v>78</v>
      </c>
      <c r="B154" s="26" t="s">
        <v>1011</v>
      </c>
      <c r="C154" s="26" t="s">
        <v>428</v>
      </c>
      <c r="D154" s="26">
        <v>7</v>
      </c>
      <c r="E154" s="26">
        <v>13262</v>
      </c>
      <c r="F154" s="26">
        <v>163.82</v>
      </c>
      <c r="G154" s="26">
        <v>-2.9409999999999998</v>
      </c>
      <c r="H154" s="26">
        <v>23.48</v>
      </c>
      <c r="I154" s="26"/>
      <c r="J154" s="31">
        <f>AVERAGE(G153:G154)</f>
        <v>-2.9609999999999999</v>
      </c>
      <c r="K154" s="31">
        <f>STDEV(G153:G154)</f>
        <v>2.8284271247461926E-2</v>
      </c>
      <c r="L154" s="26"/>
      <c r="M154" s="27">
        <f>AVERAGE(E153:E154)</f>
        <v>13695.5</v>
      </c>
      <c r="N154" s="27">
        <f>STDEV(E153:E154)</f>
        <v>613.06157928873665</v>
      </c>
      <c r="O154" s="28"/>
      <c r="P154" s="29">
        <f>AVERAGE(H153:H154)</f>
        <v>23.439500000000002</v>
      </c>
      <c r="Q154" s="29">
        <f>STDEV(H153:H154)</f>
        <v>5.7275649276110008E-2</v>
      </c>
      <c r="R154" s="28"/>
      <c r="S154" s="29">
        <f>J154-(A154-Standards!$A$121)*Standards!$AA$4</f>
        <v>-2.9781606176470587</v>
      </c>
      <c r="T154" s="29">
        <f>S154-(M154-Standards!$N$121)*Standards!$AA$55</f>
        <v>-2.9746645235294116</v>
      </c>
      <c r="U154" s="29"/>
      <c r="V154" s="28"/>
      <c r="W154" s="29">
        <f>P154-(A154-Standards!$A$121)*Standards!$AL$5</f>
        <v>23.415717235294121</v>
      </c>
      <c r="X154" s="29">
        <f>W154-(M154-Standards!$N$121)*Standards!$AL$54</f>
        <v>23.407341176470592</v>
      </c>
      <c r="Y154" s="125"/>
      <c r="Z154" s="19">
        <f>(T154*Standards!$O$156)+Standards!$O$157</f>
        <v>-2.4870914159119781</v>
      </c>
      <c r="AA154" s="20">
        <f>(X154*Standards!$T$156)+Standards!$T$157</f>
        <v>24.781936311716528</v>
      </c>
    </row>
    <row r="155" spans="1:27" ht="24.95" customHeight="1" x14ac:dyDescent="0.25">
      <c r="A155" s="27">
        <v>79</v>
      </c>
      <c r="B155" s="26" t="s">
        <v>1018</v>
      </c>
      <c r="C155" s="26" t="s">
        <v>632</v>
      </c>
      <c r="D155" s="26">
        <v>6</v>
      </c>
      <c r="E155" s="26">
        <v>14990</v>
      </c>
      <c r="F155" s="26">
        <v>180.67400000000001</v>
      </c>
      <c r="G155" s="26">
        <v>-2.8719999999999999</v>
      </c>
      <c r="H155" s="26">
        <v>23.66</v>
      </c>
      <c r="I155" s="26"/>
      <c r="J155" s="26"/>
      <c r="K155" s="26"/>
      <c r="L155" s="26"/>
      <c r="M155" s="27"/>
      <c r="N155" s="27"/>
      <c r="O155" s="28"/>
      <c r="P155" s="29"/>
      <c r="Q155" s="29"/>
      <c r="R155" s="28"/>
      <c r="S155" s="28"/>
      <c r="T155" s="28"/>
      <c r="U155" s="28"/>
      <c r="V155" s="28"/>
      <c r="W155" s="28"/>
      <c r="X155" s="28"/>
      <c r="Y155" s="32"/>
      <c r="Z155" s="33"/>
      <c r="AA155" s="34"/>
    </row>
    <row r="156" spans="1:27" ht="24.95" customHeight="1" x14ac:dyDescent="0.25">
      <c r="A156" s="27">
        <v>79</v>
      </c>
      <c r="B156" s="26" t="s">
        <v>1018</v>
      </c>
      <c r="C156" s="26" t="s">
        <v>632</v>
      </c>
      <c r="D156" s="26">
        <v>7</v>
      </c>
      <c r="E156" s="26">
        <v>13946</v>
      </c>
      <c r="F156" s="26">
        <v>168.94300000000001</v>
      </c>
      <c r="G156" s="26">
        <v>-2.8180000000000001</v>
      </c>
      <c r="H156" s="26">
        <v>23.693999999999999</v>
      </c>
      <c r="I156" s="26"/>
      <c r="J156" s="31">
        <f>AVERAGE(G155:G156)</f>
        <v>-2.8449999999999998</v>
      </c>
      <c r="K156" s="31">
        <f>STDEV(G155:G156)</f>
        <v>3.8183766184073445E-2</v>
      </c>
      <c r="L156" s="26"/>
      <c r="M156" s="27">
        <f>AVERAGE(E155:E156)</f>
        <v>14468</v>
      </c>
      <c r="N156" s="27">
        <f>STDEV(E155:E156)</f>
        <v>738.21947955875567</v>
      </c>
      <c r="O156" s="28"/>
      <c r="P156" s="29">
        <f>AVERAGE(H155:H156)</f>
        <v>23.677</v>
      </c>
      <c r="Q156" s="29">
        <f>STDEV(H155:H156)</f>
        <v>2.4041630560341854E-2</v>
      </c>
      <c r="R156" s="28"/>
      <c r="S156" s="29">
        <f>J156-(A156-Standards!$A$121)*Standards!$AA$4</f>
        <v>-2.8614376176470584</v>
      </c>
      <c r="T156" s="29">
        <f>S156-(M156-Standards!$N$121)*Standards!$AA$55</f>
        <v>-2.8653575235294113</v>
      </c>
      <c r="U156" s="29"/>
      <c r="V156" s="28"/>
      <c r="W156" s="29">
        <f>P156-(A156-Standards!$A$121)*Standards!$AL$5</f>
        <v>23.654219235294118</v>
      </c>
      <c r="X156" s="29">
        <f>W156-(M156-Standards!$N$121)*Standards!$AL$54</f>
        <v>23.66361067647059</v>
      </c>
      <c r="Y156" s="125"/>
      <c r="Z156" s="19">
        <f>(T156*Standards!$O$156)+Standards!$O$157</f>
        <v>-2.3771001463561792</v>
      </c>
      <c r="AA156" s="20">
        <f>(X156*Standards!$T$156)+Standards!$T$157</f>
        <v>25.036814895159541</v>
      </c>
    </row>
    <row r="157" spans="1:27" ht="24.95" customHeight="1" x14ac:dyDescent="0.25">
      <c r="A157" s="27">
        <v>80</v>
      </c>
      <c r="B157" s="26" t="s">
        <v>1024</v>
      </c>
      <c r="C157" s="26" t="s">
        <v>310</v>
      </c>
      <c r="D157" s="26">
        <v>6</v>
      </c>
      <c r="E157" s="26">
        <v>15631</v>
      </c>
      <c r="F157" s="26">
        <v>192.46199999999999</v>
      </c>
      <c r="G157" s="26">
        <v>-3.331</v>
      </c>
      <c r="H157" s="26">
        <v>23.637</v>
      </c>
      <c r="I157" s="26"/>
      <c r="J157" s="26"/>
      <c r="K157" s="26"/>
      <c r="L157" s="26"/>
      <c r="M157" s="27"/>
      <c r="N157" s="27"/>
      <c r="O157" s="28"/>
      <c r="P157" s="29"/>
      <c r="Q157" s="29"/>
      <c r="R157" s="28"/>
      <c r="S157" s="28"/>
      <c r="T157" s="28"/>
      <c r="U157" s="28"/>
      <c r="V157" s="28"/>
      <c r="W157" s="28"/>
      <c r="X157" s="28"/>
      <c r="Y157" s="32"/>
      <c r="Z157" s="33"/>
      <c r="AA157" s="34"/>
    </row>
    <row r="158" spans="1:27" ht="24.95" customHeight="1" x14ac:dyDescent="0.25">
      <c r="A158" s="27">
        <v>80</v>
      </c>
      <c r="B158" s="26" t="s">
        <v>1024</v>
      </c>
      <c r="C158" s="26" t="s">
        <v>310</v>
      </c>
      <c r="D158" s="26">
        <v>7</v>
      </c>
      <c r="E158" s="26">
        <v>14698</v>
      </c>
      <c r="F158" s="26">
        <v>179.91</v>
      </c>
      <c r="G158" s="26">
        <v>-3.331</v>
      </c>
      <c r="H158" s="26">
        <v>23.678999999999998</v>
      </c>
      <c r="I158" s="26"/>
      <c r="J158" s="31">
        <f>AVERAGE(G157:G158)</f>
        <v>-3.331</v>
      </c>
      <c r="K158" s="31">
        <f>STDEV(G157:G158)</f>
        <v>0</v>
      </c>
      <c r="L158" s="26"/>
      <c r="M158" s="27">
        <f>AVERAGE(E157:E158)</f>
        <v>15164.5</v>
      </c>
      <c r="N158" s="27">
        <f>STDEV(E157:E158)</f>
        <v>659.73062684704882</v>
      </c>
      <c r="O158" s="28"/>
      <c r="P158" s="29">
        <f>AVERAGE(H157:H158)</f>
        <v>23.658000000000001</v>
      </c>
      <c r="Q158" s="29">
        <f>STDEV(H157:H158)</f>
        <v>2.9698484809833607E-2</v>
      </c>
      <c r="R158" s="28"/>
      <c r="S158" s="29">
        <f>J158-(A158-Standards!$A$121)*Standards!$AA$4</f>
        <v>-3.3467146176470588</v>
      </c>
      <c r="T158" s="29">
        <f>S158-(M158-Standards!$N$121)*Standards!$AA$55</f>
        <v>-3.3573209235294117</v>
      </c>
      <c r="U158" s="29"/>
      <c r="V158" s="28"/>
      <c r="W158" s="29">
        <f>P158-(A158-Standards!$A$121)*Standards!$AL$5</f>
        <v>23.636221235294119</v>
      </c>
      <c r="X158" s="29">
        <f>W158-(M158-Standards!$N$121)*Standards!$AL$54</f>
        <v>23.66163217647059</v>
      </c>
      <c r="Y158" s="125"/>
      <c r="Z158" s="19">
        <f>(T158*Standards!$O$156)+Standards!$O$157</f>
        <v>-2.8721432720570701</v>
      </c>
      <c r="AA158" s="20">
        <f>(X158*Standards!$T$156)+Standards!$T$157</f>
        <v>25.034847133575184</v>
      </c>
    </row>
    <row r="159" spans="1:27" ht="24.95" customHeight="1" x14ac:dyDescent="0.25">
      <c r="A159" s="27">
        <v>81</v>
      </c>
      <c r="B159" s="26" t="s">
        <v>1030</v>
      </c>
      <c r="C159" s="26" t="s">
        <v>1031</v>
      </c>
      <c r="D159" s="26">
        <v>6</v>
      </c>
      <c r="E159" s="26">
        <v>19902</v>
      </c>
      <c r="F159" s="26">
        <v>242.185</v>
      </c>
      <c r="G159" s="26">
        <v>-3.649</v>
      </c>
      <c r="H159" s="26">
        <v>24.042000000000002</v>
      </c>
      <c r="I159" s="26"/>
      <c r="J159" s="26"/>
      <c r="K159" s="26"/>
      <c r="L159" s="26"/>
      <c r="M159" s="27"/>
      <c r="N159" s="27"/>
      <c r="O159" s="28"/>
      <c r="P159" s="29"/>
      <c r="Q159" s="29"/>
      <c r="R159" s="28"/>
      <c r="S159" s="28"/>
      <c r="T159" s="28"/>
      <c r="U159" s="28"/>
      <c r="V159" s="28"/>
      <c r="W159" s="28"/>
      <c r="X159" s="28"/>
      <c r="Y159" s="125"/>
      <c r="Z159" s="51"/>
      <c r="AA159" s="52"/>
    </row>
    <row r="160" spans="1:27" ht="24.95" customHeight="1" x14ac:dyDescent="0.25">
      <c r="A160" s="27">
        <v>81</v>
      </c>
      <c r="B160" s="26" t="s">
        <v>1030</v>
      </c>
      <c r="C160" s="26" t="s">
        <v>1031</v>
      </c>
      <c r="D160" s="26">
        <v>7</v>
      </c>
      <c r="E160" s="26">
        <v>18489</v>
      </c>
      <c r="F160" s="26">
        <v>226.00200000000001</v>
      </c>
      <c r="G160" s="26">
        <v>-3.6230000000000002</v>
      </c>
      <c r="H160" s="26">
        <v>24.071999999999999</v>
      </c>
      <c r="I160" s="26"/>
      <c r="J160" s="31">
        <f>AVERAGE(G159:G160)</f>
        <v>-3.6360000000000001</v>
      </c>
      <c r="K160" s="31">
        <f>STDEV(G159:G160)</f>
        <v>1.8384776310850094E-2</v>
      </c>
      <c r="L160" s="26"/>
      <c r="M160" s="27">
        <f>AVERAGE(E159:E160)</f>
        <v>19195.5</v>
      </c>
      <c r="N160" s="27">
        <f>STDEV(E159:E160)</f>
        <v>999.14188181659165</v>
      </c>
      <c r="O160" s="28"/>
      <c r="P160" s="29">
        <f>AVERAGE(H159:H160)</f>
        <v>24.057000000000002</v>
      </c>
      <c r="Q160" s="29">
        <f>STDEV(H159:H160)</f>
        <v>2.1213203435594716E-2</v>
      </c>
      <c r="R160" s="28"/>
      <c r="S160" s="29">
        <f>J160-(A160-Standards!$A$121)*Standards!$AA$4</f>
        <v>-3.6509916176470592</v>
      </c>
      <c r="T160" s="29">
        <f>S160-(M160-Standards!$N$121)*Standards!$AA$55</f>
        <v>-3.7002955235294119</v>
      </c>
      <c r="U160" s="29"/>
      <c r="V160" s="28"/>
      <c r="W160" s="29">
        <f>P160-(A160-Standards!$A$121)*Standards!$AL$5</f>
        <v>24.03622323529412</v>
      </c>
      <c r="X160" s="29">
        <f>W160-(M160-Standards!$N$121)*Standards!$AL$54</f>
        <v>24.154347176470591</v>
      </c>
      <c r="Y160" s="125"/>
      <c r="Z160" s="19">
        <f>(T160*Standards!$O$156)+Standards!$O$157</f>
        <v>-3.2172649173258296</v>
      </c>
      <c r="AA160" s="20">
        <f>(X160*Standards!$T$156)+Standards!$T$157</f>
        <v>25.524887896292263</v>
      </c>
    </row>
    <row r="161" spans="1:27" ht="24.95" customHeight="1" x14ac:dyDescent="0.25">
      <c r="A161" s="27">
        <v>82</v>
      </c>
      <c r="B161" s="26" t="s">
        <v>1036</v>
      </c>
      <c r="C161" s="26" t="s">
        <v>698</v>
      </c>
      <c r="D161" s="26">
        <v>6</v>
      </c>
      <c r="E161" s="26">
        <v>11347</v>
      </c>
      <c r="F161" s="26">
        <v>139.05799999999999</v>
      </c>
      <c r="G161" s="26">
        <v>-3.1989999999999998</v>
      </c>
      <c r="H161" s="26">
        <v>23.997</v>
      </c>
      <c r="I161" s="26"/>
      <c r="J161" s="26"/>
      <c r="K161" s="26"/>
      <c r="L161" s="26"/>
      <c r="M161" s="53"/>
      <c r="N161" s="27"/>
      <c r="O161" s="28"/>
      <c r="P161" s="29"/>
      <c r="Q161" s="29"/>
      <c r="R161" s="28"/>
      <c r="S161" s="28"/>
      <c r="T161" s="28"/>
      <c r="U161" s="28"/>
      <c r="V161" s="28"/>
      <c r="W161" s="28"/>
      <c r="X161" s="28"/>
      <c r="Y161" s="32"/>
      <c r="Z161" s="33"/>
      <c r="AA161" s="34"/>
    </row>
    <row r="162" spans="1:27" ht="24.95" customHeight="1" x14ac:dyDescent="0.25">
      <c r="A162" s="27">
        <v>82</v>
      </c>
      <c r="B162" s="26" t="s">
        <v>1036</v>
      </c>
      <c r="C162" s="26" t="s">
        <v>698</v>
      </c>
      <c r="D162" s="26">
        <v>7</v>
      </c>
      <c r="E162" s="26">
        <v>10714</v>
      </c>
      <c r="F162" s="26">
        <v>130.06</v>
      </c>
      <c r="G162" s="26">
        <v>-3.1709999999999998</v>
      </c>
      <c r="H162" s="26">
        <v>23.998000000000001</v>
      </c>
      <c r="I162" s="26"/>
      <c r="J162" s="31">
        <f>AVERAGE(G161:G162)</f>
        <v>-3.1849999999999996</v>
      </c>
      <c r="K162" s="31">
        <f>STDEV(G161:G162)</f>
        <v>1.9798989873223347E-2</v>
      </c>
      <c r="L162" s="26"/>
      <c r="M162" s="27">
        <f>AVERAGE(E161:E162)</f>
        <v>11030.5</v>
      </c>
      <c r="N162" s="27">
        <f>STDEV(E161:E162)</f>
        <v>447.59859249108456</v>
      </c>
      <c r="O162" s="28"/>
      <c r="P162" s="29">
        <f>AVERAGE(H161:H162)</f>
        <v>23.997500000000002</v>
      </c>
      <c r="Q162" s="29">
        <f>STDEV(H161:H162)</f>
        <v>7.0710678118741173E-4</v>
      </c>
      <c r="R162" s="28"/>
      <c r="S162" s="29">
        <f>J162-(A162-Standards!$A$121)*Standards!$AA$4</f>
        <v>-3.1992686176470584</v>
      </c>
      <c r="T162" s="29">
        <f>S162-(M162-Standards!$N$121)*Standards!$AA$55</f>
        <v>-3.1701885235294114</v>
      </c>
      <c r="U162" s="29"/>
      <c r="V162" s="28"/>
      <c r="W162" s="29">
        <f>P162-(A162-Standards!$A$121)*Standards!$AL$5</f>
        <v>23.97772523529412</v>
      </c>
      <c r="X162" s="29">
        <f>W162-(M162-Standards!$N$121)*Standards!$AL$54</f>
        <v>23.908054176470589</v>
      </c>
      <c r="Y162" s="125"/>
      <c r="Z162" s="19">
        <f>(T162*Standards!$O$156)+Standards!$O$157</f>
        <v>-2.6838394099894662</v>
      </c>
      <c r="AA162" s="20">
        <f>(X162*Standards!$T$156)+Standards!$T$157</f>
        <v>25.279931664856488</v>
      </c>
    </row>
    <row r="163" spans="1:27" s="117" customFormat="1" ht="24.95" customHeight="1" x14ac:dyDescent="0.25">
      <c r="A163" s="64">
        <v>83</v>
      </c>
      <c r="B163" s="65" t="s">
        <v>1043</v>
      </c>
      <c r="C163" s="65" t="s">
        <v>420</v>
      </c>
      <c r="D163" s="65">
        <v>6</v>
      </c>
      <c r="E163" s="65">
        <v>10743</v>
      </c>
      <c r="F163" s="65">
        <v>133.30500000000001</v>
      </c>
      <c r="G163" s="65">
        <v>3.847</v>
      </c>
      <c r="H163" s="65">
        <v>25.297000000000001</v>
      </c>
      <c r="I163" s="65"/>
      <c r="J163" s="65"/>
      <c r="K163" s="65"/>
      <c r="L163" s="65"/>
      <c r="M163" s="64"/>
      <c r="N163" s="64"/>
      <c r="O163" s="67"/>
      <c r="P163" s="68"/>
      <c r="Q163" s="68"/>
      <c r="R163" s="67"/>
      <c r="S163" s="28"/>
      <c r="T163" s="67"/>
      <c r="U163" s="67"/>
      <c r="V163" s="67"/>
      <c r="W163" s="28"/>
      <c r="X163" s="67"/>
      <c r="Y163" s="74"/>
      <c r="Z163" s="72"/>
      <c r="AA163" s="73"/>
    </row>
    <row r="164" spans="1:27" s="117" customFormat="1" ht="24.95" customHeight="1" x14ac:dyDescent="0.25">
      <c r="A164" s="64">
        <v>83</v>
      </c>
      <c r="B164" s="65" t="s">
        <v>1043</v>
      </c>
      <c r="C164" s="65" t="s">
        <v>420</v>
      </c>
      <c r="D164" s="65">
        <v>7</v>
      </c>
      <c r="E164" s="65">
        <v>10092</v>
      </c>
      <c r="F164" s="65">
        <v>125.098</v>
      </c>
      <c r="G164" s="65">
        <v>3.9369999999999998</v>
      </c>
      <c r="H164" s="65">
        <v>25.34</v>
      </c>
      <c r="I164" s="65"/>
      <c r="J164" s="66">
        <f>AVERAGE(G163:G164)</f>
        <v>3.8919999999999999</v>
      </c>
      <c r="K164" s="66">
        <f>STDEV(G163:G164)</f>
        <v>6.3639610306789177E-2</v>
      </c>
      <c r="L164" s="65"/>
      <c r="M164" s="64">
        <f>AVERAGE(E163:E164)</f>
        <v>10417.5</v>
      </c>
      <c r="N164" s="64">
        <f>STDEV(E163:E164)</f>
        <v>460.32651455244246</v>
      </c>
      <c r="O164" s="67"/>
      <c r="P164" s="68">
        <f>AVERAGE(H163:H164)</f>
        <v>25.3185</v>
      </c>
      <c r="Q164" s="68">
        <f>STDEV(H163:H164)</f>
        <v>3.0405591591021019E-2</v>
      </c>
      <c r="R164" s="67"/>
      <c r="S164" s="29">
        <f>J164-(A164-Standards!$A$121)*Standards!$AA$4</f>
        <v>3.8784543823529409</v>
      </c>
      <c r="T164" s="68">
        <f>S164-(M164-Standards!$N$121)*Standards!$AA$55</f>
        <v>3.913419276470588</v>
      </c>
      <c r="U164" s="68"/>
      <c r="V164" s="67"/>
      <c r="W164" s="29">
        <f>P164-(A164-Standards!$A$121)*Standards!$AL$5</f>
        <v>25.299727235294117</v>
      </c>
      <c r="X164" s="68">
        <f>W164-(M164-Standards!$N$121)*Standards!$AL$54</f>
        <v>25.215957176470589</v>
      </c>
      <c r="Y164" s="124"/>
      <c r="Z164" s="69">
        <f>(T164*Standards!$O$156)+Standards!$O$157</f>
        <v>4.4441122761546854</v>
      </c>
      <c r="AA164" s="70">
        <f>(X164*Standards!$T$156)+Standards!$T$157</f>
        <v>26.580735950660564</v>
      </c>
    </row>
    <row r="165" spans="1:27" s="117" customFormat="1" ht="24.95" customHeight="1" x14ac:dyDescent="0.25">
      <c r="A165" s="64">
        <v>84</v>
      </c>
      <c r="B165" s="65" t="s">
        <v>1050</v>
      </c>
      <c r="C165" s="65" t="s">
        <v>340</v>
      </c>
      <c r="D165" s="65">
        <v>6</v>
      </c>
      <c r="E165" s="65">
        <v>13432</v>
      </c>
      <c r="F165" s="65">
        <v>160.11099999999999</v>
      </c>
      <c r="G165" s="65">
        <v>3.879</v>
      </c>
      <c r="H165" s="65">
        <v>25.335000000000001</v>
      </c>
      <c r="I165" s="65"/>
      <c r="J165" s="66"/>
      <c r="K165" s="66"/>
      <c r="L165" s="65"/>
      <c r="M165" s="64"/>
      <c r="N165" s="64"/>
      <c r="O165" s="67"/>
      <c r="P165" s="68"/>
      <c r="Q165" s="68"/>
      <c r="R165" s="67"/>
      <c r="S165" s="28"/>
      <c r="T165" s="67"/>
      <c r="U165" s="67"/>
      <c r="V165" s="68"/>
      <c r="W165" s="28"/>
      <c r="X165" s="67"/>
      <c r="Y165" s="74"/>
      <c r="Z165" s="72"/>
      <c r="AA165" s="73"/>
    </row>
    <row r="166" spans="1:27" s="117" customFormat="1" ht="24.95" customHeight="1" x14ac:dyDescent="0.25">
      <c r="A166" s="64">
        <v>84</v>
      </c>
      <c r="B166" s="65" t="s">
        <v>1050</v>
      </c>
      <c r="C166" s="65" t="s">
        <v>340</v>
      </c>
      <c r="D166" s="65">
        <v>7</v>
      </c>
      <c r="E166" s="65">
        <v>12713</v>
      </c>
      <c r="F166" s="65">
        <v>150.786</v>
      </c>
      <c r="G166" s="65">
        <v>3.9750000000000001</v>
      </c>
      <c r="H166" s="65">
        <v>25.347000000000001</v>
      </c>
      <c r="I166" s="65"/>
      <c r="J166" s="66">
        <f>AVERAGE(G165:G166)</f>
        <v>3.927</v>
      </c>
      <c r="K166" s="66">
        <f>STDEV(G165:G166)</f>
        <v>6.7882250993908627E-2</v>
      </c>
      <c r="L166" s="65"/>
      <c r="M166" s="64">
        <f>AVERAGE(E165:E166)</f>
        <v>13072.5</v>
      </c>
      <c r="N166" s="64">
        <f>STDEV(E165:E166)</f>
        <v>508.40977567312768</v>
      </c>
      <c r="O166" s="67"/>
      <c r="P166" s="68">
        <f>AVERAGE(H165:H166)</f>
        <v>25.341000000000001</v>
      </c>
      <c r="Q166" s="68">
        <f>STDEV(H165:H166)</f>
        <v>8.4852813742388924E-3</v>
      </c>
      <c r="R166" s="67"/>
      <c r="S166" s="29">
        <f>J166-(A166-Standards!$A$121)*Standards!$AA$4</f>
        <v>3.9141773823529413</v>
      </c>
      <c r="T166" s="68">
        <f>S166-(M166-Standards!$N$121)*Standards!$AA$55</f>
        <v>3.9236542764705882</v>
      </c>
      <c r="U166" s="68"/>
      <c r="V166" s="67"/>
      <c r="W166" s="29">
        <f>P166-(A166-Standards!$A$121)*Standards!$AL$5</f>
        <v>25.323229235294118</v>
      </c>
      <c r="X166" s="68">
        <f>W166-(M166-Standards!$N$121)*Standards!$AL$54</f>
        <v>25.300524176470589</v>
      </c>
      <c r="Y166" s="124"/>
      <c r="Z166" s="69">
        <f>(T166*Standards!$O$156)+Standards!$O$157</f>
        <v>4.4544113479790299</v>
      </c>
      <c r="AA166" s="70">
        <f>(X166*Standards!$T$156)+Standards!$T$157</f>
        <v>26.664843958699073</v>
      </c>
    </row>
    <row r="167" spans="1:27" ht="24.95" customHeight="1" x14ac:dyDescent="0.25">
      <c r="A167" s="27">
        <v>85</v>
      </c>
      <c r="B167" s="26" t="s">
        <v>1057</v>
      </c>
      <c r="C167" s="26" t="s">
        <v>280</v>
      </c>
      <c r="D167" s="26">
        <v>6</v>
      </c>
      <c r="E167" s="26">
        <v>13181</v>
      </c>
      <c r="F167" s="26">
        <v>163.898</v>
      </c>
      <c r="G167" s="26">
        <v>-2.964</v>
      </c>
      <c r="H167" s="26">
        <v>24.390999999999998</v>
      </c>
      <c r="I167" s="26"/>
      <c r="J167" s="26"/>
      <c r="K167" s="26"/>
      <c r="L167" s="26"/>
      <c r="M167" s="27"/>
      <c r="N167" s="27"/>
      <c r="O167" s="28"/>
      <c r="P167" s="29"/>
      <c r="Q167" s="29"/>
      <c r="R167" s="28"/>
      <c r="S167" s="28"/>
      <c r="T167" s="28"/>
      <c r="U167" s="28"/>
      <c r="V167" s="28"/>
      <c r="W167" s="28"/>
      <c r="X167" s="28"/>
      <c r="Y167" s="32"/>
      <c r="Z167" s="33"/>
      <c r="AA167" s="34"/>
    </row>
    <row r="168" spans="1:27" ht="24.95" customHeight="1" x14ac:dyDescent="0.25">
      <c r="A168" s="27">
        <v>85</v>
      </c>
      <c r="B168" s="26" t="s">
        <v>1057</v>
      </c>
      <c r="C168" s="26" t="s">
        <v>280</v>
      </c>
      <c r="D168" s="26">
        <v>7</v>
      </c>
      <c r="E168" s="26">
        <v>12372</v>
      </c>
      <c r="F168" s="26">
        <v>153.40899999999999</v>
      </c>
      <c r="G168" s="26">
        <v>-2.9329999999999998</v>
      </c>
      <c r="H168" s="26">
        <v>24.419</v>
      </c>
      <c r="I168" s="26"/>
      <c r="J168" s="31">
        <f>AVERAGE(G167:G168)</f>
        <v>-2.9485000000000001</v>
      </c>
      <c r="K168" s="31">
        <f>STDEV(G167:G168)</f>
        <v>2.1920310216783073E-2</v>
      </c>
      <c r="L168" s="26"/>
      <c r="M168" s="27">
        <f>AVERAGE(E167:E168)</f>
        <v>12776.5</v>
      </c>
      <c r="N168" s="27">
        <f>STDEV(E167:E168)</f>
        <v>572.04938597991691</v>
      </c>
      <c r="O168" s="28"/>
      <c r="P168" s="29">
        <f>AVERAGE(H167:H168)</f>
        <v>24.405000000000001</v>
      </c>
      <c r="Q168" s="29">
        <f>STDEV(H167:H168)</f>
        <v>1.9798989873224919E-2</v>
      </c>
      <c r="R168" s="28"/>
      <c r="S168" s="29">
        <f>J168-(A168-Standards!$A$121)*Standards!$AA$4</f>
        <v>-2.960599617647059</v>
      </c>
      <c r="T168" s="29">
        <f>S168-(M168-Standards!$N$121)*Standards!$AA$55</f>
        <v>-2.9482811235294122</v>
      </c>
      <c r="U168" s="29"/>
      <c r="V168" s="28"/>
      <c r="W168" s="29">
        <f>P168-(A168-Standards!$A$121)*Standards!$AL$5</f>
        <v>24.388231235294118</v>
      </c>
      <c r="X168" s="29">
        <f>W168-(M168-Standards!$N$121)*Standards!$AL$54</f>
        <v>24.358718176470589</v>
      </c>
      <c r="Y168" s="125"/>
      <c r="Z168" s="19">
        <f>(T168*Standards!$O$156)+Standards!$O$157</f>
        <v>-2.4605428539607912</v>
      </c>
      <c r="AA168" s="20">
        <f>(X168*Standards!$T$156)+Standards!$T$157</f>
        <v>25.728149661647997</v>
      </c>
    </row>
    <row r="169" spans="1:27" ht="24.95" customHeight="1" x14ac:dyDescent="0.25">
      <c r="A169" s="27">
        <v>86</v>
      </c>
      <c r="B169" s="26" t="s">
        <v>1062</v>
      </c>
      <c r="C169" s="26" t="s">
        <v>496</v>
      </c>
      <c r="D169" s="26">
        <v>6</v>
      </c>
      <c r="E169" s="26">
        <v>16663</v>
      </c>
      <c r="F169" s="26">
        <v>196.393</v>
      </c>
      <c r="G169" s="26">
        <v>-2.3780000000000001</v>
      </c>
      <c r="H169" s="26">
        <v>24.132999999999999</v>
      </c>
      <c r="I169" s="26"/>
      <c r="J169" s="26"/>
      <c r="K169" s="26"/>
      <c r="L169" s="26"/>
      <c r="M169" s="27"/>
      <c r="N169" s="27"/>
      <c r="O169" s="28"/>
      <c r="P169" s="29"/>
      <c r="Q169" s="29"/>
      <c r="R169" s="28"/>
      <c r="S169" s="28"/>
      <c r="T169" s="28"/>
      <c r="U169" s="28"/>
      <c r="V169" s="28"/>
      <c r="W169" s="28"/>
      <c r="X169" s="28"/>
      <c r="Y169" s="32"/>
      <c r="Z169" s="33"/>
      <c r="AA169" s="34"/>
    </row>
    <row r="170" spans="1:27" ht="24.95" customHeight="1" x14ac:dyDescent="0.25">
      <c r="A170" s="27">
        <v>86</v>
      </c>
      <c r="B170" s="26" t="s">
        <v>1062</v>
      </c>
      <c r="C170" s="26" t="s">
        <v>496</v>
      </c>
      <c r="D170" s="26">
        <v>7</v>
      </c>
      <c r="E170" s="26">
        <v>15683</v>
      </c>
      <c r="F170" s="26">
        <v>186.47300000000001</v>
      </c>
      <c r="G170" s="26">
        <v>-2.44</v>
      </c>
      <c r="H170" s="26">
        <v>24.126000000000001</v>
      </c>
      <c r="I170" s="26"/>
      <c r="J170" s="31">
        <f>AVERAGE(G169:G170)</f>
        <v>-2.4089999999999998</v>
      </c>
      <c r="K170" s="31">
        <f>STDEV(G169:G170)</f>
        <v>4.3840620433565826E-2</v>
      </c>
      <c r="L170" s="26"/>
      <c r="M170" s="27">
        <f>AVERAGE(E169:E170)</f>
        <v>16173</v>
      </c>
      <c r="N170" s="27">
        <f>STDEV(E169:E170)</f>
        <v>692.9646455628166</v>
      </c>
      <c r="O170" s="28"/>
      <c r="P170" s="29">
        <f>AVERAGE(H169:H170)</f>
        <v>24.1295</v>
      </c>
      <c r="Q170" s="29">
        <f>STDEV(H169:H170)</f>
        <v>4.9497474683043458E-3</v>
      </c>
      <c r="R170" s="28"/>
      <c r="S170" s="29">
        <f>J170-(A170-Standards!$A$121)*Standards!$AA$4</f>
        <v>-2.4203766176470585</v>
      </c>
      <c r="T170" s="29">
        <f>S170-(M170-Standards!$N$121)*Standards!$AA$55</f>
        <v>-2.4406645235294113</v>
      </c>
      <c r="U170" s="29"/>
      <c r="V170" s="28"/>
      <c r="W170" s="29">
        <f>P170-(A170-Standards!$A$121)*Standards!$AL$5</f>
        <v>24.113733235294116</v>
      </c>
      <c r="X170" s="29">
        <f>W170-(M170-Standards!$N$121)*Standards!$AL$54</f>
        <v>24.162339676470587</v>
      </c>
      <c r="Y170" s="125"/>
      <c r="Z170" s="19">
        <f>(T170*Standards!$O$156)+Standards!$O$157</f>
        <v>-1.9497485381201023</v>
      </c>
      <c r="AA170" s="20">
        <f>(X170*Standards!$T$156)+Standards!$T$157</f>
        <v>25.532837016566692</v>
      </c>
    </row>
    <row r="171" spans="1:27" ht="24.95" customHeight="1" x14ac:dyDescent="0.25">
      <c r="A171" s="27">
        <v>87</v>
      </c>
      <c r="B171" s="26" t="s">
        <v>1067</v>
      </c>
      <c r="C171" s="26" t="s">
        <v>340</v>
      </c>
      <c r="D171" s="26">
        <v>6</v>
      </c>
      <c r="E171" s="26">
        <v>13493</v>
      </c>
      <c r="F171" s="26">
        <v>167.31100000000001</v>
      </c>
      <c r="G171" s="26">
        <v>-2.2160000000000002</v>
      </c>
      <c r="H171" s="26">
        <v>24.300999999999998</v>
      </c>
      <c r="I171" s="26"/>
      <c r="J171" s="26"/>
      <c r="K171" s="26"/>
      <c r="L171" s="26"/>
      <c r="M171" s="27"/>
      <c r="N171" s="27"/>
      <c r="O171" s="28"/>
      <c r="P171" s="29"/>
      <c r="Q171" s="29"/>
      <c r="R171" s="28"/>
      <c r="S171" s="28"/>
      <c r="T171" s="28"/>
      <c r="U171" s="28"/>
      <c r="V171" s="28"/>
      <c r="W171" s="28"/>
      <c r="X171" s="28"/>
      <c r="Y171" s="32"/>
      <c r="Z171" s="33"/>
      <c r="AA171" s="34"/>
    </row>
    <row r="172" spans="1:27" ht="24.95" customHeight="1" x14ac:dyDescent="0.25">
      <c r="A172" s="27">
        <v>87</v>
      </c>
      <c r="B172" s="26" t="s">
        <v>1067</v>
      </c>
      <c r="C172" s="26" t="s">
        <v>340</v>
      </c>
      <c r="D172" s="26">
        <v>7</v>
      </c>
      <c r="E172" s="26">
        <v>12712</v>
      </c>
      <c r="F172" s="26">
        <v>157.02500000000001</v>
      </c>
      <c r="G172" s="26">
        <v>-2.1560000000000001</v>
      </c>
      <c r="H172" s="26">
        <v>24.321999999999999</v>
      </c>
      <c r="I172" s="26"/>
      <c r="J172" s="31">
        <f>AVERAGE(G171:G172)</f>
        <v>-2.1859999999999999</v>
      </c>
      <c r="K172" s="31">
        <f>STDEV(G171:G172)</f>
        <v>4.2426406871192889E-2</v>
      </c>
      <c r="L172" s="26"/>
      <c r="M172" s="27">
        <f>AVERAGE(E171:E172)</f>
        <v>13102.5</v>
      </c>
      <c r="N172" s="27">
        <f>STDEV(E171:E172)</f>
        <v>552.25039610669364</v>
      </c>
      <c r="O172" s="28"/>
      <c r="P172" s="29">
        <f>AVERAGE(H171:H172)</f>
        <v>24.311499999999999</v>
      </c>
      <c r="Q172" s="29">
        <f>STDEV(H171:H172)</f>
        <v>1.4849242404918061E-2</v>
      </c>
      <c r="R172" s="28"/>
      <c r="S172" s="29">
        <f>J172-(A172-Standards!$A$121)*Standards!$AA$4</f>
        <v>-2.1966536176470588</v>
      </c>
      <c r="T172" s="29">
        <f>S172-(M172-Standards!$N$121)*Standards!$AA$55</f>
        <v>-2.1874647235294118</v>
      </c>
      <c r="U172" s="29"/>
      <c r="V172" s="28"/>
      <c r="W172" s="29">
        <f>P172-(A172-Standards!$A$121)*Standards!$AL$5</f>
        <v>24.296735235294115</v>
      </c>
      <c r="X172" s="29">
        <f>W172-(M172-Standards!$N$121)*Standards!$AL$54</f>
        <v>24.274720176470584</v>
      </c>
      <c r="Y172" s="125"/>
      <c r="Z172" s="19">
        <f>(T172*Standards!$O$156)+Standards!$O$157</f>
        <v>-1.6949636894528228</v>
      </c>
      <c r="AA172" s="20">
        <f>(X172*Standards!$T$156)+Standards!$T$157</f>
        <v>25.644607565331242</v>
      </c>
    </row>
    <row r="173" spans="1:27" ht="24.95" customHeight="1" x14ac:dyDescent="0.25">
      <c r="A173" s="27">
        <v>88</v>
      </c>
      <c r="B173" s="26" t="s">
        <v>1075</v>
      </c>
      <c r="C173" s="26" t="s">
        <v>1076</v>
      </c>
      <c r="D173" s="26">
        <v>6</v>
      </c>
      <c r="E173" s="26">
        <v>11854</v>
      </c>
      <c r="F173" s="26">
        <v>140.55699999999999</v>
      </c>
      <c r="G173" s="26">
        <v>-2.403</v>
      </c>
      <c r="H173" s="26">
        <v>24.32</v>
      </c>
      <c r="I173" s="26"/>
      <c r="J173" s="31"/>
      <c r="K173" s="31"/>
      <c r="L173" s="26"/>
      <c r="M173" s="27"/>
      <c r="N173" s="27"/>
      <c r="O173" s="28"/>
      <c r="P173" s="29"/>
      <c r="Q173" s="29"/>
      <c r="R173" s="28"/>
      <c r="S173" s="29"/>
      <c r="T173" s="29"/>
      <c r="U173" s="29"/>
      <c r="V173" s="29"/>
      <c r="W173" s="29"/>
      <c r="X173" s="29"/>
      <c r="Y173" s="32"/>
      <c r="Z173" s="35"/>
      <c r="AA173" s="36"/>
    </row>
    <row r="174" spans="1:27" ht="24.95" customHeight="1" x14ac:dyDescent="0.25">
      <c r="A174" s="27">
        <v>88</v>
      </c>
      <c r="B174" s="26" t="s">
        <v>1075</v>
      </c>
      <c r="C174" s="26" t="s">
        <v>1076</v>
      </c>
      <c r="D174" s="26">
        <v>7</v>
      </c>
      <c r="E174" s="26">
        <v>11079</v>
      </c>
      <c r="F174" s="26">
        <v>131.65199999999999</v>
      </c>
      <c r="G174" s="26">
        <v>-2.3530000000000002</v>
      </c>
      <c r="H174" s="26">
        <v>24.381</v>
      </c>
      <c r="I174" s="26"/>
      <c r="J174" s="31">
        <f>AVERAGE(G173:G174)</f>
        <v>-2.3780000000000001</v>
      </c>
      <c r="K174" s="31">
        <f>STDEV(G173:G174)</f>
        <v>3.5355339059327251E-2</v>
      </c>
      <c r="L174" s="26"/>
      <c r="M174" s="27">
        <f>AVERAGE(E173:E174)</f>
        <v>11466.5</v>
      </c>
      <c r="N174" s="27">
        <f>STDEV(E173:E174)</f>
        <v>548.00775541957432</v>
      </c>
      <c r="O174" s="28"/>
      <c r="P174" s="29">
        <f>AVERAGE(H173:H174)</f>
        <v>24.3505</v>
      </c>
      <c r="Q174" s="29">
        <f>STDEV(H173:H174)</f>
        <v>4.3133513652379357E-2</v>
      </c>
      <c r="R174" s="28"/>
      <c r="S174" s="29">
        <f>J174-(A174-Standards!$A$121)*Standards!$AA$4</f>
        <v>-2.3879306176470587</v>
      </c>
      <c r="T174" s="29">
        <f>S174-(M174-Standards!$N$121)*Standards!$AA$55</f>
        <v>-2.3630361235294117</v>
      </c>
      <c r="U174" s="29"/>
      <c r="V174" s="28"/>
      <c r="W174" s="29">
        <f>P174-(A174-Standards!$A$121)*Standards!$AL$5</f>
        <v>24.33673723529412</v>
      </c>
      <c r="X174" s="29">
        <f>W174-(M174-Standards!$N$121)*Standards!$AL$54</f>
        <v>24.277094176470591</v>
      </c>
      <c r="Y174" s="125"/>
      <c r="Z174" s="19">
        <f>(T174*Standards!$O$156)+Standards!$O$157</f>
        <v>-1.8716341788422395</v>
      </c>
      <c r="AA174" s="20">
        <f>(X174*Standards!$T$156)+Standards!$T$157</f>
        <v>25.646968680317986</v>
      </c>
    </row>
    <row r="175" spans="1:27" ht="24.95" customHeight="1" x14ac:dyDescent="0.25">
      <c r="A175" s="27">
        <v>89</v>
      </c>
      <c r="B175" s="26" t="s">
        <v>1081</v>
      </c>
      <c r="C175" s="26" t="s">
        <v>397</v>
      </c>
      <c r="D175" s="26">
        <v>6</v>
      </c>
      <c r="E175" s="26">
        <v>11363</v>
      </c>
      <c r="F175" s="26">
        <v>141.119</v>
      </c>
      <c r="G175" s="26">
        <v>-2.09</v>
      </c>
      <c r="H175" s="26">
        <v>24.189</v>
      </c>
      <c r="I175" s="26"/>
      <c r="J175" s="26"/>
      <c r="K175" s="26"/>
      <c r="L175" s="26"/>
      <c r="M175" s="27"/>
      <c r="N175" s="27"/>
      <c r="O175" s="28"/>
      <c r="P175" s="29"/>
      <c r="Q175" s="29"/>
      <c r="R175" s="28"/>
      <c r="S175" s="28"/>
      <c r="T175" s="28"/>
      <c r="U175" s="28"/>
      <c r="V175" s="28"/>
      <c r="W175" s="28"/>
      <c r="X175" s="28"/>
      <c r="Y175" s="32"/>
      <c r="Z175" s="33"/>
      <c r="AA175" s="34"/>
    </row>
    <row r="176" spans="1:27" ht="24.95" customHeight="1" x14ac:dyDescent="0.25">
      <c r="A176" s="27">
        <v>89</v>
      </c>
      <c r="B176" s="26" t="s">
        <v>1081</v>
      </c>
      <c r="C176" s="26" t="s">
        <v>397</v>
      </c>
      <c r="D176" s="26">
        <v>7</v>
      </c>
      <c r="E176" s="26">
        <v>10677</v>
      </c>
      <c r="F176" s="26">
        <v>132.005</v>
      </c>
      <c r="G176" s="26">
        <v>-2.0139999999999998</v>
      </c>
      <c r="H176" s="26">
        <v>24.202000000000002</v>
      </c>
      <c r="I176" s="26"/>
      <c r="J176" s="31">
        <f>AVERAGE(G175:G176)</f>
        <v>-2.0519999999999996</v>
      </c>
      <c r="K176" s="31">
        <f>STDEV(G175:G176)</f>
        <v>5.3740115370177657E-2</v>
      </c>
      <c r="L176" s="26"/>
      <c r="M176" s="27">
        <f>AVERAGE(E175:E176)</f>
        <v>11020</v>
      </c>
      <c r="N176" s="27">
        <f>STDEV(E175:E176)</f>
        <v>485.0752518939716</v>
      </c>
      <c r="O176" s="28"/>
      <c r="P176" s="29">
        <f>AVERAGE(H175:H176)</f>
        <v>24.195500000000003</v>
      </c>
      <c r="Q176" s="29">
        <f>STDEV(H175:H176)</f>
        <v>9.192388155426303E-3</v>
      </c>
      <c r="R176" s="28"/>
      <c r="S176" s="29">
        <f>J176-(A176-Standards!$A$121)*Standards!$AA$4</f>
        <v>-2.0612076176470584</v>
      </c>
      <c r="T176" s="29">
        <f>S176-(M176-Standards!$N$121)*Standards!$AA$55</f>
        <v>-2.0320267235294112</v>
      </c>
      <c r="U176" s="29"/>
      <c r="V176" s="28"/>
      <c r="W176" s="29">
        <f>P176-(A176-Standards!$A$121)*Standards!$AL$5</f>
        <v>24.182739235294122</v>
      </c>
      <c r="X176" s="29">
        <f>W176-(M176-Standards!$N$121)*Standards!$AL$54</f>
        <v>24.112826676470593</v>
      </c>
      <c r="Y176" s="125"/>
      <c r="Z176" s="19">
        <f>(T176*Standards!$O$156)+Standards!$O$157</f>
        <v>-1.5385526365722724</v>
      </c>
      <c r="AA176" s="20">
        <f>(X176*Standards!$T$156)+Standards!$T$157</f>
        <v>25.483592751049287</v>
      </c>
    </row>
    <row r="177" spans="1:27" ht="24.95" customHeight="1" x14ac:dyDescent="0.25">
      <c r="A177" s="27">
        <v>90</v>
      </c>
      <c r="B177" s="26" t="s">
        <v>1086</v>
      </c>
      <c r="C177" s="26" t="s">
        <v>1087</v>
      </c>
      <c r="D177" s="26">
        <v>6</v>
      </c>
      <c r="E177" s="26">
        <v>16545</v>
      </c>
      <c r="F177" s="26">
        <v>198.804</v>
      </c>
      <c r="G177" s="26">
        <v>-1.9259999999999999</v>
      </c>
      <c r="H177" s="26">
        <v>23.675999999999998</v>
      </c>
      <c r="I177" s="26"/>
      <c r="J177" s="31"/>
      <c r="K177" s="31"/>
      <c r="L177" s="26"/>
      <c r="M177" s="27"/>
      <c r="N177" s="27"/>
      <c r="O177" s="28"/>
      <c r="P177" s="29"/>
      <c r="Q177" s="29"/>
      <c r="R177" s="28"/>
      <c r="S177" s="29"/>
      <c r="T177" s="29"/>
      <c r="U177" s="29"/>
      <c r="V177" s="28"/>
      <c r="W177" s="29"/>
      <c r="X177" s="29"/>
      <c r="Y177" s="125"/>
      <c r="Z177" s="19"/>
      <c r="AA177" s="20"/>
    </row>
    <row r="178" spans="1:27" ht="24.95" customHeight="1" x14ac:dyDescent="0.25">
      <c r="A178" s="27">
        <v>90</v>
      </c>
      <c r="B178" s="26" t="s">
        <v>1086</v>
      </c>
      <c r="C178" s="26" t="s">
        <v>1087</v>
      </c>
      <c r="D178" s="26">
        <v>7</v>
      </c>
      <c r="E178" s="26">
        <v>15383</v>
      </c>
      <c r="F178" s="26">
        <v>185.785</v>
      </c>
      <c r="G178" s="26">
        <v>-1.8660000000000001</v>
      </c>
      <c r="H178" s="26">
        <v>23.724</v>
      </c>
      <c r="I178" s="26"/>
      <c r="J178" s="31">
        <f>AVERAGE(G177:G178)</f>
        <v>-1.8959999999999999</v>
      </c>
      <c r="K178" s="31">
        <f>STDEV(G177:G178)</f>
        <v>4.2426406871192736E-2</v>
      </c>
      <c r="L178" s="26"/>
      <c r="M178" s="27">
        <f>AVERAGE(E177:E178)</f>
        <v>15964</v>
      </c>
      <c r="N178" s="27">
        <f>STDEV(E177:E178)</f>
        <v>821.65807973876827</v>
      </c>
      <c r="O178" s="28"/>
      <c r="P178" s="29">
        <f>AVERAGE(H177:H178)</f>
        <v>23.7</v>
      </c>
      <c r="Q178" s="29">
        <f>STDEV(H177:H178)</f>
        <v>3.394112549695557E-2</v>
      </c>
      <c r="R178" s="28"/>
      <c r="S178" s="29">
        <f>J178-(A178-Standards!$A$121)*Standards!$AA$4</f>
        <v>-1.9044846176470587</v>
      </c>
      <c r="T178" s="29">
        <f>S178-(M178-Standards!$N$121)*Standards!$AA$55</f>
        <v>-1.9227661235294116</v>
      </c>
      <c r="U178" s="29"/>
      <c r="V178" s="28"/>
      <c r="W178" s="29">
        <f>P178-(A178-Standards!$A$121)*Standards!$AL$5</f>
        <v>23.688241235294118</v>
      </c>
      <c r="X178" s="29">
        <f>W178-(M178-Standards!$N$121)*Standards!$AL$54</f>
        <v>23.732040676470589</v>
      </c>
      <c r="Y178" s="125"/>
      <c r="Z178" s="19">
        <f>(T178*Standards!$O$156)+Standards!$O$157</f>
        <v>-1.4286080574837579</v>
      </c>
      <c r="AA178" s="20">
        <f>(X178*Standards!$T$156)+Standards!$T$157</f>
        <v>25.104873487637402</v>
      </c>
    </row>
    <row r="179" spans="1:27" ht="24.95" customHeight="1" x14ac:dyDescent="0.25">
      <c r="A179" s="27">
        <v>91</v>
      </c>
      <c r="B179" s="26" t="s">
        <v>1094</v>
      </c>
      <c r="C179" s="26" t="s">
        <v>1006</v>
      </c>
      <c r="D179" s="26">
        <v>6</v>
      </c>
      <c r="E179" s="26">
        <v>19019</v>
      </c>
      <c r="F179" s="26">
        <v>231.167</v>
      </c>
      <c r="G179" s="26">
        <v>-1.97</v>
      </c>
      <c r="H179" s="26">
        <v>24.111000000000001</v>
      </c>
      <c r="I179" s="26"/>
      <c r="J179" s="31"/>
      <c r="K179" s="31"/>
      <c r="L179" s="26"/>
      <c r="M179" s="27"/>
      <c r="N179" s="27"/>
      <c r="O179" s="28"/>
      <c r="P179" s="29"/>
      <c r="Q179" s="29"/>
      <c r="R179" s="28"/>
      <c r="S179" s="29"/>
      <c r="T179" s="29"/>
      <c r="U179" s="29"/>
      <c r="V179" s="28"/>
      <c r="W179" s="29"/>
      <c r="X179" s="29"/>
      <c r="Y179" s="78"/>
      <c r="Z179" s="190"/>
      <c r="AA179" s="119"/>
    </row>
    <row r="180" spans="1:27" ht="24.95" customHeight="1" x14ac:dyDescent="0.25">
      <c r="A180" s="27">
        <v>91</v>
      </c>
      <c r="B180" s="26" t="s">
        <v>1094</v>
      </c>
      <c r="C180" s="26" t="s">
        <v>1006</v>
      </c>
      <c r="D180" s="26">
        <v>7</v>
      </c>
      <c r="E180" s="26">
        <v>18059</v>
      </c>
      <c r="F180" s="26">
        <v>219.92400000000001</v>
      </c>
      <c r="G180" s="26">
        <v>-2.0379999999999998</v>
      </c>
      <c r="H180" s="26">
        <v>24.143999999999998</v>
      </c>
      <c r="I180" s="26"/>
      <c r="J180" s="31">
        <f>AVERAGE(G179:G180)</f>
        <v>-2.004</v>
      </c>
      <c r="K180" s="31">
        <f>STDEV(G179:G180)</f>
        <v>4.8083261120685117E-2</v>
      </c>
      <c r="L180" s="26"/>
      <c r="M180" s="27">
        <f>AVERAGE(E179:E180)</f>
        <v>18539</v>
      </c>
      <c r="N180" s="27">
        <f>STDEV(E179:E180)</f>
        <v>678.82250993908565</v>
      </c>
      <c r="O180" s="28"/>
      <c r="P180" s="29">
        <f>AVERAGE(H179:H180)</f>
        <v>24.127499999999998</v>
      </c>
      <c r="Q180" s="29">
        <f>STDEV(H179:H180)</f>
        <v>2.3334523779154438E-2</v>
      </c>
      <c r="R180" s="28"/>
      <c r="S180" s="29">
        <f>J180-(A180-Standards!$A$121)*Standards!$AA$4</f>
        <v>-2.0117616176470587</v>
      </c>
      <c r="T180" s="29">
        <f>S180-(M180-Standards!$N$121)*Standards!$AA$55</f>
        <v>-2.0547631235294115</v>
      </c>
      <c r="U180" s="29"/>
      <c r="V180" s="28"/>
      <c r="W180" s="29">
        <f>P180-(A180-Standards!$A$121)*Standards!$AL$5</f>
        <v>24.116743235294116</v>
      </c>
      <c r="X180" s="29">
        <f>W180-(M180-Standards!$N$121)*Standards!$AL$54</f>
        <v>24.219767676470585</v>
      </c>
      <c r="Y180" s="125"/>
      <c r="Z180" s="19">
        <f>(T180*Standards!$O$156)+Standards!$O$157</f>
        <v>-1.5614313680453575</v>
      </c>
      <c r="AA180" s="20">
        <f>(X180*Standards!$T$156)+Standards!$T$157</f>
        <v>25.589953322993967</v>
      </c>
    </row>
    <row r="181" spans="1:27" ht="24.95" customHeight="1" x14ac:dyDescent="0.25">
      <c r="A181" s="27">
        <v>92</v>
      </c>
      <c r="B181" s="26" t="s">
        <v>1099</v>
      </c>
      <c r="C181" s="26" t="s">
        <v>601</v>
      </c>
      <c r="D181" s="26">
        <v>6</v>
      </c>
      <c r="E181" s="26">
        <v>14415</v>
      </c>
      <c r="F181" s="26">
        <v>178.27600000000001</v>
      </c>
      <c r="G181" s="26">
        <v>-2.0619999999999998</v>
      </c>
      <c r="H181" s="26">
        <v>23.864000000000001</v>
      </c>
      <c r="I181" s="26"/>
      <c r="J181" s="26"/>
      <c r="K181" s="26"/>
      <c r="L181" s="26"/>
      <c r="M181" s="27"/>
      <c r="N181" s="27"/>
      <c r="O181" s="28"/>
      <c r="P181" s="29"/>
      <c r="Q181" s="29"/>
      <c r="R181" s="28"/>
      <c r="S181" s="28"/>
      <c r="T181" s="28"/>
      <c r="U181" s="28"/>
      <c r="V181" s="28"/>
      <c r="W181" s="28"/>
      <c r="X181" s="28"/>
      <c r="Y181" s="78"/>
      <c r="Z181" s="33"/>
      <c r="AA181" s="34"/>
    </row>
    <row r="182" spans="1:27" ht="24.95" customHeight="1" x14ac:dyDescent="0.25">
      <c r="A182" s="27">
        <v>92</v>
      </c>
      <c r="B182" s="26" t="s">
        <v>1099</v>
      </c>
      <c r="C182" s="26" t="s">
        <v>601</v>
      </c>
      <c r="D182" s="26">
        <v>7</v>
      </c>
      <c r="E182" s="26">
        <v>13505</v>
      </c>
      <c r="F182" s="26">
        <v>167.03399999999999</v>
      </c>
      <c r="G182" s="26">
        <v>-2.0209999999999999</v>
      </c>
      <c r="H182" s="26">
        <v>23.937999999999999</v>
      </c>
      <c r="I182" s="26"/>
      <c r="J182" s="31">
        <f>AVERAGE(G181:G182)</f>
        <v>-2.0415000000000001</v>
      </c>
      <c r="K182" s="31">
        <f>STDEV(G181:G182)</f>
        <v>2.8991378028648394E-2</v>
      </c>
      <c r="L182" s="26"/>
      <c r="M182" s="27">
        <f>AVERAGE(E181:E182)</f>
        <v>13960</v>
      </c>
      <c r="N182" s="27">
        <f>STDEV(E181:E182)</f>
        <v>643.46717087975821</v>
      </c>
      <c r="O182" s="28"/>
      <c r="P182" s="29">
        <f>AVERAGE(H181:H182)</f>
        <v>23.901</v>
      </c>
      <c r="Q182" s="29">
        <f>STDEV(H181:H182)</f>
        <v>5.2325901807803152E-2</v>
      </c>
      <c r="R182" s="28"/>
      <c r="S182" s="29">
        <f>J182-(A182-Standards!$A$121)*Standards!$AA$4</f>
        <v>-2.048538617647059</v>
      </c>
      <c r="T182" s="29">
        <f>S182-(M182-Standards!$N$121)*Standards!$AA$55</f>
        <v>-2.047581723529412</v>
      </c>
      <c r="U182" s="29"/>
      <c r="V182" s="28"/>
      <c r="W182" s="29">
        <f>P182-(A182-Standards!$A$121)*Standards!$AL$5</f>
        <v>23.891245235294118</v>
      </c>
      <c r="X182" s="29">
        <f>W182-(M182-Standards!$N$121)*Standards!$AL$54</f>
        <v>23.888952676470588</v>
      </c>
      <c r="Y182" s="125"/>
      <c r="Z182" s="19">
        <f>(T182*Standards!$O$156)+Standards!$O$157</f>
        <v>-1.5542050119731208</v>
      </c>
      <c r="AA182" s="20">
        <f>(X182*Standards!$T$156)+Standards!$T$157</f>
        <v>25.260933839279751</v>
      </c>
    </row>
    <row r="183" spans="1:27" ht="24.95" customHeight="1" x14ac:dyDescent="0.25">
      <c r="A183" s="27">
        <v>93</v>
      </c>
      <c r="B183" s="26" t="s">
        <v>1106</v>
      </c>
      <c r="C183" s="26" t="s">
        <v>406</v>
      </c>
      <c r="D183" s="26">
        <v>6</v>
      </c>
      <c r="E183" s="26">
        <v>13481</v>
      </c>
      <c r="F183" s="26">
        <v>161.679</v>
      </c>
      <c r="G183" s="26">
        <v>-2.242</v>
      </c>
      <c r="H183" s="26">
        <v>24.172999999999998</v>
      </c>
      <c r="I183" s="26"/>
      <c r="J183" s="26"/>
      <c r="K183" s="26"/>
      <c r="L183" s="26"/>
      <c r="M183" s="53"/>
      <c r="N183" s="27"/>
      <c r="O183" s="28"/>
      <c r="P183" s="29"/>
      <c r="Q183" s="29"/>
      <c r="R183" s="28"/>
      <c r="S183" s="28"/>
      <c r="T183" s="28"/>
      <c r="U183" s="28"/>
      <c r="V183" s="28"/>
      <c r="W183" s="28"/>
      <c r="X183" s="28"/>
      <c r="Y183" s="78"/>
      <c r="Z183" s="33"/>
      <c r="AA183" s="34"/>
    </row>
    <row r="184" spans="1:27" ht="24.95" customHeight="1" x14ac:dyDescent="0.25">
      <c r="A184" s="27">
        <v>93</v>
      </c>
      <c r="B184" s="26" t="s">
        <v>1106</v>
      </c>
      <c r="C184" s="26" t="s">
        <v>406</v>
      </c>
      <c r="D184" s="26">
        <v>7</v>
      </c>
      <c r="E184" s="26">
        <v>12784</v>
      </c>
      <c r="F184" s="26">
        <v>152.126</v>
      </c>
      <c r="G184" s="26">
        <v>-2.1669999999999998</v>
      </c>
      <c r="H184" s="26">
        <v>24.201000000000001</v>
      </c>
      <c r="I184" s="26"/>
      <c r="J184" s="31">
        <f>AVERAGE(G183:G184)</f>
        <v>-2.2044999999999999</v>
      </c>
      <c r="K184" s="31">
        <f>STDEV(G183:G184)</f>
        <v>5.3033008588991189E-2</v>
      </c>
      <c r="L184" s="26"/>
      <c r="M184" s="27">
        <f>AVERAGE(E183:E184)</f>
        <v>13132.5</v>
      </c>
      <c r="N184" s="27">
        <f>STDEV(E183:E184)</f>
        <v>492.85342648702363</v>
      </c>
      <c r="O184" s="28"/>
      <c r="P184" s="29">
        <f>AVERAGE(H183:H184)</f>
        <v>24.186999999999998</v>
      </c>
      <c r="Q184" s="29">
        <f>STDEV(H183:H184)</f>
        <v>1.9798989873224919E-2</v>
      </c>
      <c r="R184" s="28"/>
      <c r="S184" s="29">
        <f>J184-(A184-Standards!$A$121)*Standards!$AA$4</f>
        <v>-2.2108156176470586</v>
      </c>
      <c r="T184" s="29">
        <f>S184-(M184-Standards!$N$121)*Standards!$AA$55</f>
        <v>-2.2019147235294114</v>
      </c>
      <c r="U184" s="29"/>
      <c r="V184" s="28"/>
      <c r="W184" s="29">
        <f>P184-(A184-Standards!$A$121)*Standards!$AL$5</f>
        <v>24.178247235294116</v>
      </c>
      <c r="X184" s="29">
        <f>W184-(M184-Standards!$N$121)*Standards!$AL$54</f>
        <v>24.156922176470587</v>
      </c>
      <c r="Y184" s="125"/>
      <c r="Z184" s="19">
        <f>(T184*Standards!$O$156)+Standards!$O$157</f>
        <v>-1.7095041474754678</v>
      </c>
      <c r="AA184" s="20">
        <f>(X184*Standards!$T$156)+Standards!$T$157</f>
        <v>25.527448920340639</v>
      </c>
    </row>
    <row r="185" spans="1:27" ht="24.95" customHeight="1" x14ac:dyDescent="0.25">
      <c r="A185" s="27">
        <v>99</v>
      </c>
      <c r="B185" s="26" t="s">
        <v>1113</v>
      </c>
      <c r="C185" s="26" t="s">
        <v>436</v>
      </c>
      <c r="D185" s="26">
        <v>6</v>
      </c>
      <c r="E185" s="26">
        <v>9479</v>
      </c>
      <c r="F185" s="26">
        <v>107.711</v>
      </c>
      <c r="G185" s="26">
        <v>-2.3719999999999999</v>
      </c>
      <c r="H185" s="26">
        <v>24.346</v>
      </c>
      <c r="I185" s="26"/>
      <c r="J185" s="26"/>
      <c r="K185" s="26"/>
      <c r="L185" s="26"/>
      <c r="M185" s="27"/>
      <c r="N185" s="27"/>
      <c r="O185" s="28"/>
      <c r="P185" s="29"/>
      <c r="Q185" s="29"/>
      <c r="R185" s="28"/>
      <c r="S185" s="28"/>
      <c r="T185" s="28"/>
      <c r="U185" s="28"/>
      <c r="V185" s="28"/>
      <c r="W185" s="28"/>
      <c r="X185" s="28"/>
      <c r="Y185" s="32"/>
      <c r="Z185" s="33"/>
      <c r="AA185" s="34"/>
    </row>
    <row r="186" spans="1:27" ht="24.95" customHeight="1" x14ac:dyDescent="0.25">
      <c r="A186" s="27">
        <v>99</v>
      </c>
      <c r="B186" s="26" t="s">
        <v>1113</v>
      </c>
      <c r="C186" s="26" t="s">
        <v>436</v>
      </c>
      <c r="D186" s="26">
        <v>7</v>
      </c>
      <c r="E186" s="26">
        <v>8750</v>
      </c>
      <c r="F186" s="26">
        <v>99.74</v>
      </c>
      <c r="G186" s="26">
        <v>-2.2759999999999998</v>
      </c>
      <c r="H186" s="26">
        <v>24.370999999999999</v>
      </c>
      <c r="I186" s="26"/>
      <c r="J186" s="31">
        <f>AVERAGE(G185:G186)</f>
        <v>-2.3239999999999998</v>
      </c>
      <c r="K186" s="31">
        <f>STDEV(G185:G186)</f>
        <v>6.7882250993908627E-2</v>
      </c>
      <c r="L186" s="26"/>
      <c r="M186" s="27">
        <f>AVERAGE(E185:E186)</f>
        <v>9114.5</v>
      </c>
      <c r="N186" s="27">
        <f>STDEV(E185:E186)</f>
        <v>515.4808434849931</v>
      </c>
      <c r="O186" s="28"/>
      <c r="P186" s="29">
        <f>AVERAGE(H185:H186)</f>
        <v>24.358499999999999</v>
      </c>
      <c r="Q186" s="29">
        <f>STDEV(H185:H186)</f>
        <v>1.7677669529662685E-2</v>
      </c>
      <c r="R186" s="28"/>
      <c r="S186" s="29">
        <f>J186-(A186-Standards!$A$121)*Standards!$AA$4</f>
        <v>-2.3259776176470588</v>
      </c>
      <c r="T186" s="29">
        <f>S186-(M186-Standards!$N$121)*Standards!$AA$55</f>
        <v>-2.2785039235294118</v>
      </c>
      <c r="U186" s="29"/>
      <c r="V186" s="28"/>
      <c r="W186" s="29">
        <f>P186-(A186-Standards!$A$121)*Standards!$AL$5</f>
        <v>24.355759235294116</v>
      </c>
      <c r="X186" s="29">
        <f>W186-(M186-Standards!$N$121)*Standards!$AL$54</f>
        <v>24.242020176470586</v>
      </c>
      <c r="Y186" s="125"/>
      <c r="Z186" s="19">
        <f>(T186*Standards!$O$156)+Standards!$O$157</f>
        <v>-1.7865728012877855</v>
      </c>
      <c r="AA186" s="20">
        <f>(X186*Standards!$T$156)+Standards!$T$157</f>
        <v>25.612085046347957</v>
      </c>
    </row>
    <row r="187" spans="1:27" s="117" customFormat="1" ht="24.95" customHeight="1" x14ac:dyDescent="0.25">
      <c r="A187" s="64">
        <v>100</v>
      </c>
      <c r="B187" s="65" t="s">
        <v>1118</v>
      </c>
      <c r="C187" s="65" t="s">
        <v>503</v>
      </c>
      <c r="D187" s="65">
        <v>6</v>
      </c>
      <c r="E187" s="65">
        <v>8691</v>
      </c>
      <c r="F187" s="65">
        <v>100.762</v>
      </c>
      <c r="G187" s="65">
        <v>3.8290000000000002</v>
      </c>
      <c r="H187" s="65">
        <v>25.234999999999999</v>
      </c>
      <c r="I187" s="65"/>
      <c r="J187" s="66"/>
      <c r="K187" s="66"/>
      <c r="L187" s="65"/>
      <c r="M187" s="64"/>
      <c r="N187" s="64"/>
      <c r="O187" s="67"/>
      <c r="P187" s="68"/>
      <c r="Q187" s="68"/>
      <c r="R187" s="67"/>
      <c r="S187" s="28"/>
      <c r="T187" s="67"/>
      <c r="U187" s="67"/>
      <c r="V187" s="68"/>
      <c r="W187" s="28"/>
      <c r="X187" s="67"/>
      <c r="Y187" s="74"/>
      <c r="Z187" s="72"/>
      <c r="AA187" s="73"/>
    </row>
    <row r="188" spans="1:27" s="117" customFormat="1" ht="24.95" customHeight="1" x14ac:dyDescent="0.25">
      <c r="A188" s="64">
        <v>100</v>
      </c>
      <c r="B188" s="65" t="s">
        <v>1118</v>
      </c>
      <c r="C188" s="65" t="s">
        <v>503</v>
      </c>
      <c r="D188" s="65">
        <v>7</v>
      </c>
      <c r="E188" s="65">
        <v>8143</v>
      </c>
      <c r="F188" s="65">
        <v>93.548000000000002</v>
      </c>
      <c r="G188" s="65">
        <v>3.8769999999999998</v>
      </c>
      <c r="H188" s="65">
        <v>25.266999999999999</v>
      </c>
      <c r="I188" s="65"/>
      <c r="J188" s="66">
        <f>AVERAGE(G187:G188)</f>
        <v>3.8529999999999998</v>
      </c>
      <c r="K188" s="66">
        <f>STDEV(G187:G188)</f>
        <v>3.3941125496953994E-2</v>
      </c>
      <c r="L188" s="65"/>
      <c r="M188" s="64">
        <f>AVERAGE(E187:E188)</f>
        <v>8417</v>
      </c>
      <c r="N188" s="64">
        <f>STDEV(E187:E188)</f>
        <v>387.49451609022805</v>
      </c>
      <c r="O188" s="67"/>
      <c r="P188" s="68">
        <f>AVERAGE(H187:H188)</f>
        <v>25.250999999999998</v>
      </c>
      <c r="Q188" s="68">
        <f>STDEV(H187:H188)</f>
        <v>2.2627416997969541E-2</v>
      </c>
      <c r="R188" s="67"/>
      <c r="S188" s="29">
        <f>J188-(A188-Standards!$A$121)*Standards!$AA$4</f>
        <v>3.8517453823529411</v>
      </c>
      <c r="T188" s="68">
        <f>S188-(M188-Standards!$N$121)*Standards!$AA$55</f>
        <v>3.9059150764705883</v>
      </c>
      <c r="U188" s="68"/>
      <c r="V188" s="67"/>
      <c r="W188" s="29">
        <f>P188-(A188-Standards!$A$121)*Standards!$AL$5</f>
        <v>25.249261235294114</v>
      </c>
      <c r="X188" s="68">
        <f>W188-(M188-Standards!$N$121)*Standards!$AL$54</f>
        <v>25.119479676470583</v>
      </c>
      <c r="Y188" s="124"/>
      <c r="Z188" s="69">
        <f>(T188*Standards!$O$156)+Standards!$O$157</f>
        <v>4.4365610993316036</v>
      </c>
      <c r="AA188" s="70">
        <f>(X188*Standards!$T$156)+Standards!$T$157</f>
        <v>26.484782087504296</v>
      </c>
    </row>
    <row r="189" spans="1:27" s="117" customFormat="1" ht="24.95" customHeight="1" x14ac:dyDescent="0.25">
      <c r="A189" s="140">
        <v>101</v>
      </c>
      <c r="B189" s="141" t="s">
        <v>1123</v>
      </c>
      <c r="C189" s="141" t="s">
        <v>443</v>
      </c>
      <c r="D189" s="141">
        <v>6</v>
      </c>
      <c r="E189" s="65">
        <v>7115</v>
      </c>
      <c r="F189" s="65">
        <v>83.316999999999993</v>
      </c>
      <c r="G189" s="65">
        <v>3.96</v>
      </c>
      <c r="H189" s="65">
        <v>25.4</v>
      </c>
      <c r="I189" s="65"/>
      <c r="J189" s="65"/>
      <c r="K189" s="65"/>
      <c r="L189" s="65"/>
      <c r="M189" s="64"/>
      <c r="N189" s="64"/>
      <c r="O189" s="67"/>
      <c r="P189" s="68"/>
      <c r="Q189" s="68"/>
      <c r="R189" s="67"/>
      <c r="S189" s="28"/>
      <c r="T189" s="67"/>
      <c r="U189" s="67"/>
      <c r="V189" s="67"/>
      <c r="W189" s="28"/>
      <c r="X189" s="67"/>
      <c r="Y189" s="74"/>
      <c r="Z189" s="72"/>
      <c r="AA189" s="73"/>
    </row>
    <row r="190" spans="1:27" s="117" customFormat="1" ht="24.95" customHeight="1" x14ac:dyDescent="0.25">
      <c r="A190" s="140">
        <v>101</v>
      </c>
      <c r="B190" s="141" t="s">
        <v>1123</v>
      </c>
      <c r="C190" s="141" t="s">
        <v>443</v>
      </c>
      <c r="D190" s="141">
        <v>7</v>
      </c>
      <c r="E190" s="65">
        <v>6594</v>
      </c>
      <c r="F190" s="65">
        <v>77.305999999999997</v>
      </c>
      <c r="G190" s="65">
        <v>4.0129999999999999</v>
      </c>
      <c r="H190" s="65">
        <v>25.419</v>
      </c>
      <c r="I190" s="65"/>
      <c r="J190" s="66">
        <f>AVERAGE(G189:G190)</f>
        <v>3.9864999999999999</v>
      </c>
      <c r="K190" s="66">
        <f>STDEV(G189:G190)</f>
        <v>3.7476659402886976E-2</v>
      </c>
      <c r="L190" s="65"/>
      <c r="M190" s="64">
        <f>AVERAGE(E189:E190)</f>
        <v>6854.5</v>
      </c>
      <c r="N190" s="64">
        <f>STDEV(E189:E190)</f>
        <v>368.40263299819128</v>
      </c>
      <c r="O190" s="67"/>
      <c r="P190" s="68">
        <f>AVERAGE(H189:H190)</f>
        <v>25.409500000000001</v>
      </c>
      <c r="Q190" s="68">
        <f>STDEV(H189:H190)</f>
        <v>1.343502884254575E-2</v>
      </c>
      <c r="R190" s="67"/>
      <c r="S190" s="29">
        <f>J190-(A190-Standards!$A$121)*Standards!$AA$4</f>
        <v>3.985968382352941</v>
      </c>
      <c r="T190" s="68">
        <f>S190-(M190-Standards!$N$121)*Standards!$AA$55</f>
        <v>4.0551380764705884</v>
      </c>
      <c r="U190" s="68"/>
      <c r="V190" s="67"/>
      <c r="W190" s="29">
        <f>P190-(A190-Standards!$A$121)*Standards!$AL$5</f>
        <v>25.408763235294121</v>
      </c>
      <c r="X190" s="68">
        <f>W190-(M190-Standards!$N$121)*Standards!$AL$54</f>
        <v>25.24304417647059</v>
      </c>
      <c r="Y190" s="124"/>
      <c r="Z190" s="69">
        <f>(T190*Standards!$O$156)+Standards!$O$157</f>
        <v>4.5867182458723104</v>
      </c>
      <c r="AA190" s="70">
        <f>(X190*Standards!$T$156)+Standards!$T$157</f>
        <v>26.607675934504609</v>
      </c>
    </row>
    <row r="191" spans="1:27" s="114" customFormat="1" ht="24.95" customHeight="1" x14ac:dyDescent="0.25">
      <c r="A191" s="89">
        <v>103</v>
      </c>
      <c r="B191" s="90" t="s">
        <v>1150</v>
      </c>
      <c r="C191" s="90" t="s">
        <v>654</v>
      </c>
      <c r="D191" s="90">
        <v>6</v>
      </c>
      <c r="E191" s="90">
        <v>8170</v>
      </c>
      <c r="F191" s="90">
        <v>96.081000000000003</v>
      </c>
      <c r="G191" s="90">
        <v>-5.6130000000000004</v>
      </c>
      <c r="H191" s="90">
        <v>5.8940000000000001</v>
      </c>
      <c r="I191" s="90"/>
      <c r="J191" s="90"/>
      <c r="K191" s="90"/>
      <c r="L191" s="90"/>
      <c r="M191" s="89"/>
      <c r="N191" s="89"/>
      <c r="O191" s="91"/>
      <c r="P191" s="92"/>
      <c r="Q191" s="92"/>
      <c r="R191" s="91"/>
      <c r="S191" s="28"/>
      <c r="T191" s="91"/>
      <c r="U191" s="91"/>
      <c r="V191" s="91"/>
      <c r="W191" s="28"/>
      <c r="X191" s="91"/>
      <c r="Y191" s="122"/>
      <c r="Z191" s="93"/>
      <c r="AA191" s="94"/>
    </row>
    <row r="192" spans="1:27" s="114" customFormat="1" ht="24.95" customHeight="1" x14ac:dyDescent="0.25">
      <c r="A192" s="89">
        <v>103</v>
      </c>
      <c r="B192" s="90" t="s">
        <v>1150</v>
      </c>
      <c r="C192" s="90" t="s">
        <v>654</v>
      </c>
      <c r="D192" s="90">
        <v>7</v>
      </c>
      <c r="E192" s="90">
        <v>7571</v>
      </c>
      <c r="F192" s="90">
        <v>88.997</v>
      </c>
      <c r="G192" s="90">
        <v>-5.5570000000000004</v>
      </c>
      <c r="H192" s="90">
        <v>5.8920000000000003</v>
      </c>
      <c r="I192" s="90"/>
      <c r="J192" s="95">
        <f>AVERAGE(G191:G192)</f>
        <v>-5.5850000000000009</v>
      </c>
      <c r="K192" s="95">
        <f>STDEV(G191:G192)</f>
        <v>3.9597979746446695E-2</v>
      </c>
      <c r="L192" s="90"/>
      <c r="M192" s="89">
        <f>AVERAGE(E191:E192)</f>
        <v>7870.5</v>
      </c>
      <c r="N192" s="89">
        <f>STDEV(E191:E192)</f>
        <v>423.55696193074198</v>
      </c>
      <c r="O192" s="91"/>
      <c r="P192" s="92">
        <f>AVERAGE(H191:H192)</f>
        <v>5.8930000000000007</v>
      </c>
      <c r="Q192" s="92">
        <f>STDEV(H191:H192)</f>
        <v>1.4142135623729393E-3</v>
      </c>
      <c r="R192" s="91"/>
      <c r="S192" s="29">
        <f>J192-(A192-Standards!$A$121)*Standards!$AA$4</f>
        <v>-5.5840856176470597</v>
      </c>
      <c r="T192" s="92">
        <f>S192-(M192-Standards!$N$121)*Standards!$AA$55</f>
        <v>-5.524669523529413</v>
      </c>
      <c r="U192" s="92"/>
      <c r="V192" s="91"/>
      <c r="W192" s="29">
        <f>P192-(A192-Standards!$A$121)*Standards!$AL$5</f>
        <v>5.8942672352941186</v>
      </c>
      <c r="X192" s="92">
        <f>W192-(M192-Standards!$N$121)*Standards!$AL$54</f>
        <v>5.7519161764705888</v>
      </c>
      <c r="Y192" s="122"/>
      <c r="Z192" s="96">
        <f>(T192*Standards!$O$156)+Standards!$O$157</f>
        <v>-5.0530596276791551</v>
      </c>
      <c r="AA192" s="97">
        <f>(X192*Standards!$T$156)+Standards!$T$157</f>
        <v>7.2223370847918753</v>
      </c>
    </row>
    <row r="193" spans="1:27" s="114" customFormat="1" ht="24.95" customHeight="1" x14ac:dyDescent="0.25">
      <c r="A193" s="89">
        <v>104</v>
      </c>
      <c r="B193" s="90" t="s">
        <v>1155</v>
      </c>
      <c r="C193" s="90" t="s">
        <v>876</v>
      </c>
      <c r="D193" s="90">
        <v>6</v>
      </c>
      <c r="E193" s="90">
        <v>13211</v>
      </c>
      <c r="F193" s="90">
        <v>148.93299999999999</v>
      </c>
      <c r="G193" s="90">
        <v>-5.5540000000000003</v>
      </c>
      <c r="H193" s="90">
        <v>5.625</v>
      </c>
      <c r="I193" s="90"/>
      <c r="J193" s="90"/>
      <c r="K193" s="90"/>
      <c r="L193" s="90"/>
      <c r="M193" s="98"/>
      <c r="N193" s="89"/>
      <c r="O193" s="91"/>
      <c r="P193" s="92"/>
      <c r="Q193" s="92"/>
      <c r="R193" s="91"/>
      <c r="S193" s="28"/>
      <c r="T193" s="91"/>
      <c r="U193" s="91"/>
      <c r="V193" s="91"/>
      <c r="W193" s="28"/>
      <c r="X193" s="91"/>
      <c r="Y193" s="101"/>
      <c r="Z193" s="99"/>
      <c r="AA193" s="100"/>
    </row>
    <row r="194" spans="1:27" s="115" customFormat="1" ht="24.95" customHeight="1" x14ac:dyDescent="0.25">
      <c r="A194" s="89">
        <v>104</v>
      </c>
      <c r="B194" s="90" t="s">
        <v>1155</v>
      </c>
      <c r="C194" s="90" t="s">
        <v>876</v>
      </c>
      <c r="D194" s="90">
        <v>7</v>
      </c>
      <c r="E194" s="90">
        <v>12399</v>
      </c>
      <c r="F194" s="90">
        <v>139.006</v>
      </c>
      <c r="G194" s="90">
        <v>-5.5060000000000002</v>
      </c>
      <c r="H194" s="90">
        <v>5.6870000000000003</v>
      </c>
      <c r="I194" s="90"/>
      <c r="J194" s="95">
        <f>AVERAGE(G193:G194)</f>
        <v>-5.53</v>
      </c>
      <c r="K194" s="95">
        <f>STDEV(G193:G194)</f>
        <v>3.3941125496954314E-2</v>
      </c>
      <c r="L194" s="90"/>
      <c r="M194" s="89">
        <f>AVERAGE(E193:E194)</f>
        <v>12805</v>
      </c>
      <c r="N194" s="89">
        <f>STDEV(E193:E194)</f>
        <v>574.17070632347657</v>
      </c>
      <c r="O194" s="91"/>
      <c r="P194" s="92">
        <f>AVERAGE(H193:H194)</f>
        <v>5.6560000000000006</v>
      </c>
      <c r="Q194" s="92">
        <f>STDEV(H193:H194)</f>
        <v>4.3840620433566145E-2</v>
      </c>
      <c r="R194" s="91"/>
      <c r="S194" s="29">
        <f>J194-(A194-Standards!$A$121)*Standards!$AA$4</f>
        <v>-5.5283626176470593</v>
      </c>
      <c r="T194" s="92">
        <f>S194-(M194-Standards!$N$121)*Standards!$AA$55</f>
        <v>-5.5163177235294123</v>
      </c>
      <c r="U194" s="92"/>
      <c r="V194" s="91"/>
      <c r="W194" s="29">
        <f>P194-(A194-Standards!$A$121)*Standards!$AL$5</f>
        <v>5.6582692352941182</v>
      </c>
      <c r="X194" s="92">
        <f>W194-(M194-Standards!$N$121)*Standards!$AL$54</f>
        <v>5.629411676470589</v>
      </c>
      <c r="Y194" s="122"/>
      <c r="Z194" s="96">
        <f>(T194*Standards!$O$156)+Standards!$O$157</f>
        <v>-5.0446555448200865</v>
      </c>
      <c r="AA194" s="97">
        <f>(X194*Standards!$T$156)+Standards!$T$157</f>
        <v>7.1004974845843023</v>
      </c>
    </row>
    <row r="195" spans="1:27" s="114" customFormat="1" ht="24.95" customHeight="1" x14ac:dyDescent="0.25">
      <c r="A195" s="89">
        <v>105</v>
      </c>
      <c r="B195" s="90" t="s">
        <v>1162</v>
      </c>
      <c r="C195" s="90" t="s">
        <v>934</v>
      </c>
      <c r="D195" s="90">
        <v>6</v>
      </c>
      <c r="E195" s="90">
        <v>9978</v>
      </c>
      <c r="F195" s="90">
        <v>117.53</v>
      </c>
      <c r="G195" s="90">
        <v>-5.5670000000000002</v>
      </c>
      <c r="H195" s="90">
        <v>5.82</v>
      </c>
      <c r="I195" s="90"/>
      <c r="J195" s="90"/>
      <c r="K195" s="90"/>
      <c r="L195" s="90"/>
      <c r="M195" s="89"/>
      <c r="N195" s="89"/>
      <c r="O195" s="91"/>
      <c r="P195" s="92"/>
      <c r="Q195" s="92"/>
      <c r="R195" s="91"/>
      <c r="S195" s="28"/>
      <c r="T195" s="91"/>
      <c r="U195" s="91"/>
      <c r="V195" s="91"/>
      <c r="W195" s="28"/>
      <c r="X195" s="91"/>
      <c r="Y195" s="101"/>
      <c r="Z195" s="99"/>
      <c r="AA195" s="100"/>
    </row>
    <row r="196" spans="1:27" s="114" customFormat="1" ht="24.95" customHeight="1" x14ac:dyDescent="0.25">
      <c r="A196" s="89">
        <v>105</v>
      </c>
      <c r="B196" s="90" t="s">
        <v>1162</v>
      </c>
      <c r="C196" s="90" t="s">
        <v>934</v>
      </c>
      <c r="D196" s="90">
        <v>7</v>
      </c>
      <c r="E196" s="90">
        <v>9278</v>
      </c>
      <c r="F196" s="90">
        <v>108.88200000000001</v>
      </c>
      <c r="G196" s="90">
        <v>-5.5090000000000003</v>
      </c>
      <c r="H196" s="90">
        <v>5.806</v>
      </c>
      <c r="I196" s="90"/>
      <c r="J196" s="95">
        <f>AVERAGE(G195:G196)</f>
        <v>-5.5380000000000003</v>
      </c>
      <c r="K196" s="95">
        <f>STDEV(G195:G196)</f>
        <v>4.1012193308819639E-2</v>
      </c>
      <c r="L196" s="90"/>
      <c r="M196" s="89">
        <f>AVERAGE(E195:E196)</f>
        <v>9628</v>
      </c>
      <c r="N196" s="89">
        <f>STDEV(E195:E196)</f>
        <v>494.97474683058329</v>
      </c>
      <c r="O196" s="91"/>
      <c r="P196" s="92">
        <f>AVERAGE(H195:H196)</f>
        <v>5.8130000000000006</v>
      </c>
      <c r="Q196" s="92">
        <f>STDEV(H195:H196)</f>
        <v>9.8994949366118315E-3</v>
      </c>
      <c r="R196" s="91"/>
      <c r="S196" s="29">
        <f>J196-(A196-Standards!$A$121)*Standards!$AA$4</f>
        <v>-5.5356396176470595</v>
      </c>
      <c r="T196" s="92">
        <f>S196-(M196-Standards!$N$121)*Standards!$AA$55</f>
        <v>-5.4930955235294121</v>
      </c>
      <c r="U196" s="92"/>
      <c r="V196" s="91"/>
      <c r="W196" s="29">
        <f>P196-(A196-Standards!$A$121)*Standards!$AL$5</f>
        <v>5.8162712352941179</v>
      </c>
      <c r="X196" s="92">
        <f>W196-(M196-Standards!$N$121)*Standards!$AL$54</f>
        <v>5.7143426764705882</v>
      </c>
      <c r="Y196" s="122"/>
      <c r="Z196" s="96">
        <f>(T196*Standards!$O$156)+Standards!$O$157</f>
        <v>-5.0212879722046218</v>
      </c>
      <c r="AA196" s="97">
        <f>(X196*Standards!$T$156)+Standards!$T$157</f>
        <v>7.1849675169931473</v>
      </c>
    </row>
    <row r="197" spans="1:27" s="114" customFormat="1" ht="24.95" customHeight="1" x14ac:dyDescent="0.25">
      <c r="A197" s="89">
        <v>106</v>
      </c>
      <c r="B197" s="90" t="s">
        <v>1167</v>
      </c>
      <c r="C197" s="90" t="s">
        <v>433</v>
      </c>
      <c r="D197" s="90">
        <v>6</v>
      </c>
      <c r="E197" s="90">
        <v>13689</v>
      </c>
      <c r="F197" s="90">
        <v>152.732</v>
      </c>
      <c r="G197" s="90">
        <v>-5.5339999999999998</v>
      </c>
      <c r="H197" s="90">
        <v>5.7220000000000004</v>
      </c>
      <c r="I197" s="90"/>
      <c r="J197" s="95"/>
      <c r="K197" s="95"/>
      <c r="L197" s="90"/>
      <c r="M197" s="89"/>
      <c r="N197" s="89"/>
      <c r="O197" s="91"/>
      <c r="P197" s="92"/>
      <c r="Q197" s="92"/>
      <c r="R197" s="91"/>
      <c r="S197" s="28"/>
      <c r="T197" s="91"/>
      <c r="U197" s="91"/>
      <c r="V197" s="92"/>
      <c r="W197" s="28"/>
      <c r="X197" s="91"/>
      <c r="Y197" s="101"/>
      <c r="Z197" s="99"/>
      <c r="AA197" s="100"/>
    </row>
    <row r="198" spans="1:27" s="114" customFormat="1" ht="24.95" customHeight="1" x14ac:dyDescent="0.25">
      <c r="A198" s="89">
        <v>106</v>
      </c>
      <c r="B198" s="90" t="s">
        <v>1167</v>
      </c>
      <c r="C198" s="90" t="s">
        <v>433</v>
      </c>
      <c r="D198" s="90">
        <v>7</v>
      </c>
      <c r="E198" s="90">
        <v>12780</v>
      </c>
      <c r="F198" s="90">
        <v>141.95099999999999</v>
      </c>
      <c r="G198" s="90">
        <v>-5.47</v>
      </c>
      <c r="H198" s="90">
        <v>5.7160000000000002</v>
      </c>
      <c r="I198" s="90"/>
      <c r="J198" s="95">
        <f>AVERAGE(G197:G198)</f>
        <v>-5.5019999999999998</v>
      </c>
      <c r="K198" s="95">
        <f>STDEV(G197:G198)</f>
        <v>4.5254833995939082E-2</v>
      </c>
      <c r="L198" s="90"/>
      <c r="M198" s="89">
        <f>AVERAGE(E197:E198)</f>
        <v>13234.5</v>
      </c>
      <c r="N198" s="89">
        <f>STDEV(E197:E198)</f>
        <v>642.76006409857166</v>
      </c>
      <c r="O198" s="91"/>
      <c r="P198" s="92">
        <f>AVERAGE(H197:H198)</f>
        <v>5.7190000000000003</v>
      </c>
      <c r="Q198" s="92">
        <f>STDEV(H197:H198)</f>
        <v>4.2426406871194462E-3</v>
      </c>
      <c r="R198" s="91"/>
      <c r="S198" s="29">
        <f>J198-(A198-Standards!$A$121)*Standards!$AA$4</f>
        <v>-5.4989166176470583</v>
      </c>
      <c r="T198" s="92">
        <f>S198-(M198-Standards!$N$121)*Standards!$AA$55</f>
        <v>-5.4909949235294109</v>
      </c>
      <c r="U198" s="92"/>
      <c r="V198" s="91"/>
      <c r="W198" s="29">
        <f>P198-(A198-Standards!$A$121)*Standards!$AL$5</f>
        <v>5.7232732352941182</v>
      </c>
      <c r="X198" s="92">
        <f>W198-(M198-Standards!$N$121)*Standards!$AL$54</f>
        <v>5.7042941764705892</v>
      </c>
      <c r="Y198" s="122"/>
      <c r="Z198" s="96">
        <f>(T198*Standards!$O$156)+Standards!$O$157</f>
        <v>-5.0191742222999576</v>
      </c>
      <c r="AA198" s="97">
        <f>(X198*Standards!$T$156)+Standards!$T$157</f>
        <v>7.1749735557697987</v>
      </c>
    </row>
    <row r="199" spans="1:27" s="116" customFormat="1" ht="24.95" customHeight="1" x14ac:dyDescent="0.25">
      <c r="A199" s="102">
        <v>107</v>
      </c>
      <c r="B199" s="103" t="s">
        <v>1172</v>
      </c>
      <c r="C199" s="103" t="s">
        <v>280</v>
      </c>
      <c r="D199" s="103">
        <v>6</v>
      </c>
      <c r="E199" s="103">
        <v>10906</v>
      </c>
      <c r="F199" s="103">
        <v>127.949</v>
      </c>
      <c r="G199" s="103">
        <v>1.397</v>
      </c>
      <c r="H199" s="103">
        <v>27.173999999999999</v>
      </c>
      <c r="I199" s="103"/>
      <c r="J199" s="103"/>
      <c r="K199" s="103"/>
      <c r="L199" s="103"/>
      <c r="M199" s="102"/>
      <c r="N199" s="102"/>
      <c r="O199" s="104"/>
      <c r="P199" s="105"/>
      <c r="Q199" s="105"/>
      <c r="R199" s="104"/>
      <c r="S199" s="28"/>
      <c r="T199" s="104"/>
      <c r="U199" s="104"/>
      <c r="V199" s="104"/>
      <c r="W199" s="28"/>
      <c r="X199" s="104"/>
      <c r="Y199" s="111"/>
      <c r="Z199" s="106"/>
      <c r="AA199" s="107"/>
    </row>
    <row r="200" spans="1:27" s="116" customFormat="1" ht="24.95" customHeight="1" x14ac:dyDescent="0.25">
      <c r="A200" s="102">
        <v>107</v>
      </c>
      <c r="B200" s="103" t="s">
        <v>1172</v>
      </c>
      <c r="C200" s="103" t="s">
        <v>280</v>
      </c>
      <c r="D200" s="103">
        <v>7</v>
      </c>
      <c r="E200" s="103">
        <v>10142</v>
      </c>
      <c r="F200" s="103">
        <v>118.61499999999999</v>
      </c>
      <c r="G200" s="103">
        <v>1.456</v>
      </c>
      <c r="H200" s="103">
        <v>27.279</v>
      </c>
      <c r="I200" s="103"/>
      <c r="J200" s="108">
        <f>AVERAGE(G199:G200)</f>
        <v>1.4264999999999999</v>
      </c>
      <c r="K200" s="108">
        <f>STDEV(G199:G200)</f>
        <v>4.171930009000626E-2</v>
      </c>
      <c r="L200" s="103"/>
      <c r="M200" s="102">
        <f>AVERAGE(E199:E200)</f>
        <v>10524</v>
      </c>
      <c r="N200" s="102">
        <f>STDEV(E199:E200)</f>
        <v>540.22958082652235</v>
      </c>
      <c r="O200" s="104"/>
      <c r="P200" s="105">
        <f>AVERAGE(H199:H200)</f>
        <v>27.226500000000001</v>
      </c>
      <c r="Q200" s="105">
        <f>STDEV(H199:H200)</f>
        <v>7.4246212024587796E-2</v>
      </c>
      <c r="R200" s="104"/>
      <c r="S200" s="29">
        <f>J200-(A200-Standards!$A$121)*Standards!$AA$4</f>
        <v>1.4303063823529412</v>
      </c>
      <c r="T200" s="105">
        <f>S200-(M200-Standards!$N$121)*Standards!$AA$55</f>
        <v>1.4642488764705883</v>
      </c>
      <c r="U200" s="105"/>
      <c r="V200" s="104"/>
      <c r="W200" s="29">
        <f>P200-(A200-Standards!$A$121)*Standards!$AL$5</f>
        <v>27.231775235294119</v>
      </c>
      <c r="X200" s="105">
        <f>W200-(M200-Standards!$N$121)*Standards!$AL$54</f>
        <v>27.150454676470591</v>
      </c>
      <c r="Y200" s="123"/>
      <c r="Z200" s="109">
        <f>(T200*Standards!$O$156)+Standards!$O$157</f>
        <v>1.9796098961197059</v>
      </c>
      <c r="AA200" s="110">
        <f>(X200*Standards!$T$156)+Standards!$T$157</f>
        <v>28.504733860962226</v>
      </c>
    </row>
    <row r="201" spans="1:27" s="116" customFormat="1" ht="24.95" customHeight="1" x14ac:dyDescent="0.25">
      <c r="A201" s="102">
        <v>108</v>
      </c>
      <c r="B201" s="103" t="s">
        <v>1178</v>
      </c>
      <c r="C201" s="103" t="s">
        <v>671</v>
      </c>
      <c r="D201" s="103">
        <v>6</v>
      </c>
      <c r="E201" s="103">
        <v>12575</v>
      </c>
      <c r="F201" s="103">
        <v>140.262</v>
      </c>
      <c r="G201" s="103">
        <v>1.3480000000000001</v>
      </c>
      <c r="H201" s="103">
        <v>27.201000000000001</v>
      </c>
      <c r="I201" s="103"/>
      <c r="J201" s="103"/>
      <c r="K201" s="103"/>
      <c r="L201" s="103"/>
      <c r="M201" s="102"/>
      <c r="N201" s="102"/>
      <c r="O201" s="104"/>
      <c r="P201" s="105"/>
      <c r="Q201" s="105"/>
      <c r="R201" s="104"/>
      <c r="S201" s="28"/>
      <c r="T201" s="104"/>
      <c r="U201" s="104"/>
      <c r="V201" s="104"/>
      <c r="W201" s="28"/>
      <c r="X201" s="104"/>
      <c r="Y201" s="111"/>
      <c r="Z201" s="106"/>
      <c r="AA201" s="107"/>
    </row>
    <row r="202" spans="1:27" s="116" customFormat="1" ht="24.95" customHeight="1" x14ac:dyDescent="0.25">
      <c r="A202" s="102">
        <v>108</v>
      </c>
      <c r="B202" s="103" t="s">
        <v>1178</v>
      </c>
      <c r="C202" s="103" t="s">
        <v>671</v>
      </c>
      <c r="D202" s="103">
        <v>7</v>
      </c>
      <c r="E202" s="103">
        <v>11683</v>
      </c>
      <c r="F202" s="103">
        <v>130.32400000000001</v>
      </c>
      <c r="G202" s="103">
        <v>1.413</v>
      </c>
      <c r="H202" s="103">
        <v>27.265000000000001</v>
      </c>
      <c r="I202" s="103"/>
      <c r="J202" s="108">
        <f>AVERAGE(G201:G202)</f>
        <v>1.3805000000000001</v>
      </c>
      <c r="K202" s="108">
        <f>STDEV(G201:G202)</f>
        <v>4.5961940777125551E-2</v>
      </c>
      <c r="L202" s="103"/>
      <c r="M202" s="102">
        <f>AVERAGE(E201:E202)</f>
        <v>12129</v>
      </c>
      <c r="N202" s="102">
        <f>STDEV(E201:E202)</f>
        <v>630.73924881840037</v>
      </c>
      <c r="O202" s="104"/>
      <c r="P202" s="105">
        <f>AVERAGE(H201:H202)</f>
        <v>27.233000000000001</v>
      </c>
      <c r="Q202" s="105">
        <f>STDEV(H201:H202)</f>
        <v>4.5254833995939082E-2</v>
      </c>
      <c r="R202" s="104"/>
      <c r="S202" s="29">
        <f>J202-(A202-Standards!$A$121)*Standards!$AA$4</f>
        <v>1.3850293823529412</v>
      </c>
      <c r="T202" s="105">
        <f>S202-(M202-Standards!$N$121)*Standards!$AA$55</f>
        <v>1.4035638764705882</v>
      </c>
      <c r="U202" s="105"/>
      <c r="V202" s="104"/>
      <c r="W202" s="29">
        <f>P202-(A202-Standards!$A$121)*Standards!$AL$5</f>
        <v>27.239277235294118</v>
      </c>
      <c r="X202" s="105">
        <f>W202-(M202-Standards!$N$121)*Standards!$AL$54</f>
        <v>27.194871676470587</v>
      </c>
      <c r="Y202" s="123"/>
      <c r="Z202" s="109">
        <f>(T202*Standards!$O$156)+Standards!$O$157</f>
        <v>1.9185450037249492</v>
      </c>
      <c r="AA202" s="110">
        <f>(X202*Standards!$T$156)+Standards!$T$157</f>
        <v>28.548909785294956</v>
      </c>
    </row>
    <row r="203" spans="1:27" s="116" customFormat="1" ht="24.95" customHeight="1" x14ac:dyDescent="0.25">
      <c r="A203" s="102">
        <v>109</v>
      </c>
      <c r="B203" s="103" t="s">
        <v>1183</v>
      </c>
      <c r="C203" s="103" t="s">
        <v>317</v>
      </c>
      <c r="D203" s="103">
        <v>6</v>
      </c>
      <c r="E203" s="103">
        <v>13910</v>
      </c>
      <c r="F203" s="103">
        <v>162.33799999999999</v>
      </c>
      <c r="G203" s="103">
        <v>1.383</v>
      </c>
      <c r="H203" s="103">
        <v>27.116</v>
      </c>
      <c r="I203" s="103"/>
      <c r="J203" s="103"/>
      <c r="K203" s="103"/>
      <c r="L203" s="103"/>
      <c r="M203" s="102"/>
      <c r="N203" s="102"/>
      <c r="O203" s="104"/>
      <c r="P203" s="105"/>
      <c r="Q203" s="105"/>
      <c r="R203" s="104"/>
      <c r="S203" s="28"/>
      <c r="T203" s="104"/>
      <c r="U203" s="104"/>
      <c r="V203" s="104"/>
      <c r="W203" s="28"/>
      <c r="X203" s="104"/>
      <c r="Y203" s="111"/>
      <c r="Z203" s="106"/>
      <c r="AA203" s="107"/>
    </row>
    <row r="204" spans="1:27" s="116" customFormat="1" ht="24.95" customHeight="1" x14ac:dyDescent="0.25">
      <c r="A204" s="102">
        <v>109</v>
      </c>
      <c r="B204" s="103" t="s">
        <v>1183</v>
      </c>
      <c r="C204" s="103" t="s">
        <v>317</v>
      </c>
      <c r="D204" s="103">
        <v>7</v>
      </c>
      <c r="E204" s="103">
        <v>12915</v>
      </c>
      <c r="F204" s="103">
        <v>150.142</v>
      </c>
      <c r="G204" s="103">
        <v>1.4419999999999999</v>
      </c>
      <c r="H204" s="103">
        <v>27.167999999999999</v>
      </c>
      <c r="I204" s="103"/>
      <c r="J204" s="108">
        <f>AVERAGE(G203:G204)</f>
        <v>1.4125000000000001</v>
      </c>
      <c r="K204" s="108">
        <f>STDEV(G203:G204)</f>
        <v>4.171930009000626E-2</v>
      </c>
      <c r="L204" s="103"/>
      <c r="M204" s="102">
        <f>AVERAGE(E203:E204)</f>
        <v>13412.5</v>
      </c>
      <c r="N204" s="102">
        <f>STDEV(E203:E204)</f>
        <v>703.57124728061478</v>
      </c>
      <c r="O204" s="104"/>
      <c r="P204" s="105">
        <f>AVERAGE(H203:H204)</f>
        <v>27.141999999999999</v>
      </c>
      <c r="Q204" s="105">
        <f>STDEV(H203:H204)</f>
        <v>3.6769552621700188E-2</v>
      </c>
      <c r="R204" s="104"/>
      <c r="S204" s="29">
        <f>J204-(A204-Standards!$A$121)*Standards!$AA$4</f>
        <v>1.4177523823529412</v>
      </c>
      <c r="T204" s="105">
        <f>S204-(M204-Standards!$N$121)*Standards!$AA$55</f>
        <v>1.4239652764705883</v>
      </c>
      <c r="U204" s="105"/>
      <c r="V204" s="104"/>
      <c r="W204" s="29">
        <f>P204-(A204-Standards!$A$121)*Standards!$AL$5</f>
        <v>27.149279235294117</v>
      </c>
      <c r="X204" s="105">
        <f>W204-(M204-Standards!$N$121)*Standards!$AL$54</f>
        <v>27.134394176470586</v>
      </c>
      <c r="Y204" s="123"/>
      <c r="Z204" s="109">
        <f>(T204*Standards!$O$156)+Standards!$O$157</f>
        <v>1.9390741179327828</v>
      </c>
      <c r="AA204" s="110">
        <f>(X204*Standards!$T$156)+Standards!$T$157</f>
        <v>28.488760530193687</v>
      </c>
    </row>
    <row r="205" spans="1:27" s="116" customFormat="1" ht="24.95" customHeight="1" x14ac:dyDescent="0.25">
      <c r="A205" s="102">
        <v>110</v>
      </c>
      <c r="B205" s="103" t="s">
        <v>1189</v>
      </c>
      <c r="C205" s="103" t="s">
        <v>654</v>
      </c>
      <c r="D205" s="103">
        <v>6</v>
      </c>
      <c r="E205" s="103">
        <v>12839</v>
      </c>
      <c r="F205" s="103">
        <v>144.708</v>
      </c>
      <c r="G205" s="103">
        <v>1.446</v>
      </c>
      <c r="H205" s="103">
        <v>27.228999999999999</v>
      </c>
      <c r="I205" s="103"/>
      <c r="J205" s="108"/>
      <c r="K205" s="108"/>
      <c r="L205" s="103"/>
      <c r="M205" s="102"/>
      <c r="N205" s="102"/>
      <c r="O205" s="104"/>
      <c r="P205" s="105"/>
      <c r="Q205" s="105"/>
      <c r="R205" s="104"/>
      <c r="S205" s="29"/>
      <c r="T205" s="105"/>
      <c r="U205" s="105"/>
      <c r="V205" s="105"/>
      <c r="W205" s="29"/>
      <c r="X205" s="105"/>
      <c r="Y205" s="111"/>
      <c r="Z205" s="112"/>
      <c r="AA205" s="113"/>
    </row>
    <row r="206" spans="1:27" s="116" customFormat="1" ht="24.95" customHeight="1" x14ac:dyDescent="0.25">
      <c r="A206" s="102">
        <v>110</v>
      </c>
      <c r="B206" s="103" t="s">
        <v>1189</v>
      </c>
      <c r="C206" s="103" t="s">
        <v>654</v>
      </c>
      <c r="D206" s="103">
        <v>7</v>
      </c>
      <c r="E206" s="103">
        <v>11834</v>
      </c>
      <c r="F206" s="103">
        <v>133.88300000000001</v>
      </c>
      <c r="G206" s="103">
        <v>1.4850000000000001</v>
      </c>
      <c r="H206" s="103">
        <v>27.260999999999999</v>
      </c>
      <c r="I206" s="103"/>
      <c r="J206" s="108">
        <f>AVERAGE(G205:G206)</f>
        <v>1.4655</v>
      </c>
      <c r="K206" s="108">
        <f>STDEV(G205:G206)</f>
        <v>2.7577164466275457E-2</v>
      </c>
      <c r="L206" s="103"/>
      <c r="M206" s="102">
        <f>AVERAGE(E205:E206)</f>
        <v>12336.5</v>
      </c>
      <c r="N206" s="102">
        <f>STDEV(E205:E206)</f>
        <v>710.64231509248032</v>
      </c>
      <c r="O206" s="104"/>
      <c r="P206" s="105">
        <f>AVERAGE(H205:H206)</f>
        <v>27.244999999999997</v>
      </c>
      <c r="Q206" s="105">
        <f>STDEV(H205:H206)</f>
        <v>2.2627416997969541E-2</v>
      </c>
      <c r="R206" s="104"/>
      <c r="S206" s="29">
        <f>J206-(A206-Standards!$A$121)*Standards!$AA$4</f>
        <v>1.4714753823529412</v>
      </c>
      <c r="T206" s="105">
        <f>S206-(M206-Standards!$N$121)*Standards!$AA$55</f>
        <v>1.4880178764705883</v>
      </c>
      <c r="U206" s="105"/>
      <c r="V206" s="104"/>
      <c r="W206" s="29">
        <f>P206-(A206-Standards!$A$121)*Standards!$AL$5</f>
        <v>27.253281235294114</v>
      </c>
      <c r="X206" s="105">
        <f>W206-(M206-Standards!$N$121)*Standards!$AL$54</f>
        <v>27.213648176470585</v>
      </c>
      <c r="Y206" s="123"/>
      <c r="Z206" s="109">
        <f>(T206*Standards!$O$156)+Standards!$O$157</f>
        <v>2.0035276917418687</v>
      </c>
      <c r="AA206" s="110">
        <f>(X206*Standards!$T$156)+Standards!$T$157</f>
        <v>28.567584374826748</v>
      </c>
    </row>
    <row r="207" spans="1:27" s="117" customFormat="1" ht="24.95" customHeight="1" x14ac:dyDescent="0.25">
      <c r="A207" s="64">
        <v>111</v>
      </c>
      <c r="B207" s="65" t="s">
        <v>1196</v>
      </c>
      <c r="C207" s="65" t="s">
        <v>281</v>
      </c>
      <c r="D207" s="65">
        <v>6</v>
      </c>
      <c r="E207" s="65">
        <v>11467</v>
      </c>
      <c r="F207" s="65">
        <v>133.82400000000001</v>
      </c>
      <c r="G207" s="65">
        <v>3.8610000000000002</v>
      </c>
      <c r="H207" s="65">
        <v>25.125</v>
      </c>
      <c r="I207" s="65"/>
      <c r="J207" s="65"/>
      <c r="K207" s="65"/>
      <c r="L207" s="65"/>
      <c r="M207" s="64"/>
      <c r="N207" s="64"/>
      <c r="O207" s="67"/>
      <c r="P207" s="68"/>
      <c r="Q207" s="68"/>
      <c r="R207" s="67"/>
      <c r="S207" s="28"/>
      <c r="T207" s="67"/>
      <c r="U207" s="67"/>
      <c r="V207" s="67"/>
      <c r="W207" s="28"/>
      <c r="X207" s="67"/>
      <c r="Y207" s="74"/>
      <c r="Z207" s="72"/>
      <c r="AA207" s="73"/>
    </row>
    <row r="208" spans="1:27" s="117" customFormat="1" ht="24.95" customHeight="1" x14ac:dyDescent="0.25">
      <c r="A208" s="64">
        <v>111</v>
      </c>
      <c r="B208" s="65" t="s">
        <v>1196</v>
      </c>
      <c r="C208" s="65" t="s">
        <v>281</v>
      </c>
      <c r="D208" s="65">
        <v>7</v>
      </c>
      <c r="E208" s="65">
        <v>10656</v>
      </c>
      <c r="F208" s="65">
        <v>123.729</v>
      </c>
      <c r="G208" s="65">
        <v>3.8919999999999999</v>
      </c>
      <c r="H208" s="65">
        <v>25.155999999999999</v>
      </c>
      <c r="I208" s="65"/>
      <c r="J208" s="66">
        <f>AVERAGE(G207:G208)</f>
        <v>3.8765000000000001</v>
      </c>
      <c r="K208" s="66">
        <f>STDEV(G207:G208)</f>
        <v>2.1920310216782757E-2</v>
      </c>
      <c r="L208" s="65"/>
      <c r="M208" s="64">
        <f>AVERAGE(E207:E208)</f>
        <v>11061.5</v>
      </c>
      <c r="N208" s="64">
        <f>STDEV(E207:E208)</f>
        <v>573.46359954229001</v>
      </c>
      <c r="O208" s="67"/>
      <c r="P208" s="68">
        <f>AVERAGE(H207:H208)</f>
        <v>25.140499999999999</v>
      </c>
      <c r="Q208" s="68">
        <f>STDEV(H207:H208)</f>
        <v>2.1920310216782129E-2</v>
      </c>
      <c r="R208" s="67"/>
      <c r="S208" s="29">
        <f>J208-(A208-Standards!$A$121)*Standards!$AA$4</f>
        <v>3.883198382352941</v>
      </c>
      <c r="T208" s="68">
        <f>S208-(M208-Standards!$N$121)*Standards!$AA$55</f>
        <v>3.9119808764705879</v>
      </c>
      <c r="U208" s="68"/>
      <c r="V208" s="67"/>
      <c r="W208" s="29">
        <f>P208-(A208-Standards!$A$121)*Standards!$AL$5</f>
        <v>25.149783235294116</v>
      </c>
      <c r="X208" s="68">
        <f>W208-(M208-Standards!$N$121)*Standards!$AL$54</f>
        <v>25.080825176470587</v>
      </c>
      <c r="Y208" s="124"/>
      <c r="Z208" s="69">
        <f>(T208*Standards!$O$156)+Standards!$O$157</f>
        <v>4.4426648716688879</v>
      </c>
      <c r="AA208" s="70">
        <f>(X208*Standards!$T$156)+Standards!$T$157</f>
        <v>26.446337386891475</v>
      </c>
    </row>
    <row r="209" spans="1:27" s="117" customFormat="1" ht="24.95" customHeight="1" x14ac:dyDescent="0.25">
      <c r="A209" s="64">
        <v>112</v>
      </c>
      <c r="B209" s="65" t="s">
        <v>1201</v>
      </c>
      <c r="C209" s="65" t="s">
        <v>317</v>
      </c>
      <c r="D209" s="65">
        <v>6</v>
      </c>
      <c r="E209" s="65">
        <v>15047</v>
      </c>
      <c r="F209" s="65">
        <v>173.566</v>
      </c>
      <c r="G209" s="65">
        <v>3.8420000000000001</v>
      </c>
      <c r="H209" s="65">
        <v>25.12</v>
      </c>
      <c r="I209" s="65"/>
      <c r="J209" s="65"/>
      <c r="K209" s="65"/>
      <c r="L209" s="65"/>
      <c r="M209" s="64"/>
      <c r="N209" s="64"/>
      <c r="O209" s="67"/>
      <c r="P209" s="68"/>
      <c r="Q209" s="68"/>
      <c r="R209" s="67"/>
      <c r="S209" s="28"/>
      <c r="T209" s="67"/>
      <c r="U209" s="67"/>
      <c r="V209" s="67"/>
      <c r="W209" s="28"/>
      <c r="X209" s="67"/>
      <c r="Y209" s="74"/>
      <c r="Z209" s="72"/>
      <c r="AA209" s="73"/>
    </row>
    <row r="210" spans="1:27" s="117" customFormat="1" ht="24.95" customHeight="1" x14ac:dyDescent="0.25">
      <c r="A210" s="64">
        <v>112</v>
      </c>
      <c r="B210" s="65" t="s">
        <v>1201</v>
      </c>
      <c r="C210" s="65" t="s">
        <v>317</v>
      </c>
      <c r="D210" s="65">
        <v>7</v>
      </c>
      <c r="E210" s="65">
        <v>13865</v>
      </c>
      <c r="F210" s="65">
        <v>160.4</v>
      </c>
      <c r="G210" s="65">
        <v>3.9159999999999999</v>
      </c>
      <c r="H210" s="65">
        <v>25.158999999999999</v>
      </c>
      <c r="I210" s="65"/>
      <c r="J210" s="66">
        <f>AVERAGE(G209:G210)</f>
        <v>3.879</v>
      </c>
      <c r="K210" s="66">
        <f>STDEV(G209:G210)</f>
        <v>5.2325901807804408E-2</v>
      </c>
      <c r="L210" s="65"/>
      <c r="M210" s="64">
        <f>AVERAGE(E209:E210)</f>
        <v>14456</v>
      </c>
      <c r="N210" s="64">
        <f>STDEV(E209:E210)</f>
        <v>835.80021536249922</v>
      </c>
      <c r="O210" s="67"/>
      <c r="P210" s="68">
        <f>AVERAGE(H209:H210)</f>
        <v>25.139499999999998</v>
      </c>
      <c r="Q210" s="68">
        <f>STDEV(H209:H210)</f>
        <v>2.7577164466273885E-2</v>
      </c>
      <c r="R210" s="67"/>
      <c r="S210" s="29">
        <f>J210-(A210-Standards!$A$121)*Standards!$AA$4</f>
        <v>3.8864213823529412</v>
      </c>
      <c r="T210" s="68">
        <f>S210-(M210-Standards!$N$121)*Standards!$AA$55</f>
        <v>3.8826166764705881</v>
      </c>
      <c r="U210" s="68"/>
      <c r="V210" s="67"/>
      <c r="W210" s="29">
        <f>P210-(A210-Standards!$A$121)*Standards!$AL$5</f>
        <v>25.149785235294114</v>
      </c>
      <c r="X210" s="68">
        <f>W210-(M210-Standards!$N$121)*Standards!$AL$54</f>
        <v>25.158900676470584</v>
      </c>
      <c r="Y210" s="124"/>
      <c r="Z210" s="69">
        <f>(T210*Standards!$O$156)+Standards!$O$157</f>
        <v>4.4131168496987456</v>
      </c>
      <c r="AA210" s="70">
        <f>(X210*Standards!$T$156)+Standards!$T$157</f>
        <v>26.523989127896957</v>
      </c>
    </row>
    <row r="211" spans="1:27" s="117" customFormat="1" ht="24.95" customHeight="1" x14ac:dyDescent="0.25">
      <c r="A211" s="64">
        <v>113</v>
      </c>
      <c r="B211" s="65" t="s">
        <v>1206</v>
      </c>
      <c r="C211" s="65" t="s">
        <v>946</v>
      </c>
      <c r="D211" s="65">
        <v>6</v>
      </c>
      <c r="E211" s="65">
        <v>20491</v>
      </c>
      <c r="F211" s="65">
        <v>230.114</v>
      </c>
      <c r="G211" s="65">
        <v>3.9590000000000001</v>
      </c>
      <c r="H211" s="65">
        <v>24.899000000000001</v>
      </c>
      <c r="I211" s="65"/>
      <c r="J211" s="66"/>
      <c r="K211" s="66"/>
      <c r="L211" s="65"/>
      <c r="M211" s="64"/>
      <c r="N211" s="64"/>
      <c r="O211" s="67"/>
      <c r="P211" s="68"/>
      <c r="Q211" s="68"/>
      <c r="R211" s="67"/>
      <c r="S211" s="29"/>
      <c r="T211" s="68"/>
      <c r="U211" s="68"/>
      <c r="V211" s="67"/>
      <c r="W211" s="29"/>
      <c r="X211" s="68"/>
      <c r="Y211" s="124"/>
      <c r="Z211" s="69"/>
      <c r="AA211" s="70"/>
    </row>
    <row r="212" spans="1:27" s="117" customFormat="1" ht="24.95" customHeight="1" x14ac:dyDescent="0.25">
      <c r="A212" s="64">
        <v>113</v>
      </c>
      <c r="B212" s="65" t="s">
        <v>1206</v>
      </c>
      <c r="C212" s="65" t="s">
        <v>946</v>
      </c>
      <c r="D212" s="65">
        <v>7</v>
      </c>
      <c r="E212" s="65">
        <v>19135</v>
      </c>
      <c r="F212" s="65">
        <v>213.96100000000001</v>
      </c>
      <c r="G212" s="65">
        <v>4.0039999999999996</v>
      </c>
      <c r="H212" s="65">
        <v>24.937999999999999</v>
      </c>
      <c r="I212" s="65"/>
      <c r="J212" s="66">
        <f>AVERAGE(G211:G212)</f>
        <v>3.9814999999999996</v>
      </c>
      <c r="K212" s="66">
        <f>STDEV(G211:G212)</f>
        <v>3.1819805153394276E-2</v>
      </c>
      <c r="L212" s="65"/>
      <c r="M212" s="64">
        <f>AVERAGE(E211:E212)</f>
        <v>19813</v>
      </c>
      <c r="N212" s="64">
        <f>STDEV(E211:E212)</f>
        <v>958.83679528895846</v>
      </c>
      <c r="O212" s="67"/>
      <c r="P212" s="68">
        <f>AVERAGE(H211:H212)</f>
        <v>24.918500000000002</v>
      </c>
      <c r="Q212" s="68">
        <f>STDEV(H211:H212)</f>
        <v>2.7577164466273885E-2</v>
      </c>
      <c r="R212" s="67"/>
      <c r="S212" s="29">
        <f>J212-(A212-Standards!$A$121)*Standards!$AA$4</f>
        <v>3.9896443823529406</v>
      </c>
      <c r="T212" s="68">
        <f>S212-(M212-Standards!$N$121)*Standards!$AA$55</f>
        <v>3.9344124764705879</v>
      </c>
      <c r="U212" s="68"/>
      <c r="V212" s="67"/>
      <c r="W212" s="29">
        <f>P212-(A212-Standards!$A$121)*Standards!$AL$5</f>
        <v>24.929787235294118</v>
      </c>
      <c r="X212" s="68">
        <f>W212-(M212-Standards!$N$121)*Standards!$AL$54</f>
        <v>25.062113676470588</v>
      </c>
      <c r="Y212" s="124"/>
      <c r="Z212" s="69">
        <f>(T212*Standards!$O$156)+Standards!$O$157</f>
        <v>4.4652368950724011</v>
      </c>
      <c r="AA212" s="70">
        <f>(X212*Standards!$T$156)+Standards!$T$157</f>
        <v>26.427727444568674</v>
      </c>
    </row>
    <row r="213" spans="1:27" ht="24.95" customHeight="1" x14ac:dyDescent="0.25">
      <c r="A213" s="121">
        <v>114</v>
      </c>
      <c r="B213" s="76" t="s">
        <v>1212</v>
      </c>
      <c r="C213" s="76" t="s">
        <v>325</v>
      </c>
      <c r="D213" s="76">
        <v>6</v>
      </c>
      <c r="E213" s="76">
        <v>11376</v>
      </c>
      <c r="F213" s="76">
        <v>133.73400000000001</v>
      </c>
      <c r="G213" s="76">
        <v>-2.35</v>
      </c>
      <c r="H213" s="76">
        <v>24.292000000000002</v>
      </c>
      <c r="Y213" s="78"/>
      <c r="Z213" s="33"/>
      <c r="AA213" s="34"/>
    </row>
    <row r="214" spans="1:27" ht="24.95" customHeight="1" x14ac:dyDescent="0.25">
      <c r="A214" s="121">
        <v>114</v>
      </c>
      <c r="B214" s="76" t="s">
        <v>1212</v>
      </c>
      <c r="C214" s="76" t="s">
        <v>325</v>
      </c>
      <c r="D214" s="76">
        <v>7</v>
      </c>
      <c r="E214" s="76">
        <v>10558</v>
      </c>
      <c r="F214" s="76">
        <v>123.745</v>
      </c>
      <c r="G214" s="76">
        <v>-2.29</v>
      </c>
      <c r="H214" s="76">
        <v>24.295999999999999</v>
      </c>
      <c r="J214" s="31">
        <f>AVERAGE(G213:G214)</f>
        <v>-2.3200000000000003</v>
      </c>
      <c r="K214" s="31">
        <f>STDEV(G213:G214)</f>
        <v>4.2426406871192889E-2</v>
      </c>
      <c r="L214" s="26"/>
      <c r="M214" s="27">
        <f>AVERAGE(E213:E214)</f>
        <v>10967</v>
      </c>
      <c r="N214" s="27">
        <f>STDEV(E213:E214)</f>
        <v>578.41334701059588</v>
      </c>
      <c r="O214" s="28"/>
      <c r="P214" s="29">
        <f>AVERAGE(H213:H214)</f>
        <v>24.294</v>
      </c>
      <c r="Q214" s="29">
        <f>STDEV(H213:H214)</f>
        <v>2.8284271247446227E-3</v>
      </c>
      <c r="R214" s="28"/>
      <c r="S214" s="29">
        <f>J214-(A214-Standards!$A$121)*Standards!$AA$4</f>
        <v>-2.311132617647059</v>
      </c>
      <c r="T214" s="29">
        <f>S214-(M214-Standards!$N$121)*Standards!$AA$55</f>
        <v>-2.2814429235294118</v>
      </c>
      <c r="U214" s="29"/>
      <c r="V214" s="28"/>
      <c r="W214" s="29">
        <f>P214-(A214-Standards!$A$121)*Standards!$AL$5</f>
        <v>24.30628923529412</v>
      </c>
      <c r="X214" s="139">
        <f>W214-(M214-Standards!$N$121)*Standards!$AL$54</f>
        <v>24.235157676470589</v>
      </c>
      <c r="Y214" s="78"/>
      <c r="Z214" s="19">
        <f>(T214*Standards!$O$156)+Standards!$O$157</f>
        <v>-1.7895301996357826</v>
      </c>
      <c r="AA214" s="20">
        <f>(X214*Standards!$T$156)+Standards!$T$157</f>
        <v>25.605259792937478</v>
      </c>
    </row>
    <row r="215" spans="1:27" ht="24.95" customHeight="1" x14ac:dyDescent="0.25">
      <c r="A215" s="121">
        <v>115</v>
      </c>
      <c r="B215" s="76" t="s">
        <v>1218</v>
      </c>
      <c r="C215" s="76" t="s">
        <v>1219</v>
      </c>
      <c r="D215" s="76">
        <v>6</v>
      </c>
      <c r="E215" s="76">
        <v>15978</v>
      </c>
      <c r="F215" s="76">
        <v>177.821</v>
      </c>
      <c r="G215" s="76">
        <v>-2.4630000000000001</v>
      </c>
      <c r="H215" s="76">
        <v>24.02</v>
      </c>
      <c r="Y215" s="78"/>
      <c r="Z215" s="190"/>
      <c r="AA215" s="119"/>
    </row>
    <row r="216" spans="1:27" ht="24.95" customHeight="1" x14ac:dyDescent="0.25">
      <c r="A216" s="121">
        <v>115</v>
      </c>
      <c r="B216" s="76" t="s">
        <v>1218</v>
      </c>
      <c r="C216" s="76" t="s">
        <v>1219</v>
      </c>
      <c r="D216" s="76">
        <v>7</v>
      </c>
      <c r="E216" s="76">
        <v>14882</v>
      </c>
      <c r="F216" s="76">
        <v>165.09399999999999</v>
      </c>
      <c r="G216" s="76">
        <v>-2.4430000000000001</v>
      </c>
      <c r="H216" s="76">
        <v>24.062999999999999</v>
      </c>
      <c r="J216" s="31">
        <f>AVERAGE(G215:G216)</f>
        <v>-2.4530000000000003</v>
      </c>
      <c r="K216" s="31">
        <f>STDEV(G215:G216)</f>
        <v>1.4142135623730963E-2</v>
      </c>
      <c r="L216" s="26"/>
      <c r="M216" s="27">
        <f>AVERAGE(E215:E216)</f>
        <v>15430</v>
      </c>
      <c r="N216" s="27">
        <f>STDEV(E215:E216)</f>
        <v>774.98903218045609</v>
      </c>
      <c r="O216" s="28"/>
      <c r="P216" s="29">
        <f>AVERAGE(H215:H216)</f>
        <v>24.041499999999999</v>
      </c>
      <c r="Q216" s="29">
        <f>STDEV(H215:H216)</f>
        <v>3.0405591591021019E-2</v>
      </c>
      <c r="R216" s="28"/>
      <c r="S216" s="29">
        <f>J216-(A216-Standards!$A$121)*Standards!$AA$4</f>
        <v>-2.4434096176470592</v>
      </c>
      <c r="T216" s="29">
        <f>S216-(M216-Standards!$N$121)*Standards!$AA$55</f>
        <v>-2.4565647235294121</v>
      </c>
      <c r="U216" s="29"/>
      <c r="V216" s="28"/>
      <c r="W216" s="29">
        <f>P216-(A216-Standards!$A$121)*Standards!$AL$5</f>
        <v>24.054791235294118</v>
      </c>
      <c r="X216" s="139">
        <f>W216-(M216-Standards!$N$121)*Standards!$AL$54</f>
        <v>24.08630867647059</v>
      </c>
      <c r="Y216" s="78"/>
      <c r="Z216" s="19">
        <f>(T216*Standards!$O$156)+Standards!$O$157</f>
        <v>-1.9657482744973809</v>
      </c>
      <c r="AA216" s="20">
        <f>(X216*Standards!$T$156)+Standards!$T$157</f>
        <v>25.457218678926999</v>
      </c>
    </row>
    <row r="217" spans="1:27" ht="24.95" customHeight="1" x14ac:dyDescent="0.25">
      <c r="A217" s="121">
        <v>116</v>
      </c>
      <c r="B217" s="76" t="s">
        <v>1226</v>
      </c>
      <c r="C217" s="76" t="s">
        <v>586</v>
      </c>
      <c r="D217" s="76">
        <v>6</v>
      </c>
      <c r="E217" s="76">
        <v>13924</v>
      </c>
      <c r="F217" s="76">
        <v>162.898</v>
      </c>
      <c r="G217" s="76">
        <v>-2.4329999999999998</v>
      </c>
      <c r="H217" s="76">
        <v>24.009</v>
      </c>
      <c r="Y217" s="78"/>
      <c r="Z217" s="190"/>
      <c r="AA217" s="119"/>
    </row>
    <row r="218" spans="1:27" ht="24.95" customHeight="1" x14ac:dyDescent="0.25">
      <c r="A218" s="121">
        <v>116</v>
      </c>
      <c r="B218" s="76" t="s">
        <v>1226</v>
      </c>
      <c r="C218" s="76" t="s">
        <v>586</v>
      </c>
      <c r="D218" s="76">
        <v>7</v>
      </c>
      <c r="E218" s="76">
        <v>12897</v>
      </c>
      <c r="F218" s="76">
        <v>150.35499999999999</v>
      </c>
      <c r="G218" s="76">
        <v>-2.3820000000000001</v>
      </c>
      <c r="H218" s="76">
        <v>24.042999999999999</v>
      </c>
      <c r="J218" s="31">
        <f>AVERAGE(G217:G218)</f>
        <v>-2.4074999999999998</v>
      </c>
      <c r="K218" s="31">
        <f>STDEV(G217:G218)</f>
        <v>3.606244584051372E-2</v>
      </c>
      <c r="L218" s="26"/>
      <c r="M218" s="27">
        <f>AVERAGE(E217:E218)</f>
        <v>13410.5</v>
      </c>
      <c r="N218" s="27">
        <f>STDEV(E217:E218)</f>
        <v>726.19866427858426</v>
      </c>
      <c r="O218" s="28"/>
      <c r="P218" s="29">
        <f>AVERAGE(H217:H218)</f>
        <v>24.026</v>
      </c>
      <c r="Q218" s="29">
        <f>STDEV(H217:H218)</f>
        <v>2.4041630560341854E-2</v>
      </c>
      <c r="R218" s="28"/>
      <c r="S218" s="29">
        <f>J218-(A218-Standards!$A$121)*Standards!$AA$4</f>
        <v>-2.3971866176470584</v>
      </c>
      <c r="T218" s="29">
        <f>S218-(M218-Standards!$N$121)*Standards!$AA$55</f>
        <v>-2.3909545235294112</v>
      </c>
      <c r="U218" s="29"/>
      <c r="V218" s="28"/>
      <c r="W218" s="29">
        <f>P218-(A218-Standards!$A$121)*Standards!$AL$5</f>
        <v>24.040293235294119</v>
      </c>
      <c r="X218" s="139">
        <f>W218-(M218-Standards!$N$121)*Standards!$AL$54</f>
        <v>24.02536217647059</v>
      </c>
      <c r="Y218" s="78"/>
      <c r="Z218" s="19">
        <f>(T218*Standards!$O$156)+Standards!$O$157</f>
        <v>-1.8997273500020606</v>
      </c>
      <c r="AA218" s="20">
        <f>(X218*Standards!$T$156)+Standards!$T$157</f>
        <v>25.396602969348567</v>
      </c>
    </row>
    <row r="219" spans="1:27" ht="24.95" customHeight="1" x14ac:dyDescent="0.25">
      <c r="A219" s="121">
        <v>117</v>
      </c>
      <c r="B219" s="76" t="s">
        <v>1233</v>
      </c>
      <c r="C219" s="76" t="s">
        <v>317</v>
      </c>
      <c r="D219" s="76">
        <v>6</v>
      </c>
      <c r="E219" s="76">
        <v>15821</v>
      </c>
      <c r="F219" s="76">
        <v>176.28399999999999</v>
      </c>
      <c r="G219" s="76">
        <v>-2.1960000000000002</v>
      </c>
      <c r="H219" s="76">
        <v>24.009</v>
      </c>
      <c r="Y219" s="188"/>
      <c r="Z219" s="191"/>
      <c r="AA219" s="192"/>
    </row>
    <row r="220" spans="1:27" ht="24.95" customHeight="1" x14ac:dyDescent="0.25">
      <c r="A220" s="121">
        <v>117</v>
      </c>
      <c r="B220" s="76" t="s">
        <v>1233</v>
      </c>
      <c r="C220" s="76" t="s">
        <v>317</v>
      </c>
      <c r="D220" s="76">
        <v>7</v>
      </c>
      <c r="E220" s="76">
        <v>14613</v>
      </c>
      <c r="F220" s="76">
        <v>163.04400000000001</v>
      </c>
      <c r="G220" s="76">
        <v>-2.1309999999999998</v>
      </c>
      <c r="H220" s="76">
        <v>24.056000000000001</v>
      </c>
      <c r="J220" s="31">
        <f>AVERAGE(G219:G220)</f>
        <v>-2.1635</v>
      </c>
      <c r="K220" s="31">
        <f>STDEV(G219:G220)</f>
        <v>4.5961940777125863E-2</v>
      </c>
      <c r="L220" s="26"/>
      <c r="M220" s="27">
        <f>AVERAGE(E219:E220)</f>
        <v>15217</v>
      </c>
      <c r="N220" s="27">
        <f>STDEV(E219:E220)</f>
        <v>854.18499167334937</v>
      </c>
      <c r="O220" s="28"/>
      <c r="P220" s="29">
        <f>AVERAGE(H219:H220)</f>
        <v>24.032499999999999</v>
      </c>
      <c r="Q220" s="29">
        <f>STDEV(H219:H220)</f>
        <v>3.3234018715768157E-2</v>
      </c>
      <c r="R220" s="28"/>
      <c r="S220" s="29">
        <f>J220-(A220-Standards!$A$121)*Standards!$AA$4</f>
        <v>-2.1524636176470588</v>
      </c>
      <c r="T220" s="29">
        <f>S220-(M220-Standards!$N$121)*Standards!$AA$55</f>
        <v>-2.1635739235294116</v>
      </c>
      <c r="U220" s="29"/>
      <c r="V220" s="28"/>
      <c r="W220" s="29">
        <f>P220-(A220-Standards!$A$121)*Standards!$AL$5</f>
        <v>24.047795235294117</v>
      </c>
      <c r="X220" s="139">
        <f>W220-(M220-Standards!$N$121)*Standards!$AL$54</f>
        <v>24.074413676470588</v>
      </c>
      <c r="Y220" s="78"/>
      <c r="Z220" s="19">
        <f>(T220*Standards!$O$156)+Standards!$O$157</f>
        <v>-1.6709233313540395</v>
      </c>
      <c r="AA220" s="20">
        <f>(X220*Standards!$T$156)+Standards!$T$157</f>
        <v>25.44538823968216</v>
      </c>
    </row>
    <row r="221" spans="1:27" s="118" customFormat="1" ht="24.95" customHeight="1" x14ac:dyDescent="0.25">
      <c r="A221" s="208">
        <v>118</v>
      </c>
      <c r="B221" s="118" t="s">
        <v>1239</v>
      </c>
      <c r="C221" s="118" t="s">
        <v>671</v>
      </c>
      <c r="D221" s="118">
        <v>6</v>
      </c>
      <c r="E221" s="118">
        <v>12006</v>
      </c>
      <c r="F221" s="118">
        <v>140.571</v>
      </c>
      <c r="G221" s="118">
        <v>-2.59</v>
      </c>
      <c r="H221" s="118">
        <v>24.012</v>
      </c>
      <c r="Y221" s="211"/>
      <c r="Z221" s="212"/>
      <c r="AA221" s="213"/>
    </row>
    <row r="222" spans="1:27" s="118" customFormat="1" ht="24.95" customHeight="1" x14ac:dyDescent="0.25">
      <c r="A222" s="208">
        <v>118</v>
      </c>
      <c r="B222" s="118" t="s">
        <v>1239</v>
      </c>
      <c r="C222" s="118" t="s">
        <v>671</v>
      </c>
      <c r="D222" s="118">
        <v>7</v>
      </c>
      <c r="E222" s="118">
        <v>11144</v>
      </c>
      <c r="F222" s="118">
        <v>120.26900000000001</v>
      </c>
      <c r="G222" s="118">
        <v>1.3360000000000001</v>
      </c>
      <c r="H222" s="118">
        <v>22.564</v>
      </c>
      <c r="J222" s="22">
        <f>AVERAGE(G221:G222)</f>
        <v>-0.62699999999999989</v>
      </c>
      <c r="K222" s="22">
        <f>STDEV(G221:G222)</f>
        <v>2.7761012229383857</v>
      </c>
      <c r="L222" s="21"/>
      <c r="M222" s="23">
        <f>AVERAGE(E221:E222)</f>
        <v>11575</v>
      </c>
      <c r="N222" s="23">
        <f>STDEV(E221:E222)</f>
        <v>609.526045382804</v>
      </c>
      <c r="O222" s="24"/>
      <c r="P222" s="25">
        <f>AVERAGE(H221:H222)</f>
        <v>23.288</v>
      </c>
      <c r="Q222" s="25">
        <f>STDEV(H221:H222)</f>
        <v>1.0238906191581212</v>
      </c>
      <c r="R222" s="24"/>
      <c r="S222" s="25">
        <f>J222-(A222-Standards!$A$121)*Standards!$AA$4</f>
        <v>-0.61524061764705873</v>
      </c>
      <c r="T222" s="25">
        <f>S222-(M222-Standards!$N$121)*Standards!$AA$55</f>
        <v>-0.59138772352941171</v>
      </c>
      <c r="U222" s="25"/>
      <c r="V222" s="24"/>
      <c r="W222" s="25">
        <f>P222-(A222-Standards!$A$121)*Standards!$AL$5</f>
        <v>23.304297235294118</v>
      </c>
      <c r="X222" s="209">
        <f>W222-(M222-Standards!$N$121)*Standards!$AL$54</f>
        <v>23.247149676470588</v>
      </c>
      <c r="Y222" s="210"/>
      <c r="Z222" s="61">
        <f>(T222*Standards!$O$156)+Standards!$O$157</f>
        <v>-8.8895134476374316E-2</v>
      </c>
      <c r="AA222" s="62">
        <f>(X222*Standards!$T$156)+Standards!$T$157</f>
        <v>24.622614259737606</v>
      </c>
    </row>
    <row r="223" spans="1:27" ht="24.95" customHeight="1" x14ac:dyDescent="0.25">
      <c r="A223" s="121">
        <v>119</v>
      </c>
      <c r="B223" s="76" t="s">
        <v>1244</v>
      </c>
      <c r="C223" s="76" t="s">
        <v>1006</v>
      </c>
      <c r="D223" s="76">
        <v>6</v>
      </c>
      <c r="E223" s="76">
        <v>17846</v>
      </c>
      <c r="F223" s="76">
        <v>203.048</v>
      </c>
      <c r="G223" s="76">
        <v>-2.4590000000000001</v>
      </c>
      <c r="H223" s="76">
        <v>23.936</v>
      </c>
      <c r="Y223" s="78"/>
      <c r="Z223" s="33"/>
      <c r="AA223" s="34"/>
    </row>
    <row r="224" spans="1:27" ht="24.95" customHeight="1" x14ac:dyDescent="0.25">
      <c r="A224" s="121">
        <v>119</v>
      </c>
      <c r="B224" s="76" t="s">
        <v>1244</v>
      </c>
      <c r="C224" s="76" t="s">
        <v>1006</v>
      </c>
      <c r="D224" s="76">
        <v>7</v>
      </c>
      <c r="E224" s="76">
        <v>16405</v>
      </c>
      <c r="F224" s="76">
        <v>187.482</v>
      </c>
      <c r="G224" s="76">
        <v>-2.44</v>
      </c>
      <c r="H224" s="76">
        <v>23.977</v>
      </c>
      <c r="J224" s="31">
        <f>AVERAGE(G223:G224)</f>
        <v>-2.4495</v>
      </c>
      <c r="K224" s="31">
        <f>STDEV(G223:G224)</f>
        <v>1.3435028842544494E-2</v>
      </c>
      <c r="L224" s="26"/>
      <c r="M224" s="27">
        <f>AVERAGE(E223:E224)</f>
        <v>17125.5</v>
      </c>
      <c r="N224" s="27">
        <f>STDEV(E223:E224)</f>
        <v>1018.940871689815</v>
      </c>
      <c r="O224" s="28"/>
      <c r="P224" s="29">
        <f>AVERAGE(H223:H224)</f>
        <v>23.956499999999998</v>
      </c>
      <c r="Q224" s="29">
        <f>STDEV(H223:H224)</f>
        <v>2.8991378028648707E-2</v>
      </c>
      <c r="R224" s="28"/>
      <c r="S224" s="29">
        <f>J224-(A224-Standards!$A$121)*Standards!$AA$4</f>
        <v>-2.4370176176470588</v>
      </c>
      <c r="T224" s="29">
        <f>S224-(M224-Standards!$N$121)*Standards!$AA$55</f>
        <v>-2.4664495235294117</v>
      </c>
      <c r="U224" s="29"/>
      <c r="V224" s="28"/>
      <c r="W224" s="29">
        <f>P224-(A224-Standards!$A$121)*Standards!$AL$5</f>
        <v>23.973799235294116</v>
      </c>
      <c r="X224" s="139">
        <f>W224-(M224-Standards!$N$121)*Standards!$AL$54</f>
        <v>24.044313176470588</v>
      </c>
      <c r="Y224" s="78"/>
      <c r="Z224" s="19">
        <f>(T224*Standards!$O$156)+Standards!$O$157</f>
        <v>-1.9756949540449407</v>
      </c>
      <c r="AA224" s="20">
        <f>(X224*Standards!$T$156)+Standards!$T$157</f>
        <v>25.415451111772182</v>
      </c>
    </row>
    <row r="225" spans="1:27" ht="24.95" customHeight="1" x14ac:dyDescent="0.25">
      <c r="A225" s="121">
        <v>120</v>
      </c>
      <c r="B225" s="76" t="s">
        <v>1250</v>
      </c>
      <c r="C225" s="76" t="s">
        <v>946</v>
      </c>
      <c r="D225" s="76">
        <v>6</v>
      </c>
      <c r="E225" s="76">
        <v>18249</v>
      </c>
      <c r="F225" s="76">
        <v>208.828</v>
      </c>
      <c r="G225" s="76">
        <v>-2.8119999999999998</v>
      </c>
      <c r="H225" s="76">
        <v>23.664000000000001</v>
      </c>
      <c r="Y225" s="78"/>
      <c r="Z225" s="33"/>
      <c r="AA225" s="34"/>
    </row>
    <row r="226" spans="1:27" ht="24.95" customHeight="1" x14ac:dyDescent="0.25">
      <c r="A226" s="121">
        <v>120</v>
      </c>
      <c r="B226" s="76" t="s">
        <v>1250</v>
      </c>
      <c r="C226" s="76" t="s">
        <v>946</v>
      </c>
      <c r="D226" s="76">
        <v>7</v>
      </c>
      <c r="E226" s="76">
        <v>17036</v>
      </c>
      <c r="F226" s="76">
        <v>193.322</v>
      </c>
      <c r="G226" s="76">
        <v>-2.7709999999999999</v>
      </c>
      <c r="H226" s="76">
        <v>23.765999999999998</v>
      </c>
      <c r="J226" s="31">
        <f>AVERAGE(G225:G226)</f>
        <v>-2.7915000000000001</v>
      </c>
      <c r="K226" s="31">
        <f>STDEV(G225:G226)</f>
        <v>2.8991378028648394E-2</v>
      </c>
      <c r="L226" s="26"/>
      <c r="M226" s="27">
        <f>AVERAGE(E225:E226)</f>
        <v>17642.5</v>
      </c>
      <c r="N226" s="27">
        <f>STDEV(E225:E226)</f>
        <v>857.72052557928214</v>
      </c>
      <c r="O226" s="28"/>
      <c r="P226" s="29">
        <f>AVERAGE(H225:H226)</f>
        <v>23.715</v>
      </c>
      <c r="Q226" s="29">
        <f>STDEV(H225:H226)</f>
        <v>7.2124891681025552E-2</v>
      </c>
      <c r="R226" s="28"/>
      <c r="S226" s="29">
        <f>J226-(A226-Standards!$A$121)*Standards!$AA$4</f>
        <v>-2.7782946176470591</v>
      </c>
      <c r="T226" s="29">
        <f>S226-(M226-Standards!$N$121)*Standards!$AA$55</f>
        <v>-2.8126897235294122</v>
      </c>
      <c r="U226" s="29"/>
      <c r="V226" s="28"/>
      <c r="W226" s="29">
        <f>P226-(A226-Standards!$A$121)*Standards!$AL$5</f>
        <v>23.733301235294118</v>
      </c>
      <c r="X226" s="139">
        <f>W226-(M226-Standards!$N$121)*Standards!$AL$54</f>
        <v>23.815706176470588</v>
      </c>
      <c r="Y226" s="78"/>
      <c r="Z226" s="19">
        <f>(T226*Standards!$O$156)+Standards!$O$157</f>
        <v>-2.3241026422008111</v>
      </c>
      <c r="AA226" s="20">
        <f>(X226*Standards!$T$156)+Standards!$T$157</f>
        <v>25.188084888615865</v>
      </c>
    </row>
    <row r="227" spans="1:27" ht="24.95" customHeight="1" x14ac:dyDescent="0.25">
      <c r="A227" s="121">
        <v>121</v>
      </c>
      <c r="B227" s="76" t="s">
        <v>1256</v>
      </c>
      <c r="C227" s="76" t="s">
        <v>281</v>
      </c>
      <c r="D227" s="76">
        <v>6</v>
      </c>
      <c r="E227" s="76">
        <v>10897</v>
      </c>
      <c r="F227" s="76">
        <v>128.172</v>
      </c>
      <c r="G227" s="76">
        <v>-2.5640000000000001</v>
      </c>
      <c r="H227" s="76">
        <v>24.341000000000001</v>
      </c>
      <c r="Y227" s="78"/>
      <c r="Z227" s="33"/>
      <c r="AA227" s="34"/>
    </row>
    <row r="228" spans="1:27" ht="24.95" customHeight="1" x14ac:dyDescent="0.25">
      <c r="A228" s="121">
        <v>121</v>
      </c>
      <c r="B228" s="76" t="s">
        <v>1256</v>
      </c>
      <c r="C228" s="76" t="s">
        <v>281</v>
      </c>
      <c r="D228" s="76">
        <v>7</v>
      </c>
      <c r="E228" s="76">
        <v>10071</v>
      </c>
      <c r="F228" s="76">
        <v>118.336</v>
      </c>
      <c r="G228" s="76">
        <v>-2.5499999999999998</v>
      </c>
      <c r="H228" s="76">
        <v>24.303000000000001</v>
      </c>
      <c r="J228" s="31">
        <f>AVERAGE(G227:G228)</f>
        <v>-2.5569999999999999</v>
      </c>
      <c r="K228" s="31">
        <f>STDEV(G227:G228)</f>
        <v>9.8994949366118315E-3</v>
      </c>
      <c r="L228" s="26"/>
      <c r="M228" s="27">
        <f>AVERAGE(E227:E228)</f>
        <v>10484</v>
      </c>
      <c r="N228" s="27">
        <f>STDEV(E227:E228)</f>
        <v>584.07020126008831</v>
      </c>
      <c r="O228" s="28"/>
      <c r="P228" s="29">
        <f>AVERAGE(H227:H228)</f>
        <v>24.322000000000003</v>
      </c>
      <c r="Q228" s="29">
        <f>STDEV(H227:H228)</f>
        <v>2.6870057685088988E-2</v>
      </c>
      <c r="R228" s="28"/>
      <c r="S228" s="29">
        <f>J228-(A228-Standards!$A$121)*Standards!$AA$4</f>
        <v>-2.5430716176470587</v>
      </c>
      <c r="T228" s="29">
        <f>S228-(M228-Standards!$N$121)*Standards!$AA$55</f>
        <v>-2.5087451235294118</v>
      </c>
      <c r="U228" s="29"/>
      <c r="V228" s="28"/>
      <c r="W228" s="29">
        <f>P228-(A228-Standards!$A$121)*Standards!$AL$5</f>
        <v>24.34130323529412</v>
      </c>
      <c r="X228" s="139">
        <f>W228-(M228-Standards!$N$121)*Standards!$AL$54</f>
        <v>24.259062676470592</v>
      </c>
      <c r="Y228" s="78"/>
      <c r="Z228" s="19">
        <f>(T228*Standards!$O$156)+Standards!$O$157</f>
        <v>-2.0182553274942552</v>
      </c>
      <c r="AA228" s="20">
        <f>(X228*Standards!$T$156)+Standards!$T$157</f>
        <v>25.629035047258441</v>
      </c>
    </row>
    <row r="229" spans="1:27" ht="24.95" customHeight="1" x14ac:dyDescent="0.25">
      <c r="A229" s="121">
        <v>122</v>
      </c>
      <c r="B229" s="76" t="s">
        <v>1263</v>
      </c>
      <c r="C229" s="76" t="s">
        <v>402</v>
      </c>
      <c r="D229" s="76">
        <v>6</v>
      </c>
      <c r="E229" s="76">
        <v>20194</v>
      </c>
      <c r="F229" s="76">
        <v>227.97499999999999</v>
      </c>
      <c r="G229" s="76">
        <v>-2.1549999999999998</v>
      </c>
      <c r="H229" s="76">
        <v>23.981999999999999</v>
      </c>
      <c r="Y229" s="78"/>
      <c r="Z229" s="33"/>
      <c r="AA229" s="34"/>
    </row>
    <row r="230" spans="1:27" ht="24.95" customHeight="1" x14ac:dyDescent="0.25">
      <c r="A230" s="121">
        <v>122</v>
      </c>
      <c r="B230" s="76" t="s">
        <v>1263</v>
      </c>
      <c r="C230" s="76" t="s">
        <v>402</v>
      </c>
      <c r="D230" s="76">
        <v>7</v>
      </c>
      <c r="E230" s="76">
        <v>18920</v>
      </c>
      <c r="F230" s="76">
        <v>211.93700000000001</v>
      </c>
      <c r="G230" s="76">
        <v>-2.1120000000000001</v>
      </c>
      <c r="H230" s="76">
        <v>24.047999999999998</v>
      </c>
      <c r="J230" s="31">
        <f>AVERAGE(G229:G230)</f>
        <v>-2.1334999999999997</v>
      </c>
      <c r="K230" s="31">
        <f>STDEV(G229:G230)</f>
        <v>3.0405591591021335E-2</v>
      </c>
      <c r="L230" s="26"/>
      <c r="M230" s="27">
        <f>AVERAGE(E229:E230)</f>
        <v>19557</v>
      </c>
      <c r="N230" s="27">
        <f>STDEV(E229:E230)</f>
        <v>900.85403923166155</v>
      </c>
      <c r="O230" s="28"/>
      <c r="P230" s="29">
        <f>AVERAGE(H229:H230)</f>
        <v>24.015000000000001</v>
      </c>
      <c r="Q230" s="29">
        <f>STDEV(H229:H230)</f>
        <v>4.6669047558311395E-2</v>
      </c>
      <c r="R230" s="28"/>
      <c r="S230" s="29">
        <f>J230-(A230-Standards!$A$121)*Standards!$AA$4</f>
        <v>-2.1188486176470587</v>
      </c>
      <c r="T230" s="29">
        <f>S230-(M230-Standards!$N$121)*Standards!$AA$55</f>
        <v>-2.1716229235294118</v>
      </c>
      <c r="U230" s="29"/>
      <c r="V230" s="28"/>
      <c r="W230" s="29">
        <f>P230-(A230-Standards!$A$121)*Standards!$AL$5</f>
        <v>24.035305235294118</v>
      </c>
      <c r="X230" s="139">
        <f>W230-(M230-Standards!$N$121)*Standards!$AL$54</f>
        <v>24.161743676470589</v>
      </c>
      <c r="Y230" s="78"/>
      <c r="Z230" s="19">
        <f>(T230*Standards!$O$156)+Standards!$O$157</f>
        <v>-1.6790227186636781</v>
      </c>
      <c r="AA230" s="20">
        <f>(X230*Standards!$T$156)+Standards!$T$157</f>
        <v>25.532244251388892</v>
      </c>
    </row>
    <row r="231" spans="1:27" ht="24.95" customHeight="1" x14ac:dyDescent="0.25">
      <c r="A231" s="121">
        <v>123</v>
      </c>
      <c r="B231" s="76" t="s">
        <v>1268</v>
      </c>
      <c r="C231" s="76" t="s">
        <v>406</v>
      </c>
      <c r="D231" s="76">
        <v>6</v>
      </c>
      <c r="E231" s="76">
        <v>13485</v>
      </c>
      <c r="F231" s="76">
        <v>158.53700000000001</v>
      </c>
      <c r="G231" s="76">
        <v>-2.3420000000000001</v>
      </c>
      <c r="H231" s="76">
        <v>23.699000000000002</v>
      </c>
      <c r="Y231" s="78"/>
      <c r="Z231" s="33"/>
      <c r="AA231" s="34"/>
    </row>
    <row r="232" spans="1:27" ht="24.95" customHeight="1" x14ac:dyDescent="0.25">
      <c r="A232" s="121">
        <v>123</v>
      </c>
      <c r="B232" s="76" t="s">
        <v>1268</v>
      </c>
      <c r="C232" s="76" t="s">
        <v>406</v>
      </c>
      <c r="D232" s="76">
        <v>7</v>
      </c>
      <c r="E232" s="76">
        <v>12497</v>
      </c>
      <c r="F232" s="76">
        <v>146.596</v>
      </c>
      <c r="G232" s="76">
        <v>-2.278</v>
      </c>
      <c r="H232" s="76">
        <v>23.754000000000001</v>
      </c>
      <c r="J232" s="31">
        <f>AVERAGE(G231:G232)</f>
        <v>-2.31</v>
      </c>
      <c r="K232" s="31">
        <f>STDEV(G231:G232)</f>
        <v>4.5254833995939082E-2</v>
      </c>
      <c r="L232" s="26"/>
      <c r="M232" s="27">
        <f>AVERAGE(E231:E232)</f>
        <v>12991</v>
      </c>
      <c r="N232" s="27">
        <f>STDEV(E231:E232)</f>
        <v>698.62149981230891</v>
      </c>
      <c r="O232" s="28"/>
      <c r="P232" s="29">
        <f>AVERAGE(H231:H232)</f>
        <v>23.726500000000001</v>
      </c>
      <c r="Q232" s="29">
        <f>STDEV(H231:H232)</f>
        <v>3.8890872965259914E-2</v>
      </c>
      <c r="R232" s="28"/>
      <c r="S232" s="29">
        <f>J232-(A232-Standards!$A$121)*Standards!$AA$4</f>
        <v>-2.2946256176470587</v>
      </c>
      <c r="T232" s="29">
        <f>S232-(M232-Standards!$N$121)*Standards!$AA$55</f>
        <v>-2.2843663235294116</v>
      </c>
      <c r="U232" s="29"/>
      <c r="V232" s="28"/>
      <c r="W232" s="29">
        <f>P232-(A232-Standards!$A$121)*Standards!$AL$5</f>
        <v>23.747807235294118</v>
      </c>
      <c r="X232" s="139">
        <f>W232-(M232-Standards!$N$121)*Standards!$AL$54</f>
        <v>23.723227676470589</v>
      </c>
      <c r="Y232" s="78"/>
      <c r="Z232" s="19">
        <f>(T232*Standards!$O$156)+Standards!$O$157</f>
        <v>-1.7924719003266754</v>
      </c>
      <c r="AA232" s="20">
        <f>(X232*Standards!$T$156)+Standards!$T$157</f>
        <v>25.09610832067105</v>
      </c>
    </row>
    <row r="233" spans="1:27" s="117" customFormat="1" ht="24.95" customHeight="1" x14ac:dyDescent="0.25">
      <c r="A233" s="120">
        <v>124</v>
      </c>
      <c r="B233" s="117" t="s">
        <v>1275</v>
      </c>
      <c r="C233" s="117" t="s">
        <v>327</v>
      </c>
      <c r="D233" s="117">
        <v>6</v>
      </c>
      <c r="E233" s="117">
        <v>16509</v>
      </c>
      <c r="F233" s="117">
        <v>186.352</v>
      </c>
      <c r="G233" s="117">
        <v>3.895</v>
      </c>
      <c r="H233" s="117">
        <v>25.145</v>
      </c>
      <c r="S233" s="76"/>
      <c r="W233" s="76"/>
      <c r="Y233" s="177"/>
      <c r="Z233" s="72"/>
      <c r="AA233" s="73"/>
    </row>
    <row r="234" spans="1:27" s="117" customFormat="1" ht="24.95" customHeight="1" x14ac:dyDescent="0.25">
      <c r="A234" s="120">
        <v>124</v>
      </c>
      <c r="B234" s="117" t="s">
        <v>1275</v>
      </c>
      <c r="C234" s="117" t="s">
        <v>327</v>
      </c>
      <c r="D234" s="117">
        <v>7</v>
      </c>
      <c r="E234" s="117">
        <v>15489</v>
      </c>
      <c r="F234" s="117">
        <v>173.566</v>
      </c>
      <c r="G234" s="117">
        <v>3.9350000000000001</v>
      </c>
      <c r="H234" s="117">
        <v>25.17</v>
      </c>
      <c r="J234" s="66">
        <f>AVERAGE(G233:G234)</f>
        <v>3.915</v>
      </c>
      <c r="K234" s="66">
        <f>STDEV(G233:G234)</f>
        <v>2.8284271247461926E-2</v>
      </c>
      <c r="L234" s="65"/>
      <c r="M234" s="64">
        <f>AVERAGE(E233:E234)</f>
        <v>15999</v>
      </c>
      <c r="N234" s="64">
        <f>STDEV(E233:E234)</f>
        <v>721.2489168102785</v>
      </c>
      <c r="O234" s="67"/>
      <c r="P234" s="68">
        <f>AVERAGE(H233:H234)</f>
        <v>25.157499999999999</v>
      </c>
      <c r="Q234" s="68">
        <f>STDEV(H233:H234)</f>
        <v>1.7677669529665197E-2</v>
      </c>
      <c r="R234" s="67"/>
      <c r="S234" s="29">
        <f>J234-(A234-Standards!$A$121)*Standards!$AA$4</f>
        <v>3.9310973823529411</v>
      </c>
      <c r="T234" s="68">
        <f>S234-(M234-Standards!$N$121)*Standards!$AA$55</f>
        <v>3.9124798764705884</v>
      </c>
      <c r="U234" s="68"/>
      <c r="V234" s="67"/>
      <c r="W234" s="29">
        <f>P234-(A234-Standards!$A$121)*Standards!$AL$5</f>
        <v>25.179809235294115</v>
      </c>
      <c r="X234" s="68">
        <f>W234-(M234-Standards!$N$121)*Standards!$AL$54</f>
        <v>25.224413676470586</v>
      </c>
      <c r="Y234" s="124"/>
      <c r="Z234" s="69">
        <f>(T234*Standards!$O$156)+Standards!$O$157</f>
        <v>4.4431669954442032</v>
      </c>
      <c r="AA234" s="70">
        <f>(X234*Standards!$T$156)+Standards!$T$157</f>
        <v>26.589146552549924</v>
      </c>
    </row>
    <row r="235" spans="1:27" s="117" customFormat="1" ht="24.95" customHeight="1" x14ac:dyDescent="0.25">
      <c r="A235" s="120">
        <v>125</v>
      </c>
      <c r="B235" s="117" t="s">
        <v>1280</v>
      </c>
      <c r="C235" s="117" t="s">
        <v>601</v>
      </c>
      <c r="D235" s="117">
        <v>6</v>
      </c>
      <c r="E235" s="117">
        <v>15110</v>
      </c>
      <c r="F235" s="117">
        <v>177.28</v>
      </c>
      <c r="G235" s="117">
        <v>3.9060000000000001</v>
      </c>
      <c r="H235" s="117">
        <v>25.154</v>
      </c>
      <c r="S235" s="76"/>
      <c r="W235" s="76"/>
      <c r="Y235" s="177"/>
      <c r="Z235" s="72"/>
      <c r="AA235" s="73"/>
    </row>
    <row r="236" spans="1:27" s="117" customFormat="1" ht="24.95" customHeight="1" x14ac:dyDescent="0.25">
      <c r="A236" s="120">
        <v>125</v>
      </c>
      <c r="B236" s="117" t="s">
        <v>1280</v>
      </c>
      <c r="C236" s="117" t="s">
        <v>601</v>
      </c>
      <c r="D236" s="117">
        <v>7</v>
      </c>
      <c r="E236" s="117">
        <v>13982</v>
      </c>
      <c r="F236" s="117">
        <v>163.673</v>
      </c>
      <c r="G236" s="117">
        <v>3.9169999999999998</v>
      </c>
      <c r="H236" s="117">
        <v>25.181000000000001</v>
      </c>
      <c r="J236" s="66">
        <f>AVERAGE(G235:G236)</f>
        <v>3.9115000000000002</v>
      </c>
      <c r="K236" s="66">
        <f>STDEV(G235:G236)</f>
        <v>7.778174593051794E-3</v>
      </c>
      <c r="L236" s="65"/>
      <c r="M236" s="64">
        <f>AVERAGE(E235:E236)</f>
        <v>14546</v>
      </c>
      <c r="N236" s="64">
        <f>STDEV(E235:E236)</f>
        <v>797.61644917842557</v>
      </c>
      <c r="O236" s="67"/>
      <c r="P236" s="68">
        <f>AVERAGE(H235:H236)</f>
        <v>25.1675</v>
      </c>
      <c r="Q236" s="68">
        <f>STDEV(H235:H236)</f>
        <v>1.9091883092037507E-2</v>
      </c>
      <c r="R236" s="67"/>
      <c r="S236" s="29">
        <f>J236-(A236-Standards!$A$121)*Standards!$AA$4</f>
        <v>3.9283203823529416</v>
      </c>
      <c r="T236" s="68">
        <f>S236-(M236-Standards!$N$121)*Standards!$AA$55</f>
        <v>3.9236516764705884</v>
      </c>
      <c r="U236" s="68"/>
      <c r="V236" s="67"/>
      <c r="W236" s="29">
        <f>P236-(A236-Standards!$A$121)*Standards!$AL$5</f>
        <v>25.190811235294117</v>
      </c>
      <c r="X236" s="68">
        <f>W236-(M236-Standards!$N$121)*Standards!$AL$54</f>
        <v>25.201996676470586</v>
      </c>
      <c r="Y236" s="124"/>
      <c r="Z236" s="69">
        <f>(T236*Standards!$O$156)+Standards!$O$157</f>
        <v>4.4544087317028458</v>
      </c>
      <c r="AA236" s="70">
        <f>(X236*Standards!$T$156)+Standards!$T$157</f>
        <v>26.566851222028568</v>
      </c>
    </row>
    <row r="237" spans="1:27" ht="24.95" customHeight="1" x14ac:dyDescent="0.25">
      <c r="A237" s="121">
        <v>126</v>
      </c>
      <c r="B237" s="76" t="s">
        <v>1285</v>
      </c>
      <c r="C237" s="76" t="s">
        <v>913</v>
      </c>
      <c r="D237" s="76">
        <v>6</v>
      </c>
      <c r="E237" s="76">
        <v>18554</v>
      </c>
      <c r="F237" s="76">
        <v>206.46700000000001</v>
      </c>
      <c r="G237" s="76">
        <v>-2.5790000000000002</v>
      </c>
      <c r="H237" s="76">
        <v>23.654</v>
      </c>
      <c r="Y237" s="78"/>
      <c r="Z237" s="33"/>
      <c r="AA237" s="34"/>
    </row>
    <row r="238" spans="1:27" ht="24.95" customHeight="1" x14ac:dyDescent="0.25">
      <c r="A238" s="121">
        <v>126</v>
      </c>
      <c r="B238" s="76" t="s">
        <v>1285</v>
      </c>
      <c r="C238" s="76" t="s">
        <v>913</v>
      </c>
      <c r="D238" s="76">
        <v>7</v>
      </c>
      <c r="E238" s="76">
        <v>17334</v>
      </c>
      <c r="F238" s="76">
        <v>193.89599999999999</v>
      </c>
      <c r="G238" s="76">
        <v>-2.6190000000000002</v>
      </c>
      <c r="H238" s="76">
        <v>23.71</v>
      </c>
      <c r="J238" s="31">
        <f>AVERAGE(G237:G238)</f>
        <v>-2.5990000000000002</v>
      </c>
      <c r="K238" s="31">
        <f>STDEV(G237:G238)</f>
        <v>2.8284271247461926E-2</v>
      </c>
      <c r="L238" s="26"/>
      <c r="M238" s="27">
        <f>AVERAGE(E237:E238)</f>
        <v>17944</v>
      </c>
      <c r="N238" s="27">
        <f>STDEV(E237:E238)</f>
        <v>862.67027304758801</v>
      </c>
      <c r="O238" s="28"/>
      <c r="P238" s="29">
        <f>AVERAGE(H237:H238)</f>
        <v>23.682000000000002</v>
      </c>
      <c r="Q238" s="29">
        <f>STDEV(H237:H238)</f>
        <v>3.9597979746447326E-2</v>
      </c>
      <c r="R238" s="28"/>
      <c r="S238" s="29">
        <f>J238-(A238-Standards!$A$121)*Standards!$AA$4</f>
        <v>-2.581456617647059</v>
      </c>
      <c r="T238" s="29">
        <f>S238-(M238-Standards!$N$121)*Standards!$AA$55</f>
        <v>-2.6187461235294118</v>
      </c>
      <c r="U238" s="29"/>
      <c r="V238" s="28"/>
      <c r="W238" s="29">
        <f>P238-(A238-Standards!$A$121)*Standards!$AL$5</f>
        <v>23.706313235294118</v>
      </c>
      <c r="X238" s="139">
        <f>W238-(M238-Standards!$N$121)*Standards!$AL$54</f>
        <v>23.795652676470588</v>
      </c>
      <c r="Y238" s="78"/>
      <c r="Z238" s="19">
        <f>(T238*Standards!$O$156)+Standards!$O$157</f>
        <v>-2.1289449415391695</v>
      </c>
      <c r="AA238" s="20">
        <f>(X238*Standards!$T$156)+Standards!$T$157</f>
        <v>25.16814023007057</v>
      </c>
    </row>
    <row r="239" spans="1:27" ht="24.95" customHeight="1" x14ac:dyDescent="0.25">
      <c r="A239" s="121">
        <v>127</v>
      </c>
      <c r="B239" s="76" t="s">
        <v>1289</v>
      </c>
      <c r="C239" s="76" t="s">
        <v>1290</v>
      </c>
      <c r="D239" s="76">
        <v>6</v>
      </c>
      <c r="E239" s="76">
        <v>17203</v>
      </c>
      <c r="F239" s="76">
        <v>200.40199999999999</v>
      </c>
      <c r="G239" s="76">
        <v>-2.33</v>
      </c>
      <c r="H239" s="76">
        <v>23.664000000000001</v>
      </c>
      <c r="Y239" s="78"/>
      <c r="Z239" s="33"/>
      <c r="AA239" s="34"/>
    </row>
    <row r="240" spans="1:27" ht="24.95" customHeight="1" x14ac:dyDescent="0.25">
      <c r="A240" s="121">
        <v>127</v>
      </c>
      <c r="B240" s="76" t="s">
        <v>1289</v>
      </c>
      <c r="C240" s="76" t="s">
        <v>1290</v>
      </c>
      <c r="D240" s="76">
        <v>7</v>
      </c>
      <c r="E240" s="76">
        <v>15922</v>
      </c>
      <c r="F240" s="76">
        <v>185.07300000000001</v>
      </c>
      <c r="G240" s="76">
        <v>-2.3079999999999998</v>
      </c>
      <c r="H240" s="76">
        <v>23.683</v>
      </c>
      <c r="J240" s="31">
        <f>AVERAGE(G239:G240)</f>
        <v>-2.319</v>
      </c>
      <c r="K240" s="31">
        <f>STDEV(G239:G240)</f>
        <v>1.5556349186104216E-2</v>
      </c>
      <c r="L240" s="26"/>
      <c r="M240" s="27">
        <f>AVERAGE(E239:E240)</f>
        <v>16562.5</v>
      </c>
      <c r="N240" s="27">
        <f>STDEV(E239:E240)</f>
        <v>905.80378669996742</v>
      </c>
      <c r="O240" s="28"/>
      <c r="P240" s="29">
        <f>AVERAGE(H239:H240)</f>
        <v>23.673500000000001</v>
      </c>
      <c r="Q240" s="29">
        <f>STDEV(H239:H240)</f>
        <v>1.3435028842543238E-2</v>
      </c>
      <c r="R240" s="28"/>
      <c r="S240" s="29">
        <f>J240-(A240-Standards!$A$121)*Standards!$AA$4</f>
        <v>-2.300733617647059</v>
      </c>
      <c r="T240" s="29">
        <f>S240-(M240-Standards!$N$121)*Standards!$AA$55</f>
        <v>-2.3247607235294119</v>
      </c>
      <c r="U240" s="29"/>
      <c r="V240" s="28"/>
      <c r="W240" s="29">
        <f>P240-(A240-Standards!$A$121)*Standards!$AL$5</f>
        <v>23.69881523529412</v>
      </c>
      <c r="X240" s="139">
        <f>W240-(M240-Standards!$N$121)*Standards!$AL$54</f>
        <v>23.756380176470589</v>
      </c>
      <c r="Y240" s="78"/>
      <c r="Z240" s="19">
        <f>(T240*Standards!$O$156)+Standards!$O$157</f>
        <v>-1.83311917212944</v>
      </c>
      <c r="AA240" s="20">
        <f>(X240*Standards!$T$156)+Standards!$T$157</f>
        <v>25.129080883686136</v>
      </c>
    </row>
    <row r="241" spans="1:27" ht="24.95" customHeight="1" x14ac:dyDescent="0.25">
      <c r="A241" s="121">
        <v>128</v>
      </c>
      <c r="B241" s="76" t="s">
        <v>1296</v>
      </c>
      <c r="C241" s="76" t="s">
        <v>756</v>
      </c>
      <c r="D241" s="76">
        <v>6</v>
      </c>
      <c r="E241" s="76">
        <v>19403</v>
      </c>
      <c r="F241" s="76">
        <v>216.654</v>
      </c>
      <c r="G241" s="76">
        <v>-2.8740000000000001</v>
      </c>
      <c r="H241" s="76">
        <v>23.808</v>
      </c>
      <c r="J241" s="31"/>
      <c r="K241" s="31"/>
      <c r="L241" s="26"/>
      <c r="M241" s="27"/>
      <c r="N241" s="27"/>
      <c r="O241" s="28"/>
      <c r="P241" s="29"/>
      <c r="Q241" s="29"/>
      <c r="R241" s="28"/>
      <c r="S241" s="29"/>
      <c r="T241" s="29"/>
      <c r="U241" s="29"/>
      <c r="V241" s="28"/>
      <c r="W241" s="29"/>
      <c r="X241" s="139"/>
      <c r="Y241" s="78"/>
      <c r="Z241" s="19"/>
      <c r="AA241" s="20"/>
    </row>
    <row r="242" spans="1:27" ht="24.95" customHeight="1" x14ac:dyDescent="0.25">
      <c r="A242" s="121">
        <v>128</v>
      </c>
      <c r="B242" s="76" t="s">
        <v>1296</v>
      </c>
      <c r="C242" s="76" t="s">
        <v>756</v>
      </c>
      <c r="D242" s="76">
        <v>7</v>
      </c>
      <c r="E242" s="76">
        <v>17810</v>
      </c>
      <c r="F242" s="76">
        <v>199.73099999999999</v>
      </c>
      <c r="G242" s="76">
        <v>-2.8410000000000002</v>
      </c>
      <c r="H242" s="76">
        <v>23.83</v>
      </c>
      <c r="J242" s="31">
        <f>AVERAGE(G241:G242)</f>
        <v>-2.8574999999999999</v>
      </c>
      <c r="K242" s="31">
        <f>STDEV(G241:G242)</f>
        <v>2.333452377915601E-2</v>
      </c>
      <c r="L242" s="26"/>
      <c r="M242" s="27">
        <f>AVERAGE(E241:E242)</f>
        <v>18606.5</v>
      </c>
      <c r="N242" s="27">
        <f>STDEV(E241:E242)</f>
        <v>1126.4211024301701</v>
      </c>
      <c r="O242" s="28"/>
      <c r="P242" s="29">
        <f>AVERAGE(H241:H242)</f>
        <v>23.818999999999999</v>
      </c>
      <c r="Q242" s="29">
        <f>STDEV(H241:H242)</f>
        <v>1.555634918610296E-2</v>
      </c>
      <c r="R242" s="28"/>
      <c r="S242" s="29">
        <f>J242-(A242-Standards!$A$121)*Standards!$AA$4</f>
        <v>-2.8385106176470587</v>
      </c>
      <c r="T242" s="29">
        <f>S242-(M242-Standards!$N$121)*Standards!$AA$55</f>
        <v>-2.8821601235294114</v>
      </c>
      <c r="U242" s="29"/>
      <c r="V242" s="28"/>
      <c r="W242" s="29">
        <f>P242-(A242-Standards!$A$121)*Standards!$AL$5</f>
        <v>23.845317235294118</v>
      </c>
      <c r="X242" s="139">
        <f>W242-(M242-Standards!$N$121)*Standards!$AL$54</f>
        <v>23.94989417647059</v>
      </c>
      <c r="Y242" s="78"/>
      <c r="Z242" s="19">
        <f>(T242*Standards!$O$156)+Standards!$O$157</f>
        <v>-2.3940079318213208</v>
      </c>
      <c r="AA242" s="20">
        <f>(X242*Standards!$T$156)+Standards!$T$157</f>
        <v>25.321544575995954</v>
      </c>
    </row>
    <row r="243" spans="1:27" ht="24.95" customHeight="1" x14ac:dyDescent="0.25">
      <c r="A243" s="121">
        <v>129</v>
      </c>
      <c r="B243" s="76" t="s">
        <v>1301</v>
      </c>
      <c r="C243" s="76" t="s">
        <v>1302</v>
      </c>
      <c r="D243" s="76">
        <v>6</v>
      </c>
      <c r="E243" s="76">
        <v>14754</v>
      </c>
      <c r="F243" s="76">
        <v>171.851</v>
      </c>
      <c r="G243" s="76">
        <v>-3.1539999999999999</v>
      </c>
      <c r="H243" s="76">
        <v>24.117999999999999</v>
      </c>
      <c r="J243" s="31"/>
      <c r="K243" s="31"/>
      <c r="L243" s="26"/>
      <c r="M243" s="27"/>
      <c r="N243" s="27"/>
      <c r="O243" s="28"/>
      <c r="P243" s="29"/>
      <c r="Q243" s="29"/>
      <c r="R243" s="28"/>
      <c r="S243" s="29"/>
      <c r="T243" s="29"/>
      <c r="U243" s="29"/>
      <c r="V243" s="28"/>
      <c r="W243" s="29"/>
      <c r="X243" s="139"/>
      <c r="Y243" s="78"/>
      <c r="Z243" s="19"/>
      <c r="AA243" s="20"/>
    </row>
    <row r="244" spans="1:27" ht="24.95" customHeight="1" x14ac:dyDescent="0.25">
      <c r="A244" s="121">
        <v>129</v>
      </c>
      <c r="B244" s="76" t="s">
        <v>1301</v>
      </c>
      <c r="C244" s="76" t="s">
        <v>1302</v>
      </c>
      <c r="D244" s="76">
        <v>7</v>
      </c>
      <c r="E244" s="76">
        <v>13684</v>
      </c>
      <c r="F244" s="76">
        <v>158.749</v>
      </c>
      <c r="G244" s="76">
        <v>-3.1120000000000001</v>
      </c>
      <c r="H244" s="76">
        <v>24.135000000000002</v>
      </c>
      <c r="J244" s="31">
        <f>AVERAGE(G243:G244)</f>
        <v>-3.133</v>
      </c>
      <c r="K244" s="31">
        <f>STDEV(G243:G244)</f>
        <v>2.9698484809834867E-2</v>
      </c>
      <c r="L244" s="26"/>
      <c r="M244" s="27">
        <f>AVERAGE(E243:E244)</f>
        <v>14219</v>
      </c>
      <c r="N244" s="27">
        <f>STDEV(E243:E244)</f>
        <v>756.60425586960582</v>
      </c>
      <c r="O244" s="28"/>
      <c r="P244" s="29">
        <f>AVERAGE(H243:H244)</f>
        <v>24.1265</v>
      </c>
      <c r="Q244" s="29">
        <f>STDEV(H243:H244)</f>
        <v>1.2020815280173439E-2</v>
      </c>
      <c r="R244" s="28"/>
      <c r="S244" s="29">
        <f>J244-(A244-Standards!$A$121)*Standards!$AA$4</f>
        <v>-3.113287617647059</v>
      </c>
      <c r="T244" s="29">
        <f>S244-(M244-Standards!$N$121)*Standards!$AA$55</f>
        <v>-3.114817123529412</v>
      </c>
      <c r="U244" s="29"/>
      <c r="V244" s="28"/>
      <c r="W244" s="29">
        <f>P244-(A244-Standards!$A$121)*Standards!$AL$5</f>
        <v>24.153819235294119</v>
      </c>
      <c r="X244" s="139">
        <f>W244-(M244-Standards!$N$121)*Standards!$AL$54</f>
        <v>24.157483676470591</v>
      </c>
      <c r="Y244" s="78"/>
      <c r="Z244" s="19">
        <f>(T244*Standards!$O$156)+Standards!$O$157</f>
        <v>-2.6281213811067605</v>
      </c>
      <c r="AA244" s="20">
        <f>(X244*Standards!$T$156)+Standards!$T$157</f>
        <v>25.528007372769054</v>
      </c>
    </row>
    <row r="245" spans="1:27" ht="24.95" customHeight="1" x14ac:dyDescent="0.25">
      <c r="A245" s="121">
        <v>130</v>
      </c>
      <c r="B245" s="76" t="s">
        <v>1307</v>
      </c>
      <c r="C245" s="76" t="s">
        <v>496</v>
      </c>
      <c r="D245" s="76">
        <v>6</v>
      </c>
      <c r="E245" s="76">
        <v>17168</v>
      </c>
      <c r="F245" s="76">
        <v>194.38499999999999</v>
      </c>
      <c r="G245" s="76">
        <v>-2.363</v>
      </c>
      <c r="H245" s="76">
        <v>24.158999999999999</v>
      </c>
      <c r="J245" s="31"/>
      <c r="K245" s="31"/>
      <c r="L245" s="26"/>
      <c r="M245" s="27"/>
      <c r="N245" s="27"/>
      <c r="O245" s="28"/>
      <c r="P245" s="29"/>
      <c r="Q245" s="29"/>
      <c r="R245" s="28"/>
      <c r="S245" s="29"/>
      <c r="T245" s="29"/>
      <c r="U245" s="29"/>
      <c r="V245" s="28"/>
      <c r="W245" s="29"/>
      <c r="X245" s="139"/>
      <c r="Y245" s="78"/>
      <c r="Z245" s="19"/>
      <c r="AA245" s="20"/>
    </row>
    <row r="246" spans="1:27" ht="24.95" customHeight="1" x14ac:dyDescent="0.25">
      <c r="A246" s="121">
        <v>130</v>
      </c>
      <c r="B246" s="76" t="s">
        <v>1307</v>
      </c>
      <c r="C246" s="76" t="s">
        <v>496</v>
      </c>
      <c r="D246" s="76">
        <v>7</v>
      </c>
      <c r="E246" s="76">
        <v>15718</v>
      </c>
      <c r="F246" s="76">
        <v>179.005</v>
      </c>
      <c r="G246" s="76">
        <v>-2.3029999999999999</v>
      </c>
      <c r="H246" s="76">
        <v>24.184999999999999</v>
      </c>
      <c r="J246" s="31">
        <f>AVERAGE(G245:G246)</f>
        <v>-2.3330000000000002</v>
      </c>
      <c r="K246" s="31">
        <f>STDEV(G245:G246)</f>
        <v>4.2426406871192889E-2</v>
      </c>
      <c r="L246" s="26"/>
      <c r="M246" s="27">
        <f>AVERAGE(E245:E246)</f>
        <v>16443</v>
      </c>
      <c r="N246" s="27">
        <f>STDEV(E245:E246)</f>
        <v>1025.304832720494</v>
      </c>
      <c r="O246" s="28"/>
      <c r="P246" s="29">
        <f>AVERAGE(H245:H246)</f>
        <v>24.171999999999997</v>
      </c>
      <c r="Q246" s="29">
        <f>STDEV(H245:H246)</f>
        <v>1.8384776310850094E-2</v>
      </c>
      <c r="R246" s="28"/>
      <c r="S246" s="29">
        <f>J246-(A246-Standards!$A$121)*Standards!$AA$4</f>
        <v>-2.3125646176470589</v>
      </c>
      <c r="T246" s="29">
        <f>S246-(M246-Standards!$N$121)*Standards!$AA$55</f>
        <v>-2.3354445235294117</v>
      </c>
      <c r="U246" s="29"/>
      <c r="V246" s="28"/>
      <c r="W246" s="29">
        <f>P246-(A246-Standards!$A$121)*Standards!$AL$5</f>
        <v>24.200321235294115</v>
      </c>
      <c r="X246" s="139">
        <f>W246-(M246-Standards!$N$121)*Standards!$AL$54</f>
        <v>24.255137676470586</v>
      </c>
      <c r="Y246" s="78"/>
      <c r="Z246" s="19">
        <f>(T246*Standards!$O$156)+Standards!$O$157</f>
        <v>-1.8438698534735458</v>
      </c>
      <c r="AA246" s="20">
        <f>(X246*Standards!$T$156)+Standards!$T$157</f>
        <v>25.625131350407997</v>
      </c>
    </row>
    <row r="247" spans="1:27" ht="24.95" customHeight="1" x14ac:dyDescent="0.25">
      <c r="A247" s="121">
        <v>131</v>
      </c>
      <c r="B247" s="76" t="s">
        <v>1314</v>
      </c>
      <c r="C247" s="76" t="s">
        <v>788</v>
      </c>
      <c r="D247" s="76">
        <v>6</v>
      </c>
      <c r="E247" s="76">
        <v>16930</v>
      </c>
      <c r="F247" s="76">
        <v>196.26300000000001</v>
      </c>
      <c r="G247" s="76">
        <v>-1.9339999999999999</v>
      </c>
      <c r="H247" s="76">
        <v>24.048999999999999</v>
      </c>
      <c r="Z247" s="33"/>
      <c r="AA247" s="34"/>
    </row>
    <row r="248" spans="1:27" ht="24.95" customHeight="1" x14ac:dyDescent="0.25">
      <c r="A248" s="121">
        <v>131</v>
      </c>
      <c r="B248" s="76" t="s">
        <v>1314</v>
      </c>
      <c r="C248" s="76" t="s">
        <v>788</v>
      </c>
      <c r="D248" s="76">
        <v>7</v>
      </c>
      <c r="E248" s="76">
        <v>15709</v>
      </c>
      <c r="F248" s="76">
        <v>181.16900000000001</v>
      </c>
      <c r="G248" s="76">
        <v>-1.887</v>
      </c>
      <c r="H248" s="76">
        <v>24.06</v>
      </c>
      <c r="J248" s="31">
        <f>AVERAGE(G247:G248)</f>
        <v>-1.9104999999999999</v>
      </c>
      <c r="K248" s="31">
        <f>STDEV(G247:G248)</f>
        <v>3.3234018715767685E-2</v>
      </c>
      <c r="L248" s="26"/>
      <c r="M248" s="27">
        <f>AVERAGE(E247:E248)</f>
        <v>16319.5</v>
      </c>
      <c r="N248" s="27">
        <f>STDEV(E247:E248)</f>
        <v>863.37737982877456</v>
      </c>
      <c r="O248" s="28"/>
      <c r="P248" s="29">
        <f>AVERAGE(H247:H248)</f>
        <v>24.054499999999997</v>
      </c>
      <c r="Q248" s="29">
        <f>STDEV(H247:H248)</f>
        <v>7.77817459305148E-3</v>
      </c>
      <c r="R248" s="28"/>
      <c r="S248" s="29">
        <f>J248-(A248-Standards!$A$121)*Standards!$AA$4</f>
        <v>-1.8893416176470588</v>
      </c>
      <c r="T248" s="29">
        <f>S248-(M248-Standards!$N$121)*Standards!$AA$55</f>
        <v>-1.9110359235294117</v>
      </c>
      <c r="U248" s="29"/>
      <c r="V248" s="28"/>
      <c r="W248" s="29">
        <f>P248-(A248-Standards!$A$121)*Standards!$AL$5</f>
        <v>24.083823235294116</v>
      </c>
      <c r="X248" s="139">
        <f>W248-(M248-Standards!$N$121)*Standards!$AL$54</f>
        <v>24.135799176470584</v>
      </c>
      <c r="Y248" s="78"/>
      <c r="Z248" s="19">
        <f>(T248*Standards!$O$156)+Standards!$O$157</f>
        <v>-1.4168044256015966</v>
      </c>
      <c r="AA248" s="20">
        <f>(X248*Standards!$T$156)+Standards!$T$157</f>
        <v>25.506440566564368</v>
      </c>
    </row>
    <row r="249" spans="1:27" ht="24.95" customHeight="1" x14ac:dyDescent="0.25">
      <c r="A249" s="121">
        <v>132</v>
      </c>
      <c r="B249" s="76" t="s">
        <v>1320</v>
      </c>
      <c r="C249" s="76" t="s">
        <v>671</v>
      </c>
      <c r="D249" s="76">
        <v>6</v>
      </c>
      <c r="E249" s="76">
        <v>13436</v>
      </c>
      <c r="F249" s="76">
        <v>154.73099999999999</v>
      </c>
      <c r="G249" s="76">
        <v>-1.9079999999999999</v>
      </c>
      <c r="H249" s="76">
        <v>24.042999999999999</v>
      </c>
      <c r="Z249" s="33"/>
      <c r="AA249" s="34"/>
    </row>
    <row r="250" spans="1:27" ht="24.95" customHeight="1" x14ac:dyDescent="0.25">
      <c r="A250" s="121">
        <v>132</v>
      </c>
      <c r="B250" s="76" t="s">
        <v>1320</v>
      </c>
      <c r="C250" s="76" t="s">
        <v>671</v>
      </c>
      <c r="D250" s="76">
        <v>7</v>
      </c>
      <c r="E250" s="76">
        <v>12332</v>
      </c>
      <c r="F250" s="76">
        <v>142.71899999999999</v>
      </c>
      <c r="G250" s="76">
        <v>-1.889</v>
      </c>
      <c r="H250" s="76">
        <v>24.087</v>
      </c>
      <c r="J250" s="31">
        <f>AVERAGE(G249:G250)</f>
        <v>-1.8984999999999999</v>
      </c>
      <c r="K250" s="31">
        <f>STDEV(G249:G250)</f>
        <v>1.3435028842544336E-2</v>
      </c>
      <c r="L250" s="26"/>
      <c r="M250" s="27">
        <f>AVERAGE(E249:E250)</f>
        <v>12884</v>
      </c>
      <c r="N250" s="27">
        <f>STDEV(E249:E250)</f>
        <v>780.64588642994852</v>
      </c>
      <c r="O250" s="28"/>
      <c r="P250" s="29">
        <f>AVERAGE(H249:H250)</f>
        <v>24.064999999999998</v>
      </c>
      <c r="Q250" s="29">
        <f>STDEV(H249:H250)</f>
        <v>3.1112698372208432E-2</v>
      </c>
      <c r="R250" s="28"/>
      <c r="S250" s="29">
        <f>J250-(A250-Standards!$A$121)*Standards!$AA$4</f>
        <v>-1.8766186176470587</v>
      </c>
      <c r="T250" s="29">
        <f>S250-(M250-Standards!$N$121)*Standards!$AA$55</f>
        <v>-1.8653321235294116</v>
      </c>
      <c r="U250" s="29"/>
      <c r="V250" s="28"/>
      <c r="W250" s="29">
        <f>P250-(A250-Standards!$A$121)*Standards!$AL$5</f>
        <v>24.095325235294116</v>
      </c>
      <c r="X250" s="139">
        <f>W250-(M250-Standards!$N$121)*Standards!$AL$54</f>
        <v>24.068284676470586</v>
      </c>
      <c r="Y250" s="78"/>
      <c r="Z250" s="19">
        <f>(T250*Standards!$O$156)+Standards!$O$157</f>
        <v>-1.3708145165790788</v>
      </c>
      <c r="AA250" s="20">
        <f>(X250*Standards!$T$156)+Standards!$T$157</f>
        <v>25.439292505160797</v>
      </c>
    </row>
    <row r="251" spans="1:27" ht="24.95" customHeight="1" x14ac:dyDescent="0.25">
      <c r="A251" s="121">
        <v>133</v>
      </c>
      <c r="B251" s="76" t="s">
        <v>1326</v>
      </c>
      <c r="C251" s="76" t="s">
        <v>698</v>
      </c>
      <c r="D251" s="76">
        <v>6</v>
      </c>
      <c r="E251" s="76">
        <v>11216</v>
      </c>
      <c r="F251" s="76">
        <v>128.227</v>
      </c>
      <c r="G251" s="76">
        <v>-2.2120000000000002</v>
      </c>
      <c r="H251" s="76">
        <v>24.154</v>
      </c>
      <c r="Z251" s="33"/>
      <c r="AA251" s="34"/>
    </row>
    <row r="252" spans="1:27" ht="24.95" customHeight="1" x14ac:dyDescent="0.25">
      <c r="A252" s="121">
        <v>133</v>
      </c>
      <c r="B252" s="76" t="s">
        <v>1326</v>
      </c>
      <c r="C252" s="76" t="s">
        <v>698</v>
      </c>
      <c r="D252" s="76">
        <v>7</v>
      </c>
      <c r="E252" s="76">
        <v>10524</v>
      </c>
      <c r="F252" s="76">
        <v>119.319</v>
      </c>
      <c r="G252" s="76">
        <v>-2.153</v>
      </c>
      <c r="H252" s="76">
        <v>24.187999999999999</v>
      </c>
      <c r="J252" s="31">
        <f>AVERAGE(G251:G252)</f>
        <v>-2.1825000000000001</v>
      </c>
      <c r="K252" s="31">
        <f>STDEV(G251:G252)</f>
        <v>4.171930009000642E-2</v>
      </c>
      <c r="L252" s="26"/>
      <c r="M252" s="27">
        <f>AVERAGE(E251:E252)</f>
        <v>10870</v>
      </c>
      <c r="N252" s="27">
        <f>STDEV(E251:E252)</f>
        <v>489.31789258109086</v>
      </c>
      <c r="O252" s="28"/>
      <c r="P252" s="29">
        <f>AVERAGE(H251:H252)</f>
        <v>24.170999999999999</v>
      </c>
      <c r="Q252" s="29">
        <f>STDEV(H251:H252)</f>
        <v>2.4041630560341854E-2</v>
      </c>
      <c r="R252" s="28"/>
      <c r="S252" s="29">
        <f>J252-(A252-Standards!$A$121)*Standards!$AA$4</f>
        <v>-2.159895617647059</v>
      </c>
      <c r="T252" s="29">
        <f>S252-(M252-Standards!$N$121)*Standards!$AA$55</f>
        <v>-2.1292747235294121</v>
      </c>
      <c r="U252" s="29"/>
      <c r="V252" s="28"/>
      <c r="W252" s="29">
        <f>P252-(A252-Standards!$A$121)*Standards!$AL$5</f>
        <v>24.202327235294117</v>
      </c>
      <c r="X252" s="139">
        <f>W252-(M252-Standards!$N$121)*Standards!$AL$54</f>
        <v>24.128964676470588</v>
      </c>
      <c r="Y252" s="78"/>
      <c r="Z252" s="19">
        <f>(T252*Standards!$O$156)+Standards!$O$157</f>
        <v>-1.636409415934641</v>
      </c>
      <c r="AA252" s="20">
        <f>(X252*Standards!$T$156)+Standards!$T$157</f>
        <v>25.499643161182377</v>
      </c>
    </row>
    <row r="253" spans="1:27" ht="24.95" customHeight="1" x14ac:dyDescent="0.25">
      <c r="A253" s="121">
        <v>134</v>
      </c>
      <c r="B253" s="76" t="s">
        <v>1331</v>
      </c>
      <c r="C253" s="76" t="s">
        <v>436</v>
      </c>
      <c r="D253" s="76">
        <v>6</v>
      </c>
      <c r="E253" s="76">
        <v>20503</v>
      </c>
      <c r="F253" s="76">
        <v>238.44300000000001</v>
      </c>
      <c r="G253" s="76">
        <v>-1.982</v>
      </c>
      <c r="H253" s="76">
        <v>23.988</v>
      </c>
      <c r="Z253" s="33"/>
      <c r="AA253" s="34"/>
    </row>
    <row r="254" spans="1:27" ht="24.95" customHeight="1" x14ac:dyDescent="0.25">
      <c r="A254" s="121">
        <v>134</v>
      </c>
      <c r="B254" s="76" t="s">
        <v>1331</v>
      </c>
      <c r="C254" s="76" t="s">
        <v>436</v>
      </c>
      <c r="D254" s="76">
        <v>7</v>
      </c>
      <c r="E254" s="76">
        <v>18965</v>
      </c>
      <c r="F254" s="76">
        <v>220.26900000000001</v>
      </c>
      <c r="G254" s="76">
        <v>-1.9870000000000001</v>
      </c>
      <c r="H254" s="76">
        <v>24.056000000000001</v>
      </c>
      <c r="J254" s="31">
        <f>AVERAGE(G253:G254)</f>
        <v>-1.9845000000000002</v>
      </c>
      <c r="K254" s="31">
        <f>STDEV(G253:G254)</f>
        <v>3.5355339059328192E-3</v>
      </c>
      <c r="L254" s="26"/>
      <c r="M254" s="27">
        <f>AVERAGE(E253:E254)</f>
        <v>19734</v>
      </c>
      <c r="N254" s="27">
        <f>STDEV(E253:E254)</f>
        <v>1087.53022946491</v>
      </c>
      <c r="O254" s="28"/>
      <c r="P254" s="29">
        <f>AVERAGE(H253:H254)</f>
        <v>24.021999999999998</v>
      </c>
      <c r="Q254" s="29">
        <f>STDEV(H253:H254)</f>
        <v>4.808326112068622E-2</v>
      </c>
      <c r="R254" s="28"/>
      <c r="S254" s="29">
        <f>J254-(A254-Standards!$A$121)*Standards!$AA$4</f>
        <v>-1.961172617647059</v>
      </c>
      <c r="T254" s="29">
        <f>S254-(M254-Standards!$N$121)*Standards!$AA$55</f>
        <v>-2.0156461235294119</v>
      </c>
      <c r="U254" s="29"/>
      <c r="V254" s="28"/>
      <c r="W254" s="29">
        <f>P254-(A254-Standards!$A$121)*Standards!$AL$5</f>
        <v>24.054329235294116</v>
      </c>
      <c r="X254" s="139">
        <f>W254-(M254-Standards!$N$121)*Standards!$AL$54</f>
        <v>24.184838676470587</v>
      </c>
      <c r="Y254" s="78"/>
      <c r="Z254" s="19">
        <f>(T254*Standards!$O$156)+Standards!$O$157</f>
        <v>-1.5220694928569967</v>
      </c>
      <c r="AA254" s="20">
        <f>(X254*Standards!$T$156)+Standards!$T$157</f>
        <v>25.555213902028616</v>
      </c>
    </row>
    <row r="255" spans="1:27" ht="24.95" customHeight="1" x14ac:dyDescent="0.25">
      <c r="A255" s="121">
        <v>135</v>
      </c>
      <c r="B255" s="76" t="s">
        <v>1338</v>
      </c>
      <c r="C255" s="76" t="s">
        <v>436</v>
      </c>
      <c r="D255" s="76">
        <v>6</v>
      </c>
      <c r="E255" s="76">
        <v>19159</v>
      </c>
      <c r="F255" s="76">
        <v>213.36699999999999</v>
      </c>
      <c r="G255" s="76">
        <v>-1.952</v>
      </c>
      <c r="H255" s="76">
        <v>24.097999999999999</v>
      </c>
      <c r="Z255" s="33"/>
      <c r="AA255" s="34"/>
    </row>
    <row r="256" spans="1:27" ht="24.95" customHeight="1" x14ac:dyDescent="0.25">
      <c r="A256" s="121">
        <v>135</v>
      </c>
      <c r="B256" s="76" t="s">
        <v>1338</v>
      </c>
      <c r="C256" s="76" t="s">
        <v>436</v>
      </c>
      <c r="D256" s="76">
        <v>7</v>
      </c>
      <c r="E256" s="76">
        <v>17920</v>
      </c>
      <c r="F256" s="76">
        <v>198.386</v>
      </c>
      <c r="G256" s="76">
        <v>-1.893</v>
      </c>
      <c r="H256" s="76">
        <v>24.114999999999998</v>
      </c>
      <c r="J256" s="31">
        <f>AVERAGE(G255:G256)</f>
        <v>-1.9224999999999999</v>
      </c>
      <c r="K256" s="31">
        <f>STDEV(G255:G256)</f>
        <v>4.171930009000626E-2</v>
      </c>
      <c r="L256" s="26"/>
      <c r="M256" s="27">
        <f>AVERAGE(E255:E256)</f>
        <v>18539.5</v>
      </c>
      <c r="N256" s="27">
        <f>STDEV(E255:E256)</f>
        <v>876.10530189013241</v>
      </c>
      <c r="O256" s="28"/>
      <c r="P256" s="29">
        <f>AVERAGE(H255:H256)</f>
        <v>24.106499999999997</v>
      </c>
      <c r="Q256" s="29">
        <f>STDEV(H255:H256)</f>
        <v>1.2020815280170927E-2</v>
      </c>
      <c r="R256" s="28"/>
      <c r="S256" s="29">
        <f>J256-(A256-Standards!$A$121)*Standards!$AA$4</f>
        <v>-1.8984496176470587</v>
      </c>
      <c r="T256" s="29">
        <f>S256-(M256-Standards!$N$121)*Standards!$AA$55</f>
        <v>-1.9414559235294115</v>
      </c>
      <c r="U256" s="29"/>
      <c r="V256" s="28"/>
      <c r="W256" s="29">
        <f>P256-(A256-Standards!$A$121)*Standards!$AL$5</f>
        <v>24.139831235294114</v>
      </c>
      <c r="X256" s="139">
        <f>W256-(M256-Standards!$N$121)*Standards!$AL$54</f>
        <v>24.242867176470586</v>
      </c>
      <c r="Y256" s="78"/>
      <c r="Z256" s="19">
        <f>(T256*Standards!$O$156)+Standards!$O$157</f>
        <v>-1.4474148569544596</v>
      </c>
      <c r="AA256" s="20">
        <f>(X256*Standards!$T$156)+Standards!$T$157</f>
        <v>25.612927449209696</v>
      </c>
    </row>
    <row r="257" spans="1:27" s="117" customFormat="1" ht="24.95" customHeight="1" x14ac:dyDescent="0.25">
      <c r="A257" s="120">
        <v>136</v>
      </c>
      <c r="B257" s="117" t="s">
        <v>1343</v>
      </c>
      <c r="C257" s="117" t="s">
        <v>722</v>
      </c>
      <c r="D257" s="117">
        <v>6</v>
      </c>
      <c r="E257" s="117">
        <v>17446</v>
      </c>
      <c r="F257" s="117">
        <v>203.78399999999999</v>
      </c>
      <c r="G257" s="117">
        <v>3.903</v>
      </c>
      <c r="H257" s="117">
        <v>24.957000000000001</v>
      </c>
      <c r="S257" s="76"/>
      <c r="W257" s="76"/>
      <c r="Y257" s="186"/>
      <c r="Z257" s="72"/>
      <c r="AA257" s="73"/>
    </row>
    <row r="258" spans="1:27" s="117" customFormat="1" ht="24.95" customHeight="1" x14ac:dyDescent="0.25">
      <c r="A258" s="120">
        <v>136</v>
      </c>
      <c r="B258" s="117" t="s">
        <v>1343</v>
      </c>
      <c r="C258" s="117" t="s">
        <v>722</v>
      </c>
      <c r="D258" s="117">
        <v>7</v>
      </c>
      <c r="E258" s="117">
        <v>16124</v>
      </c>
      <c r="F258" s="117">
        <v>187.91900000000001</v>
      </c>
      <c r="G258" s="117">
        <v>3.93</v>
      </c>
      <c r="H258" s="117">
        <v>25.015000000000001</v>
      </c>
      <c r="J258" s="66">
        <f>AVERAGE(G257:G258)</f>
        <v>3.9165000000000001</v>
      </c>
      <c r="K258" s="66">
        <f>STDEV(G257:G258)</f>
        <v>1.9091883092036879E-2</v>
      </c>
      <c r="L258" s="65"/>
      <c r="M258" s="64">
        <f>AVERAGE(E257:E258)</f>
        <v>16785</v>
      </c>
      <c r="N258" s="64">
        <f>STDEV(E257:E258)</f>
        <v>934.79516472861587</v>
      </c>
      <c r="O258" s="67"/>
      <c r="P258" s="68">
        <f>AVERAGE(H257:H258)</f>
        <v>24.986000000000001</v>
      </c>
      <c r="Q258" s="68">
        <f>STDEV(H257:H258)</f>
        <v>4.1012193308819639E-2</v>
      </c>
      <c r="R258" s="67"/>
      <c r="S258" s="29">
        <f>J258-(A258-Standards!$A$121)*Standards!$AA$4</f>
        <v>3.9412733823529411</v>
      </c>
      <c r="T258" s="68">
        <f>S258-(M258-Standards!$N$121)*Standards!$AA$55</f>
        <v>3.9151102764705881</v>
      </c>
      <c r="U258" s="68"/>
      <c r="V258" s="67"/>
      <c r="W258" s="29">
        <f>P258-(A258-Standards!$A$121)*Standards!$AL$5</f>
        <v>25.020333235294117</v>
      </c>
      <c r="X258" s="68">
        <f>W258-(M258-Standards!$N$121)*Standards!$AL$54</f>
        <v>25.083015676470588</v>
      </c>
      <c r="Y258" s="124"/>
      <c r="Z258" s="69">
        <f>(T258*Standards!$O$156)+Standards!$O$157</f>
        <v>4.4458138619343597</v>
      </c>
      <c r="AA258" s="70">
        <f>(X258*Standards!$T$156)+Standards!$T$157</f>
        <v>26.448515997834381</v>
      </c>
    </row>
    <row r="259" spans="1:27" s="117" customFormat="1" ht="24.95" customHeight="1" x14ac:dyDescent="0.25">
      <c r="A259" s="120">
        <v>137</v>
      </c>
      <c r="B259" s="117" t="s">
        <v>1347</v>
      </c>
      <c r="C259" s="117" t="s">
        <v>357</v>
      </c>
      <c r="D259" s="117">
        <v>6</v>
      </c>
      <c r="E259" s="117">
        <v>11963</v>
      </c>
      <c r="F259" s="117">
        <v>133.62700000000001</v>
      </c>
      <c r="G259" s="117">
        <v>3.806</v>
      </c>
      <c r="H259" s="117">
        <v>25.167999999999999</v>
      </c>
      <c r="S259" s="76"/>
      <c r="W259" s="76"/>
      <c r="Y259" s="186"/>
      <c r="Z259" s="72"/>
      <c r="AA259" s="73"/>
    </row>
    <row r="260" spans="1:27" s="117" customFormat="1" ht="24.95" customHeight="1" x14ac:dyDescent="0.25">
      <c r="A260" s="120">
        <v>137</v>
      </c>
      <c r="B260" s="117" t="s">
        <v>1347</v>
      </c>
      <c r="C260" s="117" t="s">
        <v>357</v>
      </c>
      <c r="D260" s="117">
        <v>7</v>
      </c>
      <c r="E260" s="117">
        <v>11156</v>
      </c>
      <c r="F260" s="117">
        <v>124.178</v>
      </c>
      <c r="G260" s="117">
        <v>3.8660000000000001</v>
      </c>
      <c r="H260" s="117">
        <v>25.213999999999999</v>
      </c>
      <c r="J260" s="66">
        <f>AVERAGE(G259:G260)</f>
        <v>3.8360000000000003</v>
      </c>
      <c r="K260" s="66">
        <f>STDEV(G259:G260)</f>
        <v>4.2426406871192889E-2</v>
      </c>
      <c r="L260" s="65"/>
      <c r="M260" s="64">
        <f>AVERAGE(E259:E260)</f>
        <v>11559.5</v>
      </c>
      <c r="N260" s="64">
        <f>STDEV(E259:E260)</f>
        <v>570.6351724175438</v>
      </c>
      <c r="O260" s="67"/>
      <c r="P260" s="68">
        <f>AVERAGE(H259:H260)</f>
        <v>25.190999999999999</v>
      </c>
      <c r="Q260" s="68">
        <f>STDEV(H259:H260)</f>
        <v>3.2526911934580745E-2</v>
      </c>
      <c r="R260" s="67"/>
      <c r="S260" s="29">
        <f>J260-(A260-Standards!$A$121)*Standards!$AA$4</f>
        <v>3.8614963823529416</v>
      </c>
      <c r="T260" s="68">
        <f>S260-(M260-Standards!$N$121)*Standards!$AA$55</f>
        <v>3.8854980764705886</v>
      </c>
      <c r="U260" s="68"/>
      <c r="V260" s="67"/>
      <c r="W260" s="29">
        <f>P260-(A260-Standards!$A$121)*Standards!$AL$5</f>
        <v>25.226335235294115</v>
      </c>
      <c r="X260" s="68">
        <f>W260-(M260-Standards!$N$121)*Standards!$AL$54</f>
        <v>25.168831176470587</v>
      </c>
      <c r="Y260" s="124"/>
      <c r="Z260" s="69">
        <f>(T260*Standards!$O$156)+Standards!$O$157</f>
        <v>4.4160162874666664</v>
      </c>
      <c r="AA260" s="70">
        <f>(X260*Standards!$T$156)+Standards!$T$157</f>
        <v>26.533865729571687</v>
      </c>
    </row>
    <row r="261" spans="1:27" ht="24.95" customHeight="1" x14ac:dyDescent="0.25">
      <c r="A261" s="121">
        <v>138</v>
      </c>
      <c r="B261" s="76" t="s">
        <v>1353</v>
      </c>
      <c r="C261" s="76" t="s">
        <v>722</v>
      </c>
      <c r="D261" s="76">
        <v>6</v>
      </c>
      <c r="E261" s="76">
        <v>17739</v>
      </c>
      <c r="F261" s="76">
        <v>206.90600000000001</v>
      </c>
      <c r="G261" s="76">
        <v>-1.7070000000000001</v>
      </c>
      <c r="H261" s="76">
        <v>23.826000000000001</v>
      </c>
      <c r="Z261" s="33"/>
      <c r="AA261" s="34"/>
    </row>
    <row r="262" spans="1:27" ht="24.95" customHeight="1" x14ac:dyDescent="0.25">
      <c r="A262" s="121">
        <v>138</v>
      </c>
      <c r="B262" s="76" t="s">
        <v>1353</v>
      </c>
      <c r="C262" s="76" t="s">
        <v>722</v>
      </c>
      <c r="D262" s="76">
        <v>7</v>
      </c>
      <c r="E262" s="76">
        <v>16428</v>
      </c>
      <c r="F262" s="76">
        <v>191.14400000000001</v>
      </c>
      <c r="G262" s="76">
        <v>-1.663</v>
      </c>
      <c r="H262" s="76">
        <v>23.882000000000001</v>
      </c>
      <c r="J262" s="31">
        <f>AVERAGE(G261:G262)</f>
        <v>-1.6850000000000001</v>
      </c>
      <c r="K262" s="31">
        <f>STDEV(G261:G262)</f>
        <v>3.111269837220812E-2</v>
      </c>
      <c r="L262" s="26"/>
      <c r="M262" s="27">
        <f>AVERAGE(E261:E262)</f>
        <v>17083.5</v>
      </c>
      <c r="N262" s="27">
        <f>STDEV(E261:E262)</f>
        <v>927.01699013556379</v>
      </c>
      <c r="O262" s="28"/>
      <c r="P262" s="29">
        <f>AVERAGE(H261:H262)</f>
        <v>23.853999999999999</v>
      </c>
      <c r="Q262" s="29">
        <f>STDEV(H261:H262)</f>
        <v>3.9597979746447326E-2</v>
      </c>
      <c r="R262" s="28"/>
      <c r="S262" s="29">
        <f>J262-(A262-Standards!$A$121)*Standards!$AA$4</f>
        <v>-1.658780617647059</v>
      </c>
      <c r="T262" s="29">
        <f>S262-(M262-Standards!$N$121)*Standards!$AA$55</f>
        <v>-1.6878093235294118</v>
      </c>
      <c r="U262" s="29"/>
      <c r="V262" s="28"/>
      <c r="W262" s="29">
        <f>P262-(A262-Standards!$A$121)*Standards!$AL$5</f>
        <v>23.890337235294115</v>
      </c>
      <c r="X262" s="139">
        <f>W262-(M262-Standards!$N$121)*Standards!$AL$54</f>
        <v>23.959885176470586</v>
      </c>
      <c r="Y262" s="78"/>
      <c r="Z262" s="19">
        <f>(T262*Standards!$O$156)+Standards!$O$157</f>
        <v>-1.1921804112875596</v>
      </c>
      <c r="AA262" s="20">
        <f>(X262*Standards!$T$156)+Standards!$T$157</f>
        <v>25.331481349303658</v>
      </c>
    </row>
    <row r="263" spans="1:27" ht="24.95" customHeight="1" x14ac:dyDescent="0.25">
      <c r="A263" s="121">
        <v>139</v>
      </c>
      <c r="B263" s="76" t="s">
        <v>1360</v>
      </c>
      <c r="C263" s="76" t="s">
        <v>654</v>
      </c>
      <c r="D263" s="76">
        <v>6</v>
      </c>
      <c r="E263" s="76">
        <v>16644</v>
      </c>
      <c r="F263" s="76">
        <v>186.30099999999999</v>
      </c>
      <c r="G263" s="76">
        <v>-1.742</v>
      </c>
      <c r="H263" s="76">
        <v>24.076000000000001</v>
      </c>
      <c r="Z263" s="33"/>
      <c r="AA263" s="34"/>
    </row>
    <row r="264" spans="1:27" ht="24.95" customHeight="1" x14ac:dyDescent="0.25">
      <c r="A264" s="121">
        <v>139</v>
      </c>
      <c r="B264" s="76" t="s">
        <v>1360</v>
      </c>
      <c r="C264" s="76" t="s">
        <v>654</v>
      </c>
      <c r="D264" s="76">
        <v>7</v>
      </c>
      <c r="E264" s="76">
        <v>15349</v>
      </c>
      <c r="F264" s="76">
        <v>172.40600000000001</v>
      </c>
      <c r="G264" s="76">
        <v>-1.6890000000000001</v>
      </c>
      <c r="H264" s="76">
        <v>24.117999999999999</v>
      </c>
      <c r="J264" s="31">
        <f>AVERAGE(G263:G264)</f>
        <v>-1.7155</v>
      </c>
      <c r="K264" s="31">
        <f>STDEV(G263:G264)</f>
        <v>3.7476659402886976E-2</v>
      </c>
      <c r="L264" s="26"/>
      <c r="M264" s="27">
        <f>AVERAGE(E263:E264)</f>
        <v>15996.5</v>
      </c>
      <c r="N264" s="27">
        <f>STDEV(E263:E264)</f>
        <v>915.70328163657905</v>
      </c>
      <c r="O264" s="28"/>
      <c r="P264" s="29">
        <f>AVERAGE(H263:H264)</f>
        <v>24.097000000000001</v>
      </c>
      <c r="Q264" s="29">
        <f>STDEV(H263:H264)</f>
        <v>2.9698484809833607E-2</v>
      </c>
      <c r="R264" s="28"/>
      <c r="S264" s="29">
        <f>J264-(A264-Standards!$A$121)*Standards!$AA$4</f>
        <v>-1.6885576176470589</v>
      </c>
      <c r="T264" s="29">
        <f>S264-(M264-Standards!$N$121)*Standards!$AA$55</f>
        <v>-1.7071511235294119</v>
      </c>
      <c r="U264" s="29"/>
      <c r="V264" s="28"/>
      <c r="W264" s="29">
        <f>P264-(A264-Standards!$A$121)*Standards!$AL$5</f>
        <v>24.134339235294117</v>
      </c>
      <c r="X264" s="139">
        <f>W264-(M264-Standards!$N$121)*Standards!$AL$54</f>
        <v>24.178886176470588</v>
      </c>
      <c r="Y264" s="78"/>
      <c r="Z264" s="19">
        <f>(T264*Standards!$O$156)+Standards!$O$157</f>
        <v>-1.2116432923244038</v>
      </c>
      <c r="AA264" s="20">
        <f>(X264*Standards!$T$156)+Standards!$T$157</f>
        <v>25.549293709543967</v>
      </c>
    </row>
    <row r="265" spans="1:27" ht="24.95" customHeight="1" x14ac:dyDescent="0.25">
      <c r="A265" s="121">
        <v>140</v>
      </c>
      <c r="B265" s="76" t="s">
        <v>1364</v>
      </c>
      <c r="C265" s="76" t="s">
        <v>586</v>
      </c>
      <c r="D265" s="76">
        <v>6</v>
      </c>
      <c r="E265" s="76">
        <v>15511</v>
      </c>
      <c r="F265" s="76">
        <v>180.43700000000001</v>
      </c>
      <c r="G265" s="76">
        <v>-1.8180000000000001</v>
      </c>
      <c r="H265" s="76">
        <v>23.971</v>
      </c>
      <c r="Z265" s="33"/>
      <c r="AA265" s="34"/>
    </row>
    <row r="266" spans="1:27" ht="24.95" customHeight="1" x14ac:dyDescent="0.25">
      <c r="A266" s="121">
        <v>140</v>
      </c>
      <c r="B266" s="76" t="s">
        <v>1364</v>
      </c>
      <c r="C266" s="76" t="s">
        <v>586</v>
      </c>
      <c r="D266" s="76">
        <v>7</v>
      </c>
      <c r="E266" s="76">
        <v>14389</v>
      </c>
      <c r="F266" s="76">
        <v>166.84700000000001</v>
      </c>
      <c r="G266" s="76">
        <v>-1.7350000000000001</v>
      </c>
      <c r="H266" s="76">
        <v>24.042999999999999</v>
      </c>
      <c r="J266" s="31">
        <f>AVERAGE(G265:G266)</f>
        <v>-1.7765</v>
      </c>
      <c r="K266" s="31">
        <f>STDEV(G265:G266)</f>
        <v>5.8689862838483417E-2</v>
      </c>
      <c r="L266" s="26"/>
      <c r="M266" s="27">
        <f>AVERAGE(E265:E266)</f>
        <v>14950</v>
      </c>
      <c r="N266" s="27">
        <f>STDEV(E265:E266)</f>
        <v>793.37380849130636</v>
      </c>
      <c r="O266" s="28"/>
      <c r="P266" s="29">
        <f>AVERAGE(H265:H266)</f>
        <v>24.006999999999998</v>
      </c>
      <c r="Q266" s="29">
        <f>STDEV(H265:H266)</f>
        <v>5.0911688245430839E-2</v>
      </c>
      <c r="R266" s="28"/>
      <c r="S266" s="29">
        <f>J266-(A266-Standards!$A$121)*Standards!$AA$4</f>
        <v>-1.7488346176470588</v>
      </c>
      <c r="T266" s="29">
        <f>S266-(M266-Standards!$N$121)*Standards!$AA$55</f>
        <v>-1.7573817235294118</v>
      </c>
      <c r="U266" s="29"/>
      <c r="V266" s="28"/>
      <c r="W266" s="29">
        <f>P266-(A266-Standards!$A$121)*Standards!$AL$5</f>
        <v>24.045341235294117</v>
      </c>
      <c r="X266" s="139">
        <f>W266-(M266-Standards!$N$121)*Standards!$AL$54</f>
        <v>24.065818676470588</v>
      </c>
      <c r="Y266" s="78"/>
      <c r="Z266" s="19">
        <f>(T266*Standards!$O$156)+Standards!$O$157</f>
        <v>-1.2621883394352889</v>
      </c>
      <c r="AA266" s="20">
        <f>(X266*Standards!$T$156)+Standards!$T$157</f>
        <v>25.436839889509031</v>
      </c>
    </row>
    <row r="267" spans="1:27" ht="24.95" customHeight="1" x14ac:dyDescent="0.25">
      <c r="A267" s="121">
        <v>141</v>
      </c>
      <c r="B267" s="76" t="s">
        <v>1369</v>
      </c>
      <c r="C267" s="76" t="s">
        <v>1219</v>
      </c>
      <c r="D267" s="76">
        <v>6</v>
      </c>
      <c r="E267" s="76">
        <v>19014</v>
      </c>
      <c r="F267" s="76">
        <v>218.483</v>
      </c>
      <c r="G267" s="76">
        <v>-1.9790000000000001</v>
      </c>
      <c r="H267" s="76">
        <v>23.978000000000002</v>
      </c>
      <c r="Z267" s="33"/>
      <c r="AA267" s="34"/>
    </row>
    <row r="268" spans="1:27" ht="24.95" customHeight="1" x14ac:dyDescent="0.25">
      <c r="A268" s="121">
        <v>141</v>
      </c>
      <c r="B268" s="76" t="s">
        <v>1369</v>
      </c>
      <c r="C268" s="76" t="s">
        <v>1219</v>
      </c>
      <c r="D268" s="76">
        <v>7</v>
      </c>
      <c r="E268" s="76">
        <v>17514</v>
      </c>
      <c r="F268" s="76">
        <v>202.203</v>
      </c>
      <c r="G268" s="76">
        <v>-1.9390000000000001</v>
      </c>
      <c r="H268" s="76">
        <v>24.038</v>
      </c>
      <c r="J268" s="31">
        <f>AVERAGE(G267:G268)</f>
        <v>-1.9590000000000001</v>
      </c>
      <c r="K268" s="31">
        <f>STDEV(G267:G268)</f>
        <v>2.8284271247461926E-2</v>
      </c>
      <c r="L268" s="26"/>
      <c r="M268" s="27">
        <f>AVERAGE(E267:E268)</f>
        <v>18264</v>
      </c>
      <c r="N268" s="27">
        <f>STDEV(E267:E268)</f>
        <v>1060.6601717798212</v>
      </c>
      <c r="O268" s="28"/>
      <c r="P268" s="29">
        <f>AVERAGE(H267:H268)</f>
        <v>24.008000000000003</v>
      </c>
      <c r="Q268" s="29">
        <f>STDEV(H267:H268)</f>
        <v>4.2426406871191945E-2</v>
      </c>
      <c r="R268" s="28"/>
      <c r="S268" s="29">
        <f>J268-(A268-Standards!$A$121)*Standards!$AA$4</f>
        <v>-1.9306116176470589</v>
      </c>
      <c r="T268" s="29">
        <f>S268-(M268-Standards!$N$121)*Standards!$AA$55</f>
        <v>-1.9709731235294119</v>
      </c>
      <c r="U268" s="29"/>
      <c r="V268" s="28"/>
      <c r="W268" s="29">
        <f>P268-(A268-Standards!$A$121)*Standards!$AL$5</f>
        <v>24.047343235294122</v>
      </c>
      <c r="X268" s="139">
        <f>W268-(M268-Standards!$N$121)*Standards!$AL$54</f>
        <v>24.144042676470594</v>
      </c>
      <c r="Y268" s="78"/>
      <c r="Z268" s="19">
        <f>(T268*Standards!$O$156)+Standards!$O$157</f>
        <v>-1.4771168367154304</v>
      </c>
      <c r="AA268" s="20">
        <f>(X268*Standards!$T$156)+Standards!$T$157</f>
        <v>25.514639324522747</v>
      </c>
    </row>
    <row r="269" spans="1:27" ht="24.95" customHeight="1" x14ac:dyDescent="0.25">
      <c r="A269" s="121">
        <v>142</v>
      </c>
      <c r="B269" s="76" t="s">
        <v>1375</v>
      </c>
      <c r="C269" s="76" t="s">
        <v>1290</v>
      </c>
      <c r="D269" s="76">
        <v>6</v>
      </c>
      <c r="E269" s="76">
        <v>21610</v>
      </c>
      <c r="F269" s="76">
        <v>247.994</v>
      </c>
      <c r="G269" s="76">
        <v>-2.16</v>
      </c>
      <c r="H269" s="76">
        <v>23.986999999999998</v>
      </c>
      <c r="Z269" s="33"/>
      <c r="AA269" s="34"/>
    </row>
    <row r="270" spans="1:27" ht="24.95" customHeight="1" x14ac:dyDescent="0.25">
      <c r="A270" s="121">
        <v>142</v>
      </c>
      <c r="B270" s="76" t="s">
        <v>1375</v>
      </c>
      <c r="C270" s="76" t="s">
        <v>1290</v>
      </c>
      <c r="D270" s="76">
        <v>7</v>
      </c>
      <c r="E270" s="76">
        <v>20162</v>
      </c>
      <c r="F270" s="76">
        <v>231.642</v>
      </c>
      <c r="G270" s="76">
        <v>-2.1920000000000002</v>
      </c>
      <c r="H270" s="76">
        <v>24.033000000000001</v>
      </c>
      <c r="J270" s="31">
        <f>AVERAGE(G269:G270)</f>
        <v>-2.1760000000000002</v>
      </c>
      <c r="K270" s="31">
        <f>STDEV(G269:G270)</f>
        <v>2.2627416997969541E-2</v>
      </c>
      <c r="L270" s="26"/>
      <c r="M270" s="27">
        <f>AVERAGE(E269:E270)</f>
        <v>20886</v>
      </c>
      <c r="N270" s="27">
        <f>STDEV(E269:E270)</f>
        <v>1023.8906191581208</v>
      </c>
      <c r="O270" s="28"/>
      <c r="P270" s="29">
        <f>AVERAGE(H269:H270)</f>
        <v>24.009999999999998</v>
      </c>
      <c r="Q270" s="29">
        <f>STDEV(H269:H270)</f>
        <v>3.2526911934583257E-2</v>
      </c>
      <c r="R270" s="28"/>
      <c r="S270" s="29">
        <f>J270-(A270-Standards!$A$121)*Standards!$AA$4</f>
        <v>-2.146888617647059</v>
      </c>
      <c r="T270" s="29">
        <f>S270-(M270-Standards!$N$121)*Standards!$AA$55</f>
        <v>-2.2124213235294121</v>
      </c>
      <c r="U270" s="29"/>
      <c r="V270" s="28"/>
      <c r="W270" s="29">
        <f>P270-(A270-Standards!$A$121)*Standards!$AL$5</f>
        <v>24.050345235294117</v>
      </c>
      <c r="X270" s="139">
        <f>W270-(M270-Standards!$N$121)*Standards!$AL$54</f>
        <v>24.207350676470586</v>
      </c>
      <c r="Y270" s="78"/>
      <c r="Z270" s="19">
        <f>(T270*Standards!$O$156)+Standards!$O$157</f>
        <v>-1.7200765195350343</v>
      </c>
      <c r="AA270" s="20">
        <f>(X270*Standards!$T$156)+Standards!$T$157</f>
        <v>25.577603716932334</v>
      </c>
    </row>
    <row r="271" spans="1:27" ht="24.95" customHeight="1" x14ac:dyDescent="0.25">
      <c r="A271" s="121">
        <v>143</v>
      </c>
      <c r="B271" s="76" t="s">
        <v>1379</v>
      </c>
      <c r="C271" s="76" t="s">
        <v>397</v>
      </c>
      <c r="D271" s="76">
        <v>6</v>
      </c>
      <c r="E271" s="76">
        <v>10384</v>
      </c>
      <c r="F271" s="76">
        <v>121.479</v>
      </c>
      <c r="G271" s="76">
        <v>-2.4670000000000001</v>
      </c>
      <c r="H271" s="76">
        <v>24.149000000000001</v>
      </c>
      <c r="Z271" s="33"/>
      <c r="AA271" s="34"/>
    </row>
    <row r="272" spans="1:27" ht="24.95" customHeight="1" x14ac:dyDescent="0.25">
      <c r="A272" s="121">
        <v>143</v>
      </c>
      <c r="B272" s="76" t="s">
        <v>1379</v>
      </c>
      <c r="C272" s="76" t="s">
        <v>397</v>
      </c>
      <c r="D272" s="76">
        <v>7</v>
      </c>
      <c r="E272" s="76">
        <v>9608</v>
      </c>
      <c r="F272" s="76">
        <v>112.378</v>
      </c>
      <c r="G272" s="76">
        <v>-2.4300000000000002</v>
      </c>
      <c r="H272" s="76">
        <v>24.157</v>
      </c>
      <c r="J272" s="31">
        <f>AVERAGE(G271:G272)</f>
        <v>-2.4485000000000001</v>
      </c>
      <c r="K272" s="31">
        <f>STDEV(G271:G272)</f>
        <v>2.6162950903902204E-2</v>
      </c>
      <c r="L272" s="26"/>
      <c r="M272" s="27">
        <f>AVERAGE(E271:E272)</f>
        <v>9996</v>
      </c>
      <c r="N272" s="27">
        <f>STDEV(E271:E272)</f>
        <v>548.71486220076088</v>
      </c>
      <c r="O272" s="28"/>
      <c r="P272" s="29">
        <f>AVERAGE(H271:H272)</f>
        <v>24.152999999999999</v>
      </c>
      <c r="Q272" s="29">
        <f>STDEV(H271:H272)</f>
        <v>5.6568542494917573E-3</v>
      </c>
      <c r="R272" s="28"/>
      <c r="S272" s="29">
        <f>J272-(A272-Standards!$A$121)*Standards!$AA$4</f>
        <v>-2.4186656176470591</v>
      </c>
      <c r="T272" s="29">
        <f>S272-(M272-Standards!$N$121)*Standards!$AA$55</f>
        <v>-2.3796543235294121</v>
      </c>
      <c r="U272" s="29"/>
      <c r="V272" s="28"/>
      <c r="W272" s="29">
        <f>P272-(A272-Standards!$A$121)*Standards!$AL$5</f>
        <v>24.194347235294117</v>
      </c>
      <c r="X272" s="139">
        <f>W272-(M272-Standards!$N$121)*Standards!$AL$54</f>
        <v>24.100882676470587</v>
      </c>
      <c r="Y272" s="78"/>
      <c r="Z272" s="19">
        <f>(T272*Standards!$O$156)+Standards!$O$157</f>
        <v>-1.8883564099503314</v>
      </c>
      <c r="AA272" s="20">
        <f>(X272*Standards!$T$156)+Standards!$T$157</f>
        <v>25.471713577754592</v>
      </c>
    </row>
    <row r="273" spans="1:27" ht="24.95" customHeight="1" x14ac:dyDescent="0.25">
      <c r="A273" s="121">
        <v>144</v>
      </c>
      <c r="B273" s="76" t="s">
        <v>1384</v>
      </c>
      <c r="C273" s="76" t="s">
        <v>412</v>
      </c>
      <c r="D273" s="76">
        <v>6</v>
      </c>
      <c r="E273" s="76">
        <v>12358</v>
      </c>
      <c r="F273" s="76">
        <v>139.71199999999999</v>
      </c>
      <c r="G273" s="76">
        <v>-2.2389999999999999</v>
      </c>
      <c r="H273" s="76">
        <v>24.062000000000001</v>
      </c>
      <c r="Z273" s="33"/>
      <c r="AA273" s="34"/>
    </row>
    <row r="274" spans="1:27" ht="24.95" customHeight="1" x14ac:dyDescent="0.25">
      <c r="A274" s="121">
        <v>144</v>
      </c>
      <c r="B274" s="76" t="s">
        <v>1384</v>
      </c>
      <c r="C274" s="76" t="s">
        <v>412</v>
      </c>
      <c r="D274" s="76">
        <v>7</v>
      </c>
      <c r="E274" s="76">
        <v>11587</v>
      </c>
      <c r="F274" s="76">
        <v>130.03100000000001</v>
      </c>
      <c r="G274" s="76">
        <v>-2.1669999999999998</v>
      </c>
      <c r="H274" s="76">
        <v>24.123000000000001</v>
      </c>
      <c r="J274" s="31">
        <f>AVERAGE(G273:G274)</f>
        <v>-2.2029999999999998</v>
      </c>
      <c r="K274" s="31">
        <f>STDEV(G273:G274)</f>
        <v>5.0911688245431463E-2</v>
      </c>
      <c r="L274" s="26"/>
      <c r="M274" s="27">
        <f>AVERAGE(E273:E274)</f>
        <v>11972.5</v>
      </c>
      <c r="N274" s="27">
        <f>STDEV(E273:E274)</f>
        <v>545.17932829482811</v>
      </c>
      <c r="O274" s="28"/>
      <c r="P274" s="29">
        <f>AVERAGE(H273:H274)</f>
        <v>24.092500000000001</v>
      </c>
      <c r="Q274" s="29">
        <f>STDEV(H273:H274)</f>
        <v>4.3133513652379357E-2</v>
      </c>
      <c r="R274" s="28"/>
      <c r="S274" s="29">
        <f>J274-(A274-Standards!$A$121)*Standards!$AA$4</f>
        <v>-2.1724426176470586</v>
      </c>
      <c r="T274" s="29">
        <f>S274-(M274-Standards!$N$121)*Standards!$AA$55</f>
        <v>-2.1524057235294114</v>
      </c>
      <c r="U274" s="29"/>
      <c r="V274" s="28"/>
      <c r="W274" s="29">
        <f>P274-(A274-Standards!$A$121)*Standards!$AL$5</f>
        <v>24.134849235294119</v>
      </c>
      <c r="X274" s="139">
        <f>W274-(M274-Standards!$N$121)*Standards!$AL$54</f>
        <v>24.086844176470589</v>
      </c>
      <c r="Y274" s="78"/>
      <c r="Z274" s="19">
        <f>(T274*Standards!$O$156)+Standards!$O$157</f>
        <v>-1.6596852176316514</v>
      </c>
      <c r="AA274" s="20">
        <f>(X274*Standards!$T$156)+Standards!$T$157</f>
        <v>25.457751272471814</v>
      </c>
    </row>
    <row r="275" spans="1:27" ht="24.95" customHeight="1" x14ac:dyDescent="0.25">
      <c r="A275" s="121">
        <v>145</v>
      </c>
      <c r="B275" s="76" t="s">
        <v>1389</v>
      </c>
      <c r="C275" s="76" t="s">
        <v>934</v>
      </c>
      <c r="D275" s="76">
        <v>6</v>
      </c>
      <c r="E275" s="76">
        <v>11419</v>
      </c>
      <c r="F275" s="76">
        <v>134.04</v>
      </c>
      <c r="G275" s="76">
        <v>-2.2490000000000001</v>
      </c>
      <c r="H275" s="76">
        <v>24.163</v>
      </c>
      <c r="Z275" s="33"/>
      <c r="AA275" s="34"/>
    </row>
    <row r="276" spans="1:27" ht="24.95" customHeight="1" x14ac:dyDescent="0.25">
      <c r="A276" s="121">
        <v>145</v>
      </c>
      <c r="B276" s="76" t="s">
        <v>1389</v>
      </c>
      <c r="C276" s="76" t="s">
        <v>934</v>
      </c>
      <c r="D276" s="76">
        <v>7</v>
      </c>
      <c r="E276" s="76">
        <v>10610</v>
      </c>
      <c r="F276" s="76">
        <v>124.16</v>
      </c>
      <c r="G276" s="76">
        <v>-2.173</v>
      </c>
      <c r="H276" s="76">
        <v>24.161000000000001</v>
      </c>
      <c r="J276" s="31">
        <f>AVERAGE(G275:G276)</f>
        <v>-2.2110000000000003</v>
      </c>
      <c r="K276" s="31">
        <f>STDEV(G275:G276)</f>
        <v>5.3740115370177657E-2</v>
      </c>
      <c r="L276" s="26"/>
      <c r="M276" s="27">
        <f>AVERAGE(E275:E276)</f>
        <v>11014.5</v>
      </c>
      <c r="N276" s="27">
        <f>STDEV(E275:E276)</f>
        <v>572.04938597991691</v>
      </c>
      <c r="O276" s="28"/>
      <c r="P276" s="29">
        <f>AVERAGE(H275:H276)</f>
        <v>24.161999999999999</v>
      </c>
      <c r="Q276" s="29">
        <f>STDEV(H275:H276)</f>
        <v>1.4142135623723114E-3</v>
      </c>
      <c r="R276" s="28"/>
      <c r="S276" s="29">
        <f>J276-(A276-Standards!$A$121)*Standards!$AA$4</f>
        <v>-2.1797196176470592</v>
      </c>
      <c r="T276" s="29">
        <f>S276-(M276-Standards!$N$121)*Standards!$AA$55</f>
        <v>-2.1504859235294123</v>
      </c>
      <c r="U276" s="29"/>
      <c r="V276" s="28"/>
      <c r="W276" s="29">
        <f>P276-(A276-Standards!$A$121)*Standards!$AL$5</f>
        <v>24.205351235294117</v>
      </c>
      <c r="X276" s="139">
        <f>W276-(M276-Standards!$N$121)*Standards!$AL$54</f>
        <v>24.135312176470588</v>
      </c>
      <c r="Y276" s="78"/>
      <c r="Z276" s="19">
        <f>(T276*Standards!$O$156)+Standards!$O$157</f>
        <v>-1.6577533995477856</v>
      </c>
      <c r="AA276" s="20">
        <f>(X276*Standards!$T$156)+Standards!$T$157</f>
        <v>25.505956209783186</v>
      </c>
    </row>
    <row r="277" spans="1:27" ht="24.95" customHeight="1" x14ac:dyDescent="0.25">
      <c r="A277" s="121">
        <v>146</v>
      </c>
      <c r="B277" s="76" t="s">
        <v>1394</v>
      </c>
      <c r="C277" s="76" t="s">
        <v>357</v>
      </c>
      <c r="D277" s="76">
        <v>6</v>
      </c>
      <c r="E277" s="76">
        <v>12187</v>
      </c>
      <c r="F277" s="76">
        <v>136.24299999999999</v>
      </c>
      <c r="G277" s="76">
        <v>-2.3149999999999999</v>
      </c>
      <c r="H277" s="76">
        <v>24.081</v>
      </c>
      <c r="Z277" s="33"/>
      <c r="AA277" s="34"/>
    </row>
    <row r="278" spans="1:27" ht="24.95" customHeight="1" x14ac:dyDescent="0.25">
      <c r="A278" s="121">
        <v>146</v>
      </c>
      <c r="B278" s="76" t="s">
        <v>1394</v>
      </c>
      <c r="C278" s="76" t="s">
        <v>357</v>
      </c>
      <c r="D278" s="76">
        <v>7</v>
      </c>
      <c r="E278" s="76">
        <v>11335</v>
      </c>
      <c r="F278" s="76">
        <v>126.404</v>
      </c>
      <c r="G278" s="76">
        <v>-2.254</v>
      </c>
      <c r="H278" s="76">
        <v>24.123999999999999</v>
      </c>
      <c r="J278" s="31">
        <f>AVERAGE(G277:G278)</f>
        <v>-2.2845</v>
      </c>
      <c r="K278" s="31">
        <f>STDEV(G277:G278)</f>
        <v>4.3133513652379357E-2</v>
      </c>
      <c r="L278" s="26"/>
      <c r="M278" s="27">
        <f>AVERAGE(E277:E278)</f>
        <v>11761</v>
      </c>
      <c r="N278" s="27">
        <f>STDEV(E277:E278)</f>
        <v>602.45497757093847</v>
      </c>
      <c r="O278" s="28"/>
      <c r="P278" s="29">
        <f>AVERAGE(H277:H278)</f>
        <v>24.102499999999999</v>
      </c>
      <c r="Q278" s="29">
        <f>STDEV(H277:H278)</f>
        <v>3.0405591591021019E-2</v>
      </c>
      <c r="R278" s="28"/>
      <c r="S278" s="29">
        <f>J278-(A278-Standards!$A$121)*Standards!$AA$4</f>
        <v>-2.2524966176470587</v>
      </c>
      <c r="T278" s="29">
        <f>S278-(M278-Standards!$N$121)*Standards!$AA$55</f>
        <v>-2.2304293235294117</v>
      </c>
      <c r="U278" s="29"/>
      <c r="V278" s="28"/>
      <c r="W278" s="29">
        <f>P278-(A278-Standards!$A$121)*Standards!$AL$5</f>
        <v>24.146853235294117</v>
      </c>
      <c r="X278" s="139">
        <f>W278-(M278-Standards!$N$121)*Standards!$AL$54</f>
        <v>24.093983676470586</v>
      </c>
      <c r="Y278" s="78"/>
      <c r="Z278" s="19">
        <f>(T278*Standards!$O$156)+Standards!$O$157</f>
        <v>-1.7381972508894834</v>
      </c>
      <c r="AA278" s="20">
        <f>(X278*Standards!$T$156)+Standards!$T$157</f>
        <v>25.464852022449829</v>
      </c>
    </row>
    <row r="279" spans="1:27" ht="24.95" customHeight="1" x14ac:dyDescent="0.25">
      <c r="A279" s="121">
        <v>147</v>
      </c>
      <c r="B279" s="76" t="s">
        <v>1400</v>
      </c>
      <c r="C279" s="76" t="s">
        <v>280</v>
      </c>
      <c r="D279" s="76">
        <v>6</v>
      </c>
      <c r="E279" s="76">
        <v>13319</v>
      </c>
      <c r="F279" s="76">
        <v>155.87299999999999</v>
      </c>
      <c r="G279" s="76">
        <v>-2.2269999999999999</v>
      </c>
      <c r="H279" s="76">
        <v>23.934000000000001</v>
      </c>
      <c r="Z279" s="33"/>
      <c r="AA279" s="34"/>
    </row>
    <row r="280" spans="1:27" ht="24.95" customHeight="1" x14ac:dyDescent="0.25">
      <c r="A280" s="121">
        <v>147</v>
      </c>
      <c r="B280" s="76" t="s">
        <v>1400</v>
      </c>
      <c r="C280" s="76" t="s">
        <v>280</v>
      </c>
      <c r="D280" s="76">
        <v>7</v>
      </c>
      <c r="E280" s="76">
        <v>12352</v>
      </c>
      <c r="F280" s="76">
        <v>144.1</v>
      </c>
      <c r="G280" s="76">
        <v>-2.2010000000000001</v>
      </c>
      <c r="H280" s="76">
        <v>23.95</v>
      </c>
      <c r="J280" s="31">
        <f>AVERAGE(G279:G280)</f>
        <v>-2.214</v>
      </c>
      <c r="K280" s="31">
        <f>STDEV(G279:G280)</f>
        <v>1.8384776310850094E-2</v>
      </c>
      <c r="L280" s="26"/>
      <c r="M280" s="27">
        <f>AVERAGE(E279:E280)</f>
        <v>12835.5</v>
      </c>
      <c r="N280" s="27">
        <f>STDEV(E279:E280)</f>
        <v>683.77225740739141</v>
      </c>
      <c r="O280" s="28"/>
      <c r="P280" s="29">
        <f>AVERAGE(H279:H280)</f>
        <v>23.942</v>
      </c>
      <c r="Q280" s="29">
        <f>STDEV(H279:H280)</f>
        <v>1.1313708498983515E-2</v>
      </c>
      <c r="R280" s="28"/>
      <c r="S280" s="29">
        <f>J280-(A280-Standards!$A$121)*Standards!$AA$4</f>
        <v>-2.1812736176470588</v>
      </c>
      <c r="T280" s="29">
        <f>S280-(M280-Standards!$N$121)*Standards!$AA$55</f>
        <v>-2.1695215235294119</v>
      </c>
      <c r="U280" s="29"/>
      <c r="V280" s="28"/>
      <c r="W280" s="29">
        <f>P280-(A280-Standards!$A$121)*Standards!$AL$5</f>
        <v>23.987355235294118</v>
      </c>
      <c r="X280" s="139">
        <f>W280-(M280-Standards!$N$121)*Standards!$AL$54</f>
        <v>23.959199176470587</v>
      </c>
      <c r="Y280" s="78"/>
      <c r="Z280" s="19">
        <f>(T280*Standards!$O$156)+Standards!$O$157</f>
        <v>-1.6769081637509595</v>
      </c>
      <c r="AA280" s="20">
        <f>(X280*Standards!$T$156)+Standards!$T$157</f>
        <v>25.330799072605721</v>
      </c>
    </row>
    <row r="281" spans="1:27" s="117" customFormat="1" ht="24.95" customHeight="1" x14ac:dyDescent="0.25">
      <c r="A281" s="120">
        <v>148</v>
      </c>
      <c r="B281" s="117" t="s">
        <v>1405</v>
      </c>
      <c r="C281" s="117" t="s">
        <v>654</v>
      </c>
      <c r="D281" s="117">
        <v>6</v>
      </c>
      <c r="E281" s="117">
        <v>12127</v>
      </c>
      <c r="F281" s="117">
        <v>136.304</v>
      </c>
      <c r="G281" s="117">
        <v>3.847</v>
      </c>
      <c r="H281" s="117">
        <v>25.048999999999999</v>
      </c>
      <c r="S281" s="76"/>
      <c r="W281" s="76"/>
      <c r="Y281" s="186"/>
      <c r="Z281" s="72"/>
      <c r="AA281" s="73"/>
    </row>
    <row r="282" spans="1:27" s="117" customFormat="1" ht="24.95" customHeight="1" x14ac:dyDescent="0.25">
      <c r="A282" s="120">
        <v>148</v>
      </c>
      <c r="B282" s="117" t="s">
        <v>1405</v>
      </c>
      <c r="C282" s="117" t="s">
        <v>654</v>
      </c>
      <c r="D282" s="117">
        <v>7</v>
      </c>
      <c r="E282" s="117">
        <v>11179</v>
      </c>
      <c r="F282" s="117">
        <v>126</v>
      </c>
      <c r="G282" s="117">
        <v>3.8959999999999999</v>
      </c>
      <c r="H282" s="117">
        <v>25.126000000000001</v>
      </c>
      <c r="J282" s="66">
        <f>AVERAGE(G281:G282)</f>
        <v>3.8715000000000002</v>
      </c>
      <c r="K282" s="66">
        <f>STDEV(G281:G282)</f>
        <v>3.4648232278140782E-2</v>
      </c>
      <c r="L282" s="65"/>
      <c r="M282" s="64">
        <f>AVERAGE(E281:E282)</f>
        <v>11653</v>
      </c>
      <c r="N282" s="64">
        <f>STDEV(E281:E282)</f>
        <v>670.33722856484701</v>
      </c>
      <c r="O282" s="67"/>
      <c r="P282" s="68">
        <f>AVERAGE(H281:H282)</f>
        <v>25.087499999999999</v>
      </c>
      <c r="Q282" s="68">
        <f>STDEV(H281:H282)</f>
        <v>5.4447222151365389E-2</v>
      </c>
      <c r="R282" s="67"/>
      <c r="S282" s="29">
        <f>J282-(A282-Standards!$A$121)*Standards!$AA$4</f>
        <v>3.9049493823529415</v>
      </c>
      <c r="T282" s="68">
        <f>S282-(M282-Standards!$N$121)*Standards!$AA$55</f>
        <v>3.9280534764705886</v>
      </c>
      <c r="U282" s="68"/>
      <c r="V282" s="67"/>
      <c r="W282" s="29">
        <f>P282-(A282-Standards!$A$121)*Standards!$AL$5</f>
        <v>25.133857235294116</v>
      </c>
      <c r="X282" s="68">
        <f>W282-(M282-Standards!$N$121)*Standards!$AL$54</f>
        <v>25.078503676470586</v>
      </c>
      <c r="Y282" s="124"/>
      <c r="Z282" s="69">
        <f>(T282*Standards!$O$156)+Standards!$O$157</f>
        <v>4.4588380872823672</v>
      </c>
      <c r="AA282" s="70">
        <f>(X282*Standards!$T$156)+Standards!$T$157</f>
        <v>26.444028486958153</v>
      </c>
    </row>
    <row r="283" spans="1:27" s="117" customFormat="1" ht="24.95" customHeight="1" x14ac:dyDescent="0.25">
      <c r="A283" s="120">
        <v>149</v>
      </c>
      <c r="B283" s="117" t="s">
        <v>1411</v>
      </c>
      <c r="C283" s="117" t="s">
        <v>336</v>
      </c>
      <c r="D283" s="117">
        <v>6</v>
      </c>
      <c r="E283" s="117">
        <v>15450</v>
      </c>
      <c r="F283" s="117">
        <v>179.96700000000001</v>
      </c>
      <c r="G283" s="117">
        <v>3.9209999999999998</v>
      </c>
      <c r="H283" s="117">
        <v>25.047000000000001</v>
      </c>
      <c r="S283" s="76"/>
      <c r="W283" s="76"/>
      <c r="Y283" s="186"/>
      <c r="Z283" s="72"/>
      <c r="AA283" s="73"/>
    </row>
    <row r="284" spans="1:27" s="117" customFormat="1" ht="24.95" customHeight="1" x14ac:dyDescent="0.25">
      <c r="A284" s="120">
        <v>149</v>
      </c>
      <c r="B284" s="117" t="s">
        <v>1411</v>
      </c>
      <c r="C284" s="117" t="s">
        <v>336</v>
      </c>
      <c r="D284" s="117">
        <v>7</v>
      </c>
      <c r="E284" s="117">
        <v>14334</v>
      </c>
      <c r="F284" s="117">
        <v>166.37299999999999</v>
      </c>
      <c r="G284" s="117">
        <v>3.9550000000000001</v>
      </c>
      <c r="H284" s="117">
        <v>25.073</v>
      </c>
      <c r="J284" s="66">
        <f>AVERAGE(G283:G284)</f>
        <v>3.9379999999999997</v>
      </c>
      <c r="K284" s="66">
        <f>STDEV(G283:G284)</f>
        <v>2.4041630560342794E-2</v>
      </c>
      <c r="L284" s="65"/>
      <c r="M284" s="64">
        <f>AVERAGE(E283:E284)</f>
        <v>14892</v>
      </c>
      <c r="N284" s="64">
        <f>STDEV(E283:E284)</f>
        <v>789.13116780418704</v>
      </c>
      <c r="O284" s="67"/>
      <c r="P284" s="68">
        <f>AVERAGE(H283:H284)</f>
        <v>25.060000000000002</v>
      </c>
      <c r="Q284" s="68">
        <f>STDEV(H283:H284)</f>
        <v>1.8384776310850094E-2</v>
      </c>
      <c r="R284" s="67"/>
      <c r="S284" s="29">
        <f>J284-(A284-Standards!$A$121)*Standards!$AA$4</f>
        <v>3.9721723823529409</v>
      </c>
      <c r="T284" s="68">
        <f>S284-(M284-Standards!$N$121)*Standards!$AA$55</f>
        <v>3.9641820764705882</v>
      </c>
      <c r="U284" s="68"/>
      <c r="V284" s="67"/>
      <c r="W284" s="29">
        <f>P284-(A284-Standards!$A$121)*Standards!$AL$5</f>
        <v>25.107359235294119</v>
      </c>
      <c r="X284" s="68">
        <f>W284-(M284-Standards!$N$121)*Standards!$AL$54</f>
        <v>25.12650267647059</v>
      </c>
      <c r="Y284" s="124"/>
      <c r="Z284" s="69">
        <f>(T284*Standards!$O$156)+Standards!$O$157</f>
        <v>4.4951928548752349</v>
      </c>
      <c r="AA284" s="70">
        <f>(X284*Standards!$T$156)+Standards!$T$157</f>
        <v>26.491766969792366</v>
      </c>
    </row>
    <row r="285" spans="1:27" ht="24.95" customHeight="1" x14ac:dyDescent="0.25">
      <c r="A285" s="121">
        <v>150</v>
      </c>
      <c r="B285" s="76" t="s">
        <v>1417</v>
      </c>
      <c r="C285" s="76" t="s">
        <v>275</v>
      </c>
      <c r="D285" s="76">
        <v>6</v>
      </c>
      <c r="E285" s="76">
        <v>16337</v>
      </c>
      <c r="F285" s="76">
        <v>187.82599999999999</v>
      </c>
      <c r="G285" s="76">
        <v>-2.4980000000000002</v>
      </c>
      <c r="H285" s="76">
        <v>23.785</v>
      </c>
      <c r="Z285" s="33"/>
      <c r="AA285" s="34"/>
    </row>
    <row r="286" spans="1:27" ht="24.95" customHeight="1" x14ac:dyDescent="0.25">
      <c r="A286" s="121">
        <v>150</v>
      </c>
      <c r="B286" s="76" t="s">
        <v>1417</v>
      </c>
      <c r="C286" s="76" t="s">
        <v>275</v>
      </c>
      <c r="D286" s="76">
        <v>7</v>
      </c>
      <c r="E286" s="76">
        <v>15086</v>
      </c>
      <c r="F286" s="76">
        <v>173.964</v>
      </c>
      <c r="G286" s="76">
        <v>-2.456</v>
      </c>
      <c r="H286" s="76">
        <v>23.855</v>
      </c>
      <c r="J286" s="31">
        <f>AVERAGE(G285:G286)</f>
        <v>-2.4770000000000003</v>
      </c>
      <c r="K286" s="31">
        <f>STDEV(G285:G286)</f>
        <v>2.9698484809835179E-2</v>
      </c>
      <c r="L286" s="26"/>
      <c r="M286" s="27">
        <f>AVERAGE(E285:E286)</f>
        <v>15711.5</v>
      </c>
      <c r="N286" s="27">
        <f>STDEV(E285:E286)</f>
        <v>884.59058326437093</v>
      </c>
      <c r="O286" s="28"/>
      <c r="P286" s="29">
        <f>AVERAGE(H285:H286)</f>
        <v>23.82</v>
      </c>
      <c r="Q286" s="29">
        <f>STDEV(H285:H286)</f>
        <v>4.9497474683058526E-2</v>
      </c>
      <c r="R286" s="28"/>
      <c r="S286" s="29">
        <f>J286-(A286-Standards!$A$121)*Standards!$AA$4</f>
        <v>-2.4421046176470593</v>
      </c>
      <c r="T286" s="29">
        <f>S286-(M286-Standards!$N$121)*Standards!$AA$55</f>
        <v>-2.4579621235294122</v>
      </c>
      <c r="U286" s="29"/>
      <c r="V286" s="28"/>
      <c r="W286" s="29">
        <f>P286-(A286-Standards!$A$121)*Standards!$AL$5</f>
        <v>23.868361235294117</v>
      </c>
      <c r="X286" s="139">
        <f>W286-(M286-Standards!$N$121)*Standards!$AL$54</f>
        <v>23.906353176470589</v>
      </c>
      <c r="Y286" s="78"/>
      <c r="Z286" s="19">
        <f>(T286*Standards!$O$156)+Standards!$O$157</f>
        <v>-1.9671544223202768</v>
      </c>
      <c r="AA286" s="20">
        <f>(X286*Standards!$T$156)+Standards!$T$157</f>
        <v>25.278239897125889</v>
      </c>
    </row>
    <row r="287" spans="1:27" ht="24.95" customHeight="1" x14ac:dyDescent="0.25">
      <c r="A287" s="121">
        <v>151</v>
      </c>
      <c r="B287" s="76" t="s">
        <v>1422</v>
      </c>
      <c r="C287" s="76" t="s">
        <v>389</v>
      </c>
      <c r="D287" s="76">
        <v>6</v>
      </c>
      <c r="E287" s="76">
        <v>12934</v>
      </c>
      <c r="F287" s="76">
        <v>147.77600000000001</v>
      </c>
      <c r="G287" s="76">
        <v>-2.4340000000000002</v>
      </c>
      <c r="H287" s="76">
        <v>23.919</v>
      </c>
      <c r="Z287" s="33"/>
      <c r="AA287" s="34"/>
    </row>
    <row r="288" spans="1:27" ht="24.95" customHeight="1" x14ac:dyDescent="0.25">
      <c r="A288" s="121">
        <v>151</v>
      </c>
      <c r="B288" s="76" t="s">
        <v>1422</v>
      </c>
      <c r="C288" s="76" t="s">
        <v>389</v>
      </c>
      <c r="D288" s="76">
        <v>7</v>
      </c>
      <c r="E288" s="76">
        <v>12145</v>
      </c>
      <c r="F288" s="76">
        <v>137.65899999999999</v>
      </c>
      <c r="G288" s="76">
        <v>-2.379</v>
      </c>
      <c r="H288" s="76">
        <v>23.975999999999999</v>
      </c>
      <c r="J288" s="31">
        <f>AVERAGE(G287:G288)</f>
        <v>-2.4065000000000003</v>
      </c>
      <c r="K288" s="31">
        <f>STDEV(G287:G288)</f>
        <v>3.8890872965260226E-2</v>
      </c>
      <c r="L288" s="26"/>
      <c r="M288" s="27">
        <f>AVERAGE(E287:E288)</f>
        <v>12539.5</v>
      </c>
      <c r="N288" s="27">
        <f>STDEV(E287:E288)</f>
        <v>557.90725035618595</v>
      </c>
      <c r="O288" s="28"/>
      <c r="P288" s="29">
        <f>AVERAGE(H287:H288)</f>
        <v>23.947499999999998</v>
      </c>
      <c r="Q288" s="29">
        <f>STDEV(H287:H288)</f>
        <v>4.0305086527632226E-2</v>
      </c>
      <c r="R288" s="28"/>
      <c r="S288" s="29">
        <f>J288-(A288-Standards!$A$121)*Standards!$AA$4</f>
        <v>-2.3708816176470591</v>
      </c>
      <c r="T288" s="29">
        <f>S288-(M288-Standards!$N$121)*Standards!$AA$55</f>
        <v>-2.3562879235294121</v>
      </c>
      <c r="U288" s="29"/>
      <c r="V288" s="28"/>
      <c r="W288" s="29">
        <f>P288-(A288-Standards!$A$121)*Standards!$AL$5</f>
        <v>23.996863235294114</v>
      </c>
      <c r="X288" s="139">
        <f>W288-(M288-Standards!$N$121)*Standards!$AL$54</f>
        <v>23.961899176470585</v>
      </c>
      <c r="Y288" s="78"/>
      <c r="Z288" s="19">
        <f>(T288*Standards!$O$156)+Standards!$O$157</f>
        <v>-1.864843734632661</v>
      </c>
      <c r="AA288" s="20">
        <f>(X288*Standards!$T$156)+Standards!$T$157</f>
        <v>25.333484418209842</v>
      </c>
    </row>
    <row r="289" spans="1:27" ht="24.95" customHeight="1" x14ac:dyDescent="0.25">
      <c r="A289" s="121">
        <v>152</v>
      </c>
      <c r="B289" s="76" t="s">
        <v>1427</v>
      </c>
      <c r="C289" s="76" t="s">
        <v>444</v>
      </c>
      <c r="D289" s="76">
        <v>6</v>
      </c>
      <c r="E289" s="76">
        <v>12332</v>
      </c>
      <c r="F289" s="76">
        <v>145.16</v>
      </c>
      <c r="G289" s="76">
        <v>-2.8370000000000002</v>
      </c>
      <c r="H289" s="76">
        <v>24.024000000000001</v>
      </c>
      <c r="Z289" s="33"/>
      <c r="AA289" s="34"/>
    </row>
    <row r="290" spans="1:27" ht="24.95" customHeight="1" x14ac:dyDescent="0.25">
      <c r="A290" s="121">
        <v>152</v>
      </c>
      <c r="B290" s="76" t="s">
        <v>1427</v>
      </c>
      <c r="C290" s="76" t="s">
        <v>444</v>
      </c>
      <c r="D290" s="76">
        <v>7</v>
      </c>
      <c r="E290" s="76">
        <v>11440</v>
      </c>
      <c r="F290" s="76">
        <v>134.37299999999999</v>
      </c>
      <c r="G290" s="76">
        <v>-2.746</v>
      </c>
      <c r="H290" s="76">
        <v>24.056999999999999</v>
      </c>
      <c r="J290" s="31">
        <f>AVERAGE(G289:G290)</f>
        <v>-2.7915000000000001</v>
      </c>
      <c r="K290" s="31">
        <f>STDEV(G289:G290)</f>
        <v>6.4346717087975958E-2</v>
      </c>
      <c r="L290" s="26"/>
      <c r="M290" s="27">
        <f>AVERAGE(E289:E290)</f>
        <v>11886</v>
      </c>
      <c r="N290" s="27">
        <f>STDEV(E289:E290)</f>
        <v>630.73924881840037</v>
      </c>
      <c r="O290" s="28"/>
      <c r="P290" s="29">
        <f>AVERAGE(H289:H290)</f>
        <v>24.040500000000002</v>
      </c>
      <c r="Q290" s="29">
        <f>STDEV(H289:H290)</f>
        <v>2.3334523779154438E-2</v>
      </c>
      <c r="R290" s="28"/>
      <c r="S290" s="29">
        <f>J290-(A290-Standards!$A$121)*Standards!$AA$4</f>
        <v>-2.755158617647059</v>
      </c>
      <c r="T290" s="29">
        <f>S290-(M290-Standards!$N$121)*Standards!$AA$55</f>
        <v>-2.734291323529412</v>
      </c>
      <c r="U290" s="29"/>
      <c r="V290" s="28"/>
      <c r="W290" s="29">
        <f>P290-(A290-Standards!$A$121)*Standards!$AL$5</f>
        <v>24.090865235294117</v>
      </c>
      <c r="X290" s="139">
        <f>W290-(M290-Standards!$N$121)*Standards!$AL$54</f>
        <v>24.04087067647059</v>
      </c>
      <c r="Y290" s="78"/>
      <c r="Z290" s="19">
        <f>(T290*Standards!$O$156)+Standards!$O$157</f>
        <v>-2.2452134626684539</v>
      </c>
      <c r="AA290" s="20">
        <f>(X290*Standards!$T$156)+Standards!$T$157</f>
        <v>25.412027296126926</v>
      </c>
    </row>
    <row r="291" spans="1:27" ht="24.95" customHeight="1" x14ac:dyDescent="0.25">
      <c r="A291" s="121">
        <v>153</v>
      </c>
      <c r="B291" s="76" t="s">
        <v>1434</v>
      </c>
      <c r="C291" s="76" t="s">
        <v>310</v>
      </c>
      <c r="D291" s="76">
        <v>6</v>
      </c>
      <c r="E291" s="76">
        <v>15495</v>
      </c>
      <c r="F291" s="76">
        <v>174.38900000000001</v>
      </c>
      <c r="G291" s="76">
        <v>-3.0579999999999998</v>
      </c>
      <c r="H291" s="76">
        <v>24.085999999999999</v>
      </c>
      <c r="Z291" s="33"/>
      <c r="AA291" s="34"/>
    </row>
    <row r="292" spans="1:27" ht="24.95" customHeight="1" x14ac:dyDescent="0.25">
      <c r="A292" s="121">
        <v>153</v>
      </c>
      <c r="B292" s="76" t="s">
        <v>1434</v>
      </c>
      <c r="C292" s="76" t="s">
        <v>310</v>
      </c>
      <c r="D292" s="76">
        <v>7</v>
      </c>
      <c r="E292" s="76">
        <v>14525</v>
      </c>
      <c r="F292" s="76">
        <v>162.29</v>
      </c>
      <c r="G292" s="76">
        <v>-2.996</v>
      </c>
      <c r="H292" s="76">
        <v>24.113</v>
      </c>
      <c r="J292" s="31">
        <f>AVERAGE(G291:G292)</f>
        <v>-3.0270000000000001</v>
      </c>
      <c r="K292" s="31">
        <f>STDEV(G291:G292)</f>
        <v>4.3840620433565826E-2</v>
      </c>
      <c r="L292" s="26"/>
      <c r="M292" s="27">
        <f>AVERAGE(E291:E292)</f>
        <v>15010</v>
      </c>
      <c r="N292" s="27">
        <f>STDEV(E291:E292)</f>
        <v>685.89357775095107</v>
      </c>
      <c r="O292" s="28"/>
      <c r="P292" s="29">
        <f>AVERAGE(H291:H292)</f>
        <v>24.099499999999999</v>
      </c>
      <c r="Q292" s="29">
        <f>STDEV(H291:H292)</f>
        <v>1.9091883092037507E-2</v>
      </c>
      <c r="R292" s="28"/>
      <c r="S292" s="29">
        <f>J292-(A292-Standards!$A$121)*Standards!$AA$4</f>
        <v>-2.9899356176470588</v>
      </c>
      <c r="T292" s="29">
        <f>S292-(M292-Standards!$N$121)*Standards!$AA$55</f>
        <v>-2.9990587235294117</v>
      </c>
      <c r="U292" s="29"/>
      <c r="V292" s="28"/>
      <c r="W292" s="29">
        <f>P292-(A292-Standards!$A$121)*Standards!$AL$5</f>
        <v>24.150867235294118</v>
      </c>
      <c r="X292" s="139">
        <f>W292-(M292-Standards!$N$121)*Standards!$AL$54</f>
        <v>24.17272467647059</v>
      </c>
      <c r="Y292" s="78"/>
      <c r="Z292" s="19">
        <f>(T292*Standards!$O$156)+Standards!$O$157</f>
        <v>-2.5116383253303876</v>
      </c>
      <c r="AA292" s="20">
        <f>(X292*Standards!$T$156)+Standards!$T$157</f>
        <v>25.543165651418114</v>
      </c>
    </row>
    <row r="293" spans="1:27" ht="24.95" customHeight="1" x14ac:dyDescent="0.25">
      <c r="A293" s="121">
        <v>154</v>
      </c>
      <c r="B293" s="76" t="s">
        <v>1440</v>
      </c>
      <c r="C293" s="76" t="s">
        <v>722</v>
      </c>
      <c r="D293" s="76">
        <v>6</v>
      </c>
      <c r="E293" s="76">
        <v>15875</v>
      </c>
      <c r="F293" s="76">
        <v>186.024</v>
      </c>
      <c r="G293" s="76">
        <v>-2.544</v>
      </c>
      <c r="H293" s="76">
        <v>24.138000000000002</v>
      </c>
      <c r="Z293" s="33"/>
      <c r="AA293" s="34"/>
    </row>
    <row r="294" spans="1:27" ht="24.95" customHeight="1" x14ac:dyDescent="0.25">
      <c r="A294" s="121">
        <v>154</v>
      </c>
      <c r="B294" s="76" t="s">
        <v>1440</v>
      </c>
      <c r="C294" s="76" t="s">
        <v>722</v>
      </c>
      <c r="D294" s="76">
        <v>7</v>
      </c>
      <c r="E294" s="76">
        <v>14707</v>
      </c>
      <c r="F294" s="76">
        <v>171.97300000000001</v>
      </c>
      <c r="G294" s="76">
        <v>-2.496</v>
      </c>
      <c r="H294" s="76">
        <v>24.225999999999999</v>
      </c>
      <c r="J294" s="31">
        <f>AVERAGE(G293:G294)</f>
        <v>-2.52</v>
      </c>
      <c r="K294" s="31">
        <f>STDEV(G293:G294)</f>
        <v>3.3941125496954314E-2</v>
      </c>
      <c r="L294" s="26"/>
      <c r="M294" s="27">
        <f>AVERAGE(E293:E294)</f>
        <v>15291</v>
      </c>
      <c r="N294" s="27">
        <f>STDEV(E293:E294)</f>
        <v>825.90072042588747</v>
      </c>
      <c r="O294" s="28"/>
      <c r="P294" s="29">
        <f>AVERAGE(H293:H294)</f>
        <v>24.182000000000002</v>
      </c>
      <c r="Q294" s="29">
        <f>STDEV(H293:H294)</f>
        <v>6.2225396744414352E-2</v>
      </c>
      <c r="R294" s="28"/>
      <c r="S294" s="29">
        <f>J294-(A294-Standards!$A$121)*Standards!$AA$4</f>
        <v>-2.4822126176470589</v>
      </c>
      <c r="T294" s="29">
        <f>S294-(M294-Standards!$N$121)*Standards!$AA$55</f>
        <v>-2.4940333235294116</v>
      </c>
      <c r="U294" s="29"/>
      <c r="V294" s="28"/>
      <c r="W294" s="29">
        <f>P294-(A294-Standards!$A$121)*Standards!$AL$5</f>
        <v>24.234369235294121</v>
      </c>
      <c r="X294" s="139">
        <f>W294-(M294-Standards!$N$121)*Standards!$AL$54</f>
        <v>24.262689676470593</v>
      </c>
      <c r="Y294" s="78"/>
      <c r="Z294" s="19">
        <f>(T294*Standards!$O$156)+Standards!$O$157</f>
        <v>-2.0034514305850819</v>
      </c>
      <c r="AA294" s="20">
        <f>(X294*Standards!$T$156)+Standards!$T$157</f>
        <v>25.632642361519984</v>
      </c>
    </row>
    <row r="295" spans="1:27" ht="24.95" customHeight="1" x14ac:dyDescent="0.25">
      <c r="A295" s="121">
        <v>155</v>
      </c>
      <c r="B295" s="76" t="s">
        <v>1445</v>
      </c>
      <c r="C295" s="76" t="s">
        <v>601</v>
      </c>
      <c r="D295" s="76">
        <v>6</v>
      </c>
      <c r="E295" s="76">
        <v>16710</v>
      </c>
      <c r="F295" s="76">
        <v>185.75700000000001</v>
      </c>
      <c r="G295" s="76">
        <v>-2.2970000000000002</v>
      </c>
      <c r="H295" s="76">
        <v>24.047000000000001</v>
      </c>
      <c r="Z295" s="33"/>
      <c r="AA295" s="34"/>
    </row>
    <row r="296" spans="1:27" ht="24.95" customHeight="1" x14ac:dyDescent="0.25">
      <c r="A296" s="121">
        <v>155</v>
      </c>
      <c r="B296" s="76" t="s">
        <v>1445</v>
      </c>
      <c r="C296" s="76" t="s">
        <v>601</v>
      </c>
      <c r="D296" s="76">
        <v>7</v>
      </c>
      <c r="E296" s="76">
        <v>15578</v>
      </c>
      <c r="F296" s="76">
        <v>172.81700000000001</v>
      </c>
      <c r="G296" s="76">
        <v>-2.2549999999999999</v>
      </c>
      <c r="H296" s="76">
        <v>24.113</v>
      </c>
      <c r="J296" s="31">
        <f>AVERAGE(G295:G296)</f>
        <v>-2.2759999999999998</v>
      </c>
      <c r="K296" s="31">
        <f>STDEV(G295:G296)</f>
        <v>2.9698484809835179E-2</v>
      </c>
      <c r="L296" s="26"/>
      <c r="M296" s="27">
        <f>AVERAGE(E295:E296)</f>
        <v>16144</v>
      </c>
      <c r="N296" s="27">
        <f>STDEV(E295:E296)</f>
        <v>800.44487630317178</v>
      </c>
      <c r="O296" s="28"/>
      <c r="P296" s="29">
        <f>AVERAGE(H295:H296)</f>
        <v>24.08</v>
      </c>
      <c r="Q296" s="29">
        <f>STDEV(H295:H296)</f>
        <v>4.6669047558311395E-2</v>
      </c>
      <c r="R296" s="28"/>
      <c r="S296" s="29">
        <f>J296-(A296-Standards!$A$121)*Standards!$AA$4</f>
        <v>-2.2374896176470584</v>
      </c>
      <c r="T296" s="29">
        <f>S296-(M296-Standards!$N$121)*Standards!$AA$55</f>
        <v>-2.2574991235294113</v>
      </c>
      <c r="U296" s="29"/>
      <c r="V296" s="28"/>
      <c r="W296" s="29">
        <f>P296-(A296-Standards!$A$121)*Standards!$AL$5</f>
        <v>24.133371235294117</v>
      </c>
      <c r="X296" s="139">
        <f>W296-(M296-Standards!$N$121)*Standards!$AL$54</f>
        <v>24.181310676470588</v>
      </c>
      <c r="Y296" s="78"/>
      <c r="Z296" s="19">
        <f>(T296*Standards!$O$156)+Standards!$O$157</f>
        <v>-1.7654365097532483</v>
      </c>
      <c r="AA296" s="20">
        <f>(X296*Standards!$T$156)+Standards!$T$157</f>
        <v>25.551705050439224</v>
      </c>
    </row>
    <row r="297" spans="1:27" ht="24.95" customHeight="1" x14ac:dyDescent="0.25">
      <c r="A297" s="121">
        <v>156</v>
      </c>
      <c r="B297" s="76" t="s">
        <v>1449</v>
      </c>
      <c r="C297" s="76" t="s">
        <v>420</v>
      </c>
      <c r="D297" s="76">
        <v>6</v>
      </c>
      <c r="E297" s="76">
        <v>12302</v>
      </c>
      <c r="F297" s="76">
        <v>144.15100000000001</v>
      </c>
      <c r="G297" s="76">
        <v>-2.496</v>
      </c>
      <c r="H297" s="76">
        <v>23.870999999999999</v>
      </c>
      <c r="Z297" s="33"/>
      <c r="AA297" s="34"/>
    </row>
    <row r="298" spans="1:27" ht="24.95" customHeight="1" x14ac:dyDescent="0.25">
      <c r="A298" s="121">
        <v>156</v>
      </c>
      <c r="B298" s="76" t="s">
        <v>1449</v>
      </c>
      <c r="C298" s="76" t="s">
        <v>420</v>
      </c>
      <c r="D298" s="76">
        <v>7</v>
      </c>
      <c r="E298" s="76">
        <v>11426</v>
      </c>
      <c r="F298" s="76">
        <v>133.38900000000001</v>
      </c>
      <c r="G298" s="76">
        <v>-2.4430000000000001</v>
      </c>
      <c r="H298" s="76">
        <v>23.917000000000002</v>
      </c>
      <c r="J298" s="31">
        <f>AVERAGE(G297:G298)</f>
        <v>-2.4695</v>
      </c>
      <c r="K298" s="31">
        <f>STDEV(G297:G298)</f>
        <v>3.7476659402886976E-2</v>
      </c>
      <c r="L298" s="26"/>
      <c r="M298" s="27">
        <f>AVERAGE(E297:E298)</f>
        <v>11864</v>
      </c>
      <c r="N298" s="27">
        <f>STDEV(E297:E298)</f>
        <v>619.42554031941563</v>
      </c>
      <c r="O298" s="28"/>
      <c r="P298" s="29">
        <f>AVERAGE(H297:H298)</f>
        <v>23.893999999999998</v>
      </c>
      <c r="Q298" s="29">
        <f>STDEV(H297:H298)</f>
        <v>3.2526911934583257E-2</v>
      </c>
      <c r="R298" s="28"/>
      <c r="S298" s="29">
        <f>J298-(A298-Standards!$A$121)*Standards!$AA$4</f>
        <v>-2.4302666176470589</v>
      </c>
      <c r="T298" s="29">
        <f>S298-(M298-Standards!$N$121)*Standards!$AA$55</f>
        <v>-2.4091881235294119</v>
      </c>
      <c r="U298" s="29"/>
      <c r="V298" s="28"/>
      <c r="W298" s="29">
        <f>P298-(A298-Standards!$A$121)*Standards!$AL$5</f>
        <v>23.948373235294117</v>
      </c>
      <c r="X298" s="139">
        <f>W298-(M298-Standards!$N$121)*Standards!$AL$54</f>
        <v>23.897872676470588</v>
      </c>
      <c r="Y298" s="78"/>
      <c r="Z298" s="19">
        <f>(T298*Standards!$O$156)+Standards!$O$157</f>
        <v>-1.9180750936284769</v>
      </c>
      <c r="AA298" s="20">
        <f>(X298*Standards!$T$156)+Standards!$T$157</f>
        <v>25.269805425497822</v>
      </c>
    </row>
    <row r="299" spans="1:27" ht="24.95" customHeight="1" x14ac:dyDescent="0.25">
      <c r="A299" s="121">
        <v>157</v>
      </c>
      <c r="B299" s="76" t="s">
        <v>1454</v>
      </c>
      <c r="C299" s="76" t="s">
        <v>510</v>
      </c>
      <c r="D299" s="76">
        <v>6</v>
      </c>
      <c r="E299" s="76">
        <v>18595</v>
      </c>
      <c r="F299" s="76">
        <v>209.96299999999999</v>
      </c>
      <c r="G299" s="76">
        <v>-2.3969999999999998</v>
      </c>
      <c r="H299" s="76">
        <v>23.742000000000001</v>
      </c>
      <c r="Z299" s="33"/>
      <c r="AA299" s="34"/>
    </row>
    <row r="300" spans="1:27" ht="24.95" customHeight="1" x14ac:dyDescent="0.25">
      <c r="A300" s="121">
        <v>157</v>
      </c>
      <c r="B300" s="76" t="s">
        <v>1454</v>
      </c>
      <c r="C300" s="76" t="s">
        <v>510</v>
      </c>
      <c r="D300" s="76">
        <v>7</v>
      </c>
      <c r="E300" s="76">
        <v>17095</v>
      </c>
      <c r="F300" s="76">
        <v>193.935</v>
      </c>
      <c r="G300" s="76">
        <v>-2.3330000000000002</v>
      </c>
      <c r="H300" s="76">
        <v>23.797999999999998</v>
      </c>
      <c r="J300" s="31">
        <f>AVERAGE(G299:G300)</f>
        <v>-2.3650000000000002</v>
      </c>
      <c r="K300" s="31">
        <f>STDEV(G299:G300)</f>
        <v>4.525483399593877E-2</v>
      </c>
      <c r="L300" s="26"/>
      <c r="M300" s="27">
        <f>AVERAGE(E299:E300)</f>
        <v>17845</v>
      </c>
      <c r="N300" s="27">
        <f>STDEV(E299:E300)</f>
        <v>1060.6601717798212</v>
      </c>
      <c r="O300" s="28"/>
      <c r="P300" s="29">
        <f>AVERAGE(H299:H300)</f>
        <v>23.77</v>
      </c>
      <c r="Q300" s="29">
        <f>STDEV(H299:H300)</f>
        <v>3.9597979746444814E-2</v>
      </c>
      <c r="R300" s="28"/>
      <c r="S300" s="29">
        <f>J300-(A300-Standards!$A$121)*Standards!$AA$4</f>
        <v>-2.3250436176470592</v>
      </c>
      <c r="T300" s="29">
        <f>S300-(M300-Standards!$N$121)*Standards!$AA$55</f>
        <v>-2.3613827235294123</v>
      </c>
      <c r="U300" s="29"/>
      <c r="V300" s="28"/>
      <c r="W300" s="29">
        <f>P300-(A300-Standards!$A$121)*Standards!$AL$5</f>
        <v>23.825375235294118</v>
      </c>
      <c r="X300" s="139">
        <f>W300-(M300-Standards!$N$121)*Standards!$AL$54</f>
        <v>23.912437676470589</v>
      </c>
      <c r="Y300" s="78"/>
      <c r="Z300" s="19">
        <f>(T300*Standards!$O$156)+Standards!$O$157</f>
        <v>-1.8699704284412269</v>
      </c>
      <c r="AA300" s="20">
        <f>(X300*Standards!$T$156)+Standards!$T$157</f>
        <v>25.284291373173406</v>
      </c>
    </row>
    <row r="301" spans="1:27" ht="24.95" customHeight="1" x14ac:dyDescent="0.25">
      <c r="A301" s="121">
        <v>158</v>
      </c>
      <c r="B301" s="76" t="s">
        <v>1458</v>
      </c>
      <c r="C301" s="76" t="s">
        <v>433</v>
      </c>
      <c r="D301" s="76">
        <v>6</v>
      </c>
      <c r="E301" s="76">
        <v>13127</v>
      </c>
      <c r="F301" s="76">
        <v>152.86500000000001</v>
      </c>
      <c r="G301" s="76">
        <v>-2.6280000000000001</v>
      </c>
      <c r="H301" s="76">
        <v>23.725999999999999</v>
      </c>
      <c r="Z301" s="33"/>
      <c r="AA301" s="34"/>
    </row>
    <row r="302" spans="1:27" ht="24.95" customHeight="1" x14ac:dyDescent="0.25">
      <c r="A302" s="121">
        <v>158</v>
      </c>
      <c r="B302" s="76" t="s">
        <v>1458</v>
      </c>
      <c r="C302" s="76" t="s">
        <v>433</v>
      </c>
      <c r="D302" s="76">
        <v>7</v>
      </c>
      <c r="E302" s="76">
        <v>12182</v>
      </c>
      <c r="F302" s="76">
        <v>141.44499999999999</v>
      </c>
      <c r="G302" s="76">
        <v>-2.605</v>
      </c>
      <c r="H302" s="76">
        <v>23.786000000000001</v>
      </c>
      <c r="J302" s="31">
        <f>AVERAGE(G301:G302)</f>
        <v>-2.6165000000000003</v>
      </c>
      <c r="K302" s="31">
        <f>STDEV(G301:G302)</f>
        <v>1.6263455967290685E-2</v>
      </c>
      <c r="L302" s="26"/>
      <c r="M302" s="27">
        <f>AVERAGE(E301:E302)</f>
        <v>12654.5</v>
      </c>
      <c r="N302" s="27">
        <f>STDEV(E301:E302)</f>
        <v>668.21590822128746</v>
      </c>
      <c r="O302" s="28"/>
      <c r="P302" s="29">
        <f>AVERAGE(H301:H302)</f>
        <v>23.756</v>
      </c>
      <c r="Q302" s="29">
        <f>STDEV(H301:H302)</f>
        <v>4.2426406871194457E-2</v>
      </c>
      <c r="R302" s="28"/>
      <c r="S302" s="29">
        <f>J302-(A302-Standards!$A$121)*Standards!$AA$4</f>
        <v>-2.5758206176470591</v>
      </c>
      <c r="T302" s="29">
        <f>S302-(M302-Standards!$N$121)*Standards!$AA$55</f>
        <v>-2.5623309235294118</v>
      </c>
      <c r="U302" s="29"/>
      <c r="V302" s="28"/>
      <c r="W302" s="29">
        <f>P302-(A302-Standards!$A$121)*Standards!$AL$5</f>
        <v>23.812377235294118</v>
      </c>
      <c r="X302" s="139">
        <f>W302-(M302-Standards!$N$121)*Standards!$AL$54</f>
        <v>23.78005817647059</v>
      </c>
      <c r="Y302" s="78"/>
      <c r="Z302" s="19">
        <f>(T302*Standards!$O$156)+Standards!$O$157</f>
        <v>-2.0721765783945925</v>
      </c>
      <c r="AA302" s="20">
        <f>(X302*Standards!$T$156)+Standards!$T$157</f>
        <v>25.152630370061861</v>
      </c>
    </row>
    <row r="303" spans="1:27" ht="24.95" customHeight="1" x14ac:dyDescent="0.25">
      <c r="A303" s="121">
        <v>159</v>
      </c>
      <c r="B303" s="76" t="s">
        <v>1462</v>
      </c>
      <c r="C303" s="76" t="s">
        <v>412</v>
      </c>
      <c r="D303" s="76">
        <v>6</v>
      </c>
      <c r="E303" s="76">
        <v>13237</v>
      </c>
      <c r="F303" s="76">
        <v>153.13300000000001</v>
      </c>
      <c r="G303" s="76">
        <v>-2.1920000000000002</v>
      </c>
      <c r="H303" s="76">
        <v>24.373000000000001</v>
      </c>
      <c r="Z303" s="33"/>
      <c r="AA303" s="34"/>
    </row>
    <row r="304" spans="1:27" ht="24.95" customHeight="1" x14ac:dyDescent="0.25">
      <c r="A304" s="121">
        <v>159</v>
      </c>
      <c r="B304" s="76" t="s">
        <v>1462</v>
      </c>
      <c r="C304" s="76" t="s">
        <v>412</v>
      </c>
      <c r="D304" s="76">
        <v>7</v>
      </c>
      <c r="E304" s="76">
        <v>12160</v>
      </c>
      <c r="F304" s="76">
        <v>141.17599999999999</v>
      </c>
      <c r="G304" s="76">
        <v>-2.1309999999999998</v>
      </c>
      <c r="H304" s="76">
        <v>24.422999999999998</v>
      </c>
      <c r="J304" s="31">
        <f>AVERAGE(G303:G304)</f>
        <v>-2.1615000000000002</v>
      </c>
      <c r="K304" s="31">
        <f>STDEV(G303:G304)</f>
        <v>4.3133513652379669E-2</v>
      </c>
      <c r="L304" s="26"/>
      <c r="M304" s="27">
        <f>AVERAGE(E303:E304)</f>
        <v>12698.5</v>
      </c>
      <c r="N304" s="27">
        <f>STDEV(E303:E304)</f>
        <v>761.55400333791169</v>
      </c>
      <c r="O304" s="28"/>
      <c r="P304" s="29">
        <f>AVERAGE(H303:H304)</f>
        <v>24.398</v>
      </c>
      <c r="Q304" s="29">
        <f>STDEV(H303:H304)</f>
        <v>3.5355339059325371E-2</v>
      </c>
      <c r="R304" s="28"/>
      <c r="S304" s="29">
        <f>J304-(A304-Standards!$A$121)*Standards!$AA$4</f>
        <v>-2.1200976176470592</v>
      </c>
      <c r="T304" s="29">
        <f>S304-(M304-Standards!$N$121)*Standards!$AA$55</f>
        <v>-2.1070303235294121</v>
      </c>
      <c r="U304" s="29"/>
      <c r="V304" s="28"/>
      <c r="W304" s="29">
        <f>P304-(A304-Standards!$A$121)*Standards!$AL$5</f>
        <v>24.455379235294117</v>
      </c>
      <c r="X304" s="139">
        <f>W304-(M304-Standards!$N$121)*Standards!$AL$54</f>
        <v>24.424072176470588</v>
      </c>
      <c r="Y304" s="78"/>
      <c r="Z304" s="19">
        <f>(T304*Standards!$O$156)+Standards!$O$157</f>
        <v>-1.6140257644163758</v>
      </c>
      <c r="AA304" s="20">
        <f>(X304*Standards!$T$156)+Standards!$T$157</f>
        <v>25.793148949282049</v>
      </c>
    </row>
    <row r="305" spans="1:27" s="117" customFormat="1" ht="24.95" customHeight="1" x14ac:dyDescent="0.25">
      <c r="A305" s="120">
        <v>160</v>
      </c>
      <c r="B305" s="117" t="s">
        <v>1466</v>
      </c>
      <c r="C305" s="117" t="s">
        <v>1467</v>
      </c>
      <c r="D305" s="117">
        <v>6</v>
      </c>
      <c r="E305" s="117">
        <v>12090</v>
      </c>
      <c r="F305" s="117">
        <v>139.44499999999999</v>
      </c>
      <c r="G305" s="117">
        <v>3.879</v>
      </c>
      <c r="H305" s="117">
        <v>25.161000000000001</v>
      </c>
      <c r="S305" s="76"/>
      <c r="W305" s="76"/>
      <c r="Y305" s="186"/>
      <c r="Z305" s="72"/>
      <c r="AA305" s="73"/>
    </row>
    <row r="306" spans="1:27" s="117" customFormat="1" ht="24.95" customHeight="1" x14ac:dyDescent="0.25">
      <c r="A306" s="120">
        <v>160</v>
      </c>
      <c r="B306" s="117" t="s">
        <v>1466</v>
      </c>
      <c r="C306" s="117" t="s">
        <v>1467</v>
      </c>
      <c r="D306" s="117">
        <v>7</v>
      </c>
      <c r="E306" s="117">
        <v>11317</v>
      </c>
      <c r="F306" s="117">
        <v>129.435</v>
      </c>
      <c r="G306" s="117">
        <v>3.8940000000000001</v>
      </c>
      <c r="H306" s="117">
        <v>25.222000000000001</v>
      </c>
      <c r="J306" s="66">
        <f>AVERAGE(G305:G306)</f>
        <v>3.8864999999999998</v>
      </c>
      <c r="K306" s="66">
        <f>STDEV(G305:G306)</f>
        <v>1.06066017177983E-2</v>
      </c>
      <c r="L306" s="65"/>
      <c r="M306" s="64">
        <f>AVERAGE(E305:E306)</f>
        <v>11703.5</v>
      </c>
      <c r="N306" s="64">
        <f>STDEV(E305:E306)</f>
        <v>546.59354185720122</v>
      </c>
      <c r="O306" s="67"/>
      <c r="P306" s="68">
        <f>AVERAGE(H305:H306)</f>
        <v>25.191500000000001</v>
      </c>
      <c r="Q306" s="68">
        <f>STDEV(H305:H306)</f>
        <v>4.3133513652379357E-2</v>
      </c>
      <c r="R306" s="67"/>
      <c r="S306" s="29">
        <f>J306-(A306-Standards!$A$121)*Standards!$AA$4</f>
        <v>3.9286253823529411</v>
      </c>
      <c r="T306" s="68">
        <f>S306-(M306-Standards!$N$121)*Standards!$AA$55</f>
        <v>3.951244676470588</v>
      </c>
      <c r="U306" s="68"/>
      <c r="V306" s="67"/>
      <c r="W306" s="29">
        <f>P306-(A306-Standards!$A$121)*Standards!$AL$5</f>
        <v>25.249881235294119</v>
      </c>
      <c r="X306" s="68">
        <f>W306-(M306-Standards!$N$121)*Standards!$AL$54</f>
        <v>25.195689176470591</v>
      </c>
      <c r="Y306" s="124"/>
      <c r="Z306" s="69">
        <f>(T306*Standards!$O$156)+Standards!$O$157</f>
        <v>4.4821744658356382</v>
      </c>
      <c r="AA306" s="70">
        <f>(X306*Standards!$T$156)+Standards!$T$157</f>
        <v>26.560577956325606</v>
      </c>
    </row>
    <row r="307" spans="1:27" s="117" customFormat="1" ht="24.95" customHeight="1" x14ac:dyDescent="0.25">
      <c r="A307" s="120">
        <v>161</v>
      </c>
      <c r="B307" s="117" t="s">
        <v>1472</v>
      </c>
      <c r="C307" s="117" t="s">
        <v>340</v>
      </c>
      <c r="D307" s="117">
        <v>6</v>
      </c>
      <c r="E307" s="117">
        <v>13892</v>
      </c>
      <c r="F307" s="117">
        <v>162.37200000000001</v>
      </c>
      <c r="G307" s="117">
        <v>3.9220000000000002</v>
      </c>
      <c r="H307" s="117">
        <v>25.202999999999999</v>
      </c>
      <c r="S307" s="76"/>
      <c r="W307" s="76"/>
      <c r="Y307" s="186"/>
      <c r="Z307" s="72"/>
      <c r="AA307" s="73"/>
    </row>
    <row r="308" spans="1:27" s="117" customFormat="1" ht="24.95" customHeight="1" x14ac:dyDescent="0.25">
      <c r="A308" s="120">
        <v>161</v>
      </c>
      <c r="B308" s="117" t="s">
        <v>1472</v>
      </c>
      <c r="C308" s="117" t="s">
        <v>340</v>
      </c>
      <c r="D308" s="117">
        <v>7</v>
      </c>
      <c r="E308" s="117">
        <v>12853</v>
      </c>
      <c r="F308" s="117">
        <v>150.20099999999999</v>
      </c>
      <c r="G308" s="117">
        <v>3.9420000000000002</v>
      </c>
      <c r="H308" s="117">
        <v>25.241</v>
      </c>
      <c r="J308" s="66">
        <f>AVERAGE(G307:G308)</f>
        <v>3.9320000000000004</v>
      </c>
      <c r="K308" s="66">
        <f>STDEV(G307:G308)</f>
        <v>1.4142135623730963E-2</v>
      </c>
      <c r="L308" s="65"/>
      <c r="M308" s="64">
        <f>AVERAGE(E307:E308)</f>
        <v>13372.5</v>
      </c>
      <c r="N308" s="64">
        <f>STDEV(E307:E308)</f>
        <v>734.6839456528229</v>
      </c>
      <c r="O308" s="67"/>
      <c r="P308" s="68">
        <f>AVERAGE(H307:H308)</f>
        <v>25.222000000000001</v>
      </c>
      <c r="Q308" s="68">
        <f>STDEV(H307:H308)</f>
        <v>2.6870057685088988E-2</v>
      </c>
      <c r="R308" s="67"/>
      <c r="S308" s="29">
        <f>J308-(A308-Standards!$A$121)*Standards!$AA$4</f>
        <v>3.9748483823529415</v>
      </c>
      <c r="T308" s="68">
        <f>S308-(M308-Standards!$N$121)*Standards!$AA$55</f>
        <v>3.9814452764705885</v>
      </c>
      <c r="U308" s="68"/>
      <c r="V308" s="67"/>
      <c r="W308" s="29">
        <f>P308-(A308-Standards!$A$121)*Standards!$AL$5</f>
        <v>25.281383235294118</v>
      </c>
      <c r="X308" s="68">
        <f>W308-(M308-Standards!$N$121)*Standards!$AL$54</f>
        <v>25.265578176470591</v>
      </c>
      <c r="Y308" s="124"/>
      <c r="Z308" s="69">
        <f>(T308*Standards!$O$156)+Standards!$O$157</f>
        <v>4.5125641237289749</v>
      </c>
      <c r="AA308" s="70">
        <f>(X308*Standards!$T$156)+Standards!$T$157</f>
        <v>26.630087630002141</v>
      </c>
    </row>
    <row r="309" spans="1:27" ht="24.95" customHeight="1" x14ac:dyDescent="0.25">
      <c r="A309" s="121">
        <v>162</v>
      </c>
      <c r="B309" s="76" t="s">
        <v>1477</v>
      </c>
      <c r="C309" s="76" t="s">
        <v>340</v>
      </c>
      <c r="D309" s="76">
        <v>6</v>
      </c>
      <c r="E309" s="76">
        <v>13016</v>
      </c>
      <c r="F309" s="76">
        <v>146.18799999999999</v>
      </c>
      <c r="G309" s="76">
        <v>-2.073</v>
      </c>
      <c r="H309" s="76">
        <v>24.158000000000001</v>
      </c>
      <c r="Z309" s="33"/>
      <c r="AA309" s="34"/>
    </row>
    <row r="310" spans="1:27" ht="24.95" customHeight="1" x14ac:dyDescent="0.25">
      <c r="A310" s="121">
        <v>162</v>
      </c>
      <c r="B310" s="76" t="s">
        <v>1477</v>
      </c>
      <c r="C310" s="76" t="s">
        <v>340</v>
      </c>
      <c r="D310" s="76">
        <v>7</v>
      </c>
      <c r="E310" s="76">
        <v>12203</v>
      </c>
      <c r="F310" s="76">
        <v>136.13499999999999</v>
      </c>
      <c r="G310" s="76">
        <v>-2.0139999999999998</v>
      </c>
      <c r="H310" s="76">
        <v>24.218</v>
      </c>
      <c r="J310" s="31">
        <f>AVERAGE(G309:G310)</f>
        <v>-2.0434999999999999</v>
      </c>
      <c r="K310" s="31">
        <f>STDEV(G309:G310)</f>
        <v>4.171930009000642E-2</v>
      </c>
      <c r="L310" s="26"/>
      <c r="M310" s="27">
        <f>AVERAGE(E309:E310)</f>
        <v>12609.5</v>
      </c>
      <c r="N310" s="27">
        <f>STDEV(E309:E310)</f>
        <v>574.87781310466312</v>
      </c>
      <c r="O310" s="28"/>
      <c r="P310" s="29">
        <f>AVERAGE(H309:H310)</f>
        <v>24.188000000000002</v>
      </c>
      <c r="Q310" s="29">
        <f>STDEV(H309:H310)</f>
        <v>4.2426406871191945E-2</v>
      </c>
      <c r="R310" s="28"/>
      <c r="S310" s="29">
        <f>J310-(A310-Standards!$A$121)*Standards!$AA$4</f>
        <v>-1.9999286176470588</v>
      </c>
      <c r="T310" s="29">
        <f>S310-(M310-Standards!$N$121)*Standards!$AA$55</f>
        <v>-1.9860069235294118</v>
      </c>
      <c r="U310" s="29"/>
      <c r="V310" s="28"/>
      <c r="W310" s="29">
        <f>P310-(A310-Standards!$A$121)*Standards!$AL$5</f>
        <v>24.248385235294119</v>
      </c>
      <c r="X310" s="139">
        <f>W310-(M310-Standards!$N$121)*Standards!$AL$54</f>
        <v>24.215031176470589</v>
      </c>
      <c r="Y310" s="78"/>
      <c r="Z310" s="19">
        <f>(T310*Standards!$O$156)+Standards!$O$157</f>
        <v>-1.492244749367392</v>
      </c>
      <c r="AA310" s="20">
        <f>(X310*Standards!$T$156)+Standards!$T$157</f>
        <v>25.585242530603626</v>
      </c>
    </row>
    <row r="311" spans="1:27" ht="24.95" customHeight="1" x14ac:dyDescent="0.25">
      <c r="A311" s="121">
        <v>163</v>
      </c>
      <c r="B311" s="76" t="s">
        <v>1480</v>
      </c>
      <c r="C311" s="76" t="s">
        <v>617</v>
      </c>
      <c r="D311" s="76">
        <v>6</v>
      </c>
      <c r="E311" s="76">
        <v>15823</v>
      </c>
      <c r="F311" s="76">
        <v>185.09299999999999</v>
      </c>
      <c r="G311" s="76">
        <v>-2.14</v>
      </c>
      <c r="H311" s="76">
        <v>24.041</v>
      </c>
      <c r="Z311" s="33"/>
      <c r="AA311" s="34"/>
    </row>
    <row r="312" spans="1:27" ht="24.95" customHeight="1" x14ac:dyDescent="0.25">
      <c r="A312" s="121">
        <v>163</v>
      </c>
      <c r="B312" s="76" t="s">
        <v>1480</v>
      </c>
      <c r="C312" s="76" t="s">
        <v>617</v>
      </c>
      <c r="D312" s="76">
        <v>7</v>
      </c>
      <c r="E312" s="76">
        <v>14670</v>
      </c>
      <c r="F312" s="76">
        <v>171.14500000000001</v>
      </c>
      <c r="G312" s="76">
        <v>-2.1379999999999999</v>
      </c>
      <c r="H312" s="76">
        <v>24.09</v>
      </c>
      <c r="J312" s="31">
        <f>AVERAGE(G311:G312)</f>
        <v>-2.1390000000000002</v>
      </c>
      <c r="K312" s="31">
        <f>STDEV(G311:G312)</f>
        <v>1.4142135623732533E-3</v>
      </c>
      <c r="L312" s="26"/>
      <c r="M312" s="27">
        <f>AVERAGE(E311:E312)</f>
        <v>15246.5</v>
      </c>
      <c r="N312" s="27">
        <f>STDEV(E311:E312)</f>
        <v>815.29411870808929</v>
      </c>
      <c r="O312" s="28"/>
      <c r="P312" s="29">
        <f>AVERAGE(H311:H312)</f>
        <v>24.0655</v>
      </c>
      <c r="Q312" s="29">
        <f>STDEV(H311:H312)</f>
        <v>3.464823227814047E-2</v>
      </c>
      <c r="R312" s="28"/>
      <c r="S312" s="29">
        <f>J312-(A312-Standards!$A$121)*Standards!$AA$4</f>
        <v>-2.0947056176470591</v>
      </c>
      <c r="T312" s="29">
        <f>S312-(M312-Standards!$N$121)*Standards!$AA$55</f>
        <v>-2.106099123529412</v>
      </c>
      <c r="U312" s="29"/>
      <c r="V312" s="28"/>
      <c r="W312" s="29">
        <f>P312-(A312-Standards!$A$121)*Standards!$AL$5</f>
        <v>24.126887235294117</v>
      </c>
      <c r="X312" s="139">
        <f>W312-(M312-Standards!$N$121)*Standards!$AL$54</f>
        <v>24.154184176470586</v>
      </c>
      <c r="Y312" s="78"/>
      <c r="Z312" s="19">
        <f>(T312*Standards!$O$156)+Standards!$O$157</f>
        <v>-1.6130887350384735</v>
      </c>
      <c r="AA312" s="20">
        <f>(X312*Standards!$T$156)+Standards!$T$157</f>
        <v>25.524725780983566</v>
      </c>
    </row>
    <row r="313" spans="1:27" ht="24.95" customHeight="1" x14ac:dyDescent="0.25">
      <c r="A313" s="121">
        <v>164</v>
      </c>
      <c r="B313" s="76" t="s">
        <v>1483</v>
      </c>
      <c r="C313" s="76" t="s">
        <v>436</v>
      </c>
      <c r="D313" s="76">
        <v>6</v>
      </c>
      <c r="E313" s="76">
        <v>16330</v>
      </c>
      <c r="F313" s="76">
        <v>181.41200000000001</v>
      </c>
      <c r="G313" s="76">
        <v>-2.4470000000000001</v>
      </c>
      <c r="H313" s="76">
        <v>23.975999999999999</v>
      </c>
      <c r="Z313" s="33"/>
      <c r="AA313" s="34"/>
    </row>
    <row r="314" spans="1:27" ht="24.95" customHeight="1" x14ac:dyDescent="0.25">
      <c r="A314" s="121">
        <v>164</v>
      </c>
      <c r="B314" s="76" t="s">
        <v>1483</v>
      </c>
      <c r="C314" s="76" t="s">
        <v>436</v>
      </c>
      <c r="D314" s="76">
        <v>7</v>
      </c>
      <c r="E314" s="76">
        <v>15201</v>
      </c>
      <c r="F314" s="76">
        <v>168.46799999999999</v>
      </c>
      <c r="G314" s="76">
        <v>-2.4390000000000001</v>
      </c>
      <c r="H314" s="76">
        <v>23.966999999999999</v>
      </c>
      <c r="J314" s="31">
        <f>AVERAGE(G313:G314)</f>
        <v>-2.4430000000000001</v>
      </c>
      <c r="K314" s="31">
        <f>STDEV(G313:G314)</f>
        <v>5.6568542494923853E-3</v>
      </c>
      <c r="L314" s="26"/>
      <c r="M314" s="27">
        <f>AVERAGE(E313:E314)</f>
        <v>15765.5</v>
      </c>
      <c r="N314" s="27">
        <f>STDEV(E313:E314)</f>
        <v>798.32355595961212</v>
      </c>
      <c r="O314" s="28"/>
      <c r="P314" s="29">
        <f>AVERAGE(H313:H314)</f>
        <v>23.971499999999999</v>
      </c>
      <c r="Q314" s="29">
        <f>STDEV(H313:H314)</f>
        <v>6.3639610306791689E-3</v>
      </c>
      <c r="R314" s="28"/>
      <c r="S314" s="29">
        <f>J314-(A314-Standards!$A$121)*Standards!$AA$4</f>
        <v>-2.3979826176470587</v>
      </c>
      <c r="T314" s="29">
        <f>S314-(M314-Standards!$N$121)*Standards!$AA$55</f>
        <v>-2.4143585235294114</v>
      </c>
      <c r="U314" s="29"/>
      <c r="V314" s="28"/>
      <c r="W314" s="29">
        <f>P314-(A314-Standards!$A$121)*Standards!$AL$5</f>
        <v>24.033889235294115</v>
      </c>
      <c r="X314" s="139">
        <f>W314-(M314-Standards!$N$121)*Standards!$AL$54</f>
        <v>24.073123176470585</v>
      </c>
      <c r="Y314" s="78"/>
      <c r="Z314" s="19">
        <f>(T314*Standards!$O$156)+Standards!$O$157</f>
        <v>-1.9232778606983922</v>
      </c>
      <c r="AA314" s="20">
        <f>(X314*Standards!$T$156)+Standards!$T$157</f>
        <v>25.444104743940631</v>
      </c>
    </row>
    <row r="315" spans="1:27" ht="24.95" customHeight="1" x14ac:dyDescent="0.25">
      <c r="A315" s="121">
        <v>165</v>
      </c>
      <c r="B315" s="76" t="s">
        <v>1487</v>
      </c>
      <c r="C315" s="76" t="s">
        <v>722</v>
      </c>
      <c r="D315" s="76">
        <v>6</v>
      </c>
      <c r="E315" s="76">
        <v>11875</v>
      </c>
      <c r="F315" s="76">
        <v>139.43600000000001</v>
      </c>
      <c r="G315" s="76">
        <v>-2.556</v>
      </c>
      <c r="H315" s="76">
        <v>24.132000000000001</v>
      </c>
      <c r="Z315" s="33"/>
      <c r="AA315" s="34"/>
    </row>
    <row r="316" spans="1:27" ht="24.95" customHeight="1" x14ac:dyDescent="0.25">
      <c r="A316" s="121">
        <v>165</v>
      </c>
      <c r="B316" s="76" t="s">
        <v>1487</v>
      </c>
      <c r="C316" s="76" t="s">
        <v>722</v>
      </c>
      <c r="D316" s="76">
        <v>7</v>
      </c>
      <c r="E316" s="76">
        <v>11024</v>
      </c>
      <c r="F316" s="76">
        <v>128.94399999999999</v>
      </c>
      <c r="G316" s="76">
        <v>-2.5099999999999998</v>
      </c>
      <c r="H316" s="76">
        <v>24.097999999999999</v>
      </c>
      <c r="J316" s="31">
        <f>AVERAGE(G315:G316)</f>
        <v>-2.5329999999999999</v>
      </c>
      <c r="K316" s="31">
        <f>STDEV(G315:G316)</f>
        <v>3.2526911934581369E-2</v>
      </c>
      <c r="L316" s="26"/>
      <c r="M316" s="27">
        <f>AVERAGE(E315:E316)</f>
        <v>11449.5</v>
      </c>
      <c r="N316" s="27">
        <f>STDEV(E315:E316)</f>
        <v>601.74787078975191</v>
      </c>
      <c r="O316" s="28"/>
      <c r="P316" s="29">
        <f>AVERAGE(H315:H316)</f>
        <v>24.115000000000002</v>
      </c>
      <c r="Q316" s="29">
        <f>STDEV(H315:H316)</f>
        <v>2.4041630560344366E-2</v>
      </c>
      <c r="R316" s="28"/>
      <c r="S316" s="29">
        <f>J316-(A316-Standards!$A$121)*Standards!$AA$4</f>
        <v>-2.4872596176470587</v>
      </c>
      <c r="T316" s="29">
        <f>S316-(M316-Standards!$N$121)*Standards!$AA$55</f>
        <v>-2.4622019235294115</v>
      </c>
      <c r="U316" s="29"/>
      <c r="V316" s="28"/>
      <c r="W316" s="29">
        <f>P316-(A316-Standards!$A$121)*Standards!$AL$5</f>
        <v>24.178391235294118</v>
      </c>
      <c r="X316" s="139">
        <f>W316-(M316-Standards!$N$121)*Standards!$AL$54</f>
        <v>24.118357176470589</v>
      </c>
      <c r="Y316" s="78"/>
      <c r="Z316" s="19">
        <f>(T316*Standards!$O$156)+Standards!$O$157</f>
        <v>-1.9714207637683323</v>
      </c>
      <c r="AA316" s="20">
        <f>(X316*Standards!$T$156)+Standards!$T$157</f>
        <v>25.489093233961729</v>
      </c>
    </row>
    <row r="317" spans="1:27" ht="24.95" customHeight="1" x14ac:dyDescent="0.25">
      <c r="A317" s="121">
        <v>166</v>
      </c>
      <c r="B317" s="76" t="s">
        <v>1493</v>
      </c>
      <c r="C317" s="76" t="s">
        <v>269</v>
      </c>
      <c r="D317" s="76">
        <v>6</v>
      </c>
      <c r="E317" s="76">
        <v>12879</v>
      </c>
      <c r="F317" s="76">
        <v>143.964</v>
      </c>
      <c r="G317" s="76">
        <v>-2.6309999999999998</v>
      </c>
      <c r="H317" s="76">
        <v>24.22</v>
      </c>
      <c r="Z317" s="33"/>
      <c r="AA317" s="34"/>
    </row>
    <row r="318" spans="1:27" ht="24.95" customHeight="1" x14ac:dyDescent="0.25">
      <c r="A318" s="121">
        <v>166</v>
      </c>
      <c r="B318" s="76" t="s">
        <v>1493</v>
      </c>
      <c r="C318" s="76" t="s">
        <v>269</v>
      </c>
      <c r="D318" s="76">
        <v>7</v>
      </c>
      <c r="E318" s="76">
        <v>11955</v>
      </c>
      <c r="F318" s="76">
        <v>133.601</v>
      </c>
      <c r="G318" s="76">
        <v>-2.569</v>
      </c>
      <c r="H318" s="76">
        <v>24.161999999999999</v>
      </c>
      <c r="J318" s="31">
        <f>AVERAGE(G317:G318)</f>
        <v>-2.5999999999999996</v>
      </c>
      <c r="K318" s="31">
        <f>STDEV(G317:G318)</f>
        <v>4.3840620433565826E-2</v>
      </c>
      <c r="L318" s="26"/>
      <c r="M318" s="27">
        <f>AVERAGE(E317:E318)</f>
        <v>12417</v>
      </c>
      <c r="N318" s="27">
        <f>STDEV(E317:E318)</f>
        <v>653.36666581636996</v>
      </c>
      <c r="O318" s="28"/>
      <c r="P318" s="29">
        <f>AVERAGE(H317:H318)</f>
        <v>24.190999999999999</v>
      </c>
      <c r="Q318" s="29">
        <f>STDEV(H317:H318)</f>
        <v>4.1012193308819639E-2</v>
      </c>
      <c r="R318" s="28"/>
      <c r="S318" s="29">
        <f>J318-(A318-Standards!$A$121)*Standards!$AA$4</f>
        <v>-2.5535366176470586</v>
      </c>
      <c r="T318" s="29">
        <f>S318-(M318-Standards!$N$121)*Standards!$AA$55</f>
        <v>-2.5377669235294116</v>
      </c>
      <c r="U318" s="29"/>
      <c r="V318" s="28"/>
      <c r="W318" s="29">
        <f>P318-(A318-Standards!$A$121)*Standards!$AL$5</f>
        <v>24.255393235294118</v>
      </c>
      <c r="X318" s="139">
        <f>W318-(M318-Standards!$N$121)*Standards!$AL$54</f>
        <v>24.21761167647059</v>
      </c>
      <c r="Y318" s="78"/>
      <c r="Z318" s="19">
        <f>(T318*Standards!$O$156)+Standards!$O$157</f>
        <v>-2.0474588060161656</v>
      </c>
      <c r="AA318" s="20">
        <f>(X318*Standards!$T$156)+Standards!$T$157</f>
        <v>25.587809024800457</v>
      </c>
    </row>
    <row r="319" spans="1:27" ht="24.95" customHeight="1" x14ac:dyDescent="0.25">
      <c r="A319" s="121">
        <v>167</v>
      </c>
      <c r="B319" s="76" t="s">
        <v>1497</v>
      </c>
      <c r="C319" s="76" t="s">
        <v>1498</v>
      </c>
      <c r="D319" s="76">
        <v>6</v>
      </c>
      <c r="E319" s="76">
        <v>11266</v>
      </c>
      <c r="F319" s="76">
        <v>132.06399999999999</v>
      </c>
      <c r="G319" s="76">
        <v>-2.2349999999999999</v>
      </c>
      <c r="H319" s="76">
        <v>23.928999999999998</v>
      </c>
      <c r="Z319" s="33"/>
      <c r="AA319" s="34"/>
    </row>
    <row r="320" spans="1:27" ht="24.95" customHeight="1" x14ac:dyDescent="0.25">
      <c r="A320" s="121">
        <v>167</v>
      </c>
      <c r="B320" s="76" t="s">
        <v>1497</v>
      </c>
      <c r="C320" s="76" t="s">
        <v>1498</v>
      </c>
      <c r="D320" s="76">
        <v>7</v>
      </c>
      <c r="E320" s="76">
        <v>10448</v>
      </c>
      <c r="F320" s="76">
        <v>122.012</v>
      </c>
      <c r="G320" s="76">
        <v>-2.202</v>
      </c>
      <c r="H320" s="76">
        <v>24.024999999999999</v>
      </c>
      <c r="J320" s="31">
        <f>AVERAGE(G319:G320)</f>
        <v>-2.2184999999999997</v>
      </c>
      <c r="K320" s="31">
        <f>STDEV(G319:G320)</f>
        <v>2.333452377915601E-2</v>
      </c>
      <c r="L320" s="26"/>
      <c r="M320" s="27">
        <f>AVERAGE(E319:E320)</f>
        <v>10857</v>
      </c>
      <c r="N320" s="27">
        <f>STDEV(E319:E320)</f>
        <v>578.41334701059588</v>
      </c>
      <c r="O320" s="28"/>
      <c r="P320" s="29">
        <f>AVERAGE(H319:H320)</f>
        <v>23.976999999999997</v>
      </c>
      <c r="Q320" s="29">
        <f>STDEV(H319:H320)</f>
        <v>6.7882250993908627E-2</v>
      </c>
      <c r="R320" s="28"/>
      <c r="S320" s="29">
        <f>J320-(A320-Standards!$A$121)*Standards!$AA$4</f>
        <v>-2.1713136176470584</v>
      </c>
      <c r="T320" s="29">
        <f>S320-(M320-Standards!$N$121)*Standards!$AA$55</f>
        <v>-2.1405679235294115</v>
      </c>
      <c r="U320" s="29"/>
      <c r="V320" s="28"/>
      <c r="W320" s="29">
        <f>P320-(A320-Standards!$A$121)*Standards!$AL$5</f>
        <v>24.042395235294116</v>
      </c>
      <c r="X320" s="139">
        <f>W320-(M320-Standards!$N$121)*Standards!$AL$54</f>
        <v>23.968733676470585</v>
      </c>
      <c r="Y320" s="78"/>
      <c r="Z320" s="19">
        <f>(T320*Standards!$O$156)+Standards!$O$157</f>
        <v>-1.6477733121658749</v>
      </c>
      <c r="AA320" s="20">
        <f>(X320*Standards!$T$156)+Standards!$T$157</f>
        <v>25.340281823591837</v>
      </c>
    </row>
    <row r="321" spans="1:27" ht="24.95" customHeight="1" x14ac:dyDescent="0.25">
      <c r="A321" s="121">
        <v>168</v>
      </c>
      <c r="B321" s="76" t="s">
        <v>1502</v>
      </c>
      <c r="C321" s="76" t="s">
        <v>284</v>
      </c>
      <c r="D321" s="76">
        <v>6</v>
      </c>
      <c r="E321" s="76">
        <v>11341</v>
      </c>
      <c r="F321" s="76">
        <v>130.703</v>
      </c>
      <c r="G321" s="76">
        <v>-2.411</v>
      </c>
      <c r="H321" s="76">
        <v>23.952000000000002</v>
      </c>
      <c r="Z321" s="33"/>
      <c r="AA321" s="34"/>
    </row>
    <row r="322" spans="1:27" ht="24.95" customHeight="1" x14ac:dyDescent="0.25">
      <c r="A322" s="121">
        <v>168</v>
      </c>
      <c r="B322" s="76" t="s">
        <v>1502</v>
      </c>
      <c r="C322" s="76" t="s">
        <v>284</v>
      </c>
      <c r="D322" s="76">
        <v>7</v>
      </c>
      <c r="E322" s="76">
        <v>10442</v>
      </c>
      <c r="F322" s="76">
        <v>120.758</v>
      </c>
      <c r="G322" s="76">
        <v>-2.3519999999999999</v>
      </c>
      <c r="H322" s="76">
        <v>23.969000000000001</v>
      </c>
      <c r="J322" s="31">
        <f>AVERAGE(G321:G322)</f>
        <v>-2.3815</v>
      </c>
      <c r="K322" s="31">
        <f>STDEV(G321:G322)</f>
        <v>4.171930009000642E-2</v>
      </c>
      <c r="L322" s="26"/>
      <c r="M322" s="27">
        <f>AVERAGE(E321:E322)</f>
        <v>10891.5</v>
      </c>
      <c r="N322" s="27">
        <f>STDEV(E321:E322)</f>
        <v>635.68899628670624</v>
      </c>
      <c r="O322" s="28"/>
      <c r="P322" s="29">
        <f>AVERAGE(H321:H322)</f>
        <v>23.960500000000003</v>
      </c>
      <c r="Q322" s="29">
        <f>STDEV(H321:H322)</f>
        <v>1.2020815280170927E-2</v>
      </c>
      <c r="R322" s="28"/>
      <c r="S322" s="29">
        <f>J322-(A322-Standards!$A$121)*Standards!$AA$4</f>
        <v>-2.3335906176470589</v>
      </c>
      <c r="T322" s="29">
        <f>S322-(M322-Standards!$N$121)*Standards!$AA$55</f>
        <v>-2.3031761235294117</v>
      </c>
      <c r="U322" s="29"/>
      <c r="V322" s="28"/>
      <c r="W322" s="29">
        <f>P322-(A322-Standards!$A$121)*Standards!$AL$5</f>
        <v>24.026897235294122</v>
      </c>
      <c r="X322" s="139">
        <f>W322-(M322-Standards!$N$121)*Standards!$AL$54</f>
        <v>23.954029176470591</v>
      </c>
      <c r="Y322" s="78"/>
      <c r="Z322" s="19">
        <f>(T322*Standards!$O$156)+Standards!$O$157</f>
        <v>-1.8113994510058693</v>
      </c>
      <c r="AA322" s="20">
        <f>(X322*Standards!$T$156)+Standards!$T$157</f>
        <v>25.325657133060052</v>
      </c>
    </row>
    <row r="323" spans="1:27" ht="24.95" customHeight="1" x14ac:dyDescent="0.25">
      <c r="A323" s="121">
        <v>169</v>
      </c>
      <c r="B323" s="76" t="s">
        <v>1507</v>
      </c>
      <c r="C323" s="76" t="s">
        <v>325</v>
      </c>
      <c r="D323" s="76">
        <v>6</v>
      </c>
      <c r="E323" s="76">
        <v>10973</v>
      </c>
      <c r="F323" s="76">
        <v>127.437</v>
      </c>
      <c r="G323" s="76">
        <v>-2.3319999999999999</v>
      </c>
      <c r="H323" s="76">
        <v>23.984000000000002</v>
      </c>
      <c r="Z323" s="33"/>
      <c r="AA323" s="34"/>
    </row>
    <row r="324" spans="1:27" ht="24.95" customHeight="1" x14ac:dyDescent="0.25">
      <c r="A324" s="121">
        <v>169</v>
      </c>
      <c r="B324" s="76" t="s">
        <v>1507</v>
      </c>
      <c r="C324" s="76" t="s">
        <v>325</v>
      </c>
      <c r="D324" s="76">
        <v>7</v>
      </c>
      <c r="E324" s="76">
        <v>10269</v>
      </c>
      <c r="F324" s="76">
        <v>118.193</v>
      </c>
      <c r="G324" s="76">
        <v>-2.2709999999999999</v>
      </c>
      <c r="H324" s="76">
        <v>24.030999999999999</v>
      </c>
      <c r="J324" s="31">
        <f>AVERAGE(G323:G324)</f>
        <v>-2.3014999999999999</v>
      </c>
      <c r="K324" s="31">
        <f>STDEV(G323:G324)</f>
        <v>4.3133513652379357E-2</v>
      </c>
      <c r="L324" s="26"/>
      <c r="M324" s="27">
        <f>AVERAGE(E323:E324)</f>
        <v>10621</v>
      </c>
      <c r="N324" s="27">
        <f>STDEV(E323:E324)</f>
        <v>497.80317395532944</v>
      </c>
      <c r="O324" s="28"/>
      <c r="P324" s="29">
        <f>AVERAGE(H323:H324)</f>
        <v>24.0075</v>
      </c>
      <c r="Q324" s="29">
        <f>STDEV(H323:H324)</f>
        <v>3.3234018715765645E-2</v>
      </c>
      <c r="R324" s="28"/>
      <c r="S324" s="29">
        <f>J324-(A324-Standards!$A$121)*Standards!$AA$4</f>
        <v>-2.2528676176470586</v>
      </c>
      <c r="T324" s="29">
        <f>S324-(M324-Standards!$N$121)*Standards!$AA$55</f>
        <v>-2.2198563235294113</v>
      </c>
      <c r="U324" s="29"/>
      <c r="V324" s="28"/>
      <c r="W324" s="29">
        <f>P324-(A324-Standards!$A$121)*Standards!$AL$5</f>
        <v>24.074899235294119</v>
      </c>
      <c r="X324" s="139">
        <f>W324-(M324-Standards!$N$121)*Standards!$AL$54</f>
        <v>23.995809676470589</v>
      </c>
      <c r="Y324" s="78"/>
      <c r="Z324" s="19">
        <f>(T324*Standards!$O$156)+Standards!$O$157</f>
        <v>-1.7275580631612182</v>
      </c>
      <c r="AA324" s="20">
        <f>(X324*Standards!$T$156)+Standards!$T$157</f>
        <v>25.367210867138979</v>
      </c>
    </row>
    <row r="325" spans="1:27" ht="24.95" customHeight="1" x14ac:dyDescent="0.25">
      <c r="A325" s="121">
        <v>170</v>
      </c>
      <c r="B325" s="76" t="s">
        <v>1512</v>
      </c>
      <c r="C325" s="76" t="s">
        <v>1031</v>
      </c>
      <c r="D325" s="76">
        <v>6</v>
      </c>
      <c r="E325" s="76">
        <v>12973</v>
      </c>
      <c r="F325" s="76">
        <v>151.87799999999999</v>
      </c>
      <c r="G325" s="76">
        <v>-2.4620000000000002</v>
      </c>
      <c r="H325" s="76">
        <v>23.998999999999999</v>
      </c>
      <c r="Z325" s="33"/>
      <c r="AA325" s="34"/>
    </row>
    <row r="326" spans="1:27" ht="24.95" customHeight="1" x14ac:dyDescent="0.25">
      <c r="A326" s="121">
        <v>170</v>
      </c>
      <c r="B326" s="76" t="s">
        <v>1512</v>
      </c>
      <c r="C326" s="76" t="s">
        <v>1031</v>
      </c>
      <c r="D326" s="76">
        <v>7</v>
      </c>
      <c r="E326" s="76">
        <v>11998</v>
      </c>
      <c r="F326" s="76">
        <v>140.476</v>
      </c>
      <c r="G326" s="76">
        <v>-2.423</v>
      </c>
      <c r="H326" s="76">
        <v>24.071000000000002</v>
      </c>
      <c r="J326" s="31">
        <f>AVERAGE(G325:G326)</f>
        <v>-2.4424999999999999</v>
      </c>
      <c r="K326" s="31">
        <f>STDEV(G325:G326)</f>
        <v>2.7577164466275457E-2</v>
      </c>
      <c r="L326" s="26"/>
      <c r="M326" s="27">
        <f>AVERAGE(E325:E326)</f>
        <v>12485.5</v>
      </c>
      <c r="N326" s="27">
        <f>STDEV(E325:E326)</f>
        <v>689.42911165688383</v>
      </c>
      <c r="O326" s="28"/>
      <c r="P326" s="29">
        <f>AVERAGE(H325:H326)</f>
        <v>24.035</v>
      </c>
      <c r="Q326" s="29">
        <f>STDEV(H325:H326)</f>
        <v>5.0911688245433351E-2</v>
      </c>
      <c r="R326" s="28"/>
      <c r="S326" s="29">
        <f>J326-(A326-Standards!$A$121)*Standards!$AA$4</f>
        <v>-2.3931446176470588</v>
      </c>
      <c r="T326" s="29">
        <f>S326-(M326-Standards!$N$121)*Standards!$AA$55</f>
        <v>-2.3780325235294115</v>
      </c>
      <c r="U326" s="29"/>
      <c r="V326" s="28"/>
      <c r="W326" s="29">
        <f>P326-(A326-Standards!$A$121)*Standards!$AL$5</f>
        <v>24.103401235294118</v>
      </c>
      <c r="X326" s="139">
        <f>W326-(M326-Standards!$N$121)*Standards!$AL$54</f>
        <v>24.067195176470587</v>
      </c>
      <c r="Y326" s="78"/>
      <c r="Z326" s="19">
        <f>(T326*Standards!$O$156)+Standards!$O$157</f>
        <v>-1.8867244573675541</v>
      </c>
      <c r="AA326" s="20">
        <f>(X326*Standards!$T$156)+Standards!$T$157</f>
        <v>25.43820891848091</v>
      </c>
    </row>
    <row r="327" spans="1:27" ht="24.95" customHeight="1" x14ac:dyDescent="0.25">
      <c r="A327" s="121">
        <v>171</v>
      </c>
      <c r="B327" s="76" t="s">
        <v>1517</v>
      </c>
      <c r="C327" s="76" t="s">
        <v>678</v>
      </c>
      <c r="D327" s="76">
        <v>6</v>
      </c>
      <c r="E327" s="76">
        <v>13159</v>
      </c>
      <c r="F327" s="76">
        <v>151.352</v>
      </c>
      <c r="G327" s="76">
        <v>-2.9129999999999998</v>
      </c>
      <c r="H327" s="76">
        <v>24.056999999999999</v>
      </c>
      <c r="Z327" s="33"/>
      <c r="AA327" s="34"/>
    </row>
    <row r="328" spans="1:27" ht="24.95" customHeight="1" x14ac:dyDescent="0.25">
      <c r="A328" s="121">
        <v>171</v>
      </c>
      <c r="B328" s="76" t="s">
        <v>1517</v>
      </c>
      <c r="C328" s="76" t="s">
        <v>678</v>
      </c>
      <c r="D328" s="76">
        <v>7</v>
      </c>
      <c r="E328" s="76">
        <v>12329</v>
      </c>
      <c r="F328" s="76">
        <v>140.65</v>
      </c>
      <c r="G328" s="76">
        <v>-2.87</v>
      </c>
      <c r="H328" s="76">
        <v>24.08</v>
      </c>
      <c r="J328" s="31">
        <f>AVERAGE(G327:G328)</f>
        <v>-2.8914999999999997</v>
      </c>
      <c r="K328" s="31">
        <f>STDEV(G327:G328)</f>
        <v>3.0405591591021335E-2</v>
      </c>
      <c r="L328" s="26"/>
      <c r="M328" s="27">
        <f>AVERAGE(E327:E328)</f>
        <v>12744</v>
      </c>
      <c r="N328" s="27">
        <f>STDEV(E327:E328)</f>
        <v>586.89862838483441</v>
      </c>
      <c r="O328" s="28"/>
      <c r="P328" s="29">
        <f>AVERAGE(H327:H328)</f>
        <v>24.0685</v>
      </c>
      <c r="Q328" s="29">
        <f>STDEV(H327:H328)</f>
        <v>1.6263455967290372E-2</v>
      </c>
      <c r="R328" s="28"/>
      <c r="S328" s="29">
        <f>J328-(A328-Standards!$A$121)*Standards!$AA$4</f>
        <v>-2.8414216176470584</v>
      </c>
      <c r="T328" s="29">
        <f>S328-(M328-Standards!$N$121)*Standards!$AA$55</f>
        <v>-2.8287911235294114</v>
      </c>
      <c r="U328" s="29"/>
      <c r="V328" s="28"/>
      <c r="W328" s="29">
        <f>P328-(A328-Standards!$A$121)*Standards!$AL$5</f>
        <v>24.137903235294118</v>
      </c>
      <c r="X328" s="139">
        <f>W328-(M328-Standards!$N$121)*Standards!$AL$54</f>
        <v>24.10764267647059</v>
      </c>
      <c r="Y328" s="78"/>
      <c r="Z328" s="19">
        <f>(T328*Standards!$O$156)+Standards!$O$157</f>
        <v>-2.3403048381043274</v>
      </c>
      <c r="AA328" s="20">
        <f>(X328*Standards!$T$156)+Standards!$T$157</f>
        <v>25.478436887489366</v>
      </c>
    </row>
    <row r="329" spans="1:27" s="117" customFormat="1" ht="24.95" customHeight="1" x14ac:dyDescent="0.25">
      <c r="A329" s="120">
        <v>172</v>
      </c>
      <c r="B329" s="117" t="s">
        <v>1522</v>
      </c>
      <c r="C329" s="117" t="s">
        <v>327</v>
      </c>
      <c r="D329" s="117">
        <v>6</v>
      </c>
      <c r="E329" s="117">
        <v>17421</v>
      </c>
      <c r="F329" s="117">
        <v>203.38200000000001</v>
      </c>
      <c r="G329" s="117">
        <v>3.9350000000000001</v>
      </c>
      <c r="H329" s="117">
        <v>25.076000000000001</v>
      </c>
      <c r="S329" s="76"/>
      <c r="W329" s="76"/>
      <c r="Y329" s="186"/>
      <c r="Z329" s="72"/>
      <c r="AA329" s="73"/>
    </row>
    <row r="330" spans="1:27" s="117" customFormat="1" ht="24.95" customHeight="1" x14ac:dyDescent="0.25">
      <c r="A330" s="120">
        <v>172</v>
      </c>
      <c r="B330" s="117" t="s">
        <v>1522</v>
      </c>
      <c r="C330" s="117" t="s">
        <v>327</v>
      </c>
      <c r="D330" s="117">
        <v>7</v>
      </c>
      <c r="E330" s="117">
        <v>16040</v>
      </c>
      <c r="F330" s="117">
        <v>187.54300000000001</v>
      </c>
      <c r="G330" s="117">
        <v>3.9590000000000001</v>
      </c>
      <c r="H330" s="117">
        <v>25.117000000000001</v>
      </c>
      <c r="J330" s="66">
        <f>AVERAGE(G329:G330)</f>
        <v>3.9470000000000001</v>
      </c>
      <c r="K330" s="66">
        <f>STDEV(G329:G330)</f>
        <v>1.6970562748477157E-2</v>
      </c>
      <c r="L330" s="65"/>
      <c r="M330" s="64">
        <f>AVERAGE(E329:E330)</f>
        <v>16730.5</v>
      </c>
      <c r="N330" s="64">
        <f>STDEV(E329:E330)</f>
        <v>976.51446481862217</v>
      </c>
      <c r="O330" s="67"/>
      <c r="P330" s="68">
        <f>AVERAGE(H329:H330)</f>
        <v>25.096499999999999</v>
      </c>
      <c r="Q330" s="68">
        <f>STDEV(H329:H330)</f>
        <v>2.8991378028648707E-2</v>
      </c>
      <c r="R330" s="67"/>
      <c r="S330" s="29">
        <f>J330-(A330-Standards!$A$121)*Standards!$AA$4</f>
        <v>3.9978013823529412</v>
      </c>
      <c r="T330" s="68">
        <f>S330-(M330-Standards!$N$121)*Standards!$AA$55</f>
        <v>3.9721614764705881</v>
      </c>
      <c r="U330" s="68"/>
      <c r="V330" s="67"/>
      <c r="W330" s="29">
        <f>P330-(A330-Standards!$A$121)*Standards!$AL$5</f>
        <v>25.166905235294116</v>
      </c>
      <c r="X330" s="68">
        <f>W330-(M330-Standards!$N$121)*Standards!$AL$54</f>
        <v>25.228334176470586</v>
      </c>
      <c r="Y330" s="124"/>
      <c r="Z330" s="69">
        <f>(T330*Standards!$O$156)+Standards!$O$157</f>
        <v>4.5032222064839473</v>
      </c>
      <c r="AA330" s="70">
        <f>(X330*Standards!$T$156)+Standards!$T$157</f>
        <v>26.593045773824354</v>
      </c>
    </row>
    <row r="331" spans="1:27" s="117" customFormat="1" ht="24.95" customHeight="1" x14ac:dyDescent="0.25">
      <c r="A331" s="120">
        <v>173</v>
      </c>
      <c r="B331" s="117" t="s">
        <v>1527</v>
      </c>
      <c r="C331" s="117" t="s">
        <v>632</v>
      </c>
      <c r="D331" s="117">
        <v>6</v>
      </c>
      <c r="E331" s="117">
        <v>11447</v>
      </c>
      <c r="F331" s="117">
        <v>129.47999999999999</v>
      </c>
      <c r="G331" s="117">
        <v>3.8079999999999998</v>
      </c>
      <c r="H331" s="117">
        <v>25.157</v>
      </c>
      <c r="S331" s="76"/>
      <c r="W331" s="76"/>
      <c r="Y331" s="186"/>
      <c r="Z331" s="72"/>
      <c r="AA331" s="73"/>
    </row>
    <row r="332" spans="1:27" s="117" customFormat="1" ht="24.95" customHeight="1" x14ac:dyDescent="0.25">
      <c r="A332" s="120">
        <v>173</v>
      </c>
      <c r="B332" s="117" t="s">
        <v>1527</v>
      </c>
      <c r="C332" s="117" t="s">
        <v>632</v>
      </c>
      <c r="D332" s="117">
        <v>7</v>
      </c>
      <c r="E332" s="117">
        <v>10739</v>
      </c>
      <c r="F332" s="117">
        <v>120.542</v>
      </c>
      <c r="G332" s="117">
        <v>3.8759999999999999</v>
      </c>
      <c r="H332" s="117">
        <v>25.187000000000001</v>
      </c>
      <c r="J332" s="66">
        <f>AVERAGE(G331:G332)</f>
        <v>3.8419999999999996</v>
      </c>
      <c r="K332" s="66">
        <f>STDEV(G331:G332)</f>
        <v>4.8083261120685276E-2</v>
      </c>
      <c r="L332" s="65"/>
      <c r="M332" s="64">
        <f>AVERAGE(E331:E332)</f>
        <v>11093</v>
      </c>
      <c r="N332" s="64">
        <f>STDEV(E331:E332)</f>
        <v>500.63160108007565</v>
      </c>
      <c r="O332" s="67"/>
      <c r="P332" s="68">
        <f>AVERAGE(H331:H332)</f>
        <v>25.172000000000001</v>
      </c>
      <c r="Q332" s="68">
        <f>STDEV(H331:H332)</f>
        <v>2.1213203435597228E-2</v>
      </c>
      <c r="R332" s="67"/>
      <c r="S332" s="29">
        <f>J332-(A332-Standards!$A$121)*Standards!$AA$4</f>
        <v>3.8935243823529406</v>
      </c>
      <c r="T332" s="68">
        <f>S332-(M332-Standards!$N$121)*Standards!$AA$55</f>
        <v>3.9220044764705877</v>
      </c>
      <c r="U332" s="68"/>
      <c r="V332" s="67"/>
      <c r="W332" s="29">
        <f>P332-(A332-Standards!$A$121)*Standards!$AL$5</f>
        <v>25.243407235294118</v>
      </c>
      <c r="X332" s="68">
        <f>W332-(M332-Standards!$N$121)*Standards!$AL$54</f>
        <v>25.175173676470589</v>
      </c>
      <c r="Y332" s="124"/>
      <c r="Z332" s="69">
        <f>(T332*Standards!$O$156)+Standards!$O$157</f>
        <v>4.4527512201142709</v>
      </c>
      <c r="AA332" s="70">
        <f>(X332*Standards!$T$156)+Standards!$T$157</f>
        <v>26.540173805310264</v>
      </c>
    </row>
    <row r="333" spans="1:27" ht="24.95" customHeight="1" x14ac:dyDescent="0.25">
      <c r="A333" s="121">
        <v>174</v>
      </c>
      <c r="B333" s="76" t="s">
        <v>1532</v>
      </c>
      <c r="C333" s="76" t="s">
        <v>1533</v>
      </c>
      <c r="D333" s="76">
        <v>6</v>
      </c>
      <c r="E333" s="76">
        <v>11736</v>
      </c>
      <c r="F333" s="76">
        <v>138.001</v>
      </c>
      <c r="G333" s="76">
        <v>-2.831</v>
      </c>
      <c r="H333" s="76">
        <v>24.17</v>
      </c>
      <c r="Z333" s="33"/>
      <c r="AA333" s="34"/>
    </row>
    <row r="334" spans="1:27" ht="24.95" customHeight="1" x14ac:dyDescent="0.25">
      <c r="A334" s="121">
        <v>174</v>
      </c>
      <c r="B334" s="76" t="s">
        <v>1532</v>
      </c>
      <c r="C334" s="76" t="s">
        <v>1533</v>
      </c>
      <c r="D334" s="76">
        <v>7</v>
      </c>
      <c r="E334" s="76">
        <v>10895</v>
      </c>
      <c r="F334" s="76">
        <v>127.697</v>
      </c>
      <c r="G334" s="76">
        <v>-2.823</v>
      </c>
      <c r="H334" s="76">
        <v>24.172000000000001</v>
      </c>
      <c r="J334" s="31">
        <f>AVERAGE(G333:G334)</f>
        <v>-2.827</v>
      </c>
      <c r="K334" s="31">
        <f>STDEV(G333:G334)</f>
        <v>5.6568542494923853E-3</v>
      </c>
      <c r="L334" s="26"/>
      <c r="M334" s="27">
        <f>AVERAGE(E333:E334)</f>
        <v>11315.5</v>
      </c>
      <c r="N334" s="27">
        <f>STDEV(E333:E334)</f>
        <v>594.6768029778865</v>
      </c>
      <c r="O334" s="28"/>
      <c r="P334" s="29">
        <f>AVERAGE(H333:H334)</f>
        <v>24.170999999999999</v>
      </c>
      <c r="Q334" s="29">
        <f>STDEV(H333:H334)</f>
        <v>1.4142135623723114E-3</v>
      </c>
      <c r="R334" s="28"/>
      <c r="S334" s="29">
        <f>J334-(A334-Standards!$A$121)*Standards!$AA$4</f>
        <v>-2.7747526176470587</v>
      </c>
      <c r="T334" s="29">
        <f>S334-(M334-Standards!$N$121)*Standards!$AA$55</f>
        <v>-2.7484085235294118</v>
      </c>
      <c r="U334" s="29"/>
      <c r="V334" s="28"/>
      <c r="W334" s="29">
        <f>P334-(A334-Standards!$A$121)*Standards!$AL$5</f>
        <v>24.243409235294116</v>
      </c>
      <c r="X334" s="139">
        <f>W334-(M334-Standards!$N$121)*Standards!$AL$54</f>
        <v>24.180293176470588</v>
      </c>
      <c r="Y334" s="78"/>
      <c r="Z334" s="19">
        <f>(T334*Standards!$O$156)+Standards!$O$157</f>
        <v>-2.2594190373395464</v>
      </c>
      <c r="AA334" s="20">
        <f>(X334*Standards!$T$156)+Standards!$T$157</f>
        <v>25.550693072975449</v>
      </c>
    </row>
    <row r="335" spans="1:27" ht="24.95" customHeight="1" x14ac:dyDescent="0.25">
      <c r="A335" s="121">
        <v>175</v>
      </c>
      <c r="B335" s="76" t="s">
        <v>1538</v>
      </c>
      <c r="C335" s="76" t="s">
        <v>1467</v>
      </c>
      <c r="D335" s="76">
        <v>6</v>
      </c>
      <c r="E335" s="76">
        <v>11299</v>
      </c>
      <c r="F335" s="76">
        <v>126.444</v>
      </c>
      <c r="G335" s="76">
        <v>-2.5430000000000001</v>
      </c>
      <c r="H335" s="76">
        <v>24.126000000000001</v>
      </c>
      <c r="Z335" s="33"/>
      <c r="AA335" s="34"/>
    </row>
    <row r="336" spans="1:27" ht="24.95" customHeight="1" x14ac:dyDescent="0.25">
      <c r="A336" s="121">
        <v>175</v>
      </c>
      <c r="B336" s="76" t="s">
        <v>1538</v>
      </c>
      <c r="C336" s="76" t="s">
        <v>1467</v>
      </c>
      <c r="D336" s="76">
        <v>7</v>
      </c>
      <c r="E336" s="76">
        <v>10480</v>
      </c>
      <c r="F336" s="76">
        <v>117.30200000000001</v>
      </c>
      <c r="G336" s="76">
        <v>-2.4529999999999998</v>
      </c>
      <c r="H336" s="76">
        <v>24.126999999999999</v>
      </c>
      <c r="J336" s="31">
        <f>AVERAGE(G335:G336)</f>
        <v>-2.4980000000000002</v>
      </c>
      <c r="K336" s="31">
        <f>STDEV(G335:G336)</f>
        <v>6.3639610306789496E-2</v>
      </c>
      <c r="L336" s="26"/>
      <c r="M336" s="27">
        <f>AVERAGE(E335:E336)</f>
        <v>10889.5</v>
      </c>
      <c r="N336" s="27">
        <f>STDEV(E335:E336)</f>
        <v>579.12045379178244</v>
      </c>
      <c r="O336" s="28"/>
      <c r="P336" s="29">
        <f>AVERAGE(H335:H336)</f>
        <v>24.1265</v>
      </c>
      <c r="Q336" s="29">
        <f>STDEV(H335:H336)</f>
        <v>7.0710678118489963E-4</v>
      </c>
      <c r="R336" s="28"/>
      <c r="S336" s="29">
        <f>J336-(A336-Standards!$A$121)*Standards!$AA$4</f>
        <v>-2.4450296176470592</v>
      </c>
      <c r="T336" s="29">
        <f>S336-(M336-Standards!$N$121)*Standards!$AA$55</f>
        <v>-2.4145959235294123</v>
      </c>
      <c r="U336" s="29"/>
      <c r="V336" s="28"/>
      <c r="W336" s="29">
        <f>P336-(A336-Standards!$A$121)*Standards!$AL$5</f>
        <v>24.199911235294117</v>
      </c>
      <c r="X336" s="139">
        <f>W336-(M336-Standards!$N$121)*Standards!$AL$54</f>
        <v>24.126997176470589</v>
      </c>
      <c r="Y336" s="78"/>
      <c r="Z336" s="19">
        <f>(T336*Standards!$O$156)+Standards!$O$157</f>
        <v>-1.9235167468391943</v>
      </c>
      <c r="AA336" s="20">
        <f>(X336*Standards!$T$156)+Standards!$T$157</f>
        <v>25.497686339894926</v>
      </c>
    </row>
    <row r="337" spans="1:27" ht="24.95" customHeight="1" x14ac:dyDescent="0.25">
      <c r="A337" s="121">
        <v>176</v>
      </c>
      <c r="B337" s="76" t="s">
        <v>1543</v>
      </c>
      <c r="C337" s="76" t="s">
        <v>444</v>
      </c>
      <c r="D337" s="76">
        <v>6</v>
      </c>
      <c r="E337" s="76">
        <v>11943</v>
      </c>
      <c r="F337" s="76">
        <v>139.75899999999999</v>
      </c>
      <c r="G337" s="76">
        <v>-2.6080000000000001</v>
      </c>
      <c r="H337" s="76">
        <v>23.97</v>
      </c>
      <c r="Z337" s="33"/>
      <c r="AA337" s="34"/>
    </row>
    <row r="338" spans="1:27" ht="24.95" customHeight="1" x14ac:dyDescent="0.25">
      <c r="A338" s="121">
        <v>176</v>
      </c>
      <c r="B338" s="76" t="s">
        <v>1543</v>
      </c>
      <c r="C338" s="76" t="s">
        <v>444</v>
      </c>
      <c r="D338" s="76">
        <v>7</v>
      </c>
      <c r="E338" s="76">
        <v>11081</v>
      </c>
      <c r="F338" s="76">
        <v>129.23500000000001</v>
      </c>
      <c r="G338" s="76">
        <v>-2.6080000000000001</v>
      </c>
      <c r="H338" s="76">
        <v>23.984000000000002</v>
      </c>
      <c r="J338" s="31">
        <f>AVERAGE(G337:G338)</f>
        <v>-2.6080000000000001</v>
      </c>
      <c r="K338" s="31">
        <f>STDEV(G337:G338)</f>
        <v>0</v>
      </c>
      <c r="L338" s="26"/>
      <c r="M338" s="27">
        <f>AVERAGE(E337:E338)</f>
        <v>11512</v>
      </c>
      <c r="N338" s="27">
        <f>STDEV(E337:E338)</f>
        <v>609.526045382804</v>
      </c>
      <c r="O338" s="28"/>
      <c r="P338" s="29">
        <f>AVERAGE(H337:H338)</f>
        <v>23.977</v>
      </c>
      <c r="Q338" s="29">
        <f>STDEV(H337:H338)</f>
        <v>9.8994949366137154E-3</v>
      </c>
      <c r="R338" s="28"/>
      <c r="S338" s="29">
        <f>J338-(A338-Standards!$A$121)*Standards!$AA$4</f>
        <v>-2.5543066176470588</v>
      </c>
      <c r="T338" s="29">
        <f>S338-(M338-Standards!$N$121)*Standards!$AA$55</f>
        <v>-2.5298489235294119</v>
      </c>
      <c r="U338" s="29"/>
      <c r="V338" s="28"/>
      <c r="W338" s="29">
        <f>P338-(A338-Standards!$A$121)*Standards!$AL$5</f>
        <v>24.051413235294117</v>
      </c>
      <c r="X338" s="139">
        <f>W338-(M338-Standards!$N$121)*Standards!$AL$54</f>
        <v>23.992816676470586</v>
      </c>
      <c r="Y338" s="78"/>
      <c r="Z338" s="19">
        <f>(T338*Standards!$O$156)+Standards!$O$157</f>
        <v>-2.0394912387757991</v>
      </c>
      <c r="AA338" s="20">
        <f>(X338*Standards!$T$156)+Standards!$T$157</f>
        <v>25.364234111808184</v>
      </c>
    </row>
    <row r="339" spans="1:27" ht="24.95" customHeight="1" x14ac:dyDescent="0.25">
      <c r="A339" s="121">
        <v>177</v>
      </c>
      <c r="B339" s="76" t="s">
        <v>1547</v>
      </c>
      <c r="C339" s="76" t="s">
        <v>441</v>
      </c>
      <c r="D339" s="76">
        <v>6</v>
      </c>
      <c r="E339" s="76">
        <v>16958</v>
      </c>
      <c r="F339" s="76">
        <v>190.97499999999999</v>
      </c>
      <c r="G339" s="76">
        <v>-2.33</v>
      </c>
      <c r="H339" s="76">
        <v>23.94</v>
      </c>
      <c r="Z339" s="33"/>
      <c r="AA339" s="34"/>
    </row>
    <row r="340" spans="1:27" ht="24.95" customHeight="1" x14ac:dyDescent="0.25">
      <c r="A340" s="121">
        <v>177</v>
      </c>
      <c r="B340" s="76" t="s">
        <v>1547</v>
      </c>
      <c r="C340" s="76" t="s">
        <v>441</v>
      </c>
      <c r="D340" s="76">
        <v>7</v>
      </c>
      <c r="E340" s="76">
        <v>15556</v>
      </c>
      <c r="F340" s="76">
        <v>176.172</v>
      </c>
      <c r="G340" s="76">
        <v>-2.3029999999999999</v>
      </c>
      <c r="H340" s="76">
        <v>23.981999999999999</v>
      </c>
      <c r="J340" s="31">
        <f>AVERAGE(G339:G340)</f>
        <v>-2.3165</v>
      </c>
      <c r="K340" s="31">
        <f>STDEV(G339:G340)</f>
        <v>1.9091883092036879E-2</v>
      </c>
      <c r="L340" s="26"/>
      <c r="M340" s="27">
        <f>AVERAGE(E339:E340)</f>
        <v>16257</v>
      </c>
      <c r="N340" s="27">
        <f>STDEV(E339:E340)</f>
        <v>991.36370722353968</v>
      </c>
      <c r="O340" s="28"/>
      <c r="P340" s="29">
        <f>AVERAGE(H339:H340)</f>
        <v>23.960999999999999</v>
      </c>
      <c r="Q340" s="29">
        <f>STDEV(H339:H340)</f>
        <v>2.9698484809833607E-2</v>
      </c>
      <c r="R340" s="28"/>
      <c r="S340" s="29">
        <f>J340-(A340-Standards!$A$121)*Standards!$AA$4</f>
        <v>-2.2620836176470589</v>
      </c>
      <c r="T340" s="29">
        <f>S340-(M340-Standards!$N$121)*Standards!$AA$55</f>
        <v>-2.2831779235294118</v>
      </c>
      <c r="U340" s="29"/>
      <c r="V340" s="28"/>
      <c r="W340" s="29">
        <f>P340-(A340-Standards!$A$121)*Standards!$AL$5</f>
        <v>24.036415235294115</v>
      </c>
      <c r="X340" s="139">
        <f>W340-(M340-Standards!$N$121)*Standards!$AL$54</f>
        <v>24.086953676470586</v>
      </c>
      <c r="Y340" s="78"/>
      <c r="Z340" s="19">
        <f>(T340*Standards!$O$156)+Standards!$O$157</f>
        <v>-1.7912760608585709</v>
      </c>
      <c r="AA340" s="20">
        <f>(X340*Standards!$T$156)+Standards!$T$157</f>
        <v>25.457860178154647</v>
      </c>
    </row>
    <row r="341" spans="1:27" ht="24.95" customHeight="1" x14ac:dyDescent="0.25">
      <c r="A341" s="121">
        <v>178</v>
      </c>
      <c r="B341" s="76" t="s">
        <v>1551</v>
      </c>
      <c r="C341" s="76" t="s">
        <v>269</v>
      </c>
      <c r="D341" s="76">
        <v>6</v>
      </c>
      <c r="E341" s="76">
        <v>11726</v>
      </c>
      <c r="F341" s="76">
        <v>137.12899999999999</v>
      </c>
      <c r="G341" s="76">
        <v>-2.754</v>
      </c>
      <c r="H341" s="76">
        <v>23.928999999999998</v>
      </c>
      <c r="Z341" s="33"/>
      <c r="AA341" s="34"/>
    </row>
    <row r="342" spans="1:27" ht="24.95" customHeight="1" x14ac:dyDescent="0.25">
      <c r="A342" s="121">
        <v>178</v>
      </c>
      <c r="B342" s="76" t="s">
        <v>1551</v>
      </c>
      <c r="C342" s="76" t="s">
        <v>269</v>
      </c>
      <c r="D342" s="76">
        <v>7</v>
      </c>
      <c r="E342" s="76">
        <v>10897</v>
      </c>
      <c r="F342" s="76">
        <v>126.82299999999999</v>
      </c>
      <c r="G342" s="76">
        <v>-2.702</v>
      </c>
      <c r="H342" s="76">
        <v>23.962</v>
      </c>
      <c r="J342" s="31">
        <f>AVERAGE(G341:G342)</f>
        <v>-2.7279999999999998</v>
      </c>
      <c r="K342" s="31">
        <f>STDEV(G341:G342)</f>
        <v>3.6769552621700508E-2</v>
      </c>
      <c r="L342" s="26"/>
      <c r="M342" s="27">
        <f>AVERAGE(E341:E342)</f>
        <v>11311.5</v>
      </c>
      <c r="N342" s="27">
        <f>STDEV(E341:E342)</f>
        <v>586.19152160364786</v>
      </c>
      <c r="O342" s="28"/>
      <c r="P342" s="29">
        <f>AVERAGE(H341:H342)</f>
        <v>23.945499999999999</v>
      </c>
      <c r="Q342" s="29">
        <f>STDEV(H341:H342)</f>
        <v>2.3334523779156954E-2</v>
      </c>
      <c r="R342" s="28"/>
      <c r="S342" s="29">
        <f>J342-(A342-Standards!$A$121)*Standards!$AA$4</f>
        <v>-2.6728606176470584</v>
      </c>
      <c r="T342" s="29">
        <f>S342-(M342-Standards!$N$121)*Standards!$AA$55</f>
        <v>-2.6464781235294113</v>
      </c>
      <c r="U342" s="29"/>
      <c r="V342" s="28"/>
      <c r="W342" s="29">
        <f>P342-(A342-Standards!$A$121)*Standards!$AL$5</f>
        <v>24.021917235294115</v>
      </c>
      <c r="X342" s="139">
        <f>W342-(M342-Standards!$N$121)*Standards!$AL$54</f>
        <v>23.958709176470585</v>
      </c>
      <c r="Y342" s="78"/>
      <c r="Z342" s="19">
        <f>(T342*Standards!$O$156)+Standards!$O$157</f>
        <v>-2.1568505458217988</v>
      </c>
      <c r="AA342" s="20">
        <f>(X342*Standards!$T$156)+Standards!$T$157</f>
        <v>25.330311732107194</v>
      </c>
    </row>
    <row r="343" spans="1:27" ht="24.95" customHeight="1" x14ac:dyDescent="0.25">
      <c r="A343" s="121">
        <v>179</v>
      </c>
      <c r="B343" s="76" t="s">
        <v>1556</v>
      </c>
      <c r="C343" s="76" t="s">
        <v>741</v>
      </c>
      <c r="D343" s="76">
        <v>6</v>
      </c>
      <c r="E343" s="76">
        <v>15805</v>
      </c>
      <c r="F343" s="76">
        <v>181.79400000000001</v>
      </c>
      <c r="G343" s="76">
        <v>-2.8940000000000001</v>
      </c>
      <c r="H343" s="76">
        <v>23.939</v>
      </c>
      <c r="Y343" s="58"/>
    </row>
    <row r="344" spans="1:27" ht="24.95" customHeight="1" x14ac:dyDescent="0.25">
      <c r="A344" s="121">
        <v>179</v>
      </c>
      <c r="B344" s="76" t="s">
        <v>1556</v>
      </c>
      <c r="C344" s="76" t="s">
        <v>741</v>
      </c>
      <c r="D344" s="76">
        <v>7</v>
      </c>
      <c r="E344" s="76">
        <v>14596</v>
      </c>
      <c r="F344" s="76">
        <v>168.34200000000001</v>
      </c>
      <c r="G344" s="76">
        <v>-2.855</v>
      </c>
      <c r="H344" s="76">
        <v>23.957000000000001</v>
      </c>
      <c r="J344" s="31">
        <f>AVERAGE(G343:G344)</f>
        <v>-2.8745000000000003</v>
      </c>
      <c r="K344" s="31">
        <f>STDEV(G343:G344)</f>
        <v>2.7577164466275457E-2</v>
      </c>
      <c r="L344" s="26"/>
      <c r="M344" s="27">
        <f>AVERAGE(E343:E344)</f>
        <v>15200.5</v>
      </c>
      <c r="N344" s="27">
        <f>STDEV(E343:E344)</f>
        <v>854.89209845453593</v>
      </c>
      <c r="O344" s="28"/>
      <c r="P344" s="29">
        <f>AVERAGE(H343:H344)</f>
        <v>23.948</v>
      </c>
      <c r="Q344" s="29">
        <f>STDEV(H343:H344)</f>
        <v>1.2727922061358338E-2</v>
      </c>
      <c r="R344" s="28"/>
      <c r="S344" s="29">
        <f>J344-(A344-Standards!$A$121)*Standards!$AA$4</f>
        <v>-2.8186376176470591</v>
      </c>
      <c r="T344" s="29">
        <f>S344-(M344-Standards!$N$121)*Standards!$AA$55</f>
        <v>-2.8295895235294122</v>
      </c>
      <c r="U344" s="29"/>
      <c r="V344" s="28"/>
      <c r="W344" s="29">
        <f>P344-(A344-Standards!$A$121)*Standards!$AL$5</f>
        <v>24.02541923529412</v>
      </c>
      <c r="X344" s="139">
        <f>W344-(M344-Standards!$N$121)*Standards!$AL$54</f>
        <v>24.051658176470589</v>
      </c>
      <c r="Y344" s="78"/>
      <c r="Z344" s="19">
        <f>(T344*Standards!$O$156)+Standards!$O$157</f>
        <v>-2.3411082361448319</v>
      </c>
      <c r="AA344" s="20">
        <f>(X344*Standards!$T$156)+Standards!$T$157</f>
        <v>25.422756246387845</v>
      </c>
    </row>
    <row r="345" spans="1:27" ht="24.95" customHeight="1" x14ac:dyDescent="0.25">
      <c r="A345" s="121">
        <v>180</v>
      </c>
      <c r="B345" s="76" t="s">
        <v>1561</v>
      </c>
      <c r="C345" s="76" t="s">
        <v>1562</v>
      </c>
      <c r="D345" s="76">
        <v>6</v>
      </c>
      <c r="E345" s="76">
        <v>11734</v>
      </c>
      <c r="F345" s="76">
        <v>134.423</v>
      </c>
      <c r="G345" s="76">
        <v>-3.4860000000000002</v>
      </c>
      <c r="H345" s="76">
        <v>24.071999999999999</v>
      </c>
      <c r="Y345" s="58"/>
      <c r="Z345" s="193"/>
      <c r="AA345" s="194"/>
    </row>
    <row r="346" spans="1:27" ht="24.95" customHeight="1" x14ac:dyDescent="0.25">
      <c r="A346" s="121">
        <v>180</v>
      </c>
      <c r="B346" s="76" t="s">
        <v>1561</v>
      </c>
      <c r="C346" s="76" t="s">
        <v>1562</v>
      </c>
      <c r="D346" s="76">
        <v>7</v>
      </c>
      <c r="E346" s="76">
        <v>11000</v>
      </c>
      <c r="F346" s="76">
        <v>124.946</v>
      </c>
      <c r="G346" s="76">
        <v>-3.4510000000000001</v>
      </c>
      <c r="H346" s="76">
        <v>24.093</v>
      </c>
      <c r="J346" s="31">
        <f>AVERAGE(G345:G346)</f>
        <v>-3.4685000000000001</v>
      </c>
      <c r="K346" s="31">
        <f>STDEV(G345:G346)</f>
        <v>2.4748737341529263E-2</v>
      </c>
      <c r="L346" s="26"/>
      <c r="M346" s="27">
        <f>AVERAGE(E345:E346)</f>
        <v>11367</v>
      </c>
      <c r="N346" s="27">
        <f>STDEV(E345:E346)</f>
        <v>519.01637739092587</v>
      </c>
      <c r="O346" s="28"/>
      <c r="P346" s="29">
        <f>AVERAGE(H345:H346)</f>
        <v>24.0825</v>
      </c>
      <c r="Q346" s="29">
        <f>STDEV(H345:H346)</f>
        <v>1.4849242404918061E-2</v>
      </c>
      <c r="R346" s="28"/>
      <c r="S346" s="29">
        <f>J346-(A346-Standards!$A$121)*Standards!$AA$4</f>
        <v>-3.4119146176470592</v>
      </c>
      <c r="T346" s="29">
        <f>S346-(M346-Standards!$N$121)*Standards!$AA$55</f>
        <v>-3.3860649235294122</v>
      </c>
      <c r="U346" s="29"/>
      <c r="V346" s="28"/>
      <c r="W346" s="29">
        <f>P346-(A346-Standards!$A$121)*Standards!$AL$5</f>
        <v>24.160921235294119</v>
      </c>
      <c r="X346" s="139">
        <f>W346-(M346-Standards!$N$121)*Standards!$AL$54</f>
        <v>24.098989676470588</v>
      </c>
      <c r="Y346" s="78"/>
      <c r="Z346" s="19">
        <f>(T346*Standards!$O$156)+Standards!$O$157</f>
        <v>-2.9010672115313212</v>
      </c>
      <c r="AA346" s="20">
        <f>(X346*Standards!$T$156)+Standards!$T$157</f>
        <v>25.469830852114367</v>
      </c>
    </row>
    <row r="347" spans="1:27" ht="24.95" customHeight="1" x14ac:dyDescent="0.25">
      <c r="A347" s="121">
        <v>181</v>
      </c>
      <c r="B347" s="76" t="s">
        <v>1566</v>
      </c>
      <c r="C347" s="76" t="s">
        <v>284</v>
      </c>
      <c r="D347" s="76">
        <v>6</v>
      </c>
      <c r="E347" s="76">
        <v>11285</v>
      </c>
      <c r="F347" s="76">
        <v>132.71899999999999</v>
      </c>
      <c r="G347" s="76">
        <v>-3.0640000000000001</v>
      </c>
      <c r="H347" s="76">
        <v>24.192</v>
      </c>
      <c r="Z347" s="33"/>
      <c r="AA347" s="34"/>
    </row>
    <row r="348" spans="1:27" ht="24.95" customHeight="1" x14ac:dyDescent="0.25">
      <c r="A348" s="121">
        <v>181</v>
      </c>
      <c r="B348" s="76" t="s">
        <v>1566</v>
      </c>
      <c r="C348" s="76" t="s">
        <v>284</v>
      </c>
      <c r="D348" s="76">
        <v>7</v>
      </c>
      <c r="E348" s="76">
        <v>10448</v>
      </c>
      <c r="F348" s="76">
        <v>122.574</v>
      </c>
      <c r="G348" s="76">
        <v>-3.0369999999999999</v>
      </c>
      <c r="H348" s="76">
        <v>24.212</v>
      </c>
      <c r="J348" s="31">
        <f>AVERAGE(G347:G348)</f>
        <v>-3.0505</v>
      </c>
      <c r="K348" s="31">
        <f>STDEV(G347:G348)</f>
        <v>1.9091883092036879E-2</v>
      </c>
      <c r="L348" s="26"/>
      <c r="M348" s="27">
        <f>AVERAGE(E347:E348)</f>
        <v>10866.5</v>
      </c>
      <c r="N348" s="27">
        <f>STDEV(E347:E348)</f>
        <v>591.84837585314028</v>
      </c>
      <c r="O348" s="28"/>
      <c r="P348" s="29">
        <f>AVERAGE(H347:H348)</f>
        <v>24.201999999999998</v>
      </c>
      <c r="Q348" s="29">
        <f>STDEV(H347:H348)</f>
        <v>1.4142135623730649E-2</v>
      </c>
      <c r="R348" s="28"/>
      <c r="S348" s="29">
        <f>J348-(A348-Standards!$A$121)*Standards!$AA$4</f>
        <v>-2.9931916176470588</v>
      </c>
      <c r="T348" s="29">
        <f>S348-(M348-Standards!$N$121)*Standards!$AA$55</f>
        <v>-2.9625371235294118</v>
      </c>
      <c r="U348" s="29"/>
      <c r="V348" s="28"/>
      <c r="W348" s="29">
        <f>P348-(A348-Standards!$A$121)*Standards!$AL$5</f>
        <v>24.281423235294117</v>
      </c>
      <c r="X348" s="139">
        <f>W348-(M348-Standards!$N$121)*Standards!$AL$54</f>
        <v>24.207980176470588</v>
      </c>
      <c r="Y348" s="78"/>
      <c r="Z348" s="19">
        <f>(T348*Standards!$O$156)+Standards!$O$157</f>
        <v>-2.4748880975297065</v>
      </c>
      <c r="AA348" s="20">
        <f>(X348*Standards!$T$156)+Standards!$T$157</f>
        <v>25.578229800287076</v>
      </c>
    </row>
    <row r="349" spans="1:27" ht="24.95" customHeight="1" x14ac:dyDescent="0.25">
      <c r="A349" s="121">
        <v>182</v>
      </c>
      <c r="B349" s="76" t="s">
        <v>1570</v>
      </c>
      <c r="C349" s="76" t="s">
        <v>281</v>
      </c>
      <c r="D349" s="76">
        <v>6</v>
      </c>
      <c r="E349" s="76">
        <v>10004</v>
      </c>
      <c r="F349" s="76">
        <v>112.693</v>
      </c>
      <c r="G349" s="76">
        <v>-2.8559999999999999</v>
      </c>
      <c r="H349" s="76">
        <v>24.077999999999999</v>
      </c>
      <c r="Z349" s="33"/>
      <c r="AA349" s="34"/>
    </row>
    <row r="350" spans="1:27" ht="24.95" customHeight="1" x14ac:dyDescent="0.25">
      <c r="A350" s="121">
        <v>182</v>
      </c>
      <c r="B350" s="76" t="s">
        <v>1570</v>
      </c>
      <c r="C350" s="76" t="s">
        <v>281</v>
      </c>
      <c r="D350" s="76">
        <v>7</v>
      </c>
      <c r="E350" s="76">
        <v>9375</v>
      </c>
      <c r="F350" s="76">
        <v>104.80200000000001</v>
      </c>
      <c r="G350" s="76">
        <v>-2.7650000000000001</v>
      </c>
      <c r="H350" s="76">
        <v>24.155000000000001</v>
      </c>
      <c r="J350" s="31">
        <f>AVERAGE(G349:G350)</f>
        <v>-2.8105000000000002</v>
      </c>
      <c r="K350" s="31">
        <f>STDEV(G349:G350)</f>
        <v>6.4346717087975652E-2</v>
      </c>
      <c r="L350" s="26"/>
      <c r="M350" s="27">
        <f>AVERAGE(E349:E350)</f>
        <v>9689.5</v>
      </c>
      <c r="N350" s="27">
        <f>STDEV(E349:E350)</f>
        <v>444.7701653663384</v>
      </c>
      <c r="O350" s="28"/>
      <c r="P350" s="29">
        <f>AVERAGE(H349:H350)</f>
        <v>24.116500000000002</v>
      </c>
      <c r="Q350" s="29">
        <f>STDEV(H349:H350)</f>
        <v>5.4447222151365389E-2</v>
      </c>
      <c r="R350" s="28"/>
      <c r="S350" s="29">
        <f>J350-(A350-Standards!$A$121)*Standards!$AA$4</f>
        <v>-2.7524686176470592</v>
      </c>
      <c r="T350" s="29">
        <f>S350-(M350-Standards!$N$121)*Standards!$AA$55</f>
        <v>-2.7105149235294119</v>
      </c>
      <c r="U350" s="29"/>
      <c r="V350" s="28"/>
      <c r="W350" s="29">
        <f>P350-(A350-Standards!$A$121)*Standards!$AL$5</f>
        <v>24.19692523529412</v>
      </c>
      <c r="X350" s="139">
        <f>W350-(M350-Standards!$N$121)*Standards!$AL$54</f>
        <v>24.096411176470593</v>
      </c>
      <c r="Y350" s="78"/>
      <c r="Z350" s="19">
        <f>(T350*Standards!$O$156)+Standards!$O$157</f>
        <v>-2.221288220721767</v>
      </c>
      <c r="AA350" s="20">
        <f>(X350*Standards!$T$156)+Standards!$T$157</f>
        <v>25.467266347062434</v>
      </c>
    </row>
    <row r="351" spans="1:27" ht="24.95" customHeight="1" x14ac:dyDescent="0.25">
      <c r="A351" s="121">
        <v>183</v>
      </c>
      <c r="B351" s="76" t="s">
        <v>1575</v>
      </c>
      <c r="C351" s="76" t="s">
        <v>520</v>
      </c>
      <c r="D351" s="76">
        <v>6</v>
      </c>
      <c r="E351" s="76">
        <v>14501</v>
      </c>
      <c r="F351" s="76">
        <v>169.994</v>
      </c>
      <c r="G351" s="76">
        <v>-2.6869999999999998</v>
      </c>
      <c r="H351" s="76">
        <v>23.895</v>
      </c>
      <c r="Z351" s="33"/>
      <c r="AA351" s="34"/>
    </row>
    <row r="352" spans="1:27" ht="24.95" customHeight="1" x14ac:dyDescent="0.25">
      <c r="A352" s="121">
        <v>183</v>
      </c>
      <c r="B352" s="76" t="s">
        <v>1575</v>
      </c>
      <c r="C352" s="76" t="s">
        <v>520</v>
      </c>
      <c r="D352" s="76">
        <v>7</v>
      </c>
      <c r="E352" s="76">
        <v>13434</v>
      </c>
      <c r="F352" s="76">
        <v>157.04900000000001</v>
      </c>
      <c r="G352" s="76">
        <v>-2.6309999999999998</v>
      </c>
      <c r="H352" s="76">
        <v>23.934000000000001</v>
      </c>
      <c r="J352" s="31">
        <f>AVERAGE(G351:G352)</f>
        <v>-2.6589999999999998</v>
      </c>
      <c r="K352" s="31">
        <f>STDEV(G351:G352)</f>
        <v>3.9597979746446695E-2</v>
      </c>
      <c r="L352" s="26"/>
      <c r="M352" s="27">
        <f>AVERAGE(E351:E352)</f>
        <v>13967.5</v>
      </c>
      <c r="N352" s="27">
        <f>STDEV(E351:E352)</f>
        <v>754.48293552604616</v>
      </c>
      <c r="O352" s="28"/>
      <c r="P352" s="29">
        <f>AVERAGE(H351:H352)</f>
        <v>23.9145</v>
      </c>
      <c r="Q352" s="29">
        <f>STDEV(H351:H352)</f>
        <v>2.7577164466276401E-2</v>
      </c>
      <c r="R352" s="28"/>
      <c r="S352" s="29">
        <f>J352-(A352-Standards!$A$121)*Standards!$AA$4</f>
        <v>-2.6002456176470585</v>
      </c>
      <c r="T352" s="29">
        <f>S352-(M352-Standards!$N$121)*Standards!$AA$55</f>
        <v>-2.5993607235294114</v>
      </c>
      <c r="U352" s="29"/>
      <c r="V352" s="28"/>
      <c r="W352" s="29">
        <f>P352-(A352-Standards!$A$121)*Standards!$AL$5</f>
        <v>23.995927235294118</v>
      </c>
      <c r="X352" s="139">
        <f>W352-(M352-Standards!$N$121)*Standards!$AL$54</f>
        <v>23.99380717647059</v>
      </c>
      <c r="Y352" s="78"/>
      <c r="Z352" s="19">
        <f>(T352*Standards!$O$156)+Standards!$O$157</f>
        <v>-2.1094381875632391</v>
      </c>
      <c r="AA352" s="20">
        <f>(X352*Standards!$T$156)+Standards!$T$157</f>
        <v>25.365219235815921</v>
      </c>
    </row>
    <row r="353" spans="1:27" s="117" customFormat="1" ht="24.95" customHeight="1" x14ac:dyDescent="0.25">
      <c r="A353" s="120">
        <v>184</v>
      </c>
      <c r="B353" s="117" t="s">
        <v>1579</v>
      </c>
      <c r="C353" s="117" t="s">
        <v>586</v>
      </c>
      <c r="D353" s="117">
        <v>6</v>
      </c>
      <c r="E353" s="117">
        <v>17561</v>
      </c>
      <c r="F353" s="117">
        <v>194.97800000000001</v>
      </c>
      <c r="G353" s="117">
        <v>3.92</v>
      </c>
      <c r="H353" s="117">
        <v>24.709</v>
      </c>
      <c r="S353" s="76"/>
      <c r="W353" s="76"/>
      <c r="Y353" s="186"/>
      <c r="Z353" s="72"/>
      <c r="AA353" s="73"/>
    </row>
    <row r="354" spans="1:27" s="117" customFormat="1" ht="24.95" customHeight="1" x14ac:dyDescent="0.25">
      <c r="A354" s="120">
        <v>184</v>
      </c>
      <c r="B354" s="117" t="s">
        <v>1579</v>
      </c>
      <c r="C354" s="117" t="s">
        <v>586</v>
      </c>
      <c r="D354" s="117">
        <v>7</v>
      </c>
      <c r="E354" s="117">
        <v>16341</v>
      </c>
      <c r="F354" s="117">
        <v>181.12700000000001</v>
      </c>
      <c r="G354" s="117">
        <v>3.9729999999999999</v>
      </c>
      <c r="H354" s="117">
        <v>24.771000000000001</v>
      </c>
      <c r="J354" s="66">
        <f>AVERAGE(G353:G354)</f>
        <v>3.9464999999999999</v>
      </c>
      <c r="K354" s="66">
        <f>STDEV(G353:G354)</f>
        <v>3.7476659402886976E-2</v>
      </c>
      <c r="L354" s="65"/>
      <c r="M354" s="64">
        <f>AVERAGE(E353:E354)</f>
        <v>16951</v>
      </c>
      <c r="N354" s="64">
        <f>STDEV(E353:E354)</f>
        <v>862.67027304758801</v>
      </c>
      <c r="O354" s="67"/>
      <c r="P354" s="68">
        <f>AVERAGE(H353:H354)</f>
        <v>24.740000000000002</v>
      </c>
      <c r="Q354" s="68">
        <f>STDEV(H353:H354)</f>
        <v>4.384062043356677E-2</v>
      </c>
      <c r="R354" s="67"/>
      <c r="S354" s="29">
        <f>J354-(A354-Standards!$A$121)*Standards!$AA$4</f>
        <v>4.005977382352941</v>
      </c>
      <c r="T354" s="68">
        <f>S354-(M354-Standards!$N$121)*Standards!$AA$55</f>
        <v>3.9782206764705879</v>
      </c>
      <c r="U354" s="68"/>
      <c r="V354" s="67"/>
      <c r="W354" s="29">
        <f>P354-(A354-Standards!$A$121)*Standards!$AL$5</f>
        <v>24.82242923529412</v>
      </c>
      <c r="X354" s="68">
        <f>W354-(M354-Standards!$N$121)*Standards!$AL$54</f>
        <v>24.888929676470589</v>
      </c>
      <c r="Y354" s="189"/>
      <c r="Z354" s="69">
        <f>(T354*Standards!$O$156)+Standards!$O$157</f>
        <v>4.5093193375047651</v>
      </c>
      <c r="AA354" s="70">
        <f>(X354*Standards!$T$156)+Standards!$T$157</f>
        <v>26.255483410085464</v>
      </c>
    </row>
    <row r="355" spans="1:27" s="117" customFormat="1" ht="24.95" customHeight="1" x14ac:dyDescent="0.25">
      <c r="A355" s="120">
        <v>185</v>
      </c>
      <c r="B355" s="117" t="s">
        <v>1585</v>
      </c>
      <c r="C355" s="117" t="s">
        <v>220</v>
      </c>
      <c r="D355" s="117">
        <v>6</v>
      </c>
      <c r="E355" s="117">
        <v>9241</v>
      </c>
      <c r="F355" s="117">
        <v>108.96899999999999</v>
      </c>
      <c r="G355" s="117">
        <v>3.823</v>
      </c>
      <c r="H355" s="117">
        <v>25.202999999999999</v>
      </c>
      <c r="S355" s="76"/>
      <c r="W355" s="76"/>
      <c r="Y355" s="177"/>
      <c r="Z355" s="72"/>
      <c r="AA355" s="73"/>
    </row>
    <row r="356" spans="1:27" s="117" customFormat="1" ht="24.95" customHeight="1" x14ac:dyDescent="0.25">
      <c r="A356" s="120">
        <v>185</v>
      </c>
      <c r="B356" s="117" t="s">
        <v>1585</v>
      </c>
      <c r="C356" s="117" t="s">
        <v>220</v>
      </c>
      <c r="D356" s="117">
        <v>7</v>
      </c>
      <c r="E356" s="117">
        <v>8577</v>
      </c>
      <c r="F356" s="117">
        <v>100.68300000000001</v>
      </c>
      <c r="G356" s="117">
        <v>3.8929999999999998</v>
      </c>
      <c r="H356" s="117">
        <v>25.247</v>
      </c>
      <c r="J356" s="66">
        <f>AVERAGE(G355:G356)</f>
        <v>3.8579999999999997</v>
      </c>
      <c r="K356" s="66">
        <f>STDEV(G355:G356)</f>
        <v>4.9497474683058214E-2</v>
      </c>
      <c r="L356" s="65"/>
      <c r="M356" s="64">
        <f>AVERAGE(E355:E356)</f>
        <v>8909</v>
      </c>
      <c r="N356" s="64">
        <f>STDEV(E355:E356)</f>
        <v>469.51890270786754</v>
      </c>
      <c r="O356" s="67"/>
      <c r="P356" s="68">
        <f>AVERAGE(H355:H356)</f>
        <v>25.225000000000001</v>
      </c>
      <c r="Q356" s="68">
        <f>STDEV(H355:H356)</f>
        <v>3.1112698372208432E-2</v>
      </c>
      <c r="R356" s="67"/>
      <c r="S356" s="29">
        <f>J356-(A356-Standards!$A$121)*Standards!$AA$4</f>
        <v>3.918200382352941</v>
      </c>
      <c r="T356" s="68">
        <f>S356-(M356-Standards!$N$121)*Standards!$AA$55</f>
        <v>3.9676468764705879</v>
      </c>
      <c r="U356" s="68"/>
      <c r="V356" s="67"/>
      <c r="W356" s="29">
        <f>P356-(A356-Standards!$A$121)*Standards!$AL$5</f>
        <v>25.308431235294119</v>
      </c>
      <c r="X356" s="68">
        <f>W356-(M356-Standards!$N$121)*Standards!$AL$54</f>
        <v>25.189965676470589</v>
      </c>
      <c r="Y356" s="189"/>
      <c r="Z356" s="69">
        <f>(T356*Standards!$O$156)+Standards!$O$157</f>
        <v>4.4986793447684432</v>
      </c>
      <c r="AA356" s="70">
        <f>(X356*Standards!$T$156)+Standards!$T$157</f>
        <v>26.554885520931084</v>
      </c>
    </row>
    <row r="357" spans="1:27" ht="24.95" customHeight="1" x14ac:dyDescent="0.25">
      <c r="A357" s="121">
        <v>186</v>
      </c>
      <c r="B357" s="76" t="s">
        <v>1590</v>
      </c>
      <c r="C357" s="76" t="s">
        <v>336</v>
      </c>
      <c r="D357" s="76">
        <v>6</v>
      </c>
      <c r="E357" s="76">
        <v>14534</v>
      </c>
      <c r="F357" s="76">
        <v>162.51400000000001</v>
      </c>
      <c r="G357" s="76">
        <v>-3.0369999999999999</v>
      </c>
      <c r="H357" s="76">
        <v>23.814</v>
      </c>
      <c r="Y357" s="78"/>
      <c r="Z357" s="33"/>
      <c r="AA357" s="34"/>
    </row>
    <row r="358" spans="1:27" ht="24.95" customHeight="1" x14ac:dyDescent="0.25">
      <c r="A358" s="121">
        <v>186</v>
      </c>
      <c r="B358" s="76" t="s">
        <v>1590</v>
      </c>
      <c r="C358" s="76" t="s">
        <v>336</v>
      </c>
      <c r="D358" s="76">
        <v>7</v>
      </c>
      <c r="E358" s="76">
        <v>13441</v>
      </c>
      <c r="F358" s="76">
        <v>150.59200000000001</v>
      </c>
      <c r="G358" s="76">
        <v>-2.9529999999999998</v>
      </c>
      <c r="H358" s="76">
        <v>23.859000000000002</v>
      </c>
      <c r="J358" s="31">
        <f>AVERAGE(G357:G358)</f>
        <v>-2.9950000000000001</v>
      </c>
      <c r="K358" s="31">
        <f>STDEV(G357:G358)</f>
        <v>5.9396969619670045E-2</v>
      </c>
      <c r="L358" s="26"/>
      <c r="M358" s="27">
        <f>AVERAGE(E357:E358)</f>
        <v>13987.5</v>
      </c>
      <c r="N358" s="27">
        <f>STDEV(E357:E358)</f>
        <v>772.86771183689643</v>
      </c>
      <c r="O358" s="28"/>
      <c r="P358" s="29">
        <f>AVERAGE(H357:H358)</f>
        <v>23.836500000000001</v>
      </c>
      <c r="Q358" s="29">
        <f>STDEV(H357:H358)</f>
        <v>3.1819805153395844E-2</v>
      </c>
      <c r="R358" s="28"/>
      <c r="S358" s="29">
        <f>J358-(A358-Standards!$A$121)*Standards!$AA$4</f>
        <v>-2.934076617647059</v>
      </c>
      <c r="T358" s="29">
        <f>S358-(M358-Standards!$N$121)*Standards!$AA$55</f>
        <v>-2.933383723529412</v>
      </c>
      <c r="U358" s="29"/>
      <c r="V358" s="28"/>
      <c r="W358" s="29">
        <f>P358-(A358-Standards!$A$121)*Standards!$AL$5</f>
        <v>23.920933235294118</v>
      </c>
      <c r="X358" s="139">
        <f>W358-(M358-Standards!$N$121)*Standards!$AL$54</f>
        <v>23.91927317647059</v>
      </c>
      <c r="Y358" s="78"/>
      <c r="Z358" s="19">
        <f>(T358*Standards!$O$156)+Standards!$O$157</f>
        <v>-2.4455521951824823</v>
      </c>
      <c r="AA358" s="20">
        <f>(X358*Standards!$T$156)+Standards!$T$157</f>
        <v>25.291089773127847</v>
      </c>
    </row>
    <row r="359" spans="1:27" ht="24.95" customHeight="1" x14ac:dyDescent="0.25">
      <c r="A359" s="121">
        <v>187</v>
      </c>
      <c r="B359" s="76" t="s">
        <v>1595</v>
      </c>
      <c r="C359" s="76" t="s">
        <v>327</v>
      </c>
      <c r="D359" s="76">
        <v>6</v>
      </c>
      <c r="E359" s="76">
        <v>14865</v>
      </c>
      <c r="F359" s="76">
        <v>173.55099999999999</v>
      </c>
      <c r="G359" s="76">
        <v>-3.0720000000000001</v>
      </c>
      <c r="H359" s="76">
        <v>23.773</v>
      </c>
      <c r="Y359" s="78"/>
      <c r="Z359" s="33"/>
      <c r="AA359" s="34"/>
    </row>
    <row r="360" spans="1:27" ht="24.95" customHeight="1" x14ac:dyDescent="0.25">
      <c r="A360" s="121">
        <v>187</v>
      </c>
      <c r="B360" s="76" t="s">
        <v>1595</v>
      </c>
      <c r="C360" s="76" t="s">
        <v>327</v>
      </c>
      <c r="D360" s="76">
        <v>7</v>
      </c>
      <c r="E360" s="76">
        <v>13766</v>
      </c>
      <c r="F360" s="76">
        <v>160.13300000000001</v>
      </c>
      <c r="G360" s="76">
        <v>-3.0129999999999999</v>
      </c>
      <c r="H360" s="76">
        <v>23.815999999999999</v>
      </c>
      <c r="J360" s="31">
        <f>AVERAGE(G359:G360)</f>
        <v>-3.0425</v>
      </c>
      <c r="K360" s="31">
        <f>STDEV(G359:G360)</f>
        <v>4.171930009000642E-2</v>
      </c>
      <c r="L360" s="26"/>
      <c r="M360" s="27">
        <f>AVERAGE(E359:E360)</f>
        <v>14315.5</v>
      </c>
      <c r="N360" s="27">
        <f>STDEV(E359:E360)</f>
        <v>777.11035252401575</v>
      </c>
      <c r="O360" s="28"/>
      <c r="P360" s="29">
        <f>AVERAGE(H359:H360)</f>
        <v>23.794499999999999</v>
      </c>
      <c r="Q360" s="29">
        <f>STDEV(H359:H360)</f>
        <v>3.0405591591021019E-2</v>
      </c>
      <c r="R360" s="28"/>
      <c r="S360" s="29">
        <f>J360-(A360-Standards!$A$121)*Standards!$AA$4</f>
        <v>-2.9808536176470586</v>
      </c>
      <c r="T360" s="29">
        <f>S360-(M360-Standards!$N$121)*Standards!$AA$55</f>
        <v>-2.9833095235294116</v>
      </c>
      <c r="U360" s="29"/>
      <c r="V360" s="28"/>
      <c r="W360" s="29">
        <f>P360-(A360-Standards!$A$121)*Standards!$AL$5</f>
        <v>23.879935235294116</v>
      </c>
      <c r="X360" s="139">
        <f>W360-(M360-Standards!$N$121)*Standards!$AL$54</f>
        <v>23.885819176470587</v>
      </c>
      <c r="Y360" s="78"/>
      <c r="Z360" s="19">
        <f>(T360*Standards!$O$156)+Standards!$O$157</f>
        <v>-2.4957905342237958</v>
      </c>
      <c r="AA360" s="20">
        <f>(X360*Standards!$T$156)+Standards!$T$157</f>
        <v>25.257817346520298</v>
      </c>
    </row>
    <row r="361" spans="1:27" ht="24.95" customHeight="1" x14ac:dyDescent="0.25">
      <c r="A361" s="121">
        <v>188</v>
      </c>
      <c r="B361" s="76" t="s">
        <v>1600</v>
      </c>
      <c r="C361" s="76" t="s">
        <v>840</v>
      </c>
      <c r="D361" s="76">
        <v>6</v>
      </c>
      <c r="E361" s="76">
        <v>16225</v>
      </c>
      <c r="F361" s="76">
        <v>185.971</v>
      </c>
      <c r="G361" s="76">
        <v>-3.8959999999999999</v>
      </c>
      <c r="H361" s="76">
        <v>24.012</v>
      </c>
      <c r="Y361" s="78"/>
      <c r="Z361" s="33"/>
      <c r="AA361" s="34"/>
    </row>
    <row r="362" spans="1:27" ht="24.95" customHeight="1" x14ac:dyDescent="0.25">
      <c r="A362" s="121">
        <v>188</v>
      </c>
      <c r="B362" s="76" t="s">
        <v>1600</v>
      </c>
      <c r="C362" s="76" t="s">
        <v>840</v>
      </c>
      <c r="D362" s="76">
        <v>7</v>
      </c>
      <c r="E362" s="76">
        <v>14906</v>
      </c>
      <c r="F362" s="76">
        <v>171.63900000000001</v>
      </c>
      <c r="G362" s="76">
        <v>-3.863</v>
      </c>
      <c r="H362" s="76">
        <v>24.036000000000001</v>
      </c>
      <c r="J362" s="31">
        <f>AVERAGE(G361:G362)</f>
        <v>-3.8795000000000002</v>
      </c>
      <c r="K362" s="31">
        <f>STDEV(G361:G362)</f>
        <v>2.333452377915601E-2</v>
      </c>
      <c r="L362" s="26"/>
      <c r="M362" s="27">
        <f>AVERAGE(E361:E362)</f>
        <v>15565.5</v>
      </c>
      <c r="N362" s="27">
        <f>STDEV(E361:E362)</f>
        <v>932.67384438505621</v>
      </c>
      <c r="O362" s="28"/>
      <c r="P362" s="29">
        <f>AVERAGE(H361:H362)</f>
        <v>24.024000000000001</v>
      </c>
      <c r="Q362" s="29">
        <f>STDEV(H361:H362)</f>
        <v>1.6970562748477785E-2</v>
      </c>
      <c r="R362" s="28"/>
      <c r="S362" s="29">
        <f>J362-(A362-Standards!$A$121)*Standards!$AA$4</f>
        <v>-3.817130617647059</v>
      </c>
      <c r="T362" s="29">
        <f>S362-(M362-Standards!$N$121)*Standards!$AA$55</f>
        <v>-3.831586523529412</v>
      </c>
      <c r="U362" s="29"/>
      <c r="V362" s="28"/>
      <c r="W362" s="29">
        <f>P362-(A362-Standards!$A$121)*Standards!$AL$5</f>
        <v>24.110437235294118</v>
      </c>
      <c r="X362" s="139">
        <f>W362-(M362-Standards!$N$121)*Standards!$AL$54</f>
        <v>24.145071176470587</v>
      </c>
      <c r="Y362" s="78"/>
      <c r="Z362" s="19">
        <f>(T362*Standards!$O$156)+Standards!$O$157</f>
        <v>-3.3493778082774646</v>
      </c>
      <c r="AA362" s="20">
        <f>(X362*Standards!$T$156)+Standards!$T$157</f>
        <v>25.515662242283423</v>
      </c>
    </row>
    <row r="363" spans="1:27" ht="24.95" customHeight="1" x14ac:dyDescent="0.25">
      <c r="A363" s="121">
        <v>189</v>
      </c>
      <c r="B363" s="76" t="s">
        <v>1604</v>
      </c>
      <c r="C363" s="76" t="s">
        <v>1087</v>
      </c>
      <c r="D363" s="76">
        <v>6</v>
      </c>
      <c r="E363" s="76">
        <v>15591</v>
      </c>
      <c r="F363" s="76">
        <v>178.80500000000001</v>
      </c>
      <c r="G363" s="76">
        <v>-3.5619999999999998</v>
      </c>
      <c r="H363" s="76">
        <v>23.933</v>
      </c>
      <c r="Y363" s="78"/>
      <c r="Z363" s="33"/>
      <c r="AA363" s="34"/>
    </row>
    <row r="364" spans="1:27" ht="24.95" customHeight="1" x14ac:dyDescent="0.25">
      <c r="A364" s="121">
        <v>189</v>
      </c>
      <c r="B364" s="76" t="s">
        <v>1604</v>
      </c>
      <c r="C364" s="76" t="s">
        <v>1087</v>
      </c>
      <c r="D364" s="76">
        <v>7</v>
      </c>
      <c r="E364" s="76">
        <v>14614</v>
      </c>
      <c r="F364" s="76">
        <v>166.119</v>
      </c>
      <c r="G364" s="76">
        <v>-3.536</v>
      </c>
      <c r="H364" s="76">
        <v>24.016999999999999</v>
      </c>
      <c r="J364" s="31">
        <f>AVERAGE(G363:G364)</f>
        <v>-3.5489999999999999</v>
      </c>
      <c r="K364" s="31">
        <f>STDEV(G363:G364)</f>
        <v>1.8384776310850094E-2</v>
      </c>
      <c r="L364" s="26"/>
      <c r="M364" s="27">
        <f>AVERAGE(E363:E364)</f>
        <v>15102.5</v>
      </c>
      <c r="N364" s="27">
        <f>STDEV(E363:E364)</f>
        <v>690.84332521925694</v>
      </c>
      <c r="O364" s="28"/>
      <c r="P364" s="29">
        <f>AVERAGE(H363:H364)</f>
        <v>23.975000000000001</v>
      </c>
      <c r="Q364" s="29">
        <f>STDEV(H363:H364)</f>
        <v>5.9396969619669733E-2</v>
      </c>
      <c r="R364" s="28"/>
      <c r="S364" s="29">
        <f>J364-(A364-Standards!$A$121)*Standards!$AA$4</f>
        <v>-3.4859076176470589</v>
      </c>
      <c r="T364" s="29">
        <f>S364-(M364-Standards!$N$121)*Standards!$AA$55</f>
        <v>-3.495918723529412</v>
      </c>
      <c r="U364" s="29"/>
      <c r="V364" s="28"/>
      <c r="W364" s="29">
        <f>P364-(A364-Standards!$A$121)*Standards!$AL$5</f>
        <v>24.062439235294118</v>
      </c>
      <c r="X364" s="139">
        <f>W364-(M364-Standards!$N$121)*Standards!$AL$54</f>
        <v>24.08642417647059</v>
      </c>
      <c r="Y364" s="78"/>
      <c r="Z364" s="19">
        <f>(T364*Standards!$O$156)+Standards!$O$157</f>
        <v>-3.0116087040938173</v>
      </c>
      <c r="AA364" s="20">
        <f>(X364*Standards!$T$156)+Standards!$T$157</f>
        <v>25.45733355204451</v>
      </c>
    </row>
    <row r="365" spans="1:27" ht="24.95" customHeight="1" x14ac:dyDescent="0.25">
      <c r="A365" s="121">
        <v>190</v>
      </c>
      <c r="B365" s="76" t="s">
        <v>1610</v>
      </c>
      <c r="C365" s="76" t="s">
        <v>428</v>
      </c>
      <c r="D365" s="76">
        <v>6</v>
      </c>
      <c r="E365" s="76">
        <v>11949</v>
      </c>
      <c r="F365" s="76">
        <v>140.70599999999999</v>
      </c>
      <c r="G365" s="76">
        <v>-2.8290000000000002</v>
      </c>
      <c r="H365" s="76">
        <v>24.266999999999999</v>
      </c>
      <c r="Y365" s="78"/>
      <c r="Z365" s="33"/>
      <c r="AA365" s="34"/>
    </row>
    <row r="366" spans="1:27" ht="24.95" customHeight="1" x14ac:dyDescent="0.25">
      <c r="A366" s="121">
        <v>190</v>
      </c>
      <c r="B366" s="76" t="s">
        <v>1610</v>
      </c>
      <c r="C366" s="76" t="s">
        <v>428</v>
      </c>
      <c r="D366" s="76">
        <v>7</v>
      </c>
      <c r="E366" s="76">
        <v>11060</v>
      </c>
      <c r="F366" s="76">
        <v>130.12799999999999</v>
      </c>
      <c r="G366" s="76">
        <v>-2.76</v>
      </c>
      <c r="H366" s="76">
        <v>24.286000000000001</v>
      </c>
      <c r="J366" s="31">
        <f>AVERAGE(G365:G366)</f>
        <v>-2.7945000000000002</v>
      </c>
      <c r="K366" s="31">
        <f>STDEV(G365:G366)</f>
        <v>4.8790367901872064E-2</v>
      </c>
      <c r="L366" s="26"/>
      <c r="M366" s="27">
        <f>AVERAGE(E365:E366)</f>
        <v>11504.5</v>
      </c>
      <c r="N366" s="27">
        <f>STDEV(E365:E366)</f>
        <v>628.61792847484071</v>
      </c>
      <c r="O366" s="28"/>
      <c r="P366" s="29">
        <f>AVERAGE(H365:H366)</f>
        <v>24.276499999999999</v>
      </c>
      <c r="Q366" s="29">
        <f>STDEV(H365:H366)</f>
        <v>1.343502884254575E-2</v>
      </c>
      <c r="R366" s="28"/>
      <c r="S366" s="29">
        <f>J366-(A366-Standards!$A$121)*Standards!$AA$4</f>
        <v>-2.7306846176470589</v>
      </c>
      <c r="T366" s="29">
        <f>S366-(M366-Standards!$N$121)*Standards!$AA$55</f>
        <v>-2.7061549235294118</v>
      </c>
      <c r="U366" s="29"/>
      <c r="V366" s="28"/>
      <c r="W366" s="29">
        <f>P366-(A366-Standards!$A$121)*Standards!$AL$5</f>
        <v>24.364941235294115</v>
      </c>
      <c r="X366" s="139">
        <f>W366-(M366-Standards!$N$121)*Standards!$AL$54</f>
        <v>24.306172176470586</v>
      </c>
      <c r="Y366" s="78"/>
      <c r="Z366" s="19">
        <f>(T366*Standards!$O$156)+Standards!$O$157</f>
        <v>-2.2169009268132043</v>
      </c>
      <c r="AA366" s="20">
        <f>(X366*Standards!$T$156)+Standards!$T$157</f>
        <v>25.675888857901953</v>
      </c>
    </row>
    <row r="367" spans="1:27" ht="24.95" customHeight="1" x14ac:dyDescent="0.25">
      <c r="A367" s="121">
        <v>191</v>
      </c>
      <c r="B367" s="76" t="s">
        <v>1616</v>
      </c>
      <c r="C367" s="76" t="s">
        <v>503</v>
      </c>
      <c r="D367" s="76">
        <v>6</v>
      </c>
      <c r="E367" s="76">
        <v>15881</v>
      </c>
      <c r="F367" s="76">
        <v>180.23599999999999</v>
      </c>
      <c r="G367" s="76">
        <v>-2.5030000000000001</v>
      </c>
      <c r="H367" s="76">
        <v>23.992999999999999</v>
      </c>
      <c r="Y367" s="78"/>
      <c r="Z367" s="33"/>
      <c r="AA367" s="34"/>
    </row>
    <row r="368" spans="1:27" ht="24.95" customHeight="1" x14ac:dyDescent="0.25">
      <c r="A368" s="121">
        <v>191</v>
      </c>
      <c r="B368" s="76" t="s">
        <v>1616</v>
      </c>
      <c r="C368" s="76" t="s">
        <v>503</v>
      </c>
      <c r="D368" s="76">
        <v>7</v>
      </c>
      <c r="E368" s="76">
        <v>14936</v>
      </c>
      <c r="F368" s="76">
        <v>167.94399999999999</v>
      </c>
      <c r="G368" s="76">
        <v>-2.4159999999999999</v>
      </c>
      <c r="H368" s="76">
        <v>23.986000000000001</v>
      </c>
      <c r="J368" s="31">
        <f>AVERAGE(G367:G368)</f>
        <v>-2.4595000000000002</v>
      </c>
      <c r="K368" s="31">
        <f>STDEV(G367:G368)</f>
        <v>6.1518289963229764E-2</v>
      </c>
      <c r="L368" s="26"/>
      <c r="M368" s="27">
        <f>AVERAGE(E367:E368)</f>
        <v>15408.5</v>
      </c>
      <c r="N368" s="27">
        <f>STDEV(E367:E368)</f>
        <v>668.21590822128746</v>
      </c>
      <c r="O368" s="28"/>
      <c r="P368" s="29">
        <f>AVERAGE(H367:H368)</f>
        <v>23.9895</v>
      </c>
      <c r="Q368" s="29">
        <f>STDEV(H367:H368)</f>
        <v>4.9497474683043458E-3</v>
      </c>
      <c r="R368" s="28"/>
      <c r="S368" s="29">
        <f>J368-(A368-Standards!$A$121)*Standards!$AA$4</f>
        <v>-2.3949616176470592</v>
      </c>
      <c r="T368" s="29">
        <f>S368-(M368-Standards!$N$121)*Standards!$AA$55</f>
        <v>-2.4079103235294119</v>
      </c>
      <c r="U368" s="29"/>
      <c r="V368" s="28"/>
      <c r="W368" s="29">
        <f>P368-(A368-Standards!$A$121)*Standards!$AL$5</f>
        <v>24.078943235294116</v>
      </c>
      <c r="X368" s="139">
        <f>W368-(M368-Standards!$N$121)*Standards!$AL$54</f>
        <v>24.109966176470586</v>
      </c>
      <c r="Y368" s="78"/>
      <c r="Z368" s="19">
        <f>(T368*Standards!$O$156)+Standards!$O$157</f>
        <v>-1.9167892945100453</v>
      </c>
      <c r="AA368" s="20">
        <f>(X368*Standards!$T$156)+Standards!$T$157</f>
        <v>25.480747776567576</v>
      </c>
    </row>
    <row r="369" spans="1:27" ht="24.95" customHeight="1" x14ac:dyDescent="0.25">
      <c r="A369" s="121">
        <v>192</v>
      </c>
      <c r="B369" s="76" t="s">
        <v>1621</v>
      </c>
      <c r="C369" s="76" t="s">
        <v>432</v>
      </c>
      <c r="D369" s="76">
        <v>6</v>
      </c>
      <c r="E369" s="76">
        <v>12780</v>
      </c>
      <c r="F369" s="76">
        <v>150.654</v>
      </c>
      <c r="G369" s="76">
        <v>-2.6779999999999999</v>
      </c>
      <c r="H369" s="76">
        <v>23.856999999999999</v>
      </c>
      <c r="Y369" s="78"/>
      <c r="Z369" s="33"/>
      <c r="AA369" s="34"/>
    </row>
    <row r="370" spans="1:27" ht="24.95" customHeight="1" x14ac:dyDescent="0.25">
      <c r="A370" s="121">
        <v>192</v>
      </c>
      <c r="B370" s="76" t="s">
        <v>1621</v>
      </c>
      <c r="C370" s="76" t="s">
        <v>432</v>
      </c>
      <c r="D370" s="76">
        <v>7</v>
      </c>
      <c r="E370" s="76">
        <v>11865</v>
      </c>
      <c r="F370" s="76">
        <v>139.506</v>
      </c>
      <c r="G370" s="76">
        <v>-2.6269999999999998</v>
      </c>
      <c r="H370" s="76">
        <v>23.925000000000001</v>
      </c>
      <c r="J370" s="31">
        <f>AVERAGE(G369:G370)</f>
        <v>-2.6524999999999999</v>
      </c>
      <c r="K370" s="31">
        <f>STDEV(G369:G370)</f>
        <v>3.6062445840514032E-2</v>
      </c>
      <c r="L370" s="26"/>
      <c r="M370" s="27">
        <f>AVERAGE(E369:E370)</f>
        <v>12322.5</v>
      </c>
      <c r="N370" s="27">
        <f>STDEV(E369:E370)</f>
        <v>647.00270478569098</v>
      </c>
      <c r="O370" s="28"/>
      <c r="P370" s="29">
        <f>AVERAGE(H369:H370)</f>
        <v>23.890999999999998</v>
      </c>
      <c r="Q370" s="29">
        <f>STDEV(H369:H370)</f>
        <v>4.808326112068622E-2</v>
      </c>
      <c r="R370" s="28"/>
      <c r="S370" s="29">
        <f>J370-(A370-Standards!$A$121)*Standards!$AA$4</f>
        <v>-2.5872386176470585</v>
      </c>
      <c r="T370" s="29">
        <f>S370-(M370-Standards!$N$121)*Standards!$AA$55</f>
        <v>-2.5705617235294116</v>
      </c>
      <c r="U370" s="29"/>
      <c r="V370" s="28"/>
      <c r="W370" s="29">
        <f>P370-(A370-Standards!$A$121)*Standards!$AL$5</f>
        <v>23.981445235294117</v>
      </c>
      <c r="X370" s="139">
        <f>W370-(M370-Standards!$N$121)*Standards!$AL$54</f>
        <v>23.941490176470587</v>
      </c>
      <c r="Y370" s="78"/>
      <c r="Z370" s="19">
        <f>(T370*Standards!$O$156)+Standards!$O$157</f>
        <v>-2.0804589037850962</v>
      </c>
      <c r="AA370" s="20">
        <f>(X370*Standards!$T$156)+Standards!$T$157</f>
        <v>25.313186189160003</v>
      </c>
    </row>
    <row r="371" spans="1:27" ht="24.95" customHeight="1" x14ac:dyDescent="0.25">
      <c r="A371" s="121">
        <v>193</v>
      </c>
      <c r="B371" s="76" t="s">
        <v>1627</v>
      </c>
      <c r="C371" s="76" t="s">
        <v>1628</v>
      </c>
      <c r="D371" s="76">
        <v>6</v>
      </c>
      <c r="E371" s="76">
        <v>9053</v>
      </c>
      <c r="F371" s="76">
        <v>102.25</v>
      </c>
      <c r="G371" s="76">
        <v>-2.907</v>
      </c>
      <c r="H371" s="76">
        <v>24.029</v>
      </c>
      <c r="Y371" s="78"/>
      <c r="Z371" s="33"/>
      <c r="AA371" s="34"/>
    </row>
    <row r="372" spans="1:27" ht="24.95" customHeight="1" x14ac:dyDescent="0.25">
      <c r="A372" s="121">
        <v>193</v>
      </c>
      <c r="B372" s="76" t="s">
        <v>1627</v>
      </c>
      <c r="C372" s="76" t="s">
        <v>1628</v>
      </c>
      <c r="D372" s="76">
        <v>7</v>
      </c>
      <c r="E372" s="76">
        <v>8496</v>
      </c>
      <c r="F372" s="76">
        <v>95.260999999999996</v>
      </c>
      <c r="G372" s="76">
        <v>-2.8210000000000002</v>
      </c>
      <c r="H372" s="76">
        <v>24.053999999999998</v>
      </c>
      <c r="J372" s="31">
        <f>AVERAGE(G371:G372)</f>
        <v>-2.8639999999999999</v>
      </c>
      <c r="K372" s="31">
        <f>STDEV(G371:G372)</f>
        <v>6.0811183182042983E-2</v>
      </c>
      <c r="L372" s="26"/>
      <c r="M372" s="27">
        <f>AVERAGE(E371:E372)</f>
        <v>8774.5</v>
      </c>
      <c r="N372" s="27">
        <f>STDEV(E371:E372)</f>
        <v>393.85847712090697</v>
      </c>
      <c r="O372" s="28"/>
      <c r="P372" s="29">
        <f>AVERAGE(H371:H372)</f>
        <v>24.041499999999999</v>
      </c>
      <c r="Q372" s="29">
        <f>STDEV(H371:H372)</f>
        <v>1.7677669529662685E-2</v>
      </c>
      <c r="R372" s="28"/>
      <c r="S372" s="29">
        <f>J372-(A372-Standards!$A$121)*Standards!$AA$4</f>
        <v>-2.7980156176470588</v>
      </c>
      <c r="T372" s="29">
        <f>S372-(M372-Standards!$N$121)*Standards!$AA$55</f>
        <v>-2.7472779235294116</v>
      </c>
      <c r="U372" s="29"/>
      <c r="V372" s="28"/>
      <c r="W372" s="29">
        <f>P372-(A372-Standards!$A$121)*Standards!$AL$5</f>
        <v>24.132947235294118</v>
      </c>
      <c r="X372" s="139">
        <f>W372-(M372-Standards!$N$121)*Standards!$AL$54</f>
        <v>24.011388176470589</v>
      </c>
      <c r="Y372" s="78"/>
      <c r="Z372" s="19">
        <f>(T372*Standards!$O$156)+Standards!$O$157</f>
        <v>-2.2582813597035321</v>
      </c>
      <c r="AA372" s="20">
        <f>(X372*Standards!$T$156)+Standards!$T$157</f>
        <v>25.382704813988557</v>
      </c>
    </row>
    <row r="373" spans="1:27" ht="24.95" customHeight="1" x14ac:dyDescent="0.25">
      <c r="A373" s="121">
        <v>194</v>
      </c>
      <c r="B373" s="76" t="s">
        <v>1633</v>
      </c>
      <c r="C373" s="76" t="s">
        <v>1628</v>
      </c>
      <c r="D373" s="76">
        <v>6</v>
      </c>
      <c r="E373" s="76">
        <v>8511</v>
      </c>
      <c r="F373" s="76">
        <v>100.49299999999999</v>
      </c>
      <c r="G373" s="76">
        <v>-2.915</v>
      </c>
      <c r="H373" s="76">
        <v>23.928999999999998</v>
      </c>
      <c r="Y373" s="78"/>
      <c r="Z373" s="33"/>
      <c r="AA373" s="34"/>
    </row>
    <row r="374" spans="1:27" ht="24.95" customHeight="1" x14ac:dyDescent="0.25">
      <c r="A374" s="121">
        <v>194</v>
      </c>
      <c r="B374" s="76" t="s">
        <v>1633</v>
      </c>
      <c r="C374" s="76" t="s">
        <v>1628</v>
      </c>
      <c r="D374" s="76">
        <v>7</v>
      </c>
      <c r="E374" s="76">
        <v>7907</v>
      </c>
      <c r="F374" s="76">
        <v>93.019000000000005</v>
      </c>
      <c r="G374" s="76">
        <v>-2.9119999999999999</v>
      </c>
      <c r="H374" s="76">
        <v>23.891999999999999</v>
      </c>
      <c r="J374" s="31">
        <f>AVERAGE(G373:G374)</f>
        <v>-2.9135</v>
      </c>
      <c r="K374" s="31">
        <f>STDEV(G373:G374)</f>
        <v>2.1213203435597231E-3</v>
      </c>
      <c r="L374" s="26"/>
      <c r="M374" s="27">
        <f>AVERAGE(E373:E374)</f>
        <v>8209</v>
      </c>
      <c r="N374" s="27">
        <f>STDEV(E373:E374)</f>
        <v>427.09249583667469</v>
      </c>
      <c r="O374" s="28"/>
      <c r="P374" s="29">
        <f>AVERAGE(H373:H374)</f>
        <v>23.910499999999999</v>
      </c>
      <c r="Q374" s="29">
        <f>STDEV(H373:H374)</f>
        <v>2.6162950903901576E-2</v>
      </c>
      <c r="R374" s="28"/>
      <c r="S374" s="29">
        <f>J374-(A374-Standards!$A$121)*Standards!$AA$4</f>
        <v>-2.8467926176470586</v>
      </c>
      <c r="T374" s="29">
        <f>S374-(M374-Standards!$N$121)*Standards!$AA$55</f>
        <v>-2.7906261235294116</v>
      </c>
      <c r="U374" s="29"/>
      <c r="V374" s="28"/>
      <c r="W374" s="29">
        <f>P374-(A374-Standards!$A$121)*Standards!$AL$5</f>
        <v>24.002949235294118</v>
      </c>
      <c r="X374" s="139">
        <f>W374-(M374-Standards!$N$121)*Standards!$AL$54</f>
        <v>23.868383676470589</v>
      </c>
      <c r="Y374" s="78"/>
      <c r="Z374" s="19">
        <f>(T374*Standards!$O$156)+Standards!$O$157</f>
        <v>-2.3019009225033407</v>
      </c>
      <c r="AA374" s="20">
        <f>(X374*Standards!$T$156)+Standards!$T$157</f>
        <v>25.240476478638556</v>
      </c>
    </row>
    <row r="375" spans="1:27" ht="24.95" customHeight="1" x14ac:dyDescent="0.25">
      <c r="A375" s="121">
        <v>195</v>
      </c>
      <c r="B375" s="76" t="s">
        <v>1638</v>
      </c>
      <c r="C375" s="76" t="s">
        <v>1498</v>
      </c>
      <c r="D375" s="76">
        <v>6</v>
      </c>
      <c r="E375" s="76">
        <v>11665</v>
      </c>
      <c r="F375" s="76">
        <v>130.87</v>
      </c>
      <c r="G375" s="76">
        <v>-3.5649999999999999</v>
      </c>
      <c r="H375" s="76">
        <v>24.193000000000001</v>
      </c>
      <c r="Y375" s="78"/>
      <c r="Z375" s="33"/>
      <c r="AA375" s="34"/>
    </row>
    <row r="376" spans="1:27" ht="24.95" customHeight="1" x14ac:dyDescent="0.25">
      <c r="A376" s="121">
        <v>195</v>
      </c>
      <c r="B376" s="76" t="s">
        <v>1638</v>
      </c>
      <c r="C376" s="76" t="s">
        <v>1498</v>
      </c>
      <c r="D376" s="76">
        <v>7</v>
      </c>
      <c r="E376" s="76">
        <v>10803</v>
      </c>
      <c r="F376" s="76">
        <v>121.35</v>
      </c>
      <c r="G376" s="76">
        <v>-3.516</v>
      </c>
      <c r="H376" s="76">
        <v>24.196999999999999</v>
      </c>
      <c r="J376" s="31">
        <f>AVERAGE(G375:G376)</f>
        <v>-3.5404999999999998</v>
      </c>
      <c r="K376" s="31">
        <f>STDEV(G375:G376)</f>
        <v>3.4648232278140782E-2</v>
      </c>
      <c r="L376" s="26"/>
      <c r="M376" s="27">
        <f>AVERAGE(E375:E376)</f>
        <v>11234</v>
      </c>
      <c r="N376" s="27">
        <f>STDEV(E375:E376)</f>
        <v>609.526045382804</v>
      </c>
      <c r="O376" s="28"/>
      <c r="P376" s="29">
        <f>AVERAGE(H375:H376)</f>
        <v>24.195</v>
      </c>
      <c r="Q376" s="29">
        <f>STDEV(H375:H376)</f>
        <v>2.8284271247446227E-3</v>
      </c>
      <c r="R376" s="28"/>
      <c r="S376" s="29">
        <f>J376-(A376-Standards!$A$121)*Standards!$AA$4</f>
        <v>-3.4730696176470586</v>
      </c>
      <c r="T376" s="29">
        <f>S376-(M376-Standards!$N$121)*Standards!$AA$55</f>
        <v>-3.4459431235294113</v>
      </c>
      <c r="U376" s="29"/>
      <c r="V376" s="28"/>
      <c r="W376" s="29">
        <f>P376-(A376-Standards!$A$121)*Standards!$AL$5</f>
        <v>24.288451235294119</v>
      </c>
      <c r="X376" s="139">
        <f>W376-(M376-Standards!$N$121)*Standards!$AL$54</f>
        <v>24.223460676470591</v>
      </c>
      <c r="Y376" s="78"/>
      <c r="Z376" s="19">
        <f>(T376*Standards!$O$156)+Standards!$O$157</f>
        <v>-2.9613202533009781</v>
      </c>
      <c r="AA376" s="20">
        <f>(X376*Standards!$T$156)+Standards!$T$157</f>
        <v>25.593626279036947</v>
      </c>
    </row>
    <row r="377" spans="1:27" s="117" customFormat="1" ht="24.95" customHeight="1" x14ac:dyDescent="0.25">
      <c r="A377" s="120">
        <v>196</v>
      </c>
      <c r="B377" s="117" t="s">
        <v>1642</v>
      </c>
      <c r="C377" s="117" t="s">
        <v>1643</v>
      </c>
      <c r="D377" s="117">
        <v>6</v>
      </c>
      <c r="E377" s="117">
        <v>16308</v>
      </c>
      <c r="F377" s="117">
        <v>190.09</v>
      </c>
      <c r="G377" s="117">
        <v>3.9239999999999999</v>
      </c>
      <c r="H377" s="117">
        <v>25.181000000000001</v>
      </c>
      <c r="S377" s="76"/>
      <c r="W377" s="76"/>
      <c r="Y377" s="177"/>
      <c r="Z377" s="72"/>
      <c r="AA377" s="73"/>
    </row>
    <row r="378" spans="1:27" s="117" customFormat="1" ht="24.95" customHeight="1" x14ac:dyDescent="0.25">
      <c r="A378" s="120">
        <v>196</v>
      </c>
      <c r="B378" s="117" t="s">
        <v>1642</v>
      </c>
      <c r="C378" s="117" t="s">
        <v>1643</v>
      </c>
      <c r="D378" s="117">
        <v>7</v>
      </c>
      <c r="E378" s="117">
        <v>15115</v>
      </c>
      <c r="F378" s="117">
        <v>175.61199999999999</v>
      </c>
      <c r="G378" s="117">
        <v>3.9929999999999999</v>
      </c>
      <c r="H378" s="117">
        <v>25.193999999999999</v>
      </c>
      <c r="J378" s="66">
        <f>AVERAGE(G377:G378)</f>
        <v>3.9584999999999999</v>
      </c>
      <c r="K378" s="66">
        <f>STDEV(G377:G378)</f>
        <v>4.8790367901871745E-2</v>
      </c>
      <c r="L378" s="65"/>
      <c r="M378" s="64">
        <f>AVERAGE(E377:E378)</f>
        <v>15711.5</v>
      </c>
      <c r="N378" s="64">
        <f>STDEV(E377:E378)</f>
        <v>843.57838995555119</v>
      </c>
      <c r="O378" s="67"/>
      <c r="P378" s="68">
        <f>AVERAGE(H377:H378)</f>
        <v>25.1875</v>
      </c>
      <c r="Q378" s="68">
        <f>STDEV(H377:H378)</f>
        <v>9.1923881554237911E-3</v>
      </c>
      <c r="R378" s="67"/>
      <c r="S378" s="29">
        <f>J378-(A378-Standards!$A$121)*Standards!$AA$4</f>
        <v>4.0266533823529409</v>
      </c>
      <c r="T378" s="68">
        <f>S378-(M378-Standards!$N$121)*Standards!$AA$55</f>
        <v>4.0107958764705876</v>
      </c>
      <c r="U378" s="68"/>
      <c r="V378" s="67"/>
      <c r="W378" s="29">
        <f>P378-(A378-Standards!$A$121)*Standards!$AL$5</f>
        <v>25.281953235294118</v>
      </c>
      <c r="X378" s="68">
        <f>W378-(M378-Standards!$N$121)*Standards!$AL$54</f>
        <v>25.31994517647059</v>
      </c>
      <c r="Y378" s="189"/>
      <c r="Z378" s="69">
        <f>(T378*Standards!$O$156)+Standards!$O$157</f>
        <v>4.5420984605621539</v>
      </c>
      <c r="AA378" s="70">
        <f>(X378*Standards!$T$156)+Standards!$T$157</f>
        <v>26.684159550172296</v>
      </c>
    </row>
    <row r="379" spans="1:27" s="117" customFormat="1" ht="24.95" customHeight="1" x14ac:dyDescent="0.25">
      <c r="A379" s="120">
        <v>197</v>
      </c>
      <c r="B379" s="117" t="s">
        <v>1647</v>
      </c>
      <c r="C379" s="117" t="s">
        <v>403</v>
      </c>
      <c r="D379" s="117">
        <v>6</v>
      </c>
      <c r="E379" s="117">
        <v>14207</v>
      </c>
      <c r="F379" s="117">
        <v>160.464</v>
      </c>
      <c r="G379" s="117">
        <v>3.8849999999999998</v>
      </c>
      <c r="H379" s="117">
        <v>25.135999999999999</v>
      </c>
      <c r="S379" s="76"/>
      <c r="W379" s="76"/>
      <c r="Y379" s="177"/>
      <c r="Z379" s="72"/>
      <c r="AA379" s="73"/>
    </row>
    <row r="380" spans="1:27" s="117" customFormat="1" ht="24.95" customHeight="1" x14ac:dyDescent="0.25">
      <c r="A380" s="120">
        <v>197</v>
      </c>
      <c r="B380" s="117" t="s">
        <v>1647</v>
      </c>
      <c r="C380" s="117" t="s">
        <v>403</v>
      </c>
      <c r="D380" s="117">
        <v>7</v>
      </c>
      <c r="E380" s="117">
        <v>13031</v>
      </c>
      <c r="F380" s="117">
        <v>147.99</v>
      </c>
      <c r="G380" s="117">
        <v>3.9449999999999998</v>
      </c>
      <c r="H380" s="117">
        <v>25.161000000000001</v>
      </c>
      <c r="J380" s="66">
        <f>AVERAGE(G379:G380)</f>
        <v>3.915</v>
      </c>
      <c r="K380" s="66">
        <f>STDEV(G379:G380)</f>
        <v>4.2426406871192889E-2</v>
      </c>
      <c r="L380" s="65"/>
      <c r="M380" s="64">
        <f>AVERAGE(E379:E380)</f>
        <v>13619</v>
      </c>
      <c r="N380" s="64">
        <f>STDEV(E379:E380)</f>
        <v>831.5575746753799</v>
      </c>
      <c r="O380" s="67"/>
      <c r="P380" s="68">
        <f>AVERAGE(H379:H380)</f>
        <v>25.148499999999999</v>
      </c>
      <c r="Q380" s="68">
        <f>STDEV(H379:H380)</f>
        <v>1.7677669529665197E-2</v>
      </c>
      <c r="R380" s="67"/>
      <c r="S380" s="29">
        <f>J380-(A380-Standards!$A$121)*Standards!$AA$4</f>
        <v>3.9838763823529413</v>
      </c>
      <c r="T380" s="68">
        <f>S380-(M380-Standards!$N$121)*Standards!$AA$55</f>
        <v>3.9881068764705883</v>
      </c>
      <c r="U380" s="68"/>
      <c r="V380" s="67"/>
      <c r="W380" s="29">
        <f>P380-(A380-Standards!$A$121)*Standards!$AL$5</f>
        <v>25.243955235294116</v>
      </c>
      <c r="X380" s="68">
        <f>W380-(M380-Standards!$N$121)*Standards!$AL$54</f>
        <v>25.233819676470588</v>
      </c>
      <c r="Y380" s="189"/>
      <c r="Z380" s="69">
        <f>(T380*Standards!$O$156)+Standards!$O$157</f>
        <v>4.5192674258164249</v>
      </c>
      <c r="AA380" s="70">
        <f>(X380*Standards!$T$156)+Standards!$T$157</f>
        <v>26.598501500976738</v>
      </c>
    </row>
    <row r="381" spans="1:27" ht="24.95" customHeight="1" x14ac:dyDescent="0.25">
      <c r="A381" s="121">
        <v>198</v>
      </c>
      <c r="B381" s="76" t="s">
        <v>1651</v>
      </c>
      <c r="C381" s="76" t="s">
        <v>1219</v>
      </c>
      <c r="D381" s="76">
        <v>6</v>
      </c>
      <c r="E381" s="76">
        <v>11529</v>
      </c>
      <c r="F381" s="76">
        <v>134.70400000000001</v>
      </c>
      <c r="G381" s="76">
        <v>-3.1640000000000001</v>
      </c>
      <c r="H381" s="76">
        <v>24.335999999999999</v>
      </c>
      <c r="Y381" s="78"/>
      <c r="Z381" s="33"/>
      <c r="AA381" s="34"/>
    </row>
    <row r="382" spans="1:27" ht="24.95" customHeight="1" thickBot="1" x14ac:dyDescent="0.3">
      <c r="A382" s="121">
        <v>198</v>
      </c>
      <c r="B382" s="76" t="s">
        <v>1651</v>
      </c>
      <c r="C382" s="76" t="s">
        <v>1219</v>
      </c>
      <c r="D382" s="76">
        <v>7</v>
      </c>
      <c r="E382" s="76">
        <v>10702</v>
      </c>
      <c r="F382" s="76">
        <v>124.578</v>
      </c>
      <c r="G382" s="76">
        <v>-3.14</v>
      </c>
      <c r="H382" s="76">
        <v>24.332999999999998</v>
      </c>
      <c r="J382" s="31">
        <f>AVERAGE(G381:G382)</f>
        <v>-3.1520000000000001</v>
      </c>
      <c r="K382" s="31">
        <f>STDEV(G381:G382)</f>
        <v>1.6970562748477157E-2</v>
      </c>
      <c r="L382" s="26"/>
      <c r="M382" s="27">
        <f>AVERAGE(E381:E382)</f>
        <v>11115.5</v>
      </c>
      <c r="N382" s="27">
        <f>STDEV(E381:E382)</f>
        <v>584.77730804127475</v>
      </c>
      <c r="O382" s="28"/>
      <c r="P382" s="29">
        <f>AVERAGE(H381:H382)</f>
        <v>24.334499999999998</v>
      </c>
      <c r="Q382" s="29">
        <f>STDEV(H381:H382)</f>
        <v>2.1213203435597231E-3</v>
      </c>
      <c r="R382" s="28"/>
      <c r="S382" s="29">
        <f>J382-(A382-Standards!$A$121)*Standards!$AA$4</f>
        <v>-3.0824006176470591</v>
      </c>
      <c r="T382" s="29">
        <f>S382-(M382-Standards!$N$121)*Standards!$AA$55</f>
        <v>-3.054136523529412</v>
      </c>
      <c r="U382" s="29"/>
      <c r="V382" s="28"/>
      <c r="W382" s="29">
        <f>P382-(A382-Standards!$A$121)*Standards!$AL$5</f>
        <v>24.430957235294116</v>
      </c>
      <c r="X382" s="139">
        <f>W382-(M382-Standards!$N$121)*Standards!$AL$54</f>
        <v>24.363241176470588</v>
      </c>
      <c r="Y382" s="78"/>
      <c r="Z382" s="195">
        <f>(T382*Standards!$O$156)+Standards!$O$157</f>
        <v>-2.5670609162563154</v>
      </c>
      <c r="AA382" s="187">
        <f>(X382*Standards!$T$156)+Standards!$T$157</f>
        <v>25.732648112821128</v>
      </c>
    </row>
    <row r="385" spans="24:27" ht="24.95" customHeight="1" thickBot="1" x14ac:dyDescent="0.3">
      <c r="Z385" s="196"/>
      <c r="AA385" s="196"/>
    </row>
    <row r="386" spans="24:27" ht="24.95" customHeight="1" thickBot="1" x14ac:dyDescent="0.3">
      <c r="X386" s="200" t="s">
        <v>1659</v>
      </c>
      <c r="Y386" s="201">
        <f>COUNT(Z378:Z380,Z356,Z354,Z332,Z330,Z308,Z306,Z284,Z282,Z260,Z258,Z236,Z234,Z212,Z210,Z208,Z190,Z188,Z166,Z164,Z144,Z142,Z120,Z118,Z96,Z94,Z72,Z70,Z48,Z46,Z24,Z22,Z20)</f>
        <v>34</v>
      </c>
      <c r="Z386" s="198" t="s">
        <v>30</v>
      </c>
      <c r="AA386" s="199" t="s">
        <v>31</v>
      </c>
    </row>
    <row r="387" spans="24:27" ht="24.95" customHeight="1" x14ac:dyDescent="0.25">
      <c r="Y387" s="197" t="s">
        <v>1658</v>
      </c>
      <c r="Z387" s="202">
        <f>AVERAGE(Z378:Z380,Z356,Z354,Z332,Z330,Z308,Z306,Z284,Z282,Z260,Z258,Z236,Z234,Z212,Z210,Z208,Z190,Z188,Z166,Z164,Z144,Z142,Z120,Z118,Z96,Z94,Z72,Z70,Z48,Z46,Z24,Z22,Z20)</f>
        <v>4.4793386177850127</v>
      </c>
      <c r="AA387" s="203">
        <f>AVERAGE(AA378:AA380,AA356,AA354,AA332,AA330,AA308,AA306,AA284,AA282,AA260,AA258,AA236,AA234,AA212,AA210,AA208,AA190,AA188,AA166,AA164,AA144,AA142,AA120,AA118,AA96,AA94,AA72,AA70,AA48,AA46,AA24,AA22,AA20)</f>
        <v>26.550634221010771</v>
      </c>
    </row>
    <row r="388" spans="24:27" ht="24.95" customHeight="1" x14ac:dyDescent="0.25">
      <c r="Y388" s="197" t="s">
        <v>18</v>
      </c>
      <c r="Z388" s="204">
        <f>STDEV(Z378:Z380,Z356,Z354,Z332,Z330,Z308,Z306,Z284,Z282,Z260,Z258,Z236,Z234,Z212,Z210,Z208,Z190,Z188,Z166,Z164,Z144,Z142,Z120,Z118,Z96,Z94,Z72,Z70,Z48,Z46,Z24,Z22,Z20)</f>
        <v>3.8546566812432605E-2</v>
      </c>
      <c r="AA388" s="205">
        <f>STDEV(AA378:AA380,AA356,AA354,AA332,AA330,AA308,AA306,AA284,AA282,AA260,AA258,AA236,AA234,AA212,AA210,AA208,AA190,AA188,AA166,AA164,AA144,AA142,AA120,AA118,AA96,AA94,AA72,AA70,AA48,AA46,AA24,AA22,AA20)</f>
        <v>8.9045751557143851E-2</v>
      </c>
    </row>
    <row r="389" spans="24:27" ht="24.95" customHeight="1" thickBot="1" x14ac:dyDescent="0.3">
      <c r="Y389" s="197" t="s">
        <v>32</v>
      </c>
      <c r="Z389" s="206">
        <v>4.49</v>
      </c>
      <c r="AA389" s="207">
        <v>26.5</v>
      </c>
    </row>
    <row r="390" spans="24:27" ht="24.95" customHeight="1" x14ac:dyDescent="0.25">
      <c r="Y390" s="78"/>
      <c r="Z390" s="148"/>
      <c r="AA390" s="148"/>
    </row>
  </sheetData>
  <conditionalFormatting sqref="E1:E190 E213:E1048576">
    <cfRule type="cellIs" dxfId="1" priority="2" operator="greaterThan">
      <formula>37000</formula>
    </cfRule>
  </conditionalFormatting>
  <conditionalFormatting sqref="E191:E212">
    <cfRule type="cellIs" dxfId="0" priority="1" operator="greaterThan">
      <formula>37000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0818-3CFB-42BE-8266-DE44493F00D2}">
  <dimension ref="A1:H382"/>
  <sheetViews>
    <sheetView workbookViewId="0">
      <selection activeCell="A3" sqref="A3:H382"/>
    </sheetView>
  </sheetViews>
  <sheetFormatPr defaultColWidth="9.140625" defaultRowHeight="15" x14ac:dyDescent="0.25"/>
  <cols>
    <col min="1" max="16384" width="9.140625" style="2"/>
  </cols>
  <sheetData>
    <row r="1" spans="1:8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3" spans="1:8" x14ac:dyDescent="0.25">
      <c r="A3" s="2">
        <v>2</v>
      </c>
      <c r="B3" s="2" t="s">
        <v>495</v>
      </c>
      <c r="C3" s="2" t="s">
        <v>496</v>
      </c>
      <c r="D3" s="2">
        <v>6</v>
      </c>
      <c r="E3" s="2">
        <v>11410</v>
      </c>
      <c r="F3" s="2">
        <v>141.34299999999999</v>
      </c>
      <c r="G3" s="2">
        <v>-5.4560000000000004</v>
      </c>
      <c r="H3" s="2">
        <v>5.806</v>
      </c>
    </row>
    <row r="4" spans="1:8" x14ac:dyDescent="0.25">
      <c r="A4" s="2">
        <v>2</v>
      </c>
      <c r="B4" s="2" t="s">
        <v>495</v>
      </c>
      <c r="C4" s="2" t="s">
        <v>496</v>
      </c>
      <c r="D4" s="2">
        <v>7</v>
      </c>
      <c r="E4" s="2">
        <v>10693</v>
      </c>
      <c r="F4" s="2">
        <v>131.62899999999999</v>
      </c>
      <c r="G4" s="2">
        <v>-5.4210000000000003</v>
      </c>
      <c r="H4" s="2">
        <v>5.7930000000000001</v>
      </c>
    </row>
    <row r="5" spans="1:8" x14ac:dyDescent="0.25">
      <c r="A5" s="2">
        <v>3</v>
      </c>
      <c r="B5" s="2" t="s">
        <v>502</v>
      </c>
      <c r="C5" s="2" t="s">
        <v>503</v>
      </c>
      <c r="D5" s="2">
        <v>6</v>
      </c>
      <c r="E5" s="2">
        <v>15181</v>
      </c>
      <c r="F5" s="2">
        <v>185.80799999999999</v>
      </c>
      <c r="G5" s="2">
        <v>-5.4480000000000004</v>
      </c>
      <c r="H5" s="2">
        <v>5.7960000000000003</v>
      </c>
    </row>
    <row r="6" spans="1:8" x14ac:dyDescent="0.25">
      <c r="A6" s="2">
        <v>3</v>
      </c>
      <c r="B6" s="2" t="s">
        <v>502</v>
      </c>
      <c r="C6" s="2" t="s">
        <v>503</v>
      </c>
      <c r="D6" s="2">
        <v>7</v>
      </c>
      <c r="E6" s="2">
        <v>14111</v>
      </c>
      <c r="F6" s="2">
        <v>173.148</v>
      </c>
      <c r="G6" s="2">
        <v>-5.407</v>
      </c>
      <c r="H6" s="2">
        <v>5.81</v>
      </c>
    </row>
    <row r="7" spans="1:8" x14ac:dyDescent="0.25">
      <c r="A7" s="2">
        <v>4</v>
      </c>
      <c r="B7" s="2" t="s">
        <v>509</v>
      </c>
      <c r="C7" s="2" t="s">
        <v>510</v>
      </c>
      <c r="D7" s="2">
        <v>6</v>
      </c>
      <c r="E7" s="2">
        <v>16135</v>
      </c>
      <c r="F7" s="2">
        <v>193.20699999999999</v>
      </c>
      <c r="G7" s="2">
        <v>-5.3869999999999996</v>
      </c>
      <c r="H7" s="2">
        <v>5.7930000000000001</v>
      </c>
    </row>
    <row r="8" spans="1:8" x14ac:dyDescent="0.25">
      <c r="A8" s="2">
        <v>4</v>
      </c>
      <c r="B8" s="2" t="s">
        <v>509</v>
      </c>
      <c r="C8" s="2" t="s">
        <v>510</v>
      </c>
      <c r="D8" s="2">
        <v>7</v>
      </c>
      <c r="E8" s="2">
        <v>15229</v>
      </c>
      <c r="F8" s="2">
        <v>181.07900000000001</v>
      </c>
      <c r="G8" s="2">
        <v>-5.3040000000000003</v>
      </c>
      <c r="H8" s="2">
        <v>5.7939999999999996</v>
      </c>
    </row>
    <row r="9" spans="1:8" x14ac:dyDescent="0.25">
      <c r="A9" s="2">
        <v>5</v>
      </c>
      <c r="B9" s="2" t="s">
        <v>519</v>
      </c>
      <c r="C9" s="2" t="s">
        <v>520</v>
      </c>
      <c r="D9" s="2">
        <v>6</v>
      </c>
      <c r="E9" s="2">
        <v>13008</v>
      </c>
      <c r="F9" s="2">
        <v>161.98500000000001</v>
      </c>
      <c r="G9" s="2">
        <v>-5.4370000000000003</v>
      </c>
      <c r="H9" s="2">
        <v>6.0389999999999997</v>
      </c>
    </row>
    <row r="10" spans="1:8" x14ac:dyDescent="0.25">
      <c r="A10" s="2">
        <v>5</v>
      </c>
      <c r="B10" s="2" t="s">
        <v>519</v>
      </c>
      <c r="C10" s="2" t="s">
        <v>520</v>
      </c>
      <c r="D10" s="2">
        <v>7</v>
      </c>
      <c r="E10" s="2">
        <v>12164</v>
      </c>
      <c r="F10" s="2">
        <v>150.96299999999999</v>
      </c>
      <c r="G10" s="2">
        <v>-5.4</v>
      </c>
      <c r="H10" s="2">
        <v>6.056</v>
      </c>
    </row>
    <row r="11" spans="1:8" x14ac:dyDescent="0.25">
      <c r="A11" s="2">
        <v>6</v>
      </c>
      <c r="B11" s="2" t="s">
        <v>527</v>
      </c>
      <c r="C11" s="2" t="s">
        <v>284</v>
      </c>
      <c r="D11" s="2">
        <v>6</v>
      </c>
      <c r="E11" s="2">
        <v>11298</v>
      </c>
      <c r="F11" s="2">
        <v>135.06299999999999</v>
      </c>
      <c r="G11" s="2">
        <v>1.4410000000000001</v>
      </c>
      <c r="H11" s="2">
        <v>27.338999999999999</v>
      </c>
    </row>
    <row r="12" spans="1:8" x14ac:dyDescent="0.25">
      <c r="A12" s="2">
        <v>6</v>
      </c>
      <c r="B12" s="2" t="s">
        <v>527</v>
      </c>
      <c r="C12" s="2" t="s">
        <v>284</v>
      </c>
      <c r="D12" s="2">
        <v>7</v>
      </c>
      <c r="E12" s="2">
        <v>10678</v>
      </c>
      <c r="F12" s="2">
        <v>126.699</v>
      </c>
      <c r="G12" s="2">
        <v>1.5029999999999999</v>
      </c>
      <c r="H12" s="2">
        <v>27.382999999999999</v>
      </c>
    </row>
    <row r="13" spans="1:8" x14ac:dyDescent="0.25">
      <c r="A13" s="2">
        <v>7</v>
      </c>
      <c r="B13" s="2" t="s">
        <v>533</v>
      </c>
      <c r="C13" s="2" t="s">
        <v>534</v>
      </c>
      <c r="D13" s="2">
        <v>6</v>
      </c>
      <c r="E13" s="2">
        <v>10691</v>
      </c>
      <c r="F13" s="2">
        <v>133.483</v>
      </c>
      <c r="G13" s="2">
        <v>1.48</v>
      </c>
      <c r="H13" s="2">
        <v>27.395</v>
      </c>
    </row>
    <row r="14" spans="1:8" x14ac:dyDescent="0.25">
      <c r="A14" s="2">
        <v>7</v>
      </c>
      <c r="B14" s="2" t="s">
        <v>533</v>
      </c>
      <c r="C14" s="2" t="s">
        <v>534</v>
      </c>
      <c r="D14" s="2">
        <v>7</v>
      </c>
      <c r="E14" s="2">
        <v>9990</v>
      </c>
      <c r="F14" s="2">
        <v>124.348</v>
      </c>
      <c r="G14" s="2">
        <v>1.55</v>
      </c>
      <c r="H14" s="2">
        <v>27.417000000000002</v>
      </c>
    </row>
    <row r="15" spans="1:8" x14ac:dyDescent="0.25">
      <c r="A15" s="2">
        <v>8</v>
      </c>
      <c r="B15" s="2" t="s">
        <v>542</v>
      </c>
      <c r="C15" s="2" t="s">
        <v>412</v>
      </c>
      <c r="D15" s="2">
        <v>6</v>
      </c>
      <c r="E15" s="2">
        <v>14933</v>
      </c>
      <c r="F15" s="2">
        <v>176.76400000000001</v>
      </c>
      <c r="G15" s="2">
        <v>1.4850000000000001</v>
      </c>
      <c r="H15" s="2">
        <v>27.305</v>
      </c>
    </row>
    <row r="16" spans="1:8" x14ac:dyDescent="0.25">
      <c r="A16" s="2">
        <v>8</v>
      </c>
      <c r="B16" s="2" t="s">
        <v>542</v>
      </c>
      <c r="C16" s="2" t="s">
        <v>412</v>
      </c>
      <c r="D16" s="2">
        <v>7</v>
      </c>
      <c r="E16" s="2">
        <v>14076</v>
      </c>
      <c r="F16" s="2">
        <v>166.077</v>
      </c>
      <c r="G16" s="2">
        <v>1.5409999999999999</v>
      </c>
      <c r="H16" s="2">
        <v>27.361999999999998</v>
      </c>
    </row>
    <row r="17" spans="1:8" x14ac:dyDescent="0.25">
      <c r="A17" s="2">
        <v>9</v>
      </c>
      <c r="B17" s="2" t="s">
        <v>550</v>
      </c>
      <c r="C17" s="2" t="s">
        <v>496</v>
      </c>
      <c r="D17" s="2">
        <v>6</v>
      </c>
      <c r="E17" s="2">
        <v>15233</v>
      </c>
      <c r="F17" s="2">
        <v>189.197</v>
      </c>
      <c r="G17" s="2">
        <v>1.5149999999999999</v>
      </c>
      <c r="H17" s="2">
        <v>27.309000000000001</v>
      </c>
    </row>
    <row r="18" spans="1:8" x14ac:dyDescent="0.25">
      <c r="A18" s="2">
        <v>9</v>
      </c>
      <c r="B18" s="2" t="s">
        <v>550</v>
      </c>
      <c r="C18" s="2" t="s">
        <v>496</v>
      </c>
      <c r="D18" s="2">
        <v>7</v>
      </c>
      <c r="E18" s="2">
        <v>14202</v>
      </c>
      <c r="F18" s="2">
        <v>175.852</v>
      </c>
      <c r="G18" s="2">
        <v>1.5489999999999999</v>
      </c>
      <c r="H18" s="2">
        <v>27.321999999999999</v>
      </c>
    </row>
    <row r="19" spans="1:8" x14ac:dyDescent="0.25">
      <c r="A19" s="2">
        <v>10</v>
      </c>
      <c r="B19" s="2" t="s">
        <v>557</v>
      </c>
      <c r="C19" s="2" t="s">
        <v>372</v>
      </c>
      <c r="D19" s="2">
        <v>6</v>
      </c>
      <c r="E19" s="2">
        <v>17381</v>
      </c>
      <c r="F19" s="2">
        <v>204.71899999999999</v>
      </c>
      <c r="G19" s="2">
        <v>3.9950000000000001</v>
      </c>
      <c r="H19" s="2">
        <v>25.23</v>
      </c>
    </row>
    <row r="20" spans="1:8" x14ac:dyDescent="0.25">
      <c r="A20" s="2">
        <v>10</v>
      </c>
      <c r="B20" s="2" t="s">
        <v>557</v>
      </c>
      <c r="C20" s="2" t="s">
        <v>372</v>
      </c>
      <c r="D20" s="2">
        <v>7</v>
      </c>
      <c r="E20" s="2">
        <v>16218</v>
      </c>
      <c r="F20" s="2">
        <v>192.9</v>
      </c>
      <c r="G20" s="2">
        <v>3.9630000000000001</v>
      </c>
      <c r="H20" s="2">
        <v>25.280999999999999</v>
      </c>
    </row>
    <row r="21" spans="1:8" x14ac:dyDescent="0.25">
      <c r="A21" s="2">
        <v>11</v>
      </c>
      <c r="B21" s="2" t="s">
        <v>562</v>
      </c>
      <c r="C21" s="2" t="s">
        <v>389</v>
      </c>
      <c r="D21" s="2">
        <v>6</v>
      </c>
      <c r="E21" s="2">
        <v>13560</v>
      </c>
      <c r="F21" s="2">
        <v>168.17400000000001</v>
      </c>
      <c r="G21" s="2">
        <v>3.968</v>
      </c>
      <c r="H21" s="2">
        <v>25.234000000000002</v>
      </c>
    </row>
    <row r="22" spans="1:8" x14ac:dyDescent="0.25">
      <c r="A22" s="2">
        <v>11</v>
      </c>
      <c r="B22" s="2" t="s">
        <v>562</v>
      </c>
      <c r="C22" s="2" t="s">
        <v>389</v>
      </c>
      <c r="D22" s="2">
        <v>7</v>
      </c>
      <c r="E22" s="2">
        <v>12651</v>
      </c>
      <c r="F22" s="2">
        <v>156.36500000000001</v>
      </c>
      <c r="G22" s="2">
        <v>4.0030000000000001</v>
      </c>
      <c r="H22" s="2">
        <v>25.280999999999999</v>
      </c>
    </row>
    <row r="23" spans="1:8" x14ac:dyDescent="0.25">
      <c r="A23" s="2">
        <v>12</v>
      </c>
      <c r="B23" s="2" t="s">
        <v>569</v>
      </c>
      <c r="C23" s="2" t="s">
        <v>340</v>
      </c>
      <c r="D23" s="2">
        <v>6</v>
      </c>
      <c r="E23" s="2">
        <v>13750</v>
      </c>
      <c r="F23" s="2">
        <v>166.66800000000001</v>
      </c>
      <c r="G23" s="2">
        <v>3.9860000000000002</v>
      </c>
      <c r="H23" s="2">
        <v>25.228000000000002</v>
      </c>
    </row>
    <row r="24" spans="1:8" x14ac:dyDescent="0.25">
      <c r="A24" s="2">
        <v>12</v>
      </c>
      <c r="B24" s="2" t="s">
        <v>569</v>
      </c>
      <c r="C24" s="2" t="s">
        <v>340</v>
      </c>
      <c r="D24" s="2">
        <v>7</v>
      </c>
      <c r="E24" s="2">
        <v>12748</v>
      </c>
      <c r="F24" s="2">
        <v>154.93</v>
      </c>
      <c r="G24" s="2">
        <v>4.0270000000000001</v>
      </c>
      <c r="H24" s="2">
        <v>25.286000000000001</v>
      </c>
    </row>
    <row r="25" spans="1:8" x14ac:dyDescent="0.25">
      <c r="A25" s="2">
        <v>13</v>
      </c>
      <c r="B25" s="2" t="s">
        <v>575</v>
      </c>
      <c r="C25" s="2" t="s">
        <v>389</v>
      </c>
      <c r="D25" s="2">
        <v>6</v>
      </c>
      <c r="E25" s="2">
        <v>14003</v>
      </c>
      <c r="F25" s="2">
        <v>172.18899999999999</v>
      </c>
      <c r="G25" s="2">
        <v>-3.133</v>
      </c>
      <c r="H25" s="2">
        <v>24.157</v>
      </c>
    </row>
    <row r="26" spans="1:8" x14ac:dyDescent="0.25">
      <c r="A26" s="2">
        <v>13</v>
      </c>
      <c r="B26" s="2" t="s">
        <v>575</v>
      </c>
      <c r="C26" s="2" t="s">
        <v>389</v>
      </c>
      <c r="D26" s="2">
        <v>7</v>
      </c>
      <c r="E26" s="2">
        <v>13165</v>
      </c>
      <c r="F26" s="2">
        <v>160.52099999999999</v>
      </c>
      <c r="G26" s="2">
        <v>-3.113</v>
      </c>
      <c r="H26" s="2">
        <v>24.181999999999999</v>
      </c>
    </row>
    <row r="27" spans="1:8" x14ac:dyDescent="0.25">
      <c r="A27" s="2">
        <v>14</v>
      </c>
      <c r="B27" s="2" t="s">
        <v>579</v>
      </c>
      <c r="C27" s="2" t="s">
        <v>280</v>
      </c>
      <c r="D27" s="2">
        <v>6</v>
      </c>
      <c r="E27" s="2">
        <v>15351</v>
      </c>
      <c r="F27" s="2">
        <v>190.06299999999999</v>
      </c>
      <c r="G27" s="2">
        <v>-2.7519999999999998</v>
      </c>
      <c r="H27" s="2">
        <v>23.946000000000002</v>
      </c>
    </row>
    <row r="28" spans="1:8" x14ac:dyDescent="0.25">
      <c r="A28" s="2">
        <v>14</v>
      </c>
      <c r="B28" s="2" t="s">
        <v>579</v>
      </c>
      <c r="C28" s="2" t="s">
        <v>280</v>
      </c>
      <c r="D28" s="2">
        <v>7</v>
      </c>
      <c r="E28" s="2">
        <v>14161</v>
      </c>
      <c r="F28" s="2">
        <v>175.798</v>
      </c>
      <c r="G28" s="2">
        <v>-2.7080000000000002</v>
      </c>
      <c r="H28" s="2">
        <v>24.004000000000001</v>
      </c>
    </row>
    <row r="29" spans="1:8" x14ac:dyDescent="0.25">
      <c r="A29" s="2">
        <v>15</v>
      </c>
      <c r="B29" s="2" t="s">
        <v>585</v>
      </c>
      <c r="C29" s="2" t="s">
        <v>586</v>
      </c>
      <c r="D29" s="2">
        <v>6</v>
      </c>
      <c r="E29" s="2">
        <v>14967</v>
      </c>
      <c r="F29" s="2">
        <v>181.75</v>
      </c>
      <c r="G29" s="2">
        <v>-2.4590000000000001</v>
      </c>
      <c r="H29" s="2">
        <v>23.861999999999998</v>
      </c>
    </row>
    <row r="30" spans="1:8" x14ac:dyDescent="0.25">
      <c r="A30" s="2">
        <v>15</v>
      </c>
      <c r="B30" s="2" t="s">
        <v>585</v>
      </c>
      <c r="C30" s="2" t="s">
        <v>586</v>
      </c>
      <c r="D30" s="2">
        <v>7</v>
      </c>
      <c r="E30" s="2">
        <v>14122</v>
      </c>
      <c r="F30" s="2">
        <v>169.81700000000001</v>
      </c>
      <c r="G30" s="2">
        <v>-2.4460000000000002</v>
      </c>
      <c r="H30" s="2">
        <v>23.89</v>
      </c>
    </row>
    <row r="31" spans="1:8" x14ac:dyDescent="0.25">
      <c r="A31" s="2">
        <v>16</v>
      </c>
      <c r="B31" s="2" t="s">
        <v>593</v>
      </c>
      <c r="C31" s="2" t="s">
        <v>420</v>
      </c>
      <c r="D31" s="2">
        <v>6</v>
      </c>
      <c r="E31" s="2">
        <v>10614</v>
      </c>
      <c r="F31" s="2">
        <v>132.22</v>
      </c>
      <c r="G31" s="2">
        <v>-2.7330000000000001</v>
      </c>
      <c r="H31" s="2">
        <v>24.074999999999999</v>
      </c>
    </row>
    <row r="32" spans="1:8" x14ac:dyDescent="0.25">
      <c r="A32" s="2">
        <v>16</v>
      </c>
      <c r="B32" s="2" t="s">
        <v>593</v>
      </c>
      <c r="C32" s="2" t="s">
        <v>420</v>
      </c>
      <c r="D32" s="2">
        <v>7</v>
      </c>
      <c r="E32" s="2">
        <v>9853</v>
      </c>
      <c r="F32" s="2">
        <v>122.736</v>
      </c>
      <c r="G32" s="2">
        <v>-2.66</v>
      </c>
      <c r="H32" s="2">
        <v>24.120999999999999</v>
      </c>
    </row>
    <row r="33" spans="1:8" x14ac:dyDescent="0.25">
      <c r="A33" s="2">
        <v>17</v>
      </c>
      <c r="B33" s="2" t="s">
        <v>600</v>
      </c>
      <c r="C33" s="2" t="s">
        <v>601</v>
      </c>
      <c r="D33" s="2">
        <v>6</v>
      </c>
      <c r="E33" s="2">
        <v>14799</v>
      </c>
      <c r="F33" s="2">
        <v>176.81</v>
      </c>
      <c r="G33" s="2">
        <v>-3.1339999999999999</v>
      </c>
      <c r="H33" s="2">
        <v>23.986000000000001</v>
      </c>
    </row>
    <row r="34" spans="1:8" x14ac:dyDescent="0.25">
      <c r="A34" s="2">
        <v>17</v>
      </c>
      <c r="B34" s="2" t="s">
        <v>600</v>
      </c>
      <c r="C34" s="2" t="s">
        <v>601</v>
      </c>
      <c r="D34" s="2">
        <v>7</v>
      </c>
      <c r="E34" s="2">
        <v>13918</v>
      </c>
      <c r="F34" s="2">
        <v>165.69</v>
      </c>
      <c r="G34" s="2">
        <v>-3.11</v>
      </c>
      <c r="H34" s="2">
        <v>24.045999999999999</v>
      </c>
    </row>
    <row r="35" spans="1:8" x14ac:dyDescent="0.25">
      <c r="A35" s="2">
        <v>18</v>
      </c>
      <c r="B35" s="2" t="s">
        <v>607</v>
      </c>
      <c r="C35" s="2" t="s">
        <v>608</v>
      </c>
      <c r="D35" s="2">
        <v>6</v>
      </c>
      <c r="E35" s="2">
        <v>17199</v>
      </c>
      <c r="F35" s="2">
        <v>212.90199999999999</v>
      </c>
      <c r="G35" s="2">
        <v>-3.5449999999999999</v>
      </c>
      <c r="H35" s="2">
        <v>23.99</v>
      </c>
    </row>
    <row r="36" spans="1:8" x14ac:dyDescent="0.25">
      <c r="A36" s="2">
        <v>18</v>
      </c>
      <c r="B36" s="2" t="s">
        <v>607</v>
      </c>
      <c r="C36" s="2" t="s">
        <v>608</v>
      </c>
      <c r="D36" s="2">
        <v>7</v>
      </c>
      <c r="E36" s="2">
        <v>16023</v>
      </c>
      <c r="F36" s="2">
        <v>197.922</v>
      </c>
      <c r="G36" s="2">
        <v>-3.5139999999999998</v>
      </c>
      <c r="H36" s="2">
        <v>23.986999999999998</v>
      </c>
    </row>
    <row r="37" spans="1:8" x14ac:dyDescent="0.25">
      <c r="A37" s="2">
        <v>19</v>
      </c>
      <c r="B37" s="2" t="s">
        <v>616</v>
      </c>
      <c r="C37" s="2" t="s">
        <v>617</v>
      </c>
      <c r="D37" s="2">
        <v>6</v>
      </c>
      <c r="E37" s="2">
        <v>18169</v>
      </c>
      <c r="F37" s="2">
        <v>213.95</v>
      </c>
      <c r="G37" s="2">
        <v>-3.629</v>
      </c>
      <c r="H37" s="2">
        <v>24.109000000000002</v>
      </c>
    </row>
    <row r="38" spans="1:8" x14ac:dyDescent="0.25">
      <c r="A38" s="2">
        <v>19</v>
      </c>
      <c r="B38" s="2" t="s">
        <v>616</v>
      </c>
      <c r="C38" s="2" t="s">
        <v>617</v>
      </c>
      <c r="D38" s="2">
        <v>7</v>
      </c>
      <c r="E38" s="2">
        <v>16894</v>
      </c>
      <c r="F38" s="2">
        <v>199.095</v>
      </c>
      <c r="G38" s="2">
        <v>-3.605</v>
      </c>
      <c r="H38" s="2">
        <v>24.126999999999999</v>
      </c>
    </row>
    <row r="39" spans="1:8" x14ac:dyDescent="0.25">
      <c r="A39" s="2">
        <v>20</v>
      </c>
      <c r="B39" s="2" t="s">
        <v>625</v>
      </c>
      <c r="C39" s="2" t="s">
        <v>420</v>
      </c>
      <c r="D39" s="2">
        <v>6</v>
      </c>
      <c r="E39" s="2">
        <v>9436</v>
      </c>
      <c r="F39" s="2">
        <v>117.428</v>
      </c>
      <c r="G39" s="2">
        <v>-3.3940000000000001</v>
      </c>
      <c r="H39" s="2">
        <v>24.209</v>
      </c>
    </row>
    <row r="40" spans="1:8" x14ac:dyDescent="0.25">
      <c r="A40" s="2">
        <v>20</v>
      </c>
      <c r="B40" s="2" t="s">
        <v>625</v>
      </c>
      <c r="C40" s="2" t="s">
        <v>420</v>
      </c>
      <c r="D40" s="2">
        <v>7</v>
      </c>
      <c r="E40" s="2">
        <v>8817</v>
      </c>
      <c r="F40" s="2">
        <v>109.331</v>
      </c>
      <c r="G40" s="2">
        <v>-3.335</v>
      </c>
      <c r="H40" s="2">
        <v>24.219000000000001</v>
      </c>
    </row>
    <row r="41" spans="1:8" x14ac:dyDescent="0.25">
      <c r="A41" s="2">
        <v>21</v>
      </c>
      <c r="B41" s="2" t="s">
        <v>631</v>
      </c>
      <c r="C41" s="2" t="s">
        <v>632</v>
      </c>
      <c r="D41" s="2">
        <v>6</v>
      </c>
      <c r="E41" s="2">
        <v>13636</v>
      </c>
      <c r="F41" s="2">
        <v>162.23099999999999</v>
      </c>
      <c r="G41" s="2">
        <v>-3.44</v>
      </c>
      <c r="H41" s="2">
        <v>23.989000000000001</v>
      </c>
    </row>
    <row r="42" spans="1:8" x14ac:dyDescent="0.25">
      <c r="A42" s="2">
        <v>21</v>
      </c>
      <c r="B42" s="2" t="s">
        <v>631</v>
      </c>
      <c r="C42" s="2" t="s">
        <v>632</v>
      </c>
      <c r="D42" s="2">
        <v>7</v>
      </c>
      <c r="E42" s="2">
        <v>12579</v>
      </c>
      <c r="F42" s="2">
        <v>150.47</v>
      </c>
      <c r="G42" s="2">
        <v>-3.3889999999999998</v>
      </c>
      <c r="H42" s="2">
        <v>24.029</v>
      </c>
    </row>
    <row r="43" spans="1:8" x14ac:dyDescent="0.25">
      <c r="A43" s="2">
        <v>22</v>
      </c>
      <c r="B43" s="2" t="s">
        <v>639</v>
      </c>
      <c r="C43" s="2" t="s">
        <v>414</v>
      </c>
      <c r="D43" s="2">
        <v>6</v>
      </c>
      <c r="E43" s="2">
        <v>17548</v>
      </c>
      <c r="F43" s="2">
        <v>216.274</v>
      </c>
      <c r="G43" s="2">
        <v>-3.2109999999999999</v>
      </c>
      <c r="H43" s="2">
        <v>23.832000000000001</v>
      </c>
    </row>
    <row r="44" spans="1:8" x14ac:dyDescent="0.25">
      <c r="A44" s="2">
        <v>22</v>
      </c>
      <c r="B44" s="2" t="s">
        <v>639</v>
      </c>
      <c r="C44" s="2" t="s">
        <v>414</v>
      </c>
      <c r="D44" s="2">
        <v>7</v>
      </c>
      <c r="E44" s="2">
        <v>16356</v>
      </c>
      <c r="F44" s="2">
        <v>201.07</v>
      </c>
      <c r="G44" s="2">
        <v>-3.1739999999999999</v>
      </c>
      <c r="H44" s="2">
        <v>23.876999999999999</v>
      </c>
    </row>
    <row r="45" spans="1:8" x14ac:dyDescent="0.25">
      <c r="A45" s="2">
        <v>23</v>
      </c>
      <c r="B45" s="2" t="s">
        <v>646</v>
      </c>
      <c r="C45" s="2" t="s">
        <v>444</v>
      </c>
      <c r="D45" s="2">
        <v>6</v>
      </c>
      <c r="E45" s="2">
        <v>15608</v>
      </c>
      <c r="F45" s="2">
        <v>188.458</v>
      </c>
      <c r="G45" s="2">
        <v>3.9849999999999999</v>
      </c>
      <c r="H45" s="2">
        <v>25.207000000000001</v>
      </c>
    </row>
    <row r="46" spans="1:8" x14ac:dyDescent="0.25">
      <c r="A46" s="2">
        <v>23</v>
      </c>
      <c r="B46" s="2" t="s">
        <v>646</v>
      </c>
      <c r="C46" s="2" t="s">
        <v>444</v>
      </c>
      <c r="D46" s="2">
        <v>7</v>
      </c>
      <c r="E46" s="2">
        <v>14444</v>
      </c>
      <c r="F46" s="2">
        <v>175.05699999999999</v>
      </c>
      <c r="G46" s="2">
        <v>4.0519999999999996</v>
      </c>
      <c r="H46" s="2">
        <v>25.244</v>
      </c>
    </row>
    <row r="47" spans="1:8" x14ac:dyDescent="0.25">
      <c r="A47" s="2">
        <v>24</v>
      </c>
      <c r="B47" s="2" t="s">
        <v>653</v>
      </c>
      <c r="C47" s="2" t="s">
        <v>654</v>
      </c>
      <c r="D47" s="2">
        <v>6</v>
      </c>
      <c r="E47" s="2">
        <v>16859</v>
      </c>
      <c r="F47" s="2">
        <v>206.78200000000001</v>
      </c>
      <c r="G47" s="2">
        <v>4.0049999999999999</v>
      </c>
      <c r="H47" s="2">
        <v>25.263999999999999</v>
      </c>
    </row>
    <row r="48" spans="1:8" x14ac:dyDescent="0.25">
      <c r="A48" s="2">
        <v>24</v>
      </c>
      <c r="B48" s="2" t="s">
        <v>653</v>
      </c>
      <c r="C48" s="2" t="s">
        <v>654</v>
      </c>
      <c r="D48" s="2">
        <v>7</v>
      </c>
      <c r="E48" s="2">
        <v>15802</v>
      </c>
      <c r="F48" s="2">
        <v>192.35400000000001</v>
      </c>
      <c r="G48" s="2">
        <v>4.0389999999999997</v>
      </c>
      <c r="H48" s="2">
        <v>25.285</v>
      </c>
    </row>
    <row r="49" spans="1:8" x14ac:dyDescent="0.25">
      <c r="A49" s="2">
        <v>25</v>
      </c>
      <c r="B49" s="2" t="s">
        <v>659</v>
      </c>
      <c r="C49" s="2" t="s">
        <v>375</v>
      </c>
      <c r="D49" s="2">
        <v>6</v>
      </c>
      <c r="E49" s="2">
        <v>16451</v>
      </c>
      <c r="F49" s="2">
        <v>202.125</v>
      </c>
      <c r="G49" s="2">
        <v>-3.4660000000000002</v>
      </c>
      <c r="H49" s="2">
        <v>23.835999999999999</v>
      </c>
    </row>
    <row r="50" spans="1:8" x14ac:dyDescent="0.25">
      <c r="A50" s="2">
        <v>25</v>
      </c>
      <c r="B50" s="2" t="s">
        <v>659</v>
      </c>
      <c r="C50" s="2" t="s">
        <v>375</v>
      </c>
      <c r="D50" s="2">
        <v>7</v>
      </c>
      <c r="E50" s="2">
        <v>15280</v>
      </c>
      <c r="F50" s="2">
        <v>189.66900000000001</v>
      </c>
      <c r="G50" s="2">
        <v>-3.4980000000000002</v>
      </c>
      <c r="H50" s="2">
        <v>23.869</v>
      </c>
    </row>
    <row r="51" spans="1:8" x14ac:dyDescent="0.25">
      <c r="A51" s="2">
        <v>26</v>
      </c>
      <c r="B51" s="2" t="s">
        <v>664</v>
      </c>
      <c r="C51" s="2" t="s">
        <v>420</v>
      </c>
      <c r="D51" s="2">
        <v>6</v>
      </c>
      <c r="E51" s="2">
        <v>10012</v>
      </c>
      <c r="F51" s="2">
        <v>122.366</v>
      </c>
      <c r="G51" s="2">
        <v>-3.625</v>
      </c>
      <c r="H51" s="2">
        <v>23.981999999999999</v>
      </c>
    </row>
    <row r="52" spans="1:8" x14ac:dyDescent="0.25">
      <c r="A52" s="2">
        <v>26</v>
      </c>
      <c r="B52" s="2" t="s">
        <v>664</v>
      </c>
      <c r="C52" s="2" t="s">
        <v>420</v>
      </c>
      <c r="D52" s="2">
        <v>7</v>
      </c>
      <c r="E52" s="2">
        <v>9433</v>
      </c>
      <c r="F52" s="2">
        <v>114.142</v>
      </c>
      <c r="G52" s="2">
        <v>-3.6059999999999999</v>
      </c>
      <c r="H52" s="2">
        <v>23.972000000000001</v>
      </c>
    </row>
    <row r="53" spans="1:8" x14ac:dyDescent="0.25">
      <c r="A53" s="2">
        <v>27</v>
      </c>
      <c r="B53" s="2" t="s">
        <v>670</v>
      </c>
      <c r="C53" s="2" t="s">
        <v>671</v>
      </c>
      <c r="D53" s="2">
        <v>6</v>
      </c>
      <c r="E53" s="2">
        <v>9793</v>
      </c>
      <c r="F53" s="2">
        <v>122.108</v>
      </c>
      <c r="G53" s="2">
        <v>-3.8359999999999999</v>
      </c>
      <c r="H53" s="2">
        <v>24.047999999999998</v>
      </c>
    </row>
    <row r="54" spans="1:8" x14ac:dyDescent="0.25">
      <c r="A54" s="2">
        <v>27</v>
      </c>
      <c r="B54" s="2" t="s">
        <v>670</v>
      </c>
      <c r="C54" s="2" t="s">
        <v>671</v>
      </c>
      <c r="D54" s="2">
        <v>7</v>
      </c>
      <c r="E54" s="2">
        <v>9115</v>
      </c>
      <c r="F54" s="2">
        <v>113.502</v>
      </c>
      <c r="G54" s="2">
        <v>-3.794</v>
      </c>
      <c r="H54" s="2">
        <v>24.082000000000001</v>
      </c>
    </row>
    <row r="55" spans="1:8" x14ac:dyDescent="0.25">
      <c r="A55" s="2">
        <v>28</v>
      </c>
      <c r="B55" s="2" t="s">
        <v>677</v>
      </c>
      <c r="C55" s="2" t="s">
        <v>678</v>
      </c>
      <c r="D55" s="2">
        <v>6</v>
      </c>
      <c r="E55" s="2">
        <v>13299</v>
      </c>
      <c r="F55" s="2">
        <v>158.54900000000001</v>
      </c>
      <c r="G55" s="2">
        <v>-3.7570000000000001</v>
      </c>
      <c r="H55" s="2">
        <v>24.132999999999999</v>
      </c>
    </row>
    <row r="56" spans="1:8" x14ac:dyDescent="0.25">
      <c r="A56" s="2">
        <v>28</v>
      </c>
      <c r="B56" s="2" t="s">
        <v>677</v>
      </c>
      <c r="C56" s="2" t="s">
        <v>678</v>
      </c>
      <c r="D56" s="2">
        <v>7</v>
      </c>
      <c r="E56" s="2">
        <v>12495</v>
      </c>
      <c r="F56" s="2">
        <v>148.44499999999999</v>
      </c>
      <c r="G56" s="2">
        <v>-3.722</v>
      </c>
      <c r="H56" s="2">
        <v>24.149000000000001</v>
      </c>
    </row>
    <row r="57" spans="1:8" x14ac:dyDescent="0.25">
      <c r="A57" s="2">
        <v>29</v>
      </c>
      <c r="B57" s="2" t="s">
        <v>685</v>
      </c>
      <c r="C57" s="2" t="s">
        <v>397</v>
      </c>
      <c r="D57" s="2">
        <v>6</v>
      </c>
      <c r="E57" s="2">
        <v>8827</v>
      </c>
      <c r="F57" s="2">
        <v>110.271</v>
      </c>
      <c r="G57" s="2">
        <v>-3.4980000000000002</v>
      </c>
      <c r="H57" s="2">
        <v>24.114000000000001</v>
      </c>
    </row>
    <row r="58" spans="1:8" x14ac:dyDescent="0.25">
      <c r="A58" s="2">
        <v>29</v>
      </c>
      <c r="B58" s="2" t="s">
        <v>685</v>
      </c>
      <c r="C58" s="2" t="s">
        <v>397</v>
      </c>
      <c r="D58" s="2">
        <v>7</v>
      </c>
      <c r="E58" s="2">
        <v>8240</v>
      </c>
      <c r="F58" s="2">
        <v>102.55800000000001</v>
      </c>
      <c r="G58" s="2">
        <v>-3.4910000000000001</v>
      </c>
      <c r="H58" s="2">
        <v>24.103999999999999</v>
      </c>
    </row>
    <row r="59" spans="1:8" x14ac:dyDescent="0.25">
      <c r="A59" s="2">
        <v>30</v>
      </c>
      <c r="B59" s="2" t="s">
        <v>691</v>
      </c>
      <c r="C59" s="2" t="s">
        <v>432</v>
      </c>
      <c r="D59" s="2">
        <v>6</v>
      </c>
      <c r="E59" s="2">
        <v>15455</v>
      </c>
      <c r="F59" s="2">
        <v>182.60400000000001</v>
      </c>
      <c r="G59" s="2">
        <v>-3.254</v>
      </c>
      <c r="H59" s="2">
        <v>23.863</v>
      </c>
    </row>
    <row r="60" spans="1:8" x14ac:dyDescent="0.25">
      <c r="A60" s="2">
        <v>30</v>
      </c>
      <c r="B60" s="2" t="s">
        <v>691</v>
      </c>
      <c r="C60" s="2" t="s">
        <v>432</v>
      </c>
      <c r="D60" s="2">
        <v>7</v>
      </c>
      <c r="E60" s="2">
        <v>14501</v>
      </c>
      <c r="F60" s="2">
        <v>170.489</v>
      </c>
      <c r="G60" s="2">
        <v>-3.19</v>
      </c>
      <c r="H60" s="2">
        <v>23.895</v>
      </c>
    </row>
    <row r="61" spans="1:8" x14ac:dyDescent="0.25">
      <c r="A61" s="2">
        <v>31</v>
      </c>
      <c r="B61" s="2" t="s">
        <v>697</v>
      </c>
      <c r="C61" s="2" t="s">
        <v>698</v>
      </c>
      <c r="D61" s="2">
        <v>6</v>
      </c>
      <c r="E61" s="2">
        <v>9054</v>
      </c>
      <c r="F61" s="2">
        <v>113.131</v>
      </c>
      <c r="G61" s="2">
        <v>-3.3250000000000002</v>
      </c>
      <c r="H61" s="2">
        <v>23.881</v>
      </c>
    </row>
    <row r="62" spans="1:8" x14ac:dyDescent="0.25">
      <c r="A62" s="2">
        <v>31</v>
      </c>
      <c r="B62" s="2" t="s">
        <v>697</v>
      </c>
      <c r="C62" s="2" t="s">
        <v>698</v>
      </c>
      <c r="D62" s="2">
        <v>7</v>
      </c>
      <c r="E62" s="2">
        <v>8447</v>
      </c>
      <c r="F62" s="2">
        <v>105.161</v>
      </c>
      <c r="G62" s="2">
        <v>-3.2810000000000001</v>
      </c>
      <c r="H62" s="2">
        <v>23.882999999999999</v>
      </c>
    </row>
    <row r="63" spans="1:8" x14ac:dyDescent="0.25">
      <c r="A63" s="2">
        <v>32</v>
      </c>
      <c r="B63" s="2" t="s">
        <v>704</v>
      </c>
      <c r="C63" s="2" t="s">
        <v>278</v>
      </c>
      <c r="D63" s="2">
        <v>6</v>
      </c>
      <c r="E63" s="2">
        <v>11395</v>
      </c>
      <c r="F63" s="2">
        <v>135.31</v>
      </c>
      <c r="G63" s="2">
        <v>-3.419</v>
      </c>
      <c r="H63" s="2">
        <v>23.831</v>
      </c>
    </row>
    <row r="64" spans="1:8" x14ac:dyDescent="0.25">
      <c r="A64" s="2">
        <v>32</v>
      </c>
      <c r="B64" s="2" t="s">
        <v>704</v>
      </c>
      <c r="C64" s="2" t="s">
        <v>278</v>
      </c>
      <c r="D64" s="2">
        <v>7</v>
      </c>
      <c r="E64" s="2">
        <v>10609</v>
      </c>
      <c r="F64" s="2">
        <v>126.03400000000001</v>
      </c>
      <c r="G64" s="2">
        <v>-3.3570000000000002</v>
      </c>
      <c r="H64" s="2">
        <v>23.853999999999999</v>
      </c>
    </row>
    <row r="65" spans="1:8" x14ac:dyDescent="0.25">
      <c r="A65" s="2">
        <v>33</v>
      </c>
      <c r="B65" s="2" t="s">
        <v>711</v>
      </c>
      <c r="C65" s="2" t="s">
        <v>412</v>
      </c>
      <c r="D65" s="2">
        <v>6</v>
      </c>
      <c r="E65" s="2">
        <v>13273</v>
      </c>
      <c r="F65" s="2">
        <v>164.387</v>
      </c>
      <c r="G65" s="2">
        <v>-3.4460000000000002</v>
      </c>
      <c r="H65" s="2">
        <v>23.771999999999998</v>
      </c>
    </row>
    <row r="66" spans="1:8" x14ac:dyDescent="0.25">
      <c r="A66" s="2">
        <v>33</v>
      </c>
      <c r="B66" s="2" t="s">
        <v>711</v>
      </c>
      <c r="C66" s="2" t="s">
        <v>412</v>
      </c>
      <c r="D66" s="2">
        <v>7</v>
      </c>
      <c r="E66" s="2">
        <v>12377</v>
      </c>
      <c r="F66" s="2">
        <v>152.886</v>
      </c>
      <c r="G66" s="2">
        <v>-3.4359999999999999</v>
      </c>
      <c r="H66" s="2">
        <v>23.795999999999999</v>
      </c>
    </row>
    <row r="67" spans="1:8" x14ac:dyDescent="0.25">
      <c r="A67" s="2">
        <v>34</v>
      </c>
      <c r="B67" s="2" t="s">
        <v>716</v>
      </c>
      <c r="C67" s="2" t="s">
        <v>476</v>
      </c>
      <c r="D67" s="2">
        <v>6</v>
      </c>
      <c r="E67" s="2">
        <v>10693</v>
      </c>
      <c r="F67" s="2">
        <v>129.27099999999999</v>
      </c>
      <c r="G67" s="2">
        <v>-4.0330000000000004</v>
      </c>
      <c r="H67" s="2">
        <v>23.922999999999998</v>
      </c>
    </row>
    <row r="68" spans="1:8" x14ac:dyDescent="0.25">
      <c r="A68" s="2">
        <v>34</v>
      </c>
      <c r="B68" s="2" t="s">
        <v>716</v>
      </c>
      <c r="C68" s="2" t="s">
        <v>476</v>
      </c>
      <c r="D68" s="2">
        <v>7</v>
      </c>
      <c r="E68" s="2">
        <v>9897</v>
      </c>
      <c r="F68" s="2">
        <v>120.197</v>
      </c>
      <c r="G68" s="2">
        <v>-3.964</v>
      </c>
      <c r="H68" s="2">
        <v>24.004999999999999</v>
      </c>
    </row>
    <row r="69" spans="1:8" x14ac:dyDescent="0.25">
      <c r="A69" s="2">
        <v>35</v>
      </c>
      <c r="B69" s="2" t="s">
        <v>721</v>
      </c>
      <c r="C69" s="2" t="s">
        <v>722</v>
      </c>
      <c r="D69" s="2">
        <v>6</v>
      </c>
      <c r="E69" s="2">
        <v>15784</v>
      </c>
      <c r="F69" s="2">
        <v>194.42400000000001</v>
      </c>
      <c r="G69" s="2">
        <v>4.01</v>
      </c>
      <c r="H69" s="2">
        <v>25.12</v>
      </c>
    </row>
    <row r="70" spans="1:8" x14ac:dyDescent="0.25">
      <c r="A70" s="2">
        <v>35</v>
      </c>
      <c r="B70" s="2" t="s">
        <v>721</v>
      </c>
      <c r="C70" s="2" t="s">
        <v>722</v>
      </c>
      <c r="D70" s="2">
        <v>7</v>
      </c>
      <c r="E70" s="2">
        <v>14717</v>
      </c>
      <c r="F70" s="2">
        <v>180.59399999999999</v>
      </c>
      <c r="G70" s="2">
        <v>4.0410000000000004</v>
      </c>
      <c r="H70" s="2">
        <v>25.209</v>
      </c>
    </row>
    <row r="71" spans="1:8" x14ac:dyDescent="0.25">
      <c r="A71" s="2">
        <v>36</v>
      </c>
      <c r="B71" s="2" t="s">
        <v>731</v>
      </c>
      <c r="C71" s="2" t="s">
        <v>732</v>
      </c>
      <c r="D71" s="2">
        <v>6</v>
      </c>
      <c r="E71" s="2">
        <v>18112</v>
      </c>
      <c r="F71" s="2">
        <v>219.363</v>
      </c>
      <c r="G71" s="2">
        <v>3.9860000000000002</v>
      </c>
      <c r="H71" s="2">
        <v>25.18</v>
      </c>
    </row>
    <row r="72" spans="1:8" x14ac:dyDescent="0.25">
      <c r="A72" s="2">
        <v>36</v>
      </c>
      <c r="B72" s="2" t="s">
        <v>731</v>
      </c>
      <c r="C72" s="2" t="s">
        <v>732</v>
      </c>
      <c r="D72" s="2">
        <v>7</v>
      </c>
      <c r="E72" s="2">
        <v>16750</v>
      </c>
      <c r="F72" s="2">
        <v>203.67</v>
      </c>
      <c r="G72" s="2">
        <v>4.0419999999999998</v>
      </c>
      <c r="H72" s="2">
        <v>25.251999999999999</v>
      </c>
    </row>
    <row r="73" spans="1:8" x14ac:dyDescent="0.25">
      <c r="A73" s="2">
        <v>37</v>
      </c>
      <c r="B73" s="2" t="s">
        <v>740</v>
      </c>
      <c r="C73" s="2" t="s">
        <v>741</v>
      </c>
      <c r="D73" s="2">
        <v>6</v>
      </c>
      <c r="E73" s="2">
        <v>16591</v>
      </c>
      <c r="F73" s="2">
        <v>200.24199999999999</v>
      </c>
      <c r="G73" s="2">
        <v>-4.3040000000000003</v>
      </c>
      <c r="H73" s="2">
        <v>23.96</v>
      </c>
    </row>
    <row r="74" spans="1:8" x14ac:dyDescent="0.25">
      <c r="A74" s="2">
        <v>37</v>
      </c>
      <c r="B74" s="2" t="s">
        <v>740</v>
      </c>
      <c r="C74" s="2" t="s">
        <v>741</v>
      </c>
      <c r="D74" s="2">
        <v>7</v>
      </c>
      <c r="E74" s="2">
        <v>15634</v>
      </c>
      <c r="F74" s="2">
        <v>187.24700000000001</v>
      </c>
      <c r="G74" s="2">
        <v>-4.3</v>
      </c>
      <c r="H74" s="2">
        <v>23.995000000000001</v>
      </c>
    </row>
    <row r="75" spans="1:8" x14ac:dyDescent="0.25">
      <c r="A75" s="2">
        <v>38</v>
      </c>
      <c r="B75" s="2" t="s">
        <v>747</v>
      </c>
      <c r="C75" s="2" t="s">
        <v>503</v>
      </c>
      <c r="D75" s="2">
        <v>6</v>
      </c>
      <c r="E75" s="2">
        <v>16190</v>
      </c>
      <c r="F75" s="2">
        <v>200.578</v>
      </c>
      <c r="G75" s="2">
        <v>-3.5710000000000002</v>
      </c>
      <c r="H75" s="2">
        <v>24.233000000000001</v>
      </c>
    </row>
    <row r="76" spans="1:8" x14ac:dyDescent="0.25">
      <c r="A76" s="2">
        <v>38</v>
      </c>
      <c r="B76" s="2" t="s">
        <v>747</v>
      </c>
      <c r="C76" s="2" t="s">
        <v>503</v>
      </c>
      <c r="D76" s="2">
        <v>7</v>
      </c>
      <c r="E76" s="2">
        <v>15144</v>
      </c>
      <c r="F76" s="2">
        <v>187.40700000000001</v>
      </c>
      <c r="G76" s="2">
        <v>-3.5379999999999998</v>
      </c>
      <c r="H76" s="2">
        <v>24.277000000000001</v>
      </c>
    </row>
    <row r="77" spans="1:8" x14ac:dyDescent="0.25">
      <c r="A77" s="2">
        <v>39</v>
      </c>
      <c r="B77" s="2" t="s">
        <v>755</v>
      </c>
      <c r="C77" s="2" t="s">
        <v>756</v>
      </c>
      <c r="D77" s="2">
        <v>6</v>
      </c>
      <c r="E77" s="2">
        <v>15635</v>
      </c>
      <c r="F77" s="2">
        <v>185.28899999999999</v>
      </c>
      <c r="G77" s="2">
        <v>-3.129</v>
      </c>
      <c r="H77" s="2">
        <v>24.088000000000001</v>
      </c>
    </row>
    <row r="78" spans="1:8" x14ac:dyDescent="0.25">
      <c r="A78" s="2">
        <v>39</v>
      </c>
      <c r="B78" s="2" t="s">
        <v>755</v>
      </c>
      <c r="C78" s="2" t="s">
        <v>756</v>
      </c>
      <c r="D78" s="2">
        <v>7</v>
      </c>
      <c r="E78" s="2">
        <v>14782</v>
      </c>
      <c r="F78" s="2">
        <v>176.13</v>
      </c>
      <c r="G78" s="2">
        <v>-3.1579999999999999</v>
      </c>
      <c r="H78" s="2">
        <v>24.126000000000001</v>
      </c>
    </row>
    <row r="79" spans="1:8" x14ac:dyDescent="0.25">
      <c r="A79" s="2">
        <v>40</v>
      </c>
      <c r="B79" s="2" t="s">
        <v>761</v>
      </c>
      <c r="C79" s="2" t="s">
        <v>762</v>
      </c>
      <c r="D79" s="2">
        <v>6</v>
      </c>
      <c r="E79" s="2">
        <v>17096</v>
      </c>
      <c r="F79" s="2">
        <v>211.74700000000001</v>
      </c>
      <c r="G79" s="2">
        <v>-2.7650000000000001</v>
      </c>
      <c r="H79" s="2">
        <v>23.927</v>
      </c>
    </row>
    <row r="80" spans="1:8" x14ac:dyDescent="0.25">
      <c r="A80" s="2">
        <v>40</v>
      </c>
      <c r="B80" s="2" t="s">
        <v>761</v>
      </c>
      <c r="C80" s="2" t="s">
        <v>762</v>
      </c>
      <c r="D80" s="2">
        <v>7</v>
      </c>
      <c r="E80" s="2">
        <v>16004</v>
      </c>
      <c r="F80" s="2">
        <v>197.61</v>
      </c>
      <c r="G80" s="2">
        <v>-2.7189999999999999</v>
      </c>
      <c r="H80" s="2">
        <v>23.966000000000001</v>
      </c>
    </row>
    <row r="81" spans="1:8" x14ac:dyDescent="0.25">
      <c r="A81" s="2">
        <v>41</v>
      </c>
      <c r="B81" s="2" t="s">
        <v>769</v>
      </c>
      <c r="C81" s="2" t="s">
        <v>732</v>
      </c>
      <c r="D81" s="2">
        <v>6</v>
      </c>
      <c r="E81" s="2">
        <v>17855</v>
      </c>
      <c r="F81" s="2">
        <v>210.99299999999999</v>
      </c>
      <c r="G81" s="2">
        <v>-2.9039999999999999</v>
      </c>
      <c r="H81" s="2">
        <v>23.866</v>
      </c>
    </row>
    <row r="82" spans="1:8" x14ac:dyDescent="0.25">
      <c r="A82" s="2">
        <v>41</v>
      </c>
      <c r="B82" s="2" t="s">
        <v>769</v>
      </c>
      <c r="C82" s="2" t="s">
        <v>732</v>
      </c>
      <c r="D82" s="2">
        <v>7</v>
      </c>
      <c r="E82" s="2">
        <v>16700</v>
      </c>
      <c r="F82" s="2">
        <v>199.35499999999999</v>
      </c>
      <c r="G82" s="2">
        <v>-2.9350000000000001</v>
      </c>
      <c r="H82" s="2">
        <v>23.91</v>
      </c>
    </row>
    <row r="83" spans="1:8" x14ac:dyDescent="0.25">
      <c r="A83" s="2">
        <v>42</v>
      </c>
      <c r="B83" s="2" t="s">
        <v>773</v>
      </c>
      <c r="C83" s="2" t="s">
        <v>534</v>
      </c>
      <c r="D83" s="2">
        <v>6</v>
      </c>
      <c r="E83" s="2">
        <v>12035</v>
      </c>
      <c r="F83" s="2">
        <v>148.977</v>
      </c>
      <c r="G83" s="2">
        <v>-2.99</v>
      </c>
      <c r="H83" s="2">
        <v>23.895</v>
      </c>
    </row>
    <row r="84" spans="1:8" x14ac:dyDescent="0.25">
      <c r="A84" s="2">
        <v>42</v>
      </c>
      <c r="B84" s="2" t="s">
        <v>773</v>
      </c>
      <c r="C84" s="2" t="s">
        <v>534</v>
      </c>
      <c r="D84" s="2">
        <v>7</v>
      </c>
      <c r="E84" s="2">
        <v>11262</v>
      </c>
      <c r="F84" s="2">
        <v>138.96100000000001</v>
      </c>
      <c r="G84" s="2">
        <v>-2.907</v>
      </c>
      <c r="H84" s="2">
        <v>23.905000000000001</v>
      </c>
    </row>
    <row r="85" spans="1:8" x14ac:dyDescent="0.25">
      <c r="A85" s="2">
        <v>43</v>
      </c>
      <c r="B85" s="2" t="s">
        <v>780</v>
      </c>
      <c r="C85" s="2" t="s">
        <v>281</v>
      </c>
      <c r="D85" s="2">
        <v>6</v>
      </c>
      <c r="E85" s="2">
        <v>12439</v>
      </c>
      <c r="F85" s="2">
        <v>151.214</v>
      </c>
      <c r="G85" s="2">
        <v>-3.395</v>
      </c>
      <c r="H85" s="2">
        <v>23.981999999999999</v>
      </c>
    </row>
    <row r="86" spans="1:8" x14ac:dyDescent="0.25">
      <c r="A86" s="2">
        <v>43</v>
      </c>
      <c r="B86" s="2" t="s">
        <v>780</v>
      </c>
      <c r="C86" s="2" t="s">
        <v>281</v>
      </c>
      <c r="D86" s="2">
        <v>7</v>
      </c>
      <c r="E86" s="2">
        <v>11526</v>
      </c>
      <c r="F86" s="2">
        <v>140.66800000000001</v>
      </c>
      <c r="G86" s="2">
        <v>-3.3330000000000002</v>
      </c>
      <c r="H86" s="2">
        <v>24.001000000000001</v>
      </c>
    </row>
    <row r="87" spans="1:8" x14ac:dyDescent="0.25">
      <c r="A87" s="2">
        <v>44</v>
      </c>
      <c r="B87" s="2" t="s">
        <v>787</v>
      </c>
      <c r="C87" s="2" t="s">
        <v>788</v>
      </c>
      <c r="D87" s="2">
        <v>6</v>
      </c>
      <c r="E87" s="2">
        <v>9980</v>
      </c>
      <c r="F87" s="2">
        <v>123.53400000000001</v>
      </c>
      <c r="G87" s="2">
        <v>-3.109</v>
      </c>
      <c r="H87" s="2">
        <v>23.789000000000001</v>
      </c>
    </row>
    <row r="88" spans="1:8" x14ac:dyDescent="0.25">
      <c r="A88" s="2">
        <v>44</v>
      </c>
      <c r="B88" s="2" t="s">
        <v>787</v>
      </c>
      <c r="C88" s="2" t="s">
        <v>788</v>
      </c>
      <c r="D88" s="2">
        <v>7</v>
      </c>
      <c r="E88" s="2">
        <v>9374</v>
      </c>
      <c r="F88" s="2">
        <v>115.27800000000001</v>
      </c>
      <c r="G88" s="2">
        <v>-3.1150000000000002</v>
      </c>
      <c r="H88" s="2">
        <v>23.762</v>
      </c>
    </row>
    <row r="89" spans="1:8" x14ac:dyDescent="0.25">
      <c r="A89" s="2">
        <v>45</v>
      </c>
      <c r="B89" s="2" t="s">
        <v>795</v>
      </c>
      <c r="C89" s="2" t="s">
        <v>476</v>
      </c>
      <c r="D89" s="2">
        <v>6</v>
      </c>
      <c r="E89" s="2">
        <v>12587</v>
      </c>
      <c r="F89" s="2">
        <v>154.75</v>
      </c>
      <c r="G89" s="2">
        <v>-3.694</v>
      </c>
      <c r="H89" s="2">
        <v>23.917999999999999</v>
      </c>
    </row>
    <row r="90" spans="1:8" x14ac:dyDescent="0.25">
      <c r="A90" s="2">
        <v>45</v>
      </c>
      <c r="B90" s="2" t="s">
        <v>795</v>
      </c>
      <c r="C90" s="2" t="s">
        <v>476</v>
      </c>
      <c r="D90" s="2">
        <v>7</v>
      </c>
      <c r="E90" s="2">
        <v>11731</v>
      </c>
      <c r="F90" s="2">
        <v>144.333</v>
      </c>
      <c r="G90" s="2">
        <v>-3.657</v>
      </c>
      <c r="H90" s="2">
        <v>23.93</v>
      </c>
    </row>
    <row r="91" spans="1:8" x14ac:dyDescent="0.25">
      <c r="A91" s="2">
        <v>46</v>
      </c>
      <c r="B91" s="2" t="s">
        <v>802</v>
      </c>
      <c r="C91" s="2" t="s">
        <v>803</v>
      </c>
      <c r="D91" s="2">
        <v>6</v>
      </c>
      <c r="E91" s="2">
        <v>14198</v>
      </c>
      <c r="F91" s="2">
        <v>170.97399999999999</v>
      </c>
      <c r="G91" s="2">
        <v>-3.7549999999999999</v>
      </c>
      <c r="H91" s="2">
        <v>24.132999999999999</v>
      </c>
    </row>
    <row r="92" spans="1:8" x14ac:dyDescent="0.25">
      <c r="A92" s="2">
        <v>46</v>
      </c>
      <c r="B92" s="2" t="s">
        <v>802</v>
      </c>
      <c r="C92" s="2" t="s">
        <v>803</v>
      </c>
      <c r="D92" s="2">
        <v>7</v>
      </c>
      <c r="E92" s="2">
        <v>13396</v>
      </c>
      <c r="F92" s="2">
        <v>160.30199999999999</v>
      </c>
      <c r="G92" s="2">
        <v>-3.7530000000000001</v>
      </c>
      <c r="H92" s="2">
        <v>24.154</v>
      </c>
    </row>
    <row r="93" spans="1:8" x14ac:dyDescent="0.25">
      <c r="A93" s="2">
        <v>47</v>
      </c>
      <c r="B93" s="2" t="s">
        <v>809</v>
      </c>
      <c r="C93" s="2" t="s">
        <v>678</v>
      </c>
      <c r="D93" s="2">
        <v>6</v>
      </c>
      <c r="E93" s="2">
        <v>17557</v>
      </c>
      <c r="F93" s="2">
        <v>217.36699999999999</v>
      </c>
      <c r="G93" s="2">
        <v>4.0549999999999997</v>
      </c>
      <c r="H93" s="2">
        <v>25.09</v>
      </c>
    </row>
    <row r="94" spans="1:8" x14ac:dyDescent="0.25">
      <c r="A94" s="2">
        <v>47</v>
      </c>
      <c r="B94" s="2" t="s">
        <v>809</v>
      </c>
      <c r="C94" s="2" t="s">
        <v>678</v>
      </c>
      <c r="D94" s="2">
        <v>7</v>
      </c>
      <c r="E94" s="2">
        <v>16373</v>
      </c>
      <c r="F94" s="2">
        <v>202.316</v>
      </c>
      <c r="G94" s="2">
        <v>4.0679999999999996</v>
      </c>
      <c r="H94" s="2">
        <v>25.097999999999999</v>
      </c>
    </row>
    <row r="95" spans="1:8" x14ac:dyDescent="0.25">
      <c r="A95" s="2">
        <v>48</v>
      </c>
      <c r="B95" s="2" t="s">
        <v>817</v>
      </c>
      <c r="C95" s="2" t="s">
        <v>278</v>
      </c>
      <c r="D95" s="2">
        <v>6</v>
      </c>
      <c r="E95" s="2">
        <v>12102</v>
      </c>
      <c r="F95" s="2">
        <v>144.43600000000001</v>
      </c>
      <c r="G95" s="2">
        <v>3.9460000000000002</v>
      </c>
      <c r="H95" s="2">
        <v>25.338999999999999</v>
      </c>
    </row>
    <row r="96" spans="1:8" x14ac:dyDescent="0.25">
      <c r="A96" s="2">
        <v>48</v>
      </c>
      <c r="B96" s="2" t="s">
        <v>817</v>
      </c>
      <c r="C96" s="2" t="s">
        <v>278</v>
      </c>
      <c r="D96" s="2">
        <v>7</v>
      </c>
      <c r="E96" s="2">
        <v>11444</v>
      </c>
      <c r="F96" s="2">
        <v>135.602</v>
      </c>
      <c r="G96" s="2">
        <v>4</v>
      </c>
      <c r="H96" s="2">
        <v>25.331</v>
      </c>
    </row>
    <row r="97" spans="1:8" x14ac:dyDescent="0.25">
      <c r="A97" s="2">
        <v>49</v>
      </c>
      <c r="B97" s="2" t="s">
        <v>824</v>
      </c>
      <c r="C97" s="2" t="s">
        <v>357</v>
      </c>
      <c r="D97" s="2">
        <v>6</v>
      </c>
      <c r="E97" s="2">
        <v>13791</v>
      </c>
      <c r="F97" s="2">
        <v>171.69499999999999</v>
      </c>
      <c r="G97" s="2">
        <v>-3.3079999999999998</v>
      </c>
      <c r="H97" s="2">
        <v>24.262</v>
      </c>
    </row>
    <row r="98" spans="1:8" x14ac:dyDescent="0.25">
      <c r="A98" s="2">
        <v>49</v>
      </c>
      <c r="B98" s="2" t="s">
        <v>824</v>
      </c>
      <c r="C98" s="2" t="s">
        <v>357</v>
      </c>
      <c r="D98" s="2">
        <v>7</v>
      </c>
      <c r="E98" s="2">
        <v>12882</v>
      </c>
      <c r="F98" s="2">
        <v>159.92699999999999</v>
      </c>
      <c r="G98" s="2">
        <v>-3.254</v>
      </c>
      <c r="H98" s="2">
        <v>24.286999999999999</v>
      </c>
    </row>
    <row r="99" spans="1:8" x14ac:dyDescent="0.25">
      <c r="A99" s="2">
        <v>50</v>
      </c>
      <c r="B99" s="2" t="s">
        <v>830</v>
      </c>
      <c r="C99" s="2" t="s">
        <v>336</v>
      </c>
      <c r="D99" s="2">
        <v>6</v>
      </c>
      <c r="E99" s="2">
        <v>18496</v>
      </c>
      <c r="F99" s="2">
        <v>217.82300000000001</v>
      </c>
      <c r="G99" s="2">
        <v>-3.3780000000000001</v>
      </c>
      <c r="H99" s="2">
        <v>23.925999999999998</v>
      </c>
    </row>
    <row r="100" spans="1:8" x14ac:dyDescent="0.25">
      <c r="A100" s="2">
        <v>50</v>
      </c>
      <c r="B100" s="2" t="s">
        <v>830</v>
      </c>
      <c r="C100" s="2" t="s">
        <v>336</v>
      </c>
      <c r="D100" s="2">
        <v>7</v>
      </c>
      <c r="E100" s="2">
        <v>17276</v>
      </c>
      <c r="F100" s="2">
        <v>203.298</v>
      </c>
      <c r="G100" s="2">
        <v>-3.3490000000000002</v>
      </c>
      <c r="H100" s="2">
        <v>24.061</v>
      </c>
    </row>
    <row r="101" spans="1:8" x14ac:dyDescent="0.25">
      <c r="A101" s="2">
        <v>51</v>
      </c>
      <c r="B101" s="2" t="s">
        <v>839</v>
      </c>
      <c r="C101" s="2" t="s">
        <v>840</v>
      </c>
      <c r="D101" s="2">
        <v>6</v>
      </c>
      <c r="E101" s="2">
        <v>18307</v>
      </c>
      <c r="F101" s="2">
        <v>225.68799999999999</v>
      </c>
      <c r="G101" s="2">
        <v>-2.556</v>
      </c>
      <c r="H101" s="2">
        <v>23.925999999999998</v>
      </c>
    </row>
    <row r="102" spans="1:8" x14ac:dyDescent="0.25">
      <c r="A102" s="2">
        <v>51</v>
      </c>
      <c r="B102" s="2" t="s">
        <v>839</v>
      </c>
      <c r="C102" s="2" t="s">
        <v>840</v>
      </c>
      <c r="D102" s="2">
        <v>7</v>
      </c>
      <c r="E102" s="2">
        <v>17111</v>
      </c>
      <c r="F102" s="2">
        <v>212.048</v>
      </c>
      <c r="G102" s="2">
        <v>-2.6040000000000001</v>
      </c>
      <c r="H102" s="2">
        <v>23.977</v>
      </c>
    </row>
    <row r="103" spans="1:8" x14ac:dyDescent="0.25">
      <c r="A103" s="2">
        <v>52</v>
      </c>
      <c r="B103" s="2" t="s">
        <v>846</v>
      </c>
      <c r="C103" s="2" t="s">
        <v>220</v>
      </c>
      <c r="D103" s="2">
        <v>6</v>
      </c>
      <c r="E103" s="2">
        <v>12157</v>
      </c>
      <c r="F103" s="2">
        <v>146.72300000000001</v>
      </c>
      <c r="G103" s="2">
        <v>-3.129</v>
      </c>
      <c r="H103" s="2">
        <v>24.11</v>
      </c>
    </row>
    <row r="104" spans="1:8" x14ac:dyDescent="0.25">
      <c r="A104" s="2">
        <v>52</v>
      </c>
      <c r="B104" s="2" t="s">
        <v>846</v>
      </c>
      <c r="C104" s="2" t="s">
        <v>220</v>
      </c>
      <c r="D104" s="2">
        <v>7</v>
      </c>
      <c r="E104" s="2">
        <v>11279</v>
      </c>
      <c r="F104" s="2">
        <v>136.523</v>
      </c>
      <c r="G104" s="2">
        <v>-3.085</v>
      </c>
      <c r="H104" s="2">
        <v>24.103999999999999</v>
      </c>
    </row>
    <row r="105" spans="1:8" x14ac:dyDescent="0.25">
      <c r="A105" s="2">
        <v>53</v>
      </c>
      <c r="B105" s="2" t="s">
        <v>853</v>
      </c>
      <c r="C105" s="2" t="s">
        <v>284</v>
      </c>
      <c r="D105" s="2">
        <v>6</v>
      </c>
      <c r="E105" s="2">
        <v>12749</v>
      </c>
      <c r="F105" s="2">
        <v>156.44399999999999</v>
      </c>
      <c r="G105" s="2">
        <v>-3.298</v>
      </c>
      <c r="H105" s="2">
        <v>24.024000000000001</v>
      </c>
    </row>
    <row r="106" spans="1:8" x14ac:dyDescent="0.25">
      <c r="A106" s="2">
        <v>53</v>
      </c>
      <c r="B106" s="2" t="s">
        <v>853</v>
      </c>
      <c r="C106" s="2" t="s">
        <v>284</v>
      </c>
      <c r="D106" s="2">
        <v>7</v>
      </c>
      <c r="E106" s="2">
        <v>12016</v>
      </c>
      <c r="F106" s="2">
        <v>146.054</v>
      </c>
      <c r="G106" s="2">
        <v>-3.2679999999999998</v>
      </c>
      <c r="H106" s="2">
        <v>24.016999999999999</v>
      </c>
    </row>
    <row r="107" spans="1:8" x14ac:dyDescent="0.25">
      <c r="A107" s="2">
        <v>54</v>
      </c>
      <c r="B107" s="2" t="s">
        <v>860</v>
      </c>
      <c r="C107" s="2" t="s">
        <v>788</v>
      </c>
      <c r="D107" s="2">
        <v>6</v>
      </c>
      <c r="E107" s="2">
        <v>10583</v>
      </c>
      <c r="F107" s="2">
        <v>131.41800000000001</v>
      </c>
      <c r="G107" s="2">
        <v>-3.3079999999999998</v>
      </c>
      <c r="H107" s="2">
        <v>24.187999999999999</v>
      </c>
    </row>
    <row r="108" spans="1:8" x14ac:dyDescent="0.25">
      <c r="A108" s="2">
        <v>54</v>
      </c>
      <c r="B108" s="2" t="s">
        <v>860</v>
      </c>
      <c r="C108" s="2" t="s">
        <v>788</v>
      </c>
      <c r="D108" s="2">
        <v>7</v>
      </c>
      <c r="E108" s="2">
        <v>9851</v>
      </c>
      <c r="F108" s="2">
        <v>122.31699999999999</v>
      </c>
      <c r="G108" s="2">
        <v>-3.246</v>
      </c>
      <c r="H108" s="2">
        <v>24.222000000000001</v>
      </c>
    </row>
    <row r="109" spans="1:8" x14ac:dyDescent="0.25">
      <c r="A109" s="2">
        <v>55</v>
      </c>
      <c r="B109" s="2" t="s">
        <v>867</v>
      </c>
      <c r="C109" s="2" t="s">
        <v>428</v>
      </c>
      <c r="D109" s="2">
        <v>6</v>
      </c>
      <c r="E109" s="2">
        <v>14586</v>
      </c>
      <c r="F109" s="2">
        <v>175.934</v>
      </c>
      <c r="G109" s="2">
        <v>-3.4129999999999998</v>
      </c>
      <c r="H109" s="2">
        <v>23.853999999999999</v>
      </c>
    </row>
    <row r="110" spans="1:8" x14ac:dyDescent="0.25">
      <c r="A110" s="2">
        <v>55</v>
      </c>
      <c r="B110" s="2" t="s">
        <v>867</v>
      </c>
      <c r="C110" s="2" t="s">
        <v>428</v>
      </c>
      <c r="D110" s="2">
        <v>7</v>
      </c>
      <c r="E110" s="2">
        <v>13793</v>
      </c>
      <c r="F110" s="2">
        <v>164.91499999999999</v>
      </c>
      <c r="G110" s="2">
        <v>-3.3849999999999998</v>
      </c>
      <c r="H110" s="2">
        <v>23.859000000000002</v>
      </c>
    </row>
    <row r="111" spans="1:8" x14ac:dyDescent="0.25">
      <c r="A111" s="2">
        <v>56</v>
      </c>
      <c r="B111" s="2" t="s">
        <v>875</v>
      </c>
      <c r="C111" s="2" t="s">
        <v>876</v>
      </c>
      <c r="D111" s="2">
        <v>6</v>
      </c>
      <c r="E111" s="2">
        <v>14618</v>
      </c>
      <c r="F111" s="2">
        <v>181.48400000000001</v>
      </c>
      <c r="G111" s="2">
        <v>-3.286</v>
      </c>
      <c r="H111" s="2">
        <v>23.989000000000001</v>
      </c>
    </row>
    <row r="112" spans="1:8" x14ac:dyDescent="0.25">
      <c r="A112" s="2">
        <v>56</v>
      </c>
      <c r="B112" s="2" t="s">
        <v>875</v>
      </c>
      <c r="C112" s="2" t="s">
        <v>876</v>
      </c>
      <c r="D112" s="2">
        <v>7</v>
      </c>
      <c r="E112" s="2">
        <v>13628</v>
      </c>
      <c r="F112" s="2">
        <v>169.03399999999999</v>
      </c>
      <c r="G112" s="2">
        <v>-3.2610000000000001</v>
      </c>
      <c r="H112" s="2">
        <v>24.045000000000002</v>
      </c>
    </row>
    <row r="113" spans="1:8" x14ac:dyDescent="0.25">
      <c r="A113" s="2">
        <v>57</v>
      </c>
      <c r="B113" s="2" t="s">
        <v>882</v>
      </c>
      <c r="C113" s="2" t="s">
        <v>883</v>
      </c>
      <c r="D113" s="2">
        <v>6</v>
      </c>
      <c r="E113" s="2">
        <v>21957</v>
      </c>
      <c r="F113" s="2">
        <v>259.51299999999998</v>
      </c>
      <c r="G113" s="2">
        <v>-3.0640000000000001</v>
      </c>
      <c r="H113" s="2">
        <v>23.8</v>
      </c>
    </row>
    <row r="114" spans="1:8" x14ac:dyDescent="0.25">
      <c r="A114" s="2">
        <v>57</v>
      </c>
      <c r="B114" s="2" t="s">
        <v>882</v>
      </c>
      <c r="C114" s="2" t="s">
        <v>883</v>
      </c>
      <c r="D114" s="2">
        <v>7</v>
      </c>
      <c r="E114" s="2">
        <v>20700</v>
      </c>
      <c r="F114" s="2">
        <v>245.58699999999999</v>
      </c>
      <c r="G114" s="2">
        <v>-3.12</v>
      </c>
      <c r="H114" s="2">
        <v>23.824000000000002</v>
      </c>
    </row>
    <row r="115" spans="1:8" x14ac:dyDescent="0.25">
      <c r="A115" s="2">
        <v>58</v>
      </c>
      <c r="B115" s="2" t="s">
        <v>888</v>
      </c>
      <c r="C115" s="2" t="s">
        <v>269</v>
      </c>
      <c r="D115" s="2">
        <v>6</v>
      </c>
      <c r="E115" s="2">
        <v>14582</v>
      </c>
      <c r="F115" s="2">
        <v>180.983</v>
      </c>
      <c r="G115" s="2">
        <v>-3.1429999999999998</v>
      </c>
      <c r="H115" s="2">
        <v>23.812000000000001</v>
      </c>
    </row>
    <row r="116" spans="1:8" x14ac:dyDescent="0.25">
      <c r="A116" s="2">
        <v>58</v>
      </c>
      <c r="B116" s="2" t="s">
        <v>888</v>
      </c>
      <c r="C116" s="2" t="s">
        <v>269</v>
      </c>
      <c r="D116" s="2">
        <v>7</v>
      </c>
      <c r="E116" s="2">
        <v>13605</v>
      </c>
      <c r="F116" s="2">
        <v>168.40899999999999</v>
      </c>
      <c r="G116" s="2">
        <v>-3.1059999999999999</v>
      </c>
      <c r="H116" s="2">
        <v>23.832999999999998</v>
      </c>
    </row>
    <row r="117" spans="1:8" x14ac:dyDescent="0.25">
      <c r="A117" s="2">
        <v>59</v>
      </c>
      <c r="B117" s="2" t="s">
        <v>894</v>
      </c>
      <c r="C117" s="2" t="s">
        <v>433</v>
      </c>
      <c r="D117" s="2">
        <v>6</v>
      </c>
      <c r="E117" s="2">
        <v>17682</v>
      </c>
      <c r="F117" s="2">
        <v>208.30099999999999</v>
      </c>
      <c r="G117" s="2">
        <v>4.0129999999999999</v>
      </c>
      <c r="H117" s="2">
        <v>25.263999999999999</v>
      </c>
    </row>
    <row r="118" spans="1:8" x14ac:dyDescent="0.25">
      <c r="A118" s="2">
        <v>59</v>
      </c>
      <c r="B118" s="2" t="s">
        <v>894</v>
      </c>
      <c r="C118" s="2" t="s">
        <v>433</v>
      </c>
      <c r="D118" s="2">
        <v>7</v>
      </c>
      <c r="E118" s="2">
        <v>16473</v>
      </c>
      <c r="F118" s="2">
        <v>194.422</v>
      </c>
      <c r="G118" s="2">
        <v>4.0599999999999996</v>
      </c>
      <c r="H118" s="2">
        <v>25.262</v>
      </c>
    </row>
    <row r="119" spans="1:8" x14ac:dyDescent="0.25">
      <c r="A119" s="2">
        <v>60</v>
      </c>
      <c r="B119" s="2" t="s">
        <v>899</v>
      </c>
      <c r="C119" s="2" t="s">
        <v>220</v>
      </c>
      <c r="D119" s="2">
        <v>6</v>
      </c>
      <c r="E119" s="2">
        <v>12296</v>
      </c>
      <c r="F119" s="2">
        <v>152.47200000000001</v>
      </c>
      <c r="G119" s="2">
        <v>3.9780000000000002</v>
      </c>
      <c r="H119" s="2">
        <v>25.282</v>
      </c>
    </row>
    <row r="120" spans="1:8" x14ac:dyDescent="0.25">
      <c r="A120" s="2">
        <v>60</v>
      </c>
      <c r="B120" s="2" t="s">
        <v>899</v>
      </c>
      <c r="C120" s="2" t="s">
        <v>220</v>
      </c>
      <c r="D120" s="2">
        <v>7</v>
      </c>
      <c r="E120" s="2">
        <v>11493</v>
      </c>
      <c r="F120" s="2">
        <v>141.96100000000001</v>
      </c>
      <c r="G120" s="2">
        <v>4.0229999999999997</v>
      </c>
      <c r="H120" s="2">
        <v>25.306999999999999</v>
      </c>
    </row>
    <row r="121" spans="1:8" x14ac:dyDescent="0.25">
      <c r="A121" s="2">
        <v>61</v>
      </c>
      <c r="B121" s="2" t="s">
        <v>906</v>
      </c>
      <c r="C121" s="2" t="s">
        <v>907</v>
      </c>
      <c r="D121" s="2">
        <v>6</v>
      </c>
      <c r="E121" s="2">
        <v>21472</v>
      </c>
      <c r="F121" s="2">
        <v>259.87599999999998</v>
      </c>
      <c r="G121" s="2">
        <v>-3.4180000000000001</v>
      </c>
      <c r="H121" s="2">
        <v>23.718</v>
      </c>
    </row>
    <row r="122" spans="1:8" x14ac:dyDescent="0.25">
      <c r="A122" s="2">
        <v>61</v>
      </c>
      <c r="B122" s="2" t="s">
        <v>906</v>
      </c>
      <c r="C122" s="2" t="s">
        <v>907</v>
      </c>
      <c r="D122" s="2">
        <v>7</v>
      </c>
      <c r="E122" s="2">
        <v>19919</v>
      </c>
      <c r="F122" s="2">
        <v>243.79599999999999</v>
      </c>
      <c r="G122" s="2">
        <v>-3.4380000000000002</v>
      </c>
      <c r="H122" s="2">
        <v>23.774000000000001</v>
      </c>
    </row>
    <row r="123" spans="1:8" x14ac:dyDescent="0.25">
      <c r="A123" s="2">
        <v>62</v>
      </c>
      <c r="B123" s="2" t="s">
        <v>912</v>
      </c>
      <c r="C123" s="2" t="s">
        <v>913</v>
      </c>
      <c r="D123" s="2">
        <v>6</v>
      </c>
      <c r="E123" s="2">
        <v>18906</v>
      </c>
      <c r="F123" s="2">
        <v>229.77799999999999</v>
      </c>
      <c r="G123" s="2">
        <v>-3.4569999999999999</v>
      </c>
      <c r="H123" s="2">
        <v>23.878</v>
      </c>
    </row>
    <row r="124" spans="1:8" x14ac:dyDescent="0.25">
      <c r="A124" s="2">
        <v>62</v>
      </c>
      <c r="B124" s="2" t="s">
        <v>912</v>
      </c>
      <c r="C124" s="2" t="s">
        <v>913</v>
      </c>
      <c r="D124" s="2">
        <v>7</v>
      </c>
      <c r="E124" s="2">
        <v>17833</v>
      </c>
      <c r="F124" s="2">
        <v>215.066</v>
      </c>
      <c r="G124" s="2">
        <v>-3.4380000000000002</v>
      </c>
      <c r="H124" s="2">
        <v>23.92</v>
      </c>
    </row>
    <row r="125" spans="1:8" x14ac:dyDescent="0.25">
      <c r="A125" s="2">
        <v>63</v>
      </c>
      <c r="B125" s="2" t="s">
        <v>919</v>
      </c>
      <c r="C125" s="2" t="s">
        <v>920</v>
      </c>
      <c r="D125" s="2">
        <v>6</v>
      </c>
      <c r="E125" s="2">
        <v>20946</v>
      </c>
      <c r="F125" s="2">
        <v>257.262</v>
      </c>
      <c r="G125" s="2">
        <v>-3.4369999999999998</v>
      </c>
      <c r="H125" s="2">
        <v>23.87</v>
      </c>
    </row>
    <row r="126" spans="1:8" x14ac:dyDescent="0.25">
      <c r="A126" s="2">
        <v>63</v>
      </c>
      <c r="B126" s="2" t="s">
        <v>919</v>
      </c>
      <c r="C126" s="2" t="s">
        <v>920</v>
      </c>
      <c r="D126" s="2">
        <v>7</v>
      </c>
      <c r="E126" s="2">
        <v>19584</v>
      </c>
      <c r="F126" s="2">
        <v>242.77799999999999</v>
      </c>
      <c r="G126" s="2">
        <v>-3.4580000000000002</v>
      </c>
      <c r="H126" s="2">
        <v>23.908999999999999</v>
      </c>
    </row>
    <row r="127" spans="1:8" x14ac:dyDescent="0.25">
      <c r="A127" s="2">
        <v>64</v>
      </c>
      <c r="B127" s="2" t="s">
        <v>925</v>
      </c>
      <c r="C127" s="2" t="s">
        <v>926</v>
      </c>
      <c r="D127" s="2">
        <v>6</v>
      </c>
      <c r="E127" s="2">
        <v>17596</v>
      </c>
      <c r="F127" s="2">
        <v>208.95400000000001</v>
      </c>
      <c r="G127" s="2">
        <v>-3.3820000000000001</v>
      </c>
      <c r="H127" s="2">
        <v>24.026</v>
      </c>
    </row>
    <row r="128" spans="1:8" x14ac:dyDescent="0.25">
      <c r="A128" s="2">
        <v>64</v>
      </c>
      <c r="B128" s="2" t="s">
        <v>925</v>
      </c>
      <c r="C128" s="2" t="s">
        <v>926</v>
      </c>
      <c r="D128" s="2">
        <v>7</v>
      </c>
      <c r="E128" s="2">
        <v>16667</v>
      </c>
      <c r="F128" s="2">
        <v>196.74199999999999</v>
      </c>
      <c r="G128" s="2">
        <v>-3.298</v>
      </c>
      <c r="H128" s="2">
        <v>24.055</v>
      </c>
    </row>
    <row r="129" spans="1:8" x14ac:dyDescent="0.25">
      <c r="A129" s="2">
        <v>65</v>
      </c>
      <c r="B129" s="2" t="s">
        <v>933</v>
      </c>
      <c r="C129" s="2" t="s">
        <v>934</v>
      </c>
      <c r="D129" s="2">
        <v>6</v>
      </c>
      <c r="E129" s="2">
        <v>12807</v>
      </c>
      <c r="F129" s="2">
        <v>159.01400000000001</v>
      </c>
      <c r="G129" s="2">
        <v>-3.0539999999999998</v>
      </c>
      <c r="H129" s="2">
        <v>24.13</v>
      </c>
    </row>
    <row r="130" spans="1:8" x14ac:dyDescent="0.25">
      <c r="A130" s="2">
        <v>65</v>
      </c>
      <c r="B130" s="2" t="s">
        <v>933</v>
      </c>
      <c r="C130" s="2" t="s">
        <v>934</v>
      </c>
      <c r="D130" s="2">
        <v>7</v>
      </c>
      <c r="E130" s="2">
        <v>12078</v>
      </c>
      <c r="F130" s="2">
        <v>149.471</v>
      </c>
      <c r="G130" s="2">
        <v>-3.0070000000000001</v>
      </c>
      <c r="H130" s="2">
        <v>24.151</v>
      </c>
    </row>
    <row r="131" spans="1:8" x14ac:dyDescent="0.25">
      <c r="A131" s="2">
        <v>66</v>
      </c>
      <c r="B131" s="2" t="s">
        <v>940</v>
      </c>
      <c r="C131" s="2" t="s">
        <v>220</v>
      </c>
      <c r="D131" s="2">
        <v>6</v>
      </c>
      <c r="E131" s="2">
        <v>14527</v>
      </c>
      <c r="F131" s="2">
        <v>171.548</v>
      </c>
      <c r="G131" s="2">
        <v>-2.964</v>
      </c>
      <c r="H131" s="2">
        <v>23.478999999999999</v>
      </c>
    </row>
    <row r="132" spans="1:8" x14ac:dyDescent="0.25">
      <c r="A132" s="2">
        <v>66</v>
      </c>
      <c r="B132" s="2" t="s">
        <v>940</v>
      </c>
      <c r="C132" s="2" t="s">
        <v>220</v>
      </c>
      <c r="D132" s="2">
        <v>7</v>
      </c>
      <c r="E132" s="2">
        <v>13638</v>
      </c>
      <c r="F132" s="2">
        <v>160.73699999999999</v>
      </c>
      <c r="G132" s="2">
        <v>-2.8759999999999999</v>
      </c>
      <c r="H132" s="2">
        <v>23.574000000000002</v>
      </c>
    </row>
    <row r="133" spans="1:8" x14ac:dyDescent="0.25">
      <c r="A133" s="2">
        <v>67</v>
      </c>
      <c r="B133" s="2" t="s">
        <v>945</v>
      </c>
      <c r="C133" s="2" t="s">
        <v>946</v>
      </c>
      <c r="D133" s="2">
        <v>6</v>
      </c>
      <c r="E133" s="2">
        <v>16823</v>
      </c>
      <c r="F133" s="2">
        <v>208.04400000000001</v>
      </c>
      <c r="G133" s="2">
        <v>-2.8239999999999998</v>
      </c>
      <c r="H133" s="2">
        <v>23.832999999999998</v>
      </c>
    </row>
    <row r="134" spans="1:8" x14ac:dyDescent="0.25">
      <c r="A134" s="2">
        <v>67</v>
      </c>
      <c r="B134" s="2" t="s">
        <v>945</v>
      </c>
      <c r="C134" s="2" t="s">
        <v>946</v>
      </c>
      <c r="D134" s="2">
        <v>7</v>
      </c>
      <c r="E134" s="2">
        <v>15760</v>
      </c>
      <c r="F134" s="2">
        <v>194.35</v>
      </c>
      <c r="G134" s="2">
        <v>-2.78</v>
      </c>
      <c r="H134" s="2">
        <v>23.841999999999999</v>
      </c>
    </row>
    <row r="135" spans="1:8" x14ac:dyDescent="0.25">
      <c r="A135" s="2">
        <v>68</v>
      </c>
      <c r="B135" s="2" t="s">
        <v>952</v>
      </c>
      <c r="C135" s="2" t="s">
        <v>402</v>
      </c>
      <c r="D135" s="2">
        <v>6</v>
      </c>
      <c r="E135" s="2">
        <v>20524</v>
      </c>
      <c r="F135" s="2">
        <v>241.18100000000001</v>
      </c>
      <c r="G135" s="2">
        <v>-3.0960000000000001</v>
      </c>
      <c r="H135" s="2">
        <v>23.382999999999999</v>
      </c>
    </row>
    <row r="136" spans="1:8" x14ac:dyDescent="0.25">
      <c r="A136" s="2">
        <v>68</v>
      </c>
      <c r="B136" s="2" t="s">
        <v>952</v>
      </c>
      <c r="C136" s="2" t="s">
        <v>402</v>
      </c>
      <c r="D136" s="2">
        <v>7</v>
      </c>
      <c r="E136" s="2">
        <v>19172</v>
      </c>
      <c r="F136" s="2">
        <v>227.77600000000001</v>
      </c>
      <c r="G136" s="2">
        <v>-3.125</v>
      </c>
      <c r="H136" s="2">
        <v>23.443999999999999</v>
      </c>
    </row>
    <row r="137" spans="1:8" x14ac:dyDescent="0.25">
      <c r="A137" s="2">
        <v>69</v>
      </c>
      <c r="B137" s="2" t="s">
        <v>958</v>
      </c>
      <c r="C137" s="2" t="s">
        <v>678</v>
      </c>
      <c r="D137" s="2">
        <v>6</v>
      </c>
      <c r="E137" s="2">
        <v>15745</v>
      </c>
      <c r="F137" s="2">
        <v>194.595</v>
      </c>
      <c r="G137" s="2">
        <v>-3.2589999999999999</v>
      </c>
      <c r="H137" s="2">
        <v>23.675000000000001</v>
      </c>
    </row>
    <row r="138" spans="1:8" x14ac:dyDescent="0.25">
      <c r="A138" s="2">
        <v>69</v>
      </c>
      <c r="B138" s="2" t="s">
        <v>958</v>
      </c>
      <c r="C138" s="2" t="s">
        <v>678</v>
      </c>
      <c r="D138" s="2">
        <v>7</v>
      </c>
      <c r="E138" s="2">
        <v>14731</v>
      </c>
      <c r="F138" s="2">
        <v>181.60599999999999</v>
      </c>
      <c r="G138" s="2">
        <v>-3.2170000000000001</v>
      </c>
      <c r="H138" s="2">
        <v>23.716000000000001</v>
      </c>
    </row>
    <row r="139" spans="1:8" x14ac:dyDescent="0.25">
      <c r="A139" s="2">
        <v>70</v>
      </c>
      <c r="B139" s="2" t="s">
        <v>965</v>
      </c>
      <c r="C139" s="2" t="s">
        <v>280</v>
      </c>
      <c r="D139" s="2">
        <v>6</v>
      </c>
      <c r="E139" s="2">
        <v>13724</v>
      </c>
      <c r="F139" s="2">
        <v>166.614</v>
      </c>
      <c r="G139" s="2">
        <v>-3.6680000000000001</v>
      </c>
      <c r="H139" s="2">
        <v>23.885000000000002</v>
      </c>
    </row>
    <row r="140" spans="1:8" x14ac:dyDescent="0.25">
      <c r="A140" s="2">
        <v>70</v>
      </c>
      <c r="B140" s="2" t="s">
        <v>965</v>
      </c>
      <c r="C140" s="2" t="s">
        <v>280</v>
      </c>
      <c r="D140" s="2">
        <v>7</v>
      </c>
      <c r="E140" s="2">
        <v>12772</v>
      </c>
      <c r="F140" s="2">
        <v>155.61000000000001</v>
      </c>
      <c r="G140" s="2">
        <v>-3.6269999999999998</v>
      </c>
      <c r="H140" s="2">
        <v>23.902000000000001</v>
      </c>
    </row>
    <row r="141" spans="1:8" x14ac:dyDescent="0.25">
      <c r="A141" s="2">
        <v>71</v>
      </c>
      <c r="B141" s="2" t="s">
        <v>970</v>
      </c>
      <c r="C141" s="2" t="s">
        <v>414</v>
      </c>
      <c r="D141" s="2">
        <v>6</v>
      </c>
      <c r="E141" s="2">
        <v>19159</v>
      </c>
      <c r="F141" s="2">
        <v>234.69300000000001</v>
      </c>
      <c r="G141" s="2">
        <v>4.0419999999999998</v>
      </c>
      <c r="H141" s="2">
        <v>25.186</v>
      </c>
    </row>
    <row r="142" spans="1:8" x14ac:dyDescent="0.25">
      <c r="A142" s="2">
        <v>71</v>
      </c>
      <c r="B142" s="2" t="s">
        <v>970</v>
      </c>
      <c r="C142" s="2" t="s">
        <v>414</v>
      </c>
      <c r="D142" s="2">
        <v>7</v>
      </c>
      <c r="E142" s="2">
        <v>17989</v>
      </c>
      <c r="F142" s="2">
        <v>219.322</v>
      </c>
      <c r="G142" s="2">
        <v>4.056</v>
      </c>
      <c r="H142" s="2">
        <v>25.227</v>
      </c>
    </row>
    <row r="143" spans="1:8" x14ac:dyDescent="0.25">
      <c r="A143" s="2">
        <v>72</v>
      </c>
      <c r="B143" s="2" t="s">
        <v>977</v>
      </c>
      <c r="C143" s="2" t="s">
        <v>732</v>
      </c>
      <c r="D143" s="2">
        <v>6</v>
      </c>
      <c r="E143" s="2">
        <v>17591</v>
      </c>
      <c r="F143" s="2">
        <v>214.041</v>
      </c>
      <c r="G143" s="2">
        <v>4.0170000000000003</v>
      </c>
      <c r="H143" s="2">
        <v>25.295000000000002</v>
      </c>
    </row>
    <row r="144" spans="1:8" x14ac:dyDescent="0.25">
      <c r="A144" s="2">
        <v>72</v>
      </c>
      <c r="B144" s="2" t="s">
        <v>977</v>
      </c>
      <c r="C144" s="2" t="s">
        <v>732</v>
      </c>
      <c r="D144" s="2">
        <v>7</v>
      </c>
      <c r="E144" s="2">
        <v>16282</v>
      </c>
      <c r="F144" s="2">
        <v>200.94399999999999</v>
      </c>
      <c r="G144" s="2">
        <v>3.9940000000000002</v>
      </c>
      <c r="H144" s="2">
        <v>25.343</v>
      </c>
    </row>
    <row r="145" spans="1:8" x14ac:dyDescent="0.25">
      <c r="A145" s="2">
        <v>73</v>
      </c>
      <c r="B145" s="2" t="s">
        <v>982</v>
      </c>
      <c r="C145" s="2" t="s">
        <v>420</v>
      </c>
      <c r="D145" s="2">
        <v>6</v>
      </c>
      <c r="E145" s="2">
        <v>13077</v>
      </c>
      <c r="F145" s="2">
        <v>159.27500000000001</v>
      </c>
      <c r="G145" s="2">
        <v>-4.0229999999999997</v>
      </c>
      <c r="H145" s="2">
        <v>24.155999999999999</v>
      </c>
    </row>
    <row r="146" spans="1:8" x14ac:dyDescent="0.25">
      <c r="A146" s="2">
        <v>73</v>
      </c>
      <c r="B146" s="2" t="s">
        <v>982</v>
      </c>
      <c r="C146" s="2" t="s">
        <v>420</v>
      </c>
      <c r="D146" s="2">
        <v>7</v>
      </c>
      <c r="E146" s="2">
        <v>12388</v>
      </c>
      <c r="F146" s="2">
        <v>149.55500000000001</v>
      </c>
      <c r="G146" s="2">
        <v>-3.98</v>
      </c>
      <c r="H146" s="2">
        <v>24.19</v>
      </c>
    </row>
    <row r="147" spans="1:8" x14ac:dyDescent="0.25">
      <c r="A147" s="2">
        <v>75</v>
      </c>
      <c r="B147" s="2" t="s">
        <v>993</v>
      </c>
      <c r="C147" s="2" t="s">
        <v>994</v>
      </c>
      <c r="D147" s="2">
        <v>6</v>
      </c>
      <c r="E147" s="2">
        <v>21135</v>
      </c>
      <c r="F147" s="2">
        <v>249.37299999999999</v>
      </c>
      <c r="G147" s="2">
        <v>-2.9430000000000001</v>
      </c>
      <c r="H147" s="2">
        <v>23.943999999999999</v>
      </c>
    </row>
    <row r="148" spans="1:8" x14ac:dyDescent="0.25">
      <c r="A148" s="2">
        <v>75</v>
      </c>
      <c r="B148" s="2" t="s">
        <v>993</v>
      </c>
      <c r="C148" s="2" t="s">
        <v>994</v>
      </c>
      <c r="D148" s="2">
        <v>7</v>
      </c>
      <c r="E148" s="2">
        <v>20009</v>
      </c>
      <c r="F148" s="2">
        <v>237.33099999999999</v>
      </c>
      <c r="G148" s="2">
        <v>-2.9740000000000002</v>
      </c>
      <c r="H148" s="2">
        <v>24.02</v>
      </c>
    </row>
    <row r="149" spans="1:8" x14ac:dyDescent="0.25">
      <c r="A149" s="2">
        <v>76</v>
      </c>
      <c r="B149" s="2" t="s">
        <v>999</v>
      </c>
      <c r="C149" s="2" t="s">
        <v>412</v>
      </c>
      <c r="D149" s="2">
        <v>6</v>
      </c>
      <c r="E149" s="2">
        <v>16768</v>
      </c>
      <c r="F149" s="2">
        <v>207.90600000000001</v>
      </c>
      <c r="G149" s="2">
        <v>-2.7109999999999999</v>
      </c>
      <c r="H149" s="2">
        <v>23.878</v>
      </c>
    </row>
    <row r="150" spans="1:8" x14ac:dyDescent="0.25">
      <c r="A150" s="2">
        <v>76</v>
      </c>
      <c r="B150" s="2" t="s">
        <v>999</v>
      </c>
      <c r="C150" s="2" t="s">
        <v>412</v>
      </c>
      <c r="D150" s="2">
        <v>7</v>
      </c>
      <c r="E150" s="2">
        <v>15783</v>
      </c>
      <c r="F150" s="2">
        <v>195.19499999999999</v>
      </c>
      <c r="G150" s="2">
        <v>-2.6760000000000002</v>
      </c>
      <c r="H150" s="2">
        <v>23.940999999999999</v>
      </c>
    </row>
    <row r="151" spans="1:8" x14ac:dyDescent="0.25">
      <c r="A151" s="2">
        <v>77</v>
      </c>
      <c r="B151" s="2" t="s">
        <v>1005</v>
      </c>
      <c r="C151" s="2" t="s">
        <v>1006</v>
      </c>
      <c r="D151" s="2">
        <v>6</v>
      </c>
      <c r="E151" s="2">
        <v>19315</v>
      </c>
      <c r="F151" s="2">
        <v>227.29599999999999</v>
      </c>
      <c r="G151" s="2">
        <v>-2.7530000000000001</v>
      </c>
      <c r="H151" s="2">
        <v>23.687999999999999</v>
      </c>
    </row>
    <row r="152" spans="1:8" x14ac:dyDescent="0.25">
      <c r="A152" s="2">
        <v>77</v>
      </c>
      <c r="B152" s="2" t="s">
        <v>1005</v>
      </c>
      <c r="C152" s="2" t="s">
        <v>1006</v>
      </c>
      <c r="D152" s="2">
        <v>7</v>
      </c>
      <c r="E152" s="2">
        <v>18318</v>
      </c>
      <c r="F152" s="2">
        <v>217.08199999999999</v>
      </c>
      <c r="G152" s="2">
        <v>-2.7959999999999998</v>
      </c>
      <c r="H152" s="2">
        <v>23.715</v>
      </c>
    </row>
    <row r="153" spans="1:8" x14ac:dyDescent="0.25">
      <c r="A153" s="2">
        <v>78</v>
      </c>
      <c r="B153" s="2" t="s">
        <v>1011</v>
      </c>
      <c r="C153" s="2" t="s">
        <v>428</v>
      </c>
      <c r="D153" s="2">
        <v>6</v>
      </c>
      <c r="E153" s="2">
        <v>14129</v>
      </c>
      <c r="F153" s="2">
        <v>175.124</v>
      </c>
      <c r="G153" s="2">
        <v>-2.9809999999999999</v>
      </c>
      <c r="H153" s="2">
        <v>23.399000000000001</v>
      </c>
    </row>
    <row r="154" spans="1:8" x14ac:dyDescent="0.25">
      <c r="A154" s="2">
        <v>78</v>
      </c>
      <c r="B154" s="2" t="s">
        <v>1011</v>
      </c>
      <c r="C154" s="2" t="s">
        <v>428</v>
      </c>
      <c r="D154" s="2">
        <v>7</v>
      </c>
      <c r="E154" s="2">
        <v>13262</v>
      </c>
      <c r="F154" s="2">
        <v>163.82</v>
      </c>
      <c r="G154" s="2">
        <v>-2.9409999999999998</v>
      </c>
      <c r="H154" s="2">
        <v>23.48</v>
      </c>
    </row>
    <row r="155" spans="1:8" x14ac:dyDescent="0.25">
      <c r="A155" s="2">
        <v>79</v>
      </c>
      <c r="B155" s="2" t="s">
        <v>1018</v>
      </c>
      <c r="C155" s="2" t="s">
        <v>632</v>
      </c>
      <c r="D155" s="2">
        <v>6</v>
      </c>
      <c r="E155" s="2">
        <v>14990</v>
      </c>
      <c r="F155" s="2">
        <v>180.67400000000001</v>
      </c>
      <c r="G155" s="2">
        <v>-2.8719999999999999</v>
      </c>
      <c r="H155" s="2">
        <v>23.66</v>
      </c>
    </row>
    <row r="156" spans="1:8" x14ac:dyDescent="0.25">
      <c r="A156" s="2">
        <v>79</v>
      </c>
      <c r="B156" s="2" t="s">
        <v>1018</v>
      </c>
      <c r="C156" s="2" t="s">
        <v>632</v>
      </c>
      <c r="D156" s="2">
        <v>7</v>
      </c>
      <c r="E156" s="2">
        <v>13946</v>
      </c>
      <c r="F156" s="2">
        <v>168.94300000000001</v>
      </c>
      <c r="G156" s="2">
        <v>-2.8180000000000001</v>
      </c>
      <c r="H156" s="2">
        <v>23.693999999999999</v>
      </c>
    </row>
    <row r="157" spans="1:8" x14ac:dyDescent="0.25">
      <c r="A157" s="2">
        <v>80</v>
      </c>
      <c r="B157" s="2" t="s">
        <v>1024</v>
      </c>
      <c r="C157" s="2" t="s">
        <v>310</v>
      </c>
      <c r="D157" s="2">
        <v>6</v>
      </c>
      <c r="E157" s="2">
        <v>15631</v>
      </c>
      <c r="F157" s="2">
        <v>192.46199999999999</v>
      </c>
      <c r="G157" s="2">
        <v>-3.331</v>
      </c>
      <c r="H157" s="2">
        <v>23.637</v>
      </c>
    </row>
    <row r="158" spans="1:8" x14ac:dyDescent="0.25">
      <c r="A158" s="2">
        <v>80</v>
      </c>
      <c r="B158" s="2" t="s">
        <v>1024</v>
      </c>
      <c r="C158" s="2" t="s">
        <v>310</v>
      </c>
      <c r="D158" s="2">
        <v>7</v>
      </c>
      <c r="E158" s="2">
        <v>14698</v>
      </c>
      <c r="F158" s="2">
        <v>179.91</v>
      </c>
      <c r="G158" s="2">
        <v>-3.331</v>
      </c>
      <c r="H158" s="2">
        <v>23.678999999999998</v>
      </c>
    </row>
    <row r="159" spans="1:8" x14ac:dyDescent="0.25">
      <c r="A159" s="2">
        <v>81</v>
      </c>
      <c r="B159" s="2" t="s">
        <v>1030</v>
      </c>
      <c r="C159" s="2" t="s">
        <v>1031</v>
      </c>
      <c r="D159" s="2">
        <v>6</v>
      </c>
      <c r="E159" s="2">
        <v>19902</v>
      </c>
      <c r="F159" s="2">
        <v>242.185</v>
      </c>
      <c r="G159" s="2">
        <v>-3.649</v>
      </c>
      <c r="H159" s="2">
        <v>24.042000000000002</v>
      </c>
    </row>
    <row r="160" spans="1:8" x14ac:dyDescent="0.25">
      <c r="A160" s="2">
        <v>81</v>
      </c>
      <c r="B160" s="2" t="s">
        <v>1030</v>
      </c>
      <c r="C160" s="2" t="s">
        <v>1031</v>
      </c>
      <c r="D160" s="2">
        <v>7</v>
      </c>
      <c r="E160" s="2">
        <v>18489</v>
      </c>
      <c r="F160" s="2">
        <v>226.00200000000001</v>
      </c>
      <c r="G160" s="2">
        <v>-3.6230000000000002</v>
      </c>
      <c r="H160" s="2">
        <v>24.071999999999999</v>
      </c>
    </row>
    <row r="161" spans="1:8" x14ac:dyDescent="0.25">
      <c r="A161" s="2">
        <v>82</v>
      </c>
      <c r="B161" s="2" t="s">
        <v>1036</v>
      </c>
      <c r="C161" s="2" t="s">
        <v>698</v>
      </c>
      <c r="D161" s="2">
        <v>6</v>
      </c>
      <c r="E161" s="2">
        <v>11347</v>
      </c>
      <c r="F161" s="2">
        <v>139.05799999999999</v>
      </c>
      <c r="G161" s="2">
        <v>-3.1989999999999998</v>
      </c>
      <c r="H161" s="2">
        <v>23.997</v>
      </c>
    </row>
    <row r="162" spans="1:8" x14ac:dyDescent="0.25">
      <c r="A162" s="2">
        <v>82</v>
      </c>
      <c r="B162" s="2" t="s">
        <v>1036</v>
      </c>
      <c r="C162" s="2" t="s">
        <v>698</v>
      </c>
      <c r="D162" s="2">
        <v>7</v>
      </c>
      <c r="E162" s="2">
        <v>10714</v>
      </c>
      <c r="F162" s="2">
        <v>130.06</v>
      </c>
      <c r="G162" s="2">
        <v>-3.1709999999999998</v>
      </c>
      <c r="H162" s="2">
        <v>23.998000000000001</v>
      </c>
    </row>
    <row r="163" spans="1:8" x14ac:dyDescent="0.25">
      <c r="A163" s="2">
        <v>83</v>
      </c>
      <c r="B163" s="2" t="s">
        <v>1043</v>
      </c>
      <c r="C163" s="2" t="s">
        <v>420</v>
      </c>
      <c r="D163" s="2">
        <v>6</v>
      </c>
      <c r="E163" s="2">
        <v>10743</v>
      </c>
      <c r="F163" s="2">
        <v>133.30500000000001</v>
      </c>
      <c r="G163" s="2">
        <v>3.847</v>
      </c>
      <c r="H163" s="2">
        <v>25.297000000000001</v>
      </c>
    </row>
    <row r="164" spans="1:8" x14ac:dyDescent="0.25">
      <c r="A164" s="2">
        <v>83</v>
      </c>
      <c r="B164" s="2" t="s">
        <v>1043</v>
      </c>
      <c r="C164" s="2" t="s">
        <v>420</v>
      </c>
      <c r="D164" s="2">
        <v>7</v>
      </c>
      <c r="E164" s="2">
        <v>10092</v>
      </c>
      <c r="F164" s="2">
        <v>125.098</v>
      </c>
      <c r="G164" s="2">
        <v>3.9369999999999998</v>
      </c>
      <c r="H164" s="2">
        <v>25.34</v>
      </c>
    </row>
    <row r="165" spans="1:8" x14ac:dyDescent="0.25">
      <c r="A165" s="2">
        <v>84</v>
      </c>
      <c r="B165" s="2" t="s">
        <v>1050</v>
      </c>
      <c r="C165" s="2" t="s">
        <v>340</v>
      </c>
      <c r="D165" s="2">
        <v>6</v>
      </c>
      <c r="E165" s="2">
        <v>13432</v>
      </c>
      <c r="F165" s="2">
        <v>160.11099999999999</v>
      </c>
      <c r="G165" s="2">
        <v>3.879</v>
      </c>
      <c r="H165" s="2">
        <v>25.335000000000001</v>
      </c>
    </row>
    <row r="166" spans="1:8" x14ac:dyDescent="0.25">
      <c r="A166" s="2">
        <v>84</v>
      </c>
      <c r="B166" s="2" t="s">
        <v>1050</v>
      </c>
      <c r="C166" s="2" t="s">
        <v>340</v>
      </c>
      <c r="D166" s="2">
        <v>7</v>
      </c>
      <c r="E166" s="2">
        <v>12713</v>
      </c>
      <c r="F166" s="2">
        <v>150.786</v>
      </c>
      <c r="G166" s="2">
        <v>3.9750000000000001</v>
      </c>
      <c r="H166" s="2">
        <v>25.347000000000001</v>
      </c>
    </row>
    <row r="167" spans="1:8" x14ac:dyDescent="0.25">
      <c r="A167" s="2">
        <v>85</v>
      </c>
      <c r="B167" s="2" t="s">
        <v>1057</v>
      </c>
      <c r="C167" s="2" t="s">
        <v>280</v>
      </c>
      <c r="D167" s="2">
        <v>6</v>
      </c>
      <c r="E167" s="2">
        <v>13181</v>
      </c>
      <c r="F167" s="2">
        <v>163.898</v>
      </c>
      <c r="G167" s="2">
        <v>-2.964</v>
      </c>
      <c r="H167" s="2">
        <v>24.390999999999998</v>
      </c>
    </row>
    <row r="168" spans="1:8" x14ac:dyDescent="0.25">
      <c r="A168" s="2">
        <v>85</v>
      </c>
      <c r="B168" s="2" t="s">
        <v>1057</v>
      </c>
      <c r="C168" s="2" t="s">
        <v>280</v>
      </c>
      <c r="D168" s="2">
        <v>7</v>
      </c>
      <c r="E168" s="2">
        <v>12372</v>
      </c>
      <c r="F168" s="2">
        <v>153.40899999999999</v>
      </c>
      <c r="G168" s="2">
        <v>-2.9329999999999998</v>
      </c>
      <c r="H168" s="2">
        <v>24.419</v>
      </c>
    </row>
    <row r="169" spans="1:8" x14ac:dyDescent="0.25">
      <c r="A169" s="2">
        <v>86</v>
      </c>
      <c r="B169" s="2" t="s">
        <v>1062</v>
      </c>
      <c r="C169" s="2" t="s">
        <v>496</v>
      </c>
      <c r="D169" s="2">
        <v>6</v>
      </c>
      <c r="E169" s="2">
        <v>16663</v>
      </c>
      <c r="F169" s="2">
        <v>196.393</v>
      </c>
      <c r="G169" s="2">
        <v>-2.3780000000000001</v>
      </c>
      <c r="H169" s="2">
        <v>24.132999999999999</v>
      </c>
    </row>
    <row r="170" spans="1:8" x14ac:dyDescent="0.25">
      <c r="A170" s="2">
        <v>86</v>
      </c>
      <c r="B170" s="2" t="s">
        <v>1062</v>
      </c>
      <c r="C170" s="2" t="s">
        <v>496</v>
      </c>
      <c r="D170" s="2">
        <v>7</v>
      </c>
      <c r="E170" s="2">
        <v>15683</v>
      </c>
      <c r="F170" s="2">
        <v>186.47300000000001</v>
      </c>
      <c r="G170" s="2">
        <v>-2.44</v>
      </c>
      <c r="H170" s="2">
        <v>24.126000000000001</v>
      </c>
    </row>
    <row r="171" spans="1:8" x14ac:dyDescent="0.25">
      <c r="A171" s="2">
        <v>87</v>
      </c>
      <c r="B171" s="2" t="s">
        <v>1067</v>
      </c>
      <c r="C171" s="2" t="s">
        <v>340</v>
      </c>
      <c r="D171" s="2">
        <v>6</v>
      </c>
      <c r="E171" s="2">
        <v>13493</v>
      </c>
      <c r="F171" s="2">
        <v>167.31100000000001</v>
      </c>
      <c r="G171" s="2">
        <v>-2.2160000000000002</v>
      </c>
      <c r="H171" s="2">
        <v>24.300999999999998</v>
      </c>
    </row>
    <row r="172" spans="1:8" x14ac:dyDescent="0.25">
      <c r="A172" s="2">
        <v>87</v>
      </c>
      <c r="B172" s="2" t="s">
        <v>1067</v>
      </c>
      <c r="C172" s="2" t="s">
        <v>340</v>
      </c>
      <c r="D172" s="2">
        <v>7</v>
      </c>
      <c r="E172" s="2">
        <v>12712</v>
      </c>
      <c r="F172" s="2">
        <v>157.02500000000001</v>
      </c>
      <c r="G172" s="2">
        <v>-2.1560000000000001</v>
      </c>
      <c r="H172" s="2">
        <v>24.321999999999999</v>
      </c>
    </row>
    <row r="173" spans="1:8" x14ac:dyDescent="0.25">
      <c r="A173" s="2">
        <v>88</v>
      </c>
      <c r="B173" s="2" t="s">
        <v>1075</v>
      </c>
      <c r="C173" s="2" t="s">
        <v>1076</v>
      </c>
      <c r="D173" s="2">
        <v>6</v>
      </c>
      <c r="E173" s="2">
        <v>11854</v>
      </c>
      <c r="F173" s="2">
        <v>140.55699999999999</v>
      </c>
      <c r="G173" s="2">
        <v>-2.403</v>
      </c>
      <c r="H173" s="2">
        <v>24.32</v>
      </c>
    </row>
    <row r="174" spans="1:8" x14ac:dyDescent="0.25">
      <c r="A174" s="2">
        <v>88</v>
      </c>
      <c r="B174" s="2" t="s">
        <v>1075</v>
      </c>
      <c r="C174" s="2" t="s">
        <v>1076</v>
      </c>
      <c r="D174" s="2">
        <v>7</v>
      </c>
      <c r="E174" s="2">
        <v>11079</v>
      </c>
      <c r="F174" s="2">
        <v>131.65199999999999</v>
      </c>
      <c r="G174" s="2">
        <v>-2.3530000000000002</v>
      </c>
      <c r="H174" s="2">
        <v>24.381</v>
      </c>
    </row>
    <row r="175" spans="1:8" x14ac:dyDescent="0.25">
      <c r="A175" s="2">
        <v>89</v>
      </c>
      <c r="B175" s="2" t="s">
        <v>1081</v>
      </c>
      <c r="C175" s="2" t="s">
        <v>397</v>
      </c>
      <c r="D175" s="2">
        <v>6</v>
      </c>
      <c r="E175" s="2">
        <v>11363</v>
      </c>
      <c r="F175" s="2">
        <v>141.119</v>
      </c>
      <c r="G175" s="2">
        <v>-2.09</v>
      </c>
      <c r="H175" s="2">
        <v>24.189</v>
      </c>
    </row>
    <row r="176" spans="1:8" x14ac:dyDescent="0.25">
      <c r="A176" s="2">
        <v>89</v>
      </c>
      <c r="B176" s="2" t="s">
        <v>1081</v>
      </c>
      <c r="C176" s="2" t="s">
        <v>397</v>
      </c>
      <c r="D176" s="2">
        <v>7</v>
      </c>
      <c r="E176" s="2">
        <v>10677</v>
      </c>
      <c r="F176" s="2">
        <v>132.005</v>
      </c>
      <c r="G176" s="2">
        <v>-2.0139999999999998</v>
      </c>
      <c r="H176" s="2">
        <v>24.202000000000002</v>
      </c>
    </row>
    <row r="177" spans="1:8" x14ac:dyDescent="0.25">
      <c r="A177" s="2">
        <v>90</v>
      </c>
      <c r="B177" s="2" t="s">
        <v>1086</v>
      </c>
      <c r="C177" s="2" t="s">
        <v>1087</v>
      </c>
      <c r="D177" s="2">
        <v>6</v>
      </c>
      <c r="E177" s="2">
        <v>16545</v>
      </c>
      <c r="F177" s="2">
        <v>198.804</v>
      </c>
      <c r="G177" s="2">
        <v>-1.9259999999999999</v>
      </c>
      <c r="H177" s="2">
        <v>23.675999999999998</v>
      </c>
    </row>
    <row r="178" spans="1:8" x14ac:dyDescent="0.25">
      <c r="A178" s="2">
        <v>90</v>
      </c>
      <c r="B178" s="2" t="s">
        <v>1086</v>
      </c>
      <c r="C178" s="2" t="s">
        <v>1087</v>
      </c>
      <c r="D178" s="2">
        <v>7</v>
      </c>
      <c r="E178" s="2">
        <v>15383</v>
      </c>
      <c r="F178" s="2">
        <v>185.785</v>
      </c>
      <c r="G178" s="2">
        <v>-1.8660000000000001</v>
      </c>
      <c r="H178" s="2">
        <v>23.724</v>
      </c>
    </row>
    <row r="179" spans="1:8" x14ac:dyDescent="0.25">
      <c r="A179" s="2">
        <v>91</v>
      </c>
      <c r="B179" s="2" t="s">
        <v>1094</v>
      </c>
      <c r="C179" s="2" t="s">
        <v>1006</v>
      </c>
      <c r="D179" s="2">
        <v>6</v>
      </c>
      <c r="E179" s="2">
        <v>19019</v>
      </c>
      <c r="F179" s="2">
        <v>231.167</v>
      </c>
      <c r="G179" s="2">
        <v>-1.97</v>
      </c>
      <c r="H179" s="2">
        <v>24.111000000000001</v>
      </c>
    </row>
    <row r="180" spans="1:8" x14ac:dyDescent="0.25">
      <c r="A180" s="2">
        <v>91</v>
      </c>
      <c r="B180" s="2" t="s">
        <v>1094</v>
      </c>
      <c r="C180" s="2" t="s">
        <v>1006</v>
      </c>
      <c r="D180" s="2">
        <v>7</v>
      </c>
      <c r="E180" s="2">
        <v>18059</v>
      </c>
      <c r="F180" s="2">
        <v>219.92400000000001</v>
      </c>
      <c r="G180" s="2">
        <v>-2.0379999999999998</v>
      </c>
      <c r="H180" s="2">
        <v>24.143999999999998</v>
      </c>
    </row>
    <row r="181" spans="1:8" x14ac:dyDescent="0.25">
      <c r="A181" s="2">
        <v>92</v>
      </c>
      <c r="B181" s="2" t="s">
        <v>1099</v>
      </c>
      <c r="C181" s="2" t="s">
        <v>601</v>
      </c>
      <c r="D181" s="2">
        <v>6</v>
      </c>
      <c r="E181" s="2">
        <v>14415</v>
      </c>
      <c r="F181" s="2">
        <v>178.27600000000001</v>
      </c>
      <c r="G181" s="2">
        <v>-2.0619999999999998</v>
      </c>
      <c r="H181" s="2">
        <v>23.864000000000001</v>
      </c>
    </row>
    <row r="182" spans="1:8" x14ac:dyDescent="0.25">
      <c r="A182" s="2">
        <v>92</v>
      </c>
      <c r="B182" s="2" t="s">
        <v>1099</v>
      </c>
      <c r="C182" s="2" t="s">
        <v>601</v>
      </c>
      <c r="D182" s="2">
        <v>7</v>
      </c>
      <c r="E182" s="2">
        <v>13505</v>
      </c>
      <c r="F182" s="2">
        <v>167.03399999999999</v>
      </c>
      <c r="G182" s="2">
        <v>-2.0209999999999999</v>
      </c>
      <c r="H182" s="2">
        <v>23.937999999999999</v>
      </c>
    </row>
    <row r="183" spans="1:8" x14ac:dyDescent="0.25">
      <c r="A183" s="2">
        <v>93</v>
      </c>
      <c r="B183" s="2" t="s">
        <v>1106</v>
      </c>
      <c r="C183" s="2" t="s">
        <v>406</v>
      </c>
      <c r="D183" s="2">
        <v>6</v>
      </c>
      <c r="E183" s="2">
        <v>13481</v>
      </c>
      <c r="F183" s="2">
        <v>161.679</v>
      </c>
      <c r="G183" s="2">
        <v>-2.242</v>
      </c>
      <c r="H183" s="2">
        <v>24.172999999999998</v>
      </c>
    </row>
    <row r="184" spans="1:8" x14ac:dyDescent="0.25">
      <c r="A184" s="2">
        <v>93</v>
      </c>
      <c r="B184" s="2" t="s">
        <v>1106</v>
      </c>
      <c r="C184" s="2" t="s">
        <v>406</v>
      </c>
      <c r="D184" s="2">
        <v>7</v>
      </c>
      <c r="E184" s="2">
        <v>12784</v>
      </c>
      <c r="F184" s="2">
        <v>152.126</v>
      </c>
      <c r="G184" s="2">
        <v>-2.1669999999999998</v>
      </c>
      <c r="H184" s="2">
        <v>24.201000000000001</v>
      </c>
    </row>
    <row r="185" spans="1:8" x14ac:dyDescent="0.25">
      <c r="A185" s="2">
        <v>99</v>
      </c>
      <c r="B185" s="2" t="s">
        <v>1113</v>
      </c>
      <c r="C185" s="2" t="s">
        <v>436</v>
      </c>
      <c r="D185" s="2">
        <v>6</v>
      </c>
      <c r="E185" s="2">
        <v>9479</v>
      </c>
      <c r="F185" s="2">
        <v>107.711</v>
      </c>
      <c r="G185" s="2">
        <v>-2.3719999999999999</v>
      </c>
      <c r="H185" s="2">
        <v>24.346</v>
      </c>
    </row>
    <row r="186" spans="1:8" x14ac:dyDescent="0.25">
      <c r="A186" s="2">
        <v>99</v>
      </c>
      <c r="B186" s="2" t="s">
        <v>1113</v>
      </c>
      <c r="C186" s="2" t="s">
        <v>436</v>
      </c>
      <c r="D186" s="2">
        <v>7</v>
      </c>
      <c r="E186" s="2">
        <v>8750</v>
      </c>
      <c r="F186" s="2">
        <v>99.74</v>
      </c>
      <c r="G186" s="2">
        <v>-2.2759999999999998</v>
      </c>
      <c r="H186" s="2">
        <v>24.370999999999999</v>
      </c>
    </row>
    <row r="187" spans="1:8" x14ac:dyDescent="0.25">
      <c r="A187" s="2">
        <v>100</v>
      </c>
      <c r="B187" s="2" t="s">
        <v>1118</v>
      </c>
      <c r="C187" s="2" t="s">
        <v>503</v>
      </c>
      <c r="D187" s="2">
        <v>6</v>
      </c>
      <c r="E187" s="2">
        <v>8691</v>
      </c>
      <c r="F187" s="2">
        <v>100.762</v>
      </c>
      <c r="G187" s="2">
        <v>3.8290000000000002</v>
      </c>
      <c r="H187" s="2">
        <v>25.234999999999999</v>
      </c>
    </row>
    <row r="188" spans="1:8" x14ac:dyDescent="0.25">
      <c r="A188" s="2">
        <v>100</v>
      </c>
      <c r="B188" s="2" t="s">
        <v>1118</v>
      </c>
      <c r="C188" s="2" t="s">
        <v>503</v>
      </c>
      <c r="D188" s="2">
        <v>7</v>
      </c>
      <c r="E188" s="2">
        <v>8143</v>
      </c>
      <c r="F188" s="2">
        <v>93.548000000000002</v>
      </c>
      <c r="G188" s="2">
        <v>3.8769999999999998</v>
      </c>
      <c r="H188" s="2">
        <v>25.266999999999999</v>
      </c>
    </row>
    <row r="189" spans="1:8" x14ac:dyDescent="0.25">
      <c r="A189" s="2">
        <v>101</v>
      </c>
      <c r="B189" s="2" t="s">
        <v>1123</v>
      </c>
      <c r="C189" s="2" t="s">
        <v>443</v>
      </c>
      <c r="D189" s="2">
        <v>6</v>
      </c>
      <c r="E189" s="2">
        <v>7115</v>
      </c>
      <c r="F189" s="2">
        <v>83.316999999999993</v>
      </c>
      <c r="G189" s="2">
        <v>3.96</v>
      </c>
      <c r="H189" s="2">
        <v>25.4</v>
      </c>
    </row>
    <row r="190" spans="1:8" x14ac:dyDescent="0.25">
      <c r="A190" s="2">
        <v>101</v>
      </c>
      <c r="B190" s="2" t="s">
        <v>1123</v>
      </c>
      <c r="C190" s="2" t="s">
        <v>443</v>
      </c>
      <c r="D190" s="2">
        <v>7</v>
      </c>
      <c r="E190" s="2">
        <v>6594</v>
      </c>
      <c r="F190" s="2">
        <v>77.305999999999997</v>
      </c>
      <c r="G190" s="2">
        <v>4.0129999999999999</v>
      </c>
      <c r="H190" s="2">
        <v>25.419</v>
      </c>
    </row>
    <row r="191" spans="1:8" x14ac:dyDescent="0.25">
      <c r="A191" s="2">
        <v>103</v>
      </c>
      <c r="B191" s="2" t="s">
        <v>1150</v>
      </c>
      <c r="C191" s="2" t="s">
        <v>654</v>
      </c>
      <c r="D191" s="2">
        <v>6</v>
      </c>
      <c r="E191" s="2">
        <v>8170</v>
      </c>
      <c r="F191" s="2">
        <v>96.081000000000003</v>
      </c>
      <c r="G191" s="2">
        <v>-5.6130000000000004</v>
      </c>
      <c r="H191" s="2">
        <v>5.8940000000000001</v>
      </c>
    </row>
    <row r="192" spans="1:8" x14ac:dyDescent="0.25">
      <c r="A192" s="2">
        <v>103</v>
      </c>
      <c r="B192" s="2" t="s">
        <v>1150</v>
      </c>
      <c r="C192" s="2" t="s">
        <v>654</v>
      </c>
      <c r="D192" s="2">
        <v>7</v>
      </c>
      <c r="E192" s="2">
        <v>7571</v>
      </c>
      <c r="F192" s="2">
        <v>88.997</v>
      </c>
      <c r="G192" s="2">
        <v>-5.5570000000000004</v>
      </c>
      <c r="H192" s="2">
        <v>5.8920000000000003</v>
      </c>
    </row>
    <row r="193" spans="1:8" x14ac:dyDescent="0.25">
      <c r="A193" s="2">
        <v>104</v>
      </c>
      <c r="B193" s="2" t="s">
        <v>1155</v>
      </c>
      <c r="C193" s="2" t="s">
        <v>876</v>
      </c>
      <c r="D193" s="2">
        <v>6</v>
      </c>
      <c r="E193" s="2">
        <v>13211</v>
      </c>
      <c r="F193" s="2">
        <v>148.93299999999999</v>
      </c>
      <c r="G193" s="2">
        <v>-5.5540000000000003</v>
      </c>
      <c r="H193" s="2">
        <v>5.625</v>
      </c>
    </row>
    <row r="194" spans="1:8" x14ac:dyDescent="0.25">
      <c r="A194" s="2">
        <v>104</v>
      </c>
      <c r="B194" s="2" t="s">
        <v>1155</v>
      </c>
      <c r="C194" s="2" t="s">
        <v>876</v>
      </c>
      <c r="D194" s="2">
        <v>7</v>
      </c>
      <c r="E194" s="2">
        <v>12399</v>
      </c>
      <c r="F194" s="2">
        <v>139.006</v>
      </c>
      <c r="G194" s="2">
        <v>-5.5060000000000002</v>
      </c>
      <c r="H194" s="2">
        <v>5.6870000000000003</v>
      </c>
    </row>
    <row r="195" spans="1:8" x14ac:dyDescent="0.25">
      <c r="A195" s="2">
        <v>105</v>
      </c>
      <c r="B195" s="2" t="s">
        <v>1162</v>
      </c>
      <c r="C195" s="2" t="s">
        <v>934</v>
      </c>
      <c r="D195" s="2">
        <v>6</v>
      </c>
      <c r="E195" s="2">
        <v>9978</v>
      </c>
      <c r="F195" s="2">
        <v>117.53</v>
      </c>
      <c r="G195" s="2">
        <v>-5.5670000000000002</v>
      </c>
      <c r="H195" s="2">
        <v>5.82</v>
      </c>
    </row>
    <row r="196" spans="1:8" x14ac:dyDescent="0.25">
      <c r="A196" s="2">
        <v>105</v>
      </c>
      <c r="B196" s="2" t="s">
        <v>1162</v>
      </c>
      <c r="C196" s="2" t="s">
        <v>934</v>
      </c>
      <c r="D196" s="2">
        <v>7</v>
      </c>
      <c r="E196" s="2">
        <v>9278</v>
      </c>
      <c r="F196" s="2">
        <v>108.88200000000001</v>
      </c>
      <c r="G196" s="2">
        <v>-5.5090000000000003</v>
      </c>
      <c r="H196" s="2">
        <v>5.806</v>
      </c>
    </row>
    <row r="197" spans="1:8" x14ac:dyDescent="0.25">
      <c r="A197" s="2">
        <v>106</v>
      </c>
      <c r="B197" s="2" t="s">
        <v>1167</v>
      </c>
      <c r="C197" s="2" t="s">
        <v>433</v>
      </c>
      <c r="D197" s="2">
        <v>6</v>
      </c>
      <c r="E197" s="2">
        <v>13689</v>
      </c>
      <c r="F197" s="2">
        <v>152.732</v>
      </c>
      <c r="G197" s="2">
        <v>-5.5339999999999998</v>
      </c>
      <c r="H197" s="2">
        <v>5.7220000000000004</v>
      </c>
    </row>
    <row r="198" spans="1:8" x14ac:dyDescent="0.25">
      <c r="A198" s="2">
        <v>106</v>
      </c>
      <c r="B198" s="2" t="s">
        <v>1167</v>
      </c>
      <c r="C198" s="2" t="s">
        <v>433</v>
      </c>
      <c r="D198" s="2">
        <v>7</v>
      </c>
      <c r="E198" s="2">
        <v>12780</v>
      </c>
      <c r="F198" s="2">
        <v>141.95099999999999</v>
      </c>
      <c r="G198" s="2">
        <v>-5.47</v>
      </c>
      <c r="H198" s="2">
        <v>5.7160000000000002</v>
      </c>
    </row>
    <row r="199" spans="1:8" x14ac:dyDescent="0.25">
      <c r="A199" s="2">
        <v>107</v>
      </c>
      <c r="B199" s="2" t="s">
        <v>1172</v>
      </c>
      <c r="C199" s="2" t="s">
        <v>280</v>
      </c>
      <c r="D199" s="2">
        <v>6</v>
      </c>
      <c r="E199" s="2">
        <v>10906</v>
      </c>
      <c r="F199" s="2">
        <v>127.949</v>
      </c>
      <c r="G199" s="2">
        <v>1.397</v>
      </c>
      <c r="H199" s="2">
        <v>27.173999999999999</v>
      </c>
    </row>
    <row r="200" spans="1:8" x14ac:dyDescent="0.25">
      <c r="A200" s="2">
        <v>107</v>
      </c>
      <c r="B200" s="2" t="s">
        <v>1172</v>
      </c>
      <c r="C200" s="2" t="s">
        <v>280</v>
      </c>
      <c r="D200" s="2">
        <v>7</v>
      </c>
      <c r="E200" s="2">
        <v>10142</v>
      </c>
      <c r="F200" s="2">
        <v>118.61499999999999</v>
      </c>
      <c r="G200" s="2">
        <v>1.456</v>
      </c>
      <c r="H200" s="2">
        <v>27.279</v>
      </c>
    </row>
    <row r="201" spans="1:8" x14ac:dyDescent="0.25">
      <c r="A201" s="2">
        <v>108</v>
      </c>
      <c r="B201" s="2" t="s">
        <v>1178</v>
      </c>
      <c r="C201" s="2" t="s">
        <v>671</v>
      </c>
      <c r="D201" s="2">
        <v>6</v>
      </c>
      <c r="E201" s="2">
        <v>12575</v>
      </c>
      <c r="F201" s="2">
        <v>140.262</v>
      </c>
      <c r="G201" s="2">
        <v>1.3480000000000001</v>
      </c>
      <c r="H201" s="2">
        <v>27.201000000000001</v>
      </c>
    </row>
    <row r="202" spans="1:8" x14ac:dyDescent="0.25">
      <c r="A202" s="2">
        <v>108</v>
      </c>
      <c r="B202" s="2" t="s">
        <v>1178</v>
      </c>
      <c r="C202" s="2" t="s">
        <v>671</v>
      </c>
      <c r="D202" s="2">
        <v>7</v>
      </c>
      <c r="E202" s="2">
        <v>11683</v>
      </c>
      <c r="F202" s="2">
        <v>130.32400000000001</v>
      </c>
      <c r="G202" s="2">
        <v>1.413</v>
      </c>
      <c r="H202" s="2">
        <v>27.265000000000001</v>
      </c>
    </row>
    <row r="203" spans="1:8" x14ac:dyDescent="0.25">
      <c r="A203" s="2">
        <v>109</v>
      </c>
      <c r="B203" s="2" t="s">
        <v>1183</v>
      </c>
      <c r="C203" s="2" t="s">
        <v>317</v>
      </c>
      <c r="D203" s="2">
        <v>6</v>
      </c>
      <c r="E203" s="2">
        <v>13910</v>
      </c>
      <c r="F203" s="2">
        <v>162.33799999999999</v>
      </c>
      <c r="G203" s="2">
        <v>1.383</v>
      </c>
      <c r="H203" s="2">
        <v>27.116</v>
      </c>
    </row>
    <row r="204" spans="1:8" x14ac:dyDescent="0.25">
      <c r="A204" s="2">
        <v>109</v>
      </c>
      <c r="B204" s="2" t="s">
        <v>1183</v>
      </c>
      <c r="C204" s="2" t="s">
        <v>317</v>
      </c>
      <c r="D204" s="2">
        <v>7</v>
      </c>
      <c r="E204" s="2">
        <v>12915</v>
      </c>
      <c r="F204" s="2">
        <v>150.142</v>
      </c>
      <c r="G204" s="2">
        <v>1.4419999999999999</v>
      </c>
      <c r="H204" s="2">
        <v>27.167999999999999</v>
      </c>
    </row>
    <row r="205" spans="1:8" x14ac:dyDescent="0.25">
      <c r="A205" s="2">
        <v>110</v>
      </c>
      <c r="B205" s="2" t="s">
        <v>1189</v>
      </c>
      <c r="C205" s="2" t="s">
        <v>654</v>
      </c>
      <c r="D205" s="2">
        <v>6</v>
      </c>
      <c r="E205" s="2">
        <v>12839</v>
      </c>
      <c r="F205" s="2">
        <v>144.708</v>
      </c>
      <c r="G205" s="2">
        <v>1.446</v>
      </c>
      <c r="H205" s="2">
        <v>27.228999999999999</v>
      </c>
    </row>
    <row r="206" spans="1:8" x14ac:dyDescent="0.25">
      <c r="A206" s="2">
        <v>110</v>
      </c>
      <c r="B206" s="2" t="s">
        <v>1189</v>
      </c>
      <c r="C206" s="2" t="s">
        <v>654</v>
      </c>
      <c r="D206" s="2">
        <v>7</v>
      </c>
      <c r="E206" s="2">
        <v>11834</v>
      </c>
      <c r="F206" s="2">
        <v>133.88300000000001</v>
      </c>
      <c r="G206" s="2">
        <v>1.4850000000000001</v>
      </c>
      <c r="H206" s="2">
        <v>27.260999999999999</v>
      </c>
    </row>
    <row r="207" spans="1:8" x14ac:dyDescent="0.25">
      <c r="A207" s="2">
        <v>111</v>
      </c>
      <c r="B207" s="2" t="s">
        <v>1196</v>
      </c>
      <c r="C207" s="2" t="s">
        <v>281</v>
      </c>
      <c r="D207" s="2">
        <v>6</v>
      </c>
      <c r="E207" s="2">
        <v>11467</v>
      </c>
      <c r="F207" s="2">
        <v>133.82400000000001</v>
      </c>
      <c r="G207" s="2">
        <v>3.8610000000000002</v>
      </c>
      <c r="H207" s="2">
        <v>25.125</v>
      </c>
    </row>
    <row r="208" spans="1:8" x14ac:dyDescent="0.25">
      <c r="A208" s="2">
        <v>111</v>
      </c>
      <c r="B208" s="2" t="s">
        <v>1196</v>
      </c>
      <c r="C208" s="2" t="s">
        <v>281</v>
      </c>
      <c r="D208" s="2">
        <v>7</v>
      </c>
      <c r="E208" s="2">
        <v>10656</v>
      </c>
      <c r="F208" s="2">
        <v>123.729</v>
      </c>
      <c r="G208" s="2">
        <v>3.8919999999999999</v>
      </c>
      <c r="H208" s="2">
        <v>25.155999999999999</v>
      </c>
    </row>
    <row r="209" spans="1:8" x14ac:dyDescent="0.25">
      <c r="A209" s="2">
        <v>112</v>
      </c>
      <c r="B209" s="2" t="s">
        <v>1201</v>
      </c>
      <c r="C209" s="2" t="s">
        <v>317</v>
      </c>
      <c r="D209" s="2">
        <v>6</v>
      </c>
      <c r="E209" s="2">
        <v>15047</v>
      </c>
      <c r="F209" s="2">
        <v>173.566</v>
      </c>
      <c r="G209" s="2">
        <v>3.8420000000000001</v>
      </c>
      <c r="H209" s="2">
        <v>25.12</v>
      </c>
    </row>
    <row r="210" spans="1:8" x14ac:dyDescent="0.25">
      <c r="A210" s="2">
        <v>112</v>
      </c>
      <c r="B210" s="2" t="s">
        <v>1201</v>
      </c>
      <c r="C210" s="2" t="s">
        <v>317</v>
      </c>
      <c r="D210" s="2">
        <v>7</v>
      </c>
      <c r="E210" s="2">
        <v>13865</v>
      </c>
      <c r="F210" s="2">
        <v>160.4</v>
      </c>
      <c r="G210" s="2">
        <v>3.9159999999999999</v>
      </c>
      <c r="H210" s="2">
        <v>25.158999999999999</v>
      </c>
    </row>
    <row r="211" spans="1:8" x14ac:dyDescent="0.25">
      <c r="A211" s="2">
        <v>113</v>
      </c>
      <c r="B211" s="2" t="s">
        <v>1206</v>
      </c>
      <c r="C211" s="2" t="s">
        <v>946</v>
      </c>
      <c r="D211" s="2">
        <v>6</v>
      </c>
      <c r="E211" s="2">
        <v>20491</v>
      </c>
      <c r="F211" s="2">
        <v>230.114</v>
      </c>
      <c r="G211" s="2">
        <v>3.9590000000000001</v>
      </c>
      <c r="H211" s="2">
        <v>24.899000000000001</v>
      </c>
    </row>
    <row r="212" spans="1:8" x14ac:dyDescent="0.25">
      <c r="A212" s="2">
        <v>113</v>
      </c>
      <c r="B212" s="2" t="s">
        <v>1206</v>
      </c>
      <c r="C212" s="2" t="s">
        <v>946</v>
      </c>
      <c r="D212" s="2">
        <v>7</v>
      </c>
      <c r="E212" s="2">
        <v>19135</v>
      </c>
      <c r="F212" s="2">
        <v>213.96100000000001</v>
      </c>
      <c r="G212" s="2">
        <v>4.0039999999999996</v>
      </c>
      <c r="H212" s="2">
        <v>24.937999999999999</v>
      </c>
    </row>
    <row r="213" spans="1:8" x14ac:dyDescent="0.25">
      <c r="A213" s="2">
        <v>114</v>
      </c>
      <c r="B213" s="2" t="s">
        <v>1212</v>
      </c>
      <c r="C213" s="2" t="s">
        <v>325</v>
      </c>
      <c r="D213" s="2">
        <v>6</v>
      </c>
      <c r="E213" s="2">
        <v>11376</v>
      </c>
      <c r="F213" s="2">
        <v>133.73400000000001</v>
      </c>
      <c r="G213" s="2">
        <v>-2.35</v>
      </c>
      <c r="H213" s="2">
        <v>24.292000000000002</v>
      </c>
    </row>
    <row r="214" spans="1:8" x14ac:dyDescent="0.25">
      <c r="A214" s="2">
        <v>114</v>
      </c>
      <c r="B214" s="2" t="s">
        <v>1212</v>
      </c>
      <c r="C214" s="2" t="s">
        <v>325</v>
      </c>
      <c r="D214" s="2">
        <v>7</v>
      </c>
      <c r="E214" s="2">
        <v>10558</v>
      </c>
      <c r="F214" s="2">
        <v>123.745</v>
      </c>
      <c r="G214" s="2">
        <v>-2.29</v>
      </c>
      <c r="H214" s="2">
        <v>24.295999999999999</v>
      </c>
    </row>
    <row r="215" spans="1:8" x14ac:dyDescent="0.25">
      <c r="A215" s="2">
        <v>115</v>
      </c>
      <c r="B215" s="2" t="s">
        <v>1218</v>
      </c>
      <c r="C215" s="2" t="s">
        <v>1219</v>
      </c>
      <c r="D215" s="2">
        <v>6</v>
      </c>
      <c r="E215" s="2">
        <v>15978</v>
      </c>
      <c r="F215" s="2">
        <v>177.821</v>
      </c>
      <c r="G215" s="2">
        <v>-2.4630000000000001</v>
      </c>
      <c r="H215" s="2">
        <v>24.02</v>
      </c>
    </row>
    <row r="216" spans="1:8" x14ac:dyDescent="0.25">
      <c r="A216" s="2">
        <v>115</v>
      </c>
      <c r="B216" s="2" t="s">
        <v>1218</v>
      </c>
      <c r="C216" s="2" t="s">
        <v>1219</v>
      </c>
      <c r="D216" s="2">
        <v>7</v>
      </c>
      <c r="E216" s="2">
        <v>14882</v>
      </c>
      <c r="F216" s="2">
        <v>165.09399999999999</v>
      </c>
      <c r="G216" s="2">
        <v>-2.4430000000000001</v>
      </c>
      <c r="H216" s="2">
        <v>24.062999999999999</v>
      </c>
    </row>
    <row r="217" spans="1:8" x14ac:dyDescent="0.25">
      <c r="A217" s="2">
        <v>116</v>
      </c>
      <c r="B217" s="2" t="s">
        <v>1226</v>
      </c>
      <c r="C217" s="2" t="s">
        <v>586</v>
      </c>
      <c r="D217" s="2">
        <v>6</v>
      </c>
      <c r="E217" s="2">
        <v>13924</v>
      </c>
      <c r="F217" s="2">
        <v>162.898</v>
      </c>
      <c r="G217" s="2">
        <v>-2.4329999999999998</v>
      </c>
      <c r="H217" s="2">
        <v>24.009</v>
      </c>
    </row>
    <row r="218" spans="1:8" x14ac:dyDescent="0.25">
      <c r="A218" s="2">
        <v>116</v>
      </c>
      <c r="B218" s="2" t="s">
        <v>1226</v>
      </c>
      <c r="C218" s="2" t="s">
        <v>586</v>
      </c>
      <c r="D218" s="2">
        <v>7</v>
      </c>
      <c r="E218" s="2">
        <v>12897</v>
      </c>
      <c r="F218" s="2">
        <v>150.35499999999999</v>
      </c>
      <c r="G218" s="2">
        <v>-2.3820000000000001</v>
      </c>
      <c r="H218" s="2">
        <v>24.042999999999999</v>
      </c>
    </row>
    <row r="219" spans="1:8" x14ac:dyDescent="0.25">
      <c r="A219" s="2">
        <v>117</v>
      </c>
      <c r="B219" s="2" t="s">
        <v>1233</v>
      </c>
      <c r="C219" s="2" t="s">
        <v>317</v>
      </c>
      <c r="D219" s="2">
        <v>6</v>
      </c>
      <c r="E219" s="2">
        <v>15821</v>
      </c>
      <c r="F219" s="2">
        <v>176.28399999999999</v>
      </c>
      <c r="G219" s="2">
        <v>-2.1960000000000002</v>
      </c>
      <c r="H219" s="2">
        <v>24.009</v>
      </c>
    </row>
    <row r="220" spans="1:8" x14ac:dyDescent="0.25">
      <c r="A220" s="2">
        <v>117</v>
      </c>
      <c r="B220" s="2" t="s">
        <v>1233</v>
      </c>
      <c r="C220" s="2" t="s">
        <v>317</v>
      </c>
      <c r="D220" s="2">
        <v>7</v>
      </c>
      <c r="E220" s="2">
        <v>14613</v>
      </c>
      <c r="F220" s="2">
        <v>163.04400000000001</v>
      </c>
      <c r="G220" s="2">
        <v>-2.1309999999999998</v>
      </c>
      <c r="H220" s="2">
        <v>24.056000000000001</v>
      </c>
    </row>
    <row r="221" spans="1:8" x14ac:dyDescent="0.25">
      <c r="A221" s="2">
        <v>118</v>
      </c>
      <c r="B221" s="2" t="s">
        <v>1239</v>
      </c>
      <c r="C221" s="2" t="s">
        <v>671</v>
      </c>
      <c r="D221" s="2">
        <v>6</v>
      </c>
      <c r="E221" s="2">
        <v>12006</v>
      </c>
      <c r="F221" s="2">
        <v>140.571</v>
      </c>
      <c r="G221" s="2">
        <v>-2.59</v>
      </c>
      <c r="H221" s="2">
        <v>24.012</v>
      </c>
    </row>
    <row r="222" spans="1:8" x14ac:dyDescent="0.25">
      <c r="A222" s="2">
        <v>118</v>
      </c>
      <c r="B222" s="2" t="s">
        <v>1239</v>
      </c>
      <c r="C222" s="2" t="s">
        <v>671</v>
      </c>
      <c r="D222" s="2">
        <v>7</v>
      </c>
      <c r="E222" s="2">
        <v>11144</v>
      </c>
      <c r="F222" s="2">
        <v>120.26900000000001</v>
      </c>
      <c r="G222" s="2">
        <v>1.3360000000000001</v>
      </c>
      <c r="H222" s="2">
        <v>22.564</v>
      </c>
    </row>
    <row r="223" spans="1:8" x14ac:dyDescent="0.25">
      <c r="A223" s="2">
        <v>119</v>
      </c>
      <c r="B223" s="2" t="s">
        <v>1244</v>
      </c>
      <c r="C223" s="2" t="s">
        <v>1006</v>
      </c>
      <c r="D223" s="2">
        <v>6</v>
      </c>
      <c r="E223" s="2">
        <v>17846</v>
      </c>
      <c r="F223" s="2">
        <v>203.048</v>
      </c>
      <c r="G223" s="2">
        <v>-2.4590000000000001</v>
      </c>
      <c r="H223" s="2">
        <v>23.936</v>
      </c>
    </row>
    <row r="224" spans="1:8" x14ac:dyDescent="0.25">
      <c r="A224" s="2">
        <v>119</v>
      </c>
      <c r="B224" s="2" t="s">
        <v>1244</v>
      </c>
      <c r="C224" s="2" t="s">
        <v>1006</v>
      </c>
      <c r="D224" s="2">
        <v>7</v>
      </c>
      <c r="E224" s="2">
        <v>16405</v>
      </c>
      <c r="F224" s="2">
        <v>187.482</v>
      </c>
      <c r="G224" s="2">
        <v>-2.44</v>
      </c>
      <c r="H224" s="2">
        <v>23.977</v>
      </c>
    </row>
    <row r="225" spans="1:8" x14ac:dyDescent="0.25">
      <c r="A225" s="2">
        <v>120</v>
      </c>
      <c r="B225" s="2" t="s">
        <v>1250</v>
      </c>
      <c r="C225" s="2" t="s">
        <v>946</v>
      </c>
      <c r="D225" s="2">
        <v>6</v>
      </c>
      <c r="E225" s="2">
        <v>18249</v>
      </c>
      <c r="F225" s="2">
        <v>208.828</v>
      </c>
      <c r="G225" s="2">
        <v>-2.8119999999999998</v>
      </c>
      <c r="H225" s="2">
        <v>23.664000000000001</v>
      </c>
    </row>
    <row r="226" spans="1:8" x14ac:dyDescent="0.25">
      <c r="A226" s="2">
        <v>120</v>
      </c>
      <c r="B226" s="2" t="s">
        <v>1250</v>
      </c>
      <c r="C226" s="2" t="s">
        <v>946</v>
      </c>
      <c r="D226" s="2">
        <v>7</v>
      </c>
      <c r="E226" s="2">
        <v>17036</v>
      </c>
      <c r="F226" s="2">
        <v>193.322</v>
      </c>
      <c r="G226" s="2">
        <v>-2.7709999999999999</v>
      </c>
      <c r="H226" s="2">
        <v>23.765999999999998</v>
      </c>
    </row>
    <row r="227" spans="1:8" x14ac:dyDescent="0.25">
      <c r="A227" s="2">
        <v>121</v>
      </c>
      <c r="B227" s="2" t="s">
        <v>1256</v>
      </c>
      <c r="C227" s="2" t="s">
        <v>281</v>
      </c>
      <c r="D227" s="2">
        <v>6</v>
      </c>
      <c r="E227" s="2">
        <v>10897</v>
      </c>
      <c r="F227" s="2">
        <v>128.172</v>
      </c>
      <c r="G227" s="2">
        <v>-2.5640000000000001</v>
      </c>
      <c r="H227" s="2">
        <v>24.341000000000001</v>
      </c>
    </row>
    <row r="228" spans="1:8" x14ac:dyDescent="0.25">
      <c r="A228" s="2">
        <v>121</v>
      </c>
      <c r="B228" s="2" t="s">
        <v>1256</v>
      </c>
      <c r="C228" s="2" t="s">
        <v>281</v>
      </c>
      <c r="D228" s="2">
        <v>7</v>
      </c>
      <c r="E228" s="2">
        <v>10071</v>
      </c>
      <c r="F228" s="2">
        <v>118.336</v>
      </c>
      <c r="G228" s="2">
        <v>-2.5499999999999998</v>
      </c>
      <c r="H228" s="2">
        <v>24.303000000000001</v>
      </c>
    </row>
    <row r="229" spans="1:8" x14ac:dyDescent="0.25">
      <c r="A229" s="2">
        <v>122</v>
      </c>
      <c r="B229" s="2" t="s">
        <v>1263</v>
      </c>
      <c r="C229" s="2" t="s">
        <v>402</v>
      </c>
      <c r="D229" s="2">
        <v>6</v>
      </c>
      <c r="E229" s="2">
        <v>20194</v>
      </c>
      <c r="F229" s="2">
        <v>227.97499999999999</v>
      </c>
      <c r="G229" s="2">
        <v>-2.1549999999999998</v>
      </c>
      <c r="H229" s="2">
        <v>23.981999999999999</v>
      </c>
    </row>
    <row r="230" spans="1:8" x14ac:dyDescent="0.25">
      <c r="A230" s="2">
        <v>122</v>
      </c>
      <c r="B230" s="2" t="s">
        <v>1263</v>
      </c>
      <c r="C230" s="2" t="s">
        <v>402</v>
      </c>
      <c r="D230" s="2">
        <v>7</v>
      </c>
      <c r="E230" s="2">
        <v>18920</v>
      </c>
      <c r="F230" s="2">
        <v>211.93700000000001</v>
      </c>
      <c r="G230" s="2">
        <v>-2.1120000000000001</v>
      </c>
      <c r="H230" s="2">
        <v>24.047999999999998</v>
      </c>
    </row>
    <row r="231" spans="1:8" x14ac:dyDescent="0.25">
      <c r="A231" s="2">
        <v>123</v>
      </c>
      <c r="B231" s="2" t="s">
        <v>1268</v>
      </c>
      <c r="C231" s="2" t="s">
        <v>406</v>
      </c>
      <c r="D231" s="2">
        <v>6</v>
      </c>
      <c r="E231" s="2">
        <v>13485</v>
      </c>
      <c r="F231" s="2">
        <v>158.53700000000001</v>
      </c>
      <c r="G231" s="2">
        <v>-2.3420000000000001</v>
      </c>
      <c r="H231" s="2">
        <v>23.699000000000002</v>
      </c>
    </row>
    <row r="232" spans="1:8" x14ac:dyDescent="0.25">
      <c r="A232" s="2">
        <v>123</v>
      </c>
      <c r="B232" s="2" t="s">
        <v>1268</v>
      </c>
      <c r="C232" s="2" t="s">
        <v>406</v>
      </c>
      <c r="D232" s="2">
        <v>7</v>
      </c>
      <c r="E232" s="2">
        <v>12497</v>
      </c>
      <c r="F232" s="2">
        <v>146.596</v>
      </c>
      <c r="G232" s="2">
        <v>-2.278</v>
      </c>
      <c r="H232" s="2">
        <v>23.754000000000001</v>
      </c>
    </row>
    <row r="233" spans="1:8" x14ac:dyDescent="0.25">
      <c r="A233" s="2">
        <v>124</v>
      </c>
      <c r="B233" s="2" t="s">
        <v>1275</v>
      </c>
      <c r="C233" s="2" t="s">
        <v>327</v>
      </c>
      <c r="D233" s="2">
        <v>6</v>
      </c>
      <c r="E233" s="2">
        <v>16509</v>
      </c>
      <c r="F233" s="2">
        <v>186.352</v>
      </c>
      <c r="G233" s="2">
        <v>3.895</v>
      </c>
      <c r="H233" s="2">
        <v>25.145</v>
      </c>
    </row>
    <row r="234" spans="1:8" x14ac:dyDescent="0.25">
      <c r="A234" s="2">
        <v>124</v>
      </c>
      <c r="B234" s="2" t="s">
        <v>1275</v>
      </c>
      <c r="C234" s="2" t="s">
        <v>327</v>
      </c>
      <c r="D234" s="2">
        <v>7</v>
      </c>
      <c r="E234" s="2">
        <v>15489</v>
      </c>
      <c r="F234" s="2">
        <v>173.566</v>
      </c>
      <c r="G234" s="2">
        <v>3.9350000000000001</v>
      </c>
      <c r="H234" s="2">
        <v>25.17</v>
      </c>
    </row>
    <row r="235" spans="1:8" x14ac:dyDescent="0.25">
      <c r="A235" s="2">
        <v>125</v>
      </c>
      <c r="B235" s="2" t="s">
        <v>1280</v>
      </c>
      <c r="C235" s="2" t="s">
        <v>601</v>
      </c>
      <c r="D235" s="2">
        <v>6</v>
      </c>
      <c r="E235" s="2">
        <v>15110</v>
      </c>
      <c r="F235" s="2">
        <v>177.28</v>
      </c>
      <c r="G235" s="2">
        <v>3.9060000000000001</v>
      </c>
      <c r="H235" s="2">
        <v>25.154</v>
      </c>
    </row>
    <row r="236" spans="1:8" x14ac:dyDescent="0.25">
      <c r="A236" s="2">
        <v>125</v>
      </c>
      <c r="B236" s="2" t="s">
        <v>1280</v>
      </c>
      <c r="C236" s="2" t="s">
        <v>601</v>
      </c>
      <c r="D236" s="2">
        <v>7</v>
      </c>
      <c r="E236" s="2">
        <v>13982</v>
      </c>
      <c r="F236" s="2">
        <v>163.673</v>
      </c>
      <c r="G236" s="2">
        <v>3.9169999999999998</v>
      </c>
      <c r="H236" s="2">
        <v>25.181000000000001</v>
      </c>
    </row>
    <row r="237" spans="1:8" x14ac:dyDescent="0.25">
      <c r="A237" s="2">
        <v>126</v>
      </c>
      <c r="B237" s="2" t="s">
        <v>1285</v>
      </c>
      <c r="C237" s="2" t="s">
        <v>913</v>
      </c>
      <c r="D237" s="2">
        <v>6</v>
      </c>
      <c r="E237" s="2">
        <v>18554</v>
      </c>
      <c r="F237" s="2">
        <v>206.46700000000001</v>
      </c>
      <c r="G237" s="2">
        <v>-2.5790000000000002</v>
      </c>
      <c r="H237" s="2">
        <v>23.654</v>
      </c>
    </row>
    <row r="238" spans="1:8" x14ac:dyDescent="0.25">
      <c r="A238" s="2">
        <v>126</v>
      </c>
      <c r="B238" s="2" t="s">
        <v>1285</v>
      </c>
      <c r="C238" s="2" t="s">
        <v>913</v>
      </c>
      <c r="D238" s="2">
        <v>7</v>
      </c>
      <c r="E238" s="2">
        <v>17334</v>
      </c>
      <c r="F238" s="2">
        <v>193.89599999999999</v>
      </c>
      <c r="G238" s="2">
        <v>-2.6190000000000002</v>
      </c>
      <c r="H238" s="2">
        <v>23.71</v>
      </c>
    </row>
    <row r="239" spans="1:8" x14ac:dyDescent="0.25">
      <c r="A239" s="2">
        <v>127</v>
      </c>
      <c r="B239" s="2" t="s">
        <v>1289</v>
      </c>
      <c r="C239" s="2" t="s">
        <v>1290</v>
      </c>
      <c r="D239" s="2">
        <v>6</v>
      </c>
      <c r="E239" s="2">
        <v>17203</v>
      </c>
      <c r="F239" s="2">
        <v>200.40199999999999</v>
      </c>
      <c r="G239" s="2">
        <v>-2.33</v>
      </c>
      <c r="H239" s="2">
        <v>23.664000000000001</v>
      </c>
    </row>
    <row r="240" spans="1:8" x14ac:dyDescent="0.25">
      <c r="A240" s="2">
        <v>127</v>
      </c>
      <c r="B240" s="2" t="s">
        <v>1289</v>
      </c>
      <c r="C240" s="2" t="s">
        <v>1290</v>
      </c>
      <c r="D240" s="2">
        <v>7</v>
      </c>
      <c r="E240" s="2">
        <v>15922</v>
      </c>
      <c r="F240" s="2">
        <v>185.07300000000001</v>
      </c>
      <c r="G240" s="2">
        <v>-2.3079999999999998</v>
      </c>
      <c r="H240" s="2">
        <v>23.683</v>
      </c>
    </row>
    <row r="241" spans="1:8" x14ac:dyDescent="0.25">
      <c r="A241" s="2">
        <v>128</v>
      </c>
      <c r="B241" s="2" t="s">
        <v>1296</v>
      </c>
      <c r="C241" s="2" t="s">
        <v>756</v>
      </c>
      <c r="D241" s="2">
        <v>6</v>
      </c>
      <c r="E241" s="2">
        <v>19403</v>
      </c>
      <c r="F241" s="2">
        <v>216.654</v>
      </c>
      <c r="G241" s="2">
        <v>-2.8740000000000001</v>
      </c>
      <c r="H241" s="2">
        <v>23.808</v>
      </c>
    </row>
    <row r="242" spans="1:8" x14ac:dyDescent="0.25">
      <c r="A242" s="2">
        <v>128</v>
      </c>
      <c r="B242" s="2" t="s">
        <v>1296</v>
      </c>
      <c r="C242" s="2" t="s">
        <v>756</v>
      </c>
      <c r="D242" s="2">
        <v>7</v>
      </c>
      <c r="E242" s="2">
        <v>17810</v>
      </c>
      <c r="F242" s="2">
        <v>199.73099999999999</v>
      </c>
      <c r="G242" s="2">
        <v>-2.8410000000000002</v>
      </c>
      <c r="H242" s="2">
        <v>23.83</v>
      </c>
    </row>
    <row r="243" spans="1:8" x14ac:dyDescent="0.25">
      <c r="A243" s="2">
        <v>129</v>
      </c>
      <c r="B243" s="2" t="s">
        <v>1301</v>
      </c>
      <c r="C243" s="2" t="s">
        <v>1302</v>
      </c>
      <c r="D243" s="2">
        <v>6</v>
      </c>
      <c r="E243" s="2">
        <v>14754</v>
      </c>
      <c r="F243" s="2">
        <v>171.851</v>
      </c>
      <c r="G243" s="2">
        <v>-3.1539999999999999</v>
      </c>
      <c r="H243" s="2">
        <v>24.117999999999999</v>
      </c>
    </row>
    <row r="244" spans="1:8" x14ac:dyDescent="0.25">
      <c r="A244" s="2">
        <v>129</v>
      </c>
      <c r="B244" s="2" t="s">
        <v>1301</v>
      </c>
      <c r="C244" s="2" t="s">
        <v>1302</v>
      </c>
      <c r="D244" s="2">
        <v>7</v>
      </c>
      <c r="E244" s="2">
        <v>13684</v>
      </c>
      <c r="F244" s="2">
        <v>158.749</v>
      </c>
      <c r="G244" s="2">
        <v>-3.1120000000000001</v>
      </c>
      <c r="H244" s="2">
        <v>24.135000000000002</v>
      </c>
    </row>
    <row r="245" spans="1:8" x14ac:dyDescent="0.25">
      <c r="A245" s="2">
        <v>130</v>
      </c>
      <c r="B245" s="2" t="s">
        <v>1307</v>
      </c>
      <c r="C245" s="2" t="s">
        <v>496</v>
      </c>
      <c r="D245" s="2">
        <v>6</v>
      </c>
      <c r="E245" s="2">
        <v>17168</v>
      </c>
      <c r="F245" s="2">
        <v>194.38499999999999</v>
      </c>
      <c r="G245" s="2">
        <v>-2.363</v>
      </c>
      <c r="H245" s="2">
        <v>24.158999999999999</v>
      </c>
    </row>
    <row r="246" spans="1:8" x14ac:dyDescent="0.25">
      <c r="A246" s="2">
        <v>130</v>
      </c>
      <c r="B246" s="2" t="s">
        <v>1307</v>
      </c>
      <c r="C246" s="2" t="s">
        <v>496</v>
      </c>
      <c r="D246" s="2">
        <v>7</v>
      </c>
      <c r="E246" s="2">
        <v>15718</v>
      </c>
      <c r="F246" s="2">
        <v>179.005</v>
      </c>
      <c r="G246" s="2">
        <v>-2.3029999999999999</v>
      </c>
      <c r="H246" s="2">
        <v>24.184999999999999</v>
      </c>
    </row>
    <row r="247" spans="1:8" x14ac:dyDescent="0.25">
      <c r="A247" s="2">
        <v>131</v>
      </c>
      <c r="B247" s="2" t="s">
        <v>1314</v>
      </c>
      <c r="C247" s="2" t="s">
        <v>788</v>
      </c>
      <c r="D247" s="2">
        <v>6</v>
      </c>
      <c r="E247" s="2">
        <v>16930</v>
      </c>
      <c r="F247" s="2">
        <v>196.26300000000001</v>
      </c>
      <c r="G247" s="2">
        <v>-1.9339999999999999</v>
      </c>
      <c r="H247" s="2">
        <v>24.048999999999999</v>
      </c>
    </row>
    <row r="248" spans="1:8" x14ac:dyDescent="0.25">
      <c r="A248" s="2">
        <v>131</v>
      </c>
      <c r="B248" s="2" t="s">
        <v>1314</v>
      </c>
      <c r="C248" s="2" t="s">
        <v>788</v>
      </c>
      <c r="D248" s="2">
        <v>7</v>
      </c>
      <c r="E248" s="2">
        <v>15709</v>
      </c>
      <c r="F248" s="2">
        <v>181.16900000000001</v>
      </c>
      <c r="G248" s="2">
        <v>-1.887</v>
      </c>
      <c r="H248" s="2">
        <v>24.06</v>
      </c>
    </row>
    <row r="249" spans="1:8" x14ac:dyDescent="0.25">
      <c r="A249" s="2">
        <v>132</v>
      </c>
      <c r="B249" s="2" t="s">
        <v>1320</v>
      </c>
      <c r="C249" s="2" t="s">
        <v>671</v>
      </c>
      <c r="D249" s="2">
        <v>6</v>
      </c>
      <c r="E249" s="2">
        <v>13436</v>
      </c>
      <c r="F249" s="2">
        <v>154.73099999999999</v>
      </c>
      <c r="G249" s="2">
        <v>-1.9079999999999999</v>
      </c>
      <c r="H249" s="2">
        <v>24.042999999999999</v>
      </c>
    </row>
    <row r="250" spans="1:8" x14ac:dyDescent="0.25">
      <c r="A250" s="2">
        <v>132</v>
      </c>
      <c r="B250" s="2" t="s">
        <v>1320</v>
      </c>
      <c r="C250" s="2" t="s">
        <v>671</v>
      </c>
      <c r="D250" s="2">
        <v>7</v>
      </c>
      <c r="E250" s="2">
        <v>12332</v>
      </c>
      <c r="F250" s="2">
        <v>142.71899999999999</v>
      </c>
      <c r="G250" s="2">
        <v>-1.889</v>
      </c>
      <c r="H250" s="2">
        <v>24.087</v>
      </c>
    </row>
    <row r="251" spans="1:8" x14ac:dyDescent="0.25">
      <c r="A251" s="2">
        <v>133</v>
      </c>
      <c r="B251" s="2" t="s">
        <v>1326</v>
      </c>
      <c r="C251" s="2" t="s">
        <v>698</v>
      </c>
      <c r="D251" s="2">
        <v>6</v>
      </c>
      <c r="E251" s="2">
        <v>11216</v>
      </c>
      <c r="F251" s="2">
        <v>128.227</v>
      </c>
      <c r="G251" s="2">
        <v>-2.2120000000000002</v>
      </c>
      <c r="H251" s="2">
        <v>24.154</v>
      </c>
    </row>
    <row r="252" spans="1:8" x14ac:dyDescent="0.25">
      <c r="A252" s="2">
        <v>133</v>
      </c>
      <c r="B252" s="2" t="s">
        <v>1326</v>
      </c>
      <c r="C252" s="2" t="s">
        <v>698</v>
      </c>
      <c r="D252" s="2">
        <v>7</v>
      </c>
      <c r="E252" s="2">
        <v>10524</v>
      </c>
      <c r="F252" s="2">
        <v>119.319</v>
      </c>
      <c r="G252" s="2">
        <v>-2.153</v>
      </c>
      <c r="H252" s="2">
        <v>24.187999999999999</v>
      </c>
    </row>
    <row r="253" spans="1:8" x14ac:dyDescent="0.25">
      <c r="A253" s="2">
        <v>134</v>
      </c>
      <c r="B253" s="2" t="s">
        <v>1331</v>
      </c>
      <c r="C253" s="2" t="s">
        <v>436</v>
      </c>
      <c r="D253" s="2">
        <v>6</v>
      </c>
      <c r="E253" s="2">
        <v>20503</v>
      </c>
      <c r="F253" s="2">
        <v>238.44300000000001</v>
      </c>
      <c r="G253" s="2">
        <v>-1.982</v>
      </c>
      <c r="H253" s="2">
        <v>23.988</v>
      </c>
    </row>
    <row r="254" spans="1:8" x14ac:dyDescent="0.25">
      <c r="A254" s="2">
        <v>134</v>
      </c>
      <c r="B254" s="2" t="s">
        <v>1331</v>
      </c>
      <c r="C254" s="2" t="s">
        <v>436</v>
      </c>
      <c r="D254" s="2">
        <v>7</v>
      </c>
      <c r="E254" s="2">
        <v>18965</v>
      </c>
      <c r="F254" s="2">
        <v>220.26900000000001</v>
      </c>
      <c r="G254" s="2">
        <v>-1.9870000000000001</v>
      </c>
      <c r="H254" s="2">
        <v>24.056000000000001</v>
      </c>
    </row>
    <row r="255" spans="1:8" x14ac:dyDescent="0.25">
      <c r="A255" s="2">
        <v>135</v>
      </c>
      <c r="B255" s="2" t="s">
        <v>1338</v>
      </c>
      <c r="C255" s="2" t="s">
        <v>436</v>
      </c>
      <c r="D255" s="2">
        <v>6</v>
      </c>
      <c r="E255" s="2">
        <v>19159</v>
      </c>
      <c r="F255" s="2">
        <v>213.36699999999999</v>
      </c>
      <c r="G255" s="2">
        <v>-1.952</v>
      </c>
      <c r="H255" s="2">
        <v>24.097999999999999</v>
      </c>
    </row>
    <row r="256" spans="1:8" x14ac:dyDescent="0.25">
      <c r="A256" s="2">
        <v>135</v>
      </c>
      <c r="B256" s="2" t="s">
        <v>1338</v>
      </c>
      <c r="C256" s="2" t="s">
        <v>436</v>
      </c>
      <c r="D256" s="2">
        <v>7</v>
      </c>
      <c r="E256" s="2">
        <v>17920</v>
      </c>
      <c r="F256" s="2">
        <v>198.386</v>
      </c>
      <c r="G256" s="2">
        <v>-1.893</v>
      </c>
      <c r="H256" s="2">
        <v>24.114999999999998</v>
      </c>
    </row>
    <row r="257" spans="1:8" x14ac:dyDescent="0.25">
      <c r="A257" s="2">
        <v>136</v>
      </c>
      <c r="B257" s="2" t="s">
        <v>1343</v>
      </c>
      <c r="C257" s="2" t="s">
        <v>722</v>
      </c>
      <c r="D257" s="2">
        <v>6</v>
      </c>
      <c r="E257" s="2">
        <v>17446</v>
      </c>
      <c r="F257" s="2">
        <v>203.78399999999999</v>
      </c>
      <c r="G257" s="2">
        <v>3.903</v>
      </c>
      <c r="H257" s="2">
        <v>24.957000000000001</v>
      </c>
    </row>
    <row r="258" spans="1:8" x14ac:dyDescent="0.25">
      <c r="A258" s="2">
        <v>136</v>
      </c>
      <c r="B258" s="2" t="s">
        <v>1343</v>
      </c>
      <c r="C258" s="2" t="s">
        <v>722</v>
      </c>
      <c r="D258" s="2">
        <v>7</v>
      </c>
      <c r="E258" s="2">
        <v>16124</v>
      </c>
      <c r="F258" s="2">
        <v>187.91900000000001</v>
      </c>
      <c r="G258" s="2">
        <v>3.93</v>
      </c>
      <c r="H258" s="2">
        <v>25.015000000000001</v>
      </c>
    </row>
    <row r="259" spans="1:8" x14ac:dyDescent="0.25">
      <c r="A259" s="2">
        <v>137</v>
      </c>
      <c r="B259" s="2" t="s">
        <v>1347</v>
      </c>
      <c r="C259" s="2" t="s">
        <v>357</v>
      </c>
      <c r="D259" s="2">
        <v>6</v>
      </c>
      <c r="E259" s="2">
        <v>11963</v>
      </c>
      <c r="F259" s="2">
        <v>133.62700000000001</v>
      </c>
      <c r="G259" s="2">
        <v>3.806</v>
      </c>
      <c r="H259" s="2">
        <v>25.167999999999999</v>
      </c>
    </row>
    <row r="260" spans="1:8" x14ac:dyDescent="0.25">
      <c r="A260" s="2">
        <v>137</v>
      </c>
      <c r="B260" s="2" t="s">
        <v>1347</v>
      </c>
      <c r="C260" s="2" t="s">
        <v>357</v>
      </c>
      <c r="D260" s="2">
        <v>7</v>
      </c>
      <c r="E260" s="2">
        <v>11156</v>
      </c>
      <c r="F260" s="2">
        <v>124.178</v>
      </c>
      <c r="G260" s="2">
        <v>3.8660000000000001</v>
      </c>
      <c r="H260" s="2">
        <v>25.213999999999999</v>
      </c>
    </row>
    <row r="261" spans="1:8" x14ac:dyDescent="0.25">
      <c r="A261" s="2">
        <v>138</v>
      </c>
      <c r="B261" s="2" t="s">
        <v>1353</v>
      </c>
      <c r="C261" s="2" t="s">
        <v>722</v>
      </c>
      <c r="D261" s="2">
        <v>6</v>
      </c>
      <c r="E261" s="2">
        <v>17739</v>
      </c>
      <c r="F261" s="2">
        <v>206.90600000000001</v>
      </c>
      <c r="G261" s="2">
        <v>-1.7070000000000001</v>
      </c>
      <c r="H261" s="2">
        <v>23.826000000000001</v>
      </c>
    </row>
    <row r="262" spans="1:8" x14ac:dyDescent="0.25">
      <c r="A262" s="2">
        <v>138</v>
      </c>
      <c r="B262" s="2" t="s">
        <v>1353</v>
      </c>
      <c r="C262" s="2" t="s">
        <v>722</v>
      </c>
      <c r="D262" s="2">
        <v>7</v>
      </c>
      <c r="E262" s="2">
        <v>16428</v>
      </c>
      <c r="F262" s="2">
        <v>191.14400000000001</v>
      </c>
      <c r="G262" s="2">
        <v>-1.663</v>
      </c>
      <c r="H262" s="2">
        <v>23.882000000000001</v>
      </c>
    </row>
    <row r="263" spans="1:8" x14ac:dyDescent="0.25">
      <c r="A263" s="2">
        <v>139</v>
      </c>
      <c r="B263" s="2" t="s">
        <v>1360</v>
      </c>
      <c r="C263" s="2" t="s">
        <v>654</v>
      </c>
      <c r="D263" s="2">
        <v>6</v>
      </c>
      <c r="E263" s="2">
        <v>16644</v>
      </c>
      <c r="F263" s="2">
        <v>186.30099999999999</v>
      </c>
      <c r="G263" s="2">
        <v>-1.742</v>
      </c>
      <c r="H263" s="2">
        <v>24.076000000000001</v>
      </c>
    </row>
    <row r="264" spans="1:8" x14ac:dyDescent="0.25">
      <c r="A264" s="2">
        <v>139</v>
      </c>
      <c r="B264" s="2" t="s">
        <v>1360</v>
      </c>
      <c r="C264" s="2" t="s">
        <v>654</v>
      </c>
      <c r="D264" s="2">
        <v>7</v>
      </c>
      <c r="E264" s="2">
        <v>15349</v>
      </c>
      <c r="F264" s="2">
        <v>172.40600000000001</v>
      </c>
      <c r="G264" s="2">
        <v>-1.6890000000000001</v>
      </c>
      <c r="H264" s="2">
        <v>24.117999999999999</v>
      </c>
    </row>
    <row r="265" spans="1:8" x14ac:dyDescent="0.25">
      <c r="A265" s="2">
        <v>140</v>
      </c>
      <c r="B265" s="2" t="s">
        <v>1364</v>
      </c>
      <c r="C265" s="2" t="s">
        <v>586</v>
      </c>
      <c r="D265" s="2">
        <v>6</v>
      </c>
      <c r="E265" s="2">
        <v>15511</v>
      </c>
      <c r="F265" s="2">
        <v>180.43700000000001</v>
      </c>
      <c r="G265" s="2">
        <v>-1.8180000000000001</v>
      </c>
      <c r="H265" s="2">
        <v>23.971</v>
      </c>
    </row>
    <row r="266" spans="1:8" x14ac:dyDescent="0.25">
      <c r="A266" s="2">
        <v>140</v>
      </c>
      <c r="B266" s="2" t="s">
        <v>1364</v>
      </c>
      <c r="C266" s="2" t="s">
        <v>586</v>
      </c>
      <c r="D266" s="2">
        <v>7</v>
      </c>
      <c r="E266" s="2">
        <v>14389</v>
      </c>
      <c r="F266" s="2">
        <v>166.84700000000001</v>
      </c>
      <c r="G266" s="2">
        <v>-1.7350000000000001</v>
      </c>
      <c r="H266" s="2">
        <v>24.042999999999999</v>
      </c>
    </row>
    <row r="267" spans="1:8" x14ac:dyDescent="0.25">
      <c r="A267" s="2">
        <v>141</v>
      </c>
      <c r="B267" s="2" t="s">
        <v>1369</v>
      </c>
      <c r="C267" s="2" t="s">
        <v>1219</v>
      </c>
      <c r="D267" s="2">
        <v>6</v>
      </c>
      <c r="E267" s="2">
        <v>19014</v>
      </c>
      <c r="F267" s="2">
        <v>218.483</v>
      </c>
      <c r="G267" s="2">
        <v>-1.9790000000000001</v>
      </c>
      <c r="H267" s="2">
        <v>23.978000000000002</v>
      </c>
    </row>
    <row r="268" spans="1:8" x14ac:dyDescent="0.25">
      <c r="A268" s="2">
        <v>141</v>
      </c>
      <c r="B268" s="2" t="s">
        <v>1369</v>
      </c>
      <c r="C268" s="2" t="s">
        <v>1219</v>
      </c>
      <c r="D268" s="2">
        <v>7</v>
      </c>
      <c r="E268" s="2">
        <v>17514</v>
      </c>
      <c r="F268" s="2">
        <v>202.203</v>
      </c>
      <c r="G268" s="2">
        <v>-1.9390000000000001</v>
      </c>
      <c r="H268" s="2">
        <v>24.038</v>
      </c>
    </row>
    <row r="269" spans="1:8" x14ac:dyDescent="0.25">
      <c r="A269" s="2">
        <v>142</v>
      </c>
      <c r="B269" s="2" t="s">
        <v>1375</v>
      </c>
      <c r="C269" s="2" t="s">
        <v>1290</v>
      </c>
      <c r="D269" s="2">
        <v>6</v>
      </c>
      <c r="E269" s="2">
        <v>21610</v>
      </c>
      <c r="F269" s="2">
        <v>247.994</v>
      </c>
      <c r="G269" s="2">
        <v>-2.16</v>
      </c>
      <c r="H269" s="2">
        <v>23.986999999999998</v>
      </c>
    </row>
    <row r="270" spans="1:8" x14ac:dyDescent="0.25">
      <c r="A270" s="2">
        <v>142</v>
      </c>
      <c r="B270" s="2" t="s">
        <v>1375</v>
      </c>
      <c r="C270" s="2" t="s">
        <v>1290</v>
      </c>
      <c r="D270" s="2">
        <v>7</v>
      </c>
      <c r="E270" s="2">
        <v>20162</v>
      </c>
      <c r="F270" s="2">
        <v>231.642</v>
      </c>
      <c r="G270" s="2">
        <v>-2.1920000000000002</v>
      </c>
      <c r="H270" s="2">
        <v>24.033000000000001</v>
      </c>
    </row>
    <row r="271" spans="1:8" x14ac:dyDescent="0.25">
      <c r="A271" s="2">
        <v>143</v>
      </c>
      <c r="B271" s="2" t="s">
        <v>1379</v>
      </c>
      <c r="C271" s="2" t="s">
        <v>397</v>
      </c>
      <c r="D271" s="2">
        <v>6</v>
      </c>
      <c r="E271" s="2">
        <v>10384</v>
      </c>
      <c r="F271" s="2">
        <v>121.479</v>
      </c>
      <c r="G271" s="2">
        <v>-2.4670000000000001</v>
      </c>
      <c r="H271" s="2">
        <v>24.149000000000001</v>
      </c>
    </row>
    <row r="272" spans="1:8" x14ac:dyDescent="0.25">
      <c r="A272" s="2">
        <v>143</v>
      </c>
      <c r="B272" s="2" t="s">
        <v>1379</v>
      </c>
      <c r="C272" s="2" t="s">
        <v>397</v>
      </c>
      <c r="D272" s="2">
        <v>7</v>
      </c>
      <c r="E272" s="2">
        <v>9608</v>
      </c>
      <c r="F272" s="2">
        <v>112.378</v>
      </c>
      <c r="G272" s="2">
        <v>-2.4300000000000002</v>
      </c>
      <c r="H272" s="2">
        <v>24.157</v>
      </c>
    </row>
    <row r="273" spans="1:8" x14ac:dyDescent="0.25">
      <c r="A273" s="2">
        <v>144</v>
      </c>
      <c r="B273" s="2" t="s">
        <v>1384</v>
      </c>
      <c r="C273" s="2" t="s">
        <v>412</v>
      </c>
      <c r="D273" s="2">
        <v>6</v>
      </c>
      <c r="E273" s="2">
        <v>12358</v>
      </c>
      <c r="F273" s="2">
        <v>139.71199999999999</v>
      </c>
      <c r="G273" s="2">
        <v>-2.2389999999999999</v>
      </c>
      <c r="H273" s="2">
        <v>24.062000000000001</v>
      </c>
    </row>
    <row r="274" spans="1:8" x14ac:dyDescent="0.25">
      <c r="A274" s="2">
        <v>144</v>
      </c>
      <c r="B274" s="2" t="s">
        <v>1384</v>
      </c>
      <c r="C274" s="2" t="s">
        <v>412</v>
      </c>
      <c r="D274" s="2">
        <v>7</v>
      </c>
      <c r="E274" s="2">
        <v>11587</v>
      </c>
      <c r="F274" s="2">
        <v>130.03100000000001</v>
      </c>
      <c r="G274" s="2">
        <v>-2.1669999999999998</v>
      </c>
      <c r="H274" s="2">
        <v>24.123000000000001</v>
      </c>
    </row>
    <row r="275" spans="1:8" x14ac:dyDescent="0.25">
      <c r="A275" s="2">
        <v>145</v>
      </c>
      <c r="B275" s="2" t="s">
        <v>1389</v>
      </c>
      <c r="C275" s="2" t="s">
        <v>934</v>
      </c>
      <c r="D275" s="2">
        <v>6</v>
      </c>
      <c r="E275" s="2">
        <v>11419</v>
      </c>
      <c r="F275" s="2">
        <v>134.04</v>
      </c>
      <c r="G275" s="2">
        <v>-2.2490000000000001</v>
      </c>
      <c r="H275" s="2">
        <v>24.163</v>
      </c>
    </row>
    <row r="276" spans="1:8" x14ac:dyDescent="0.25">
      <c r="A276" s="2">
        <v>145</v>
      </c>
      <c r="B276" s="2" t="s">
        <v>1389</v>
      </c>
      <c r="C276" s="2" t="s">
        <v>934</v>
      </c>
      <c r="D276" s="2">
        <v>7</v>
      </c>
      <c r="E276" s="2">
        <v>10610</v>
      </c>
      <c r="F276" s="2">
        <v>124.16</v>
      </c>
      <c r="G276" s="2">
        <v>-2.173</v>
      </c>
      <c r="H276" s="2">
        <v>24.161000000000001</v>
      </c>
    </row>
    <row r="277" spans="1:8" x14ac:dyDescent="0.25">
      <c r="A277" s="2">
        <v>146</v>
      </c>
      <c r="B277" s="2" t="s">
        <v>1394</v>
      </c>
      <c r="C277" s="2" t="s">
        <v>357</v>
      </c>
      <c r="D277" s="2">
        <v>6</v>
      </c>
      <c r="E277" s="2">
        <v>12187</v>
      </c>
      <c r="F277" s="2">
        <v>136.24299999999999</v>
      </c>
      <c r="G277" s="2">
        <v>-2.3149999999999999</v>
      </c>
      <c r="H277" s="2">
        <v>24.081</v>
      </c>
    </row>
    <row r="278" spans="1:8" x14ac:dyDescent="0.25">
      <c r="A278" s="2">
        <v>146</v>
      </c>
      <c r="B278" s="2" t="s">
        <v>1394</v>
      </c>
      <c r="C278" s="2" t="s">
        <v>357</v>
      </c>
      <c r="D278" s="2">
        <v>7</v>
      </c>
      <c r="E278" s="2">
        <v>11335</v>
      </c>
      <c r="F278" s="2">
        <v>126.404</v>
      </c>
      <c r="G278" s="2">
        <v>-2.254</v>
      </c>
      <c r="H278" s="2">
        <v>24.123999999999999</v>
      </c>
    </row>
    <row r="279" spans="1:8" x14ac:dyDescent="0.25">
      <c r="A279" s="2">
        <v>147</v>
      </c>
      <c r="B279" s="2" t="s">
        <v>1400</v>
      </c>
      <c r="C279" s="2" t="s">
        <v>280</v>
      </c>
      <c r="D279" s="2">
        <v>6</v>
      </c>
      <c r="E279" s="2">
        <v>13319</v>
      </c>
      <c r="F279" s="2">
        <v>155.87299999999999</v>
      </c>
      <c r="G279" s="2">
        <v>-2.2269999999999999</v>
      </c>
      <c r="H279" s="2">
        <v>23.934000000000001</v>
      </c>
    </row>
    <row r="280" spans="1:8" x14ac:dyDescent="0.25">
      <c r="A280" s="2">
        <v>147</v>
      </c>
      <c r="B280" s="2" t="s">
        <v>1400</v>
      </c>
      <c r="C280" s="2" t="s">
        <v>280</v>
      </c>
      <c r="D280" s="2">
        <v>7</v>
      </c>
      <c r="E280" s="2">
        <v>12352</v>
      </c>
      <c r="F280" s="2">
        <v>144.1</v>
      </c>
      <c r="G280" s="2">
        <v>-2.2010000000000001</v>
      </c>
      <c r="H280" s="2">
        <v>23.95</v>
      </c>
    </row>
    <row r="281" spans="1:8" x14ac:dyDescent="0.25">
      <c r="A281" s="2">
        <v>148</v>
      </c>
      <c r="B281" s="2" t="s">
        <v>1405</v>
      </c>
      <c r="C281" s="2" t="s">
        <v>654</v>
      </c>
      <c r="D281" s="2">
        <v>6</v>
      </c>
      <c r="E281" s="2">
        <v>12127</v>
      </c>
      <c r="F281" s="2">
        <v>136.304</v>
      </c>
      <c r="G281" s="2">
        <v>3.847</v>
      </c>
      <c r="H281" s="2">
        <v>25.048999999999999</v>
      </c>
    </row>
    <row r="282" spans="1:8" x14ac:dyDescent="0.25">
      <c r="A282" s="2">
        <v>148</v>
      </c>
      <c r="B282" s="2" t="s">
        <v>1405</v>
      </c>
      <c r="C282" s="2" t="s">
        <v>654</v>
      </c>
      <c r="D282" s="2">
        <v>7</v>
      </c>
      <c r="E282" s="2">
        <v>11179</v>
      </c>
      <c r="F282" s="2">
        <v>126</v>
      </c>
      <c r="G282" s="2">
        <v>3.8959999999999999</v>
      </c>
      <c r="H282" s="2">
        <v>25.126000000000001</v>
      </c>
    </row>
    <row r="283" spans="1:8" x14ac:dyDescent="0.25">
      <c r="A283" s="2">
        <v>149</v>
      </c>
      <c r="B283" s="2" t="s">
        <v>1411</v>
      </c>
      <c r="C283" s="2" t="s">
        <v>336</v>
      </c>
      <c r="D283" s="2">
        <v>6</v>
      </c>
      <c r="E283" s="2">
        <v>15450</v>
      </c>
      <c r="F283" s="2">
        <v>179.96700000000001</v>
      </c>
      <c r="G283" s="2">
        <v>3.9209999999999998</v>
      </c>
      <c r="H283" s="2">
        <v>25.047000000000001</v>
      </c>
    </row>
    <row r="284" spans="1:8" x14ac:dyDescent="0.25">
      <c r="A284" s="2">
        <v>149</v>
      </c>
      <c r="B284" s="2" t="s">
        <v>1411</v>
      </c>
      <c r="C284" s="2" t="s">
        <v>336</v>
      </c>
      <c r="D284" s="2">
        <v>7</v>
      </c>
      <c r="E284" s="2">
        <v>14334</v>
      </c>
      <c r="F284" s="2">
        <v>166.37299999999999</v>
      </c>
      <c r="G284" s="2">
        <v>3.9550000000000001</v>
      </c>
      <c r="H284" s="2">
        <v>25.073</v>
      </c>
    </row>
    <row r="285" spans="1:8" x14ac:dyDescent="0.25">
      <c r="A285" s="2">
        <v>150</v>
      </c>
      <c r="B285" s="2" t="s">
        <v>1417</v>
      </c>
      <c r="C285" s="2" t="s">
        <v>275</v>
      </c>
      <c r="D285" s="2">
        <v>6</v>
      </c>
      <c r="E285" s="2">
        <v>16337</v>
      </c>
      <c r="F285" s="2">
        <v>187.82599999999999</v>
      </c>
      <c r="G285" s="2">
        <v>-2.4980000000000002</v>
      </c>
      <c r="H285" s="2">
        <v>23.785</v>
      </c>
    </row>
    <row r="286" spans="1:8" x14ac:dyDescent="0.25">
      <c r="A286" s="2">
        <v>150</v>
      </c>
      <c r="B286" s="2" t="s">
        <v>1417</v>
      </c>
      <c r="C286" s="2" t="s">
        <v>275</v>
      </c>
      <c r="D286" s="2">
        <v>7</v>
      </c>
      <c r="E286" s="2">
        <v>15086</v>
      </c>
      <c r="F286" s="2">
        <v>173.964</v>
      </c>
      <c r="G286" s="2">
        <v>-2.456</v>
      </c>
      <c r="H286" s="2">
        <v>23.855</v>
      </c>
    </row>
    <row r="287" spans="1:8" x14ac:dyDescent="0.25">
      <c r="A287" s="2">
        <v>151</v>
      </c>
      <c r="B287" s="2" t="s">
        <v>1422</v>
      </c>
      <c r="C287" s="2" t="s">
        <v>389</v>
      </c>
      <c r="D287" s="2">
        <v>6</v>
      </c>
      <c r="E287" s="2">
        <v>12934</v>
      </c>
      <c r="F287" s="2">
        <v>147.77600000000001</v>
      </c>
      <c r="G287" s="2">
        <v>-2.4340000000000002</v>
      </c>
      <c r="H287" s="2">
        <v>23.919</v>
      </c>
    </row>
    <row r="288" spans="1:8" x14ac:dyDescent="0.25">
      <c r="A288" s="2">
        <v>151</v>
      </c>
      <c r="B288" s="2" t="s">
        <v>1422</v>
      </c>
      <c r="C288" s="2" t="s">
        <v>389</v>
      </c>
      <c r="D288" s="2">
        <v>7</v>
      </c>
      <c r="E288" s="2">
        <v>12145</v>
      </c>
      <c r="F288" s="2">
        <v>137.65899999999999</v>
      </c>
      <c r="G288" s="2">
        <v>-2.379</v>
      </c>
      <c r="H288" s="2">
        <v>23.975999999999999</v>
      </c>
    </row>
    <row r="289" spans="1:8" x14ac:dyDescent="0.25">
      <c r="A289" s="2">
        <v>152</v>
      </c>
      <c r="B289" s="2" t="s">
        <v>1427</v>
      </c>
      <c r="C289" s="2" t="s">
        <v>444</v>
      </c>
      <c r="D289" s="2">
        <v>6</v>
      </c>
      <c r="E289" s="2">
        <v>12332</v>
      </c>
      <c r="F289" s="2">
        <v>145.16</v>
      </c>
      <c r="G289" s="2">
        <v>-2.8370000000000002</v>
      </c>
      <c r="H289" s="2">
        <v>24.024000000000001</v>
      </c>
    </row>
    <row r="290" spans="1:8" x14ac:dyDescent="0.25">
      <c r="A290" s="2">
        <v>152</v>
      </c>
      <c r="B290" s="2" t="s">
        <v>1427</v>
      </c>
      <c r="C290" s="2" t="s">
        <v>444</v>
      </c>
      <c r="D290" s="2">
        <v>7</v>
      </c>
      <c r="E290" s="2">
        <v>11440</v>
      </c>
      <c r="F290" s="2">
        <v>134.37299999999999</v>
      </c>
      <c r="G290" s="2">
        <v>-2.746</v>
      </c>
      <c r="H290" s="2">
        <v>24.056999999999999</v>
      </c>
    </row>
    <row r="291" spans="1:8" x14ac:dyDescent="0.25">
      <c r="A291" s="2">
        <v>153</v>
      </c>
      <c r="B291" s="2" t="s">
        <v>1434</v>
      </c>
      <c r="C291" s="2" t="s">
        <v>310</v>
      </c>
      <c r="D291" s="2">
        <v>6</v>
      </c>
      <c r="E291" s="2">
        <v>15495</v>
      </c>
      <c r="F291" s="2">
        <v>174.38900000000001</v>
      </c>
      <c r="G291" s="2">
        <v>-3.0579999999999998</v>
      </c>
      <c r="H291" s="2">
        <v>24.085999999999999</v>
      </c>
    </row>
    <row r="292" spans="1:8" x14ac:dyDescent="0.25">
      <c r="A292" s="2">
        <v>153</v>
      </c>
      <c r="B292" s="2" t="s">
        <v>1434</v>
      </c>
      <c r="C292" s="2" t="s">
        <v>310</v>
      </c>
      <c r="D292" s="2">
        <v>7</v>
      </c>
      <c r="E292" s="2">
        <v>14525</v>
      </c>
      <c r="F292" s="2">
        <v>162.29</v>
      </c>
      <c r="G292" s="2">
        <v>-2.996</v>
      </c>
      <c r="H292" s="2">
        <v>24.113</v>
      </c>
    </row>
    <row r="293" spans="1:8" x14ac:dyDescent="0.25">
      <c r="A293" s="2">
        <v>154</v>
      </c>
      <c r="B293" s="2" t="s">
        <v>1440</v>
      </c>
      <c r="C293" s="2" t="s">
        <v>722</v>
      </c>
      <c r="D293" s="2">
        <v>6</v>
      </c>
      <c r="E293" s="2">
        <v>15875</v>
      </c>
      <c r="F293" s="2">
        <v>186.024</v>
      </c>
      <c r="G293" s="2">
        <v>-2.544</v>
      </c>
      <c r="H293" s="2">
        <v>24.138000000000002</v>
      </c>
    </row>
    <row r="294" spans="1:8" x14ac:dyDescent="0.25">
      <c r="A294" s="2">
        <v>154</v>
      </c>
      <c r="B294" s="2" t="s">
        <v>1440</v>
      </c>
      <c r="C294" s="2" t="s">
        <v>722</v>
      </c>
      <c r="D294" s="2">
        <v>7</v>
      </c>
      <c r="E294" s="2">
        <v>14707</v>
      </c>
      <c r="F294" s="2">
        <v>171.97300000000001</v>
      </c>
      <c r="G294" s="2">
        <v>-2.496</v>
      </c>
      <c r="H294" s="2">
        <v>24.225999999999999</v>
      </c>
    </row>
    <row r="295" spans="1:8" x14ac:dyDescent="0.25">
      <c r="A295" s="2">
        <v>155</v>
      </c>
      <c r="B295" s="2" t="s">
        <v>1445</v>
      </c>
      <c r="C295" s="2" t="s">
        <v>601</v>
      </c>
      <c r="D295" s="2">
        <v>6</v>
      </c>
      <c r="E295" s="2">
        <v>16710</v>
      </c>
      <c r="F295" s="2">
        <v>185.75700000000001</v>
      </c>
      <c r="G295" s="2">
        <v>-2.2970000000000002</v>
      </c>
      <c r="H295" s="2">
        <v>24.047000000000001</v>
      </c>
    </row>
    <row r="296" spans="1:8" x14ac:dyDescent="0.25">
      <c r="A296" s="2">
        <v>155</v>
      </c>
      <c r="B296" s="2" t="s">
        <v>1445</v>
      </c>
      <c r="C296" s="2" t="s">
        <v>601</v>
      </c>
      <c r="D296" s="2">
        <v>7</v>
      </c>
      <c r="E296" s="2">
        <v>15578</v>
      </c>
      <c r="F296" s="2">
        <v>172.81700000000001</v>
      </c>
      <c r="G296" s="2">
        <v>-2.2549999999999999</v>
      </c>
      <c r="H296" s="2">
        <v>24.113</v>
      </c>
    </row>
    <row r="297" spans="1:8" x14ac:dyDescent="0.25">
      <c r="A297" s="2">
        <v>156</v>
      </c>
      <c r="B297" s="2" t="s">
        <v>1449</v>
      </c>
      <c r="C297" s="2" t="s">
        <v>420</v>
      </c>
      <c r="D297" s="2">
        <v>6</v>
      </c>
      <c r="E297" s="2">
        <v>12302</v>
      </c>
      <c r="F297" s="2">
        <v>144.15100000000001</v>
      </c>
      <c r="G297" s="2">
        <v>-2.496</v>
      </c>
      <c r="H297" s="2">
        <v>23.870999999999999</v>
      </c>
    </row>
    <row r="298" spans="1:8" x14ac:dyDescent="0.25">
      <c r="A298" s="2">
        <v>156</v>
      </c>
      <c r="B298" s="2" t="s">
        <v>1449</v>
      </c>
      <c r="C298" s="2" t="s">
        <v>420</v>
      </c>
      <c r="D298" s="2">
        <v>7</v>
      </c>
      <c r="E298" s="2">
        <v>11426</v>
      </c>
      <c r="F298" s="2">
        <v>133.38900000000001</v>
      </c>
      <c r="G298" s="2">
        <v>-2.4430000000000001</v>
      </c>
      <c r="H298" s="2">
        <v>23.917000000000002</v>
      </c>
    </row>
    <row r="299" spans="1:8" x14ac:dyDescent="0.25">
      <c r="A299" s="2">
        <v>157</v>
      </c>
      <c r="B299" s="2" t="s">
        <v>1454</v>
      </c>
      <c r="C299" s="2" t="s">
        <v>510</v>
      </c>
      <c r="D299" s="2">
        <v>6</v>
      </c>
      <c r="E299" s="2">
        <v>18595</v>
      </c>
      <c r="F299" s="2">
        <v>209.96299999999999</v>
      </c>
      <c r="G299" s="2">
        <v>-2.3969999999999998</v>
      </c>
      <c r="H299" s="2">
        <v>23.742000000000001</v>
      </c>
    </row>
    <row r="300" spans="1:8" x14ac:dyDescent="0.25">
      <c r="A300" s="2">
        <v>157</v>
      </c>
      <c r="B300" s="2" t="s">
        <v>1454</v>
      </c>
      <c r="C300" s="2" t="s">
        <v>510</v>
      </c>
      <c r="D300" s="2">
        <v>7</v>
      </c>
      <c r="E300" s="2">
        <v>17095</v>
      </c>
      <c r="F300" s="2">
        <v>193.935</v>
      </c>
      <c r="G300" s="2">
        <v>-2.3330000000000002</v>
      </c>
      <c r="H300" s="2">
        <v>23.797999999999998</v>
      </c>
    </row>
    <row r="301" spans="1:8" x14ac:dyDescent="0.25">
      <c r="A301" s="2">
        <v>158</v>
      </c>
      <c r="B301" s="2" t="s">
        <v>1458</v>
      </c>
      <c r="C301" s="2" t="s">
        <v>433</v>
      </c>
      <c r="D301" s="2">
        <v>6</v>
      </c>
      <c r="E301" s="2">
        <v>13127</v>
      </c>
      <c r="F301" s="2">
        <v>152.86500000000001</v>
      </c>
      <c r="G301" s="2">
        <v>-2.6280000000000001</v>
      </c>
      <c r="H301" s="2">
        <v>23.725999999999999</v>
      </c>
    </row>
    <row r="302" spans="1:8" x14ac:dyDescent="0.25">
      <c r="A302" s="2">
        <v>158</v>
      </c>
      <c r="B302" s="2" t="s">
        <v>1458</v>
      </c>
      <c r="C302" s="2" t="s">
        <v>433</v>
      </c>
      <c r="D302" s="2">
        <v>7</v>
      </c>
      <c r="E302" s="2">
        <v>12182</v>
      </c>
      <c r="F302" s="2">
        <v>141.44499999999999</v>
      </c>
      <c r="G302" s="2">
        <v>-2.605</v>
      </c>
      <c r="H302" s="2">
        <v>23.786000000000001</v>
      </c>
    </row>
    <row r="303" spans="1:8" x14ac:dyDescent="0.25">
      <c r="A303" s="2">
        <v>159</v>
      </c>
      <c r="B303" s="2" t="s">
        <v>1462</v>
      </c>
      <c r="C303" s="2" t="s">
        <v>412</v>
      </c>
      <c r="D303" s="2">
        <v>6</v>
      </c>
      <c r="E303" s="2">
        <v>13237</v>
      </c>
      <c r="F303" s="2">
        <v>153.13300000000001</v>
      </c>
      <c r="G303" s="2">
        <v>-2.1920000000000002</v>
      </c>
      <c r="H303" s="2">
        <v>24.373000000000001</v>
      </c>
    </row>
    <row r="304" spans="1:8" x14ac:dyDescent="0.25">
      <c r="A304" s="2">
        <v>159</v>
      </c>
      <c r="B304" s="2" t="s">
        <v>1462</v>
      </c>
      <c r="C304" s="2" t="s">
        <v>412</v>
      </c>
      <c r="D304" s="2">
        <v>7</v>
      </c>
      <c r="E304" s="2">
        <v>12160</v>
      </c>
      <c r="F304" s="2">
        <v>141.17599999999999</v>
      </c>
      <c r="G304" s="2">
        <v>-2.1309999999999998</v>
      </c>
      <c r="H304" s="2">
        <v>24.422999999999998</v>
      </c>
    </row>
    <row r="305" spans="1:8" x14ac:dyDescent="0.25">
      <c r="A305" s="2">
        <v>160</v>
      </c>
      <c r="B305" s="2" t="s">
        <v>1466</v>
      </c>
      <c r="C305" s="2" t="s">
        <v>1467</v>
      </c>
      <c r="D305" s="2">
        <v>6</v>
      </c>
      <c r="E305" s="2">
        <v>12090</v>
      </c>
      <c r="F305" s="2">
        <v>139.44499999999999</v>
      </c>
      <c r="G305" s="2">
        <v>3.879</v>
      </c>
      <c r="H305" s="2">
        <v>25.161000000000001</v>
      </c>
    </row>
    <row r="306" spans="1:8" x14ac:dyDescent="0.25">
      <c r="A306" s="2">
        <v>160</v>
      </c>
      <c r="B306" s="2" t="s">
        <v>1466</v>
      </c>
      <c r="C306" s="2" t="s">
        <v>1467</v>
      </c>
      <c r="D306" s="2">
        <v>7</v>
      </c>
      <c r="E306" s="2">
        <v>11317</v>
      </c>
      <c r="F306" s="2">
        <v>129.435</v>
      </c>
      <c r="G306" s="2">
        <v>3.8940000000000001</v>
      </c>
      <c r="H306" s="2">
        <v>25.222000000000001</v>
      </c>
    </row>
    <row r="307" spans="1:8" x14ac:dyDescent="0.25">
      <c r="A307" s="2">
        <v>161</v>
      </c>
      <c r="B307" s="2" t="s">
        <v>1472</v>
      </c>
      <c r="C307" s="2" t="s">
        <v>340</v>
      </c>
      <c r="D307" s="2">
        <v>6</v>
      </c>
      <c r="E307" s="2">
        <v>13892</v>
      </c>
      <c r="F307" s="2">
        <v>162.37200000000001</v>
      </c>
      <c r="G307" s="2">
        <v>3.9220000000000002</v>
      </c>
      <c r="H307" s="2">
        <v>25.202999999999999</v>
      </c>
    </row>
    <row r="308" spans="1:8" x14ac:dyDescent="0.25">
      <c r="A308" s="2">
        <v>161</v>
      </c>
      <c r="B308" s="2" t="s">
        <v>1472</v>
      </c>
      <c r="C308" s="2" t="s">
        <v>340</v>
      </c>
      <c r="D308" s="2">
        <v>7</v>
      </c>
      <c r="E308" s="2">
        <v>12853</v>
      </c>
      <c r="F308" s="2">
        <v>150.20099999999999</v>
      </c>
      <c r="G308" s="2">
        <v>3.9420000000000002</v>
      </c>
      <c r="H308" s="2">
        <v>25.241</v>
      </c>
    </row>
    <row r="309" spans="1:8" x14ac:dyDescent="0.25">
      <c r="A309" s="2">
        <v>162</v>
      </c>
      <c r="B309" s="2" t="s">
        <v>1477</v>
      </c>
      <c r="C309" s="2" t="s">
        <v>340</v>
      </c>
      <c r="D309" s="2">
        <v>6</v>
      </c>
      <c r="E309" s="2">
        <v>13016</v>
      </c>
      <c r="F309" s="2">
        <v>146.18799999999999</v>
      </c>
      <c r="G309" s="2">
        <v>-2.073</v>
      </c>
      <c r="H309" s="2">
        <v>24.158000000000001</v>
      </c>
    </row>
    <row r="310" spans="1:8" x14ac:dyDescent="0.25">
      <c r="A310" s="2">
        <v>162</v>
      </c>
      <c r="B310" s="2" t="s">
        <v>1477</v>
      </c>
      <c r="C310" s="2" t="s">
        <v>340</v>
      </c>
      <c r="D310" s="2">
        <v>7</v>
      </c>
      <c r="E310" s="2">
        <v>12203</v>
      </c>
      <c r="F310" s="2">
        <v>136.13499999999999</v>
      </c>
      <c r="G310" s="2">
        <v>-2.0139999999999998</v>
      </c>
      <c r="H310" s="2">
        <v>24.218</v>
      </c>
    </row>
    <row r="311" spans="1:8" x14ac:dyDescent="0.25">
      <c r="A311" s="2">
        <v>163</v>
      </c>
      <c r="B311" s="2" t="s">
        <v>1480</v>
      </c>
      <c r="C311" s="2" t="s">
        <v>617</v>
      </c>
      <c r="D311" s="2">
        <v>6</v>
      </c>
      <c r="E311" s="2">
        <v>15823</v>
      </c>
      <c r="F311" s="2">
        <v>185.09299999999999</v>
      </c>
      <c r="G311" s="2">
        <v>-2.14</v>
      </c>
      <c r="H311" s="2">
        <v>24.041</v>
      </c>
    </row>
    <row r="312" spans="1:8" x14ac:dyDescent="0.25">
      <c r="A312" s="2">
        <v>163</v>
      </c>
      <c r="B312" s="2" t="s">
        <v>1480</v>
      </c>
      <c r="C312" s="2" t="s">
        <v>617</v>
      </c>
      <c r="D312" s="2">
        <v>7</v>
      </c>
      <c r="E312" s="2">
        <v>14670</v>
      </c>
      <c r="F312" s="2">
        <v>171.14500000000001</v>
      </c>
      <c r="G312" s="2">
        <v>-2.1379999999999999</v>
      </c>
      <c r="H312" s="2">
        <v>24.09</v>
      </c>
    </row>
    <row r="313" spans="1:8" x14ac:dyDescent="0.25">
      <c r="A313" s="2">
        <v>164</v>
      </c>
      <c r="B313" s="2" t="s">
        <v>1483</v>
      </c>
      <c r="C313" s="2" t="s">
        <v>436</v>
      </c>
      <c r="D313" s="2">
        <v>6</v>
      </c>
      <c r="E313" s="2">
        <v>16330</v>
      </c>
      <c r="F313" s="2">
        <v>181.41200000000001</v>
      </c>
      <c r="G313" s="2">
        <v>-2.4470000000000001</v>
      </c>
      <c r="H313" s="2">
        <v>23.975999999999999</v>
      </c>
    </row>
    <row r="314" spans="1:8" x14ac:dyDescent="0.25">
      <c r="A314" s="2">
        <v>164</v>
      </c>
      <c r="B314" s="2" t="s">
        <v>1483</v>
      </c>
      <c r="C314" s="2" t="s">
        <v>436</v>
      </c>
      <c r="D314" s="2">
        <v>7</v>
      </c>
      <c r="E314" s="2">
        <v>15201</v>
      </c>
      <c r="F314" s="2">
        <v>168.46799999999999</v>
      </c>
      <c r="G314" s="2">
        <v>-2.4390000000000001</v>
      </c>
      <c r="H314" s="2">
        <v>23.966999999999999</v>
      </c>
    </row>
    <row r="315" spans="1:8" x14ac:dyDescent="0.25">
      <c r="A315" s="2">
        <v>165</v>
      </c>
      <c r="B315" s="2" t="s">
        <v>1487</v>
      </c>
      <c r="C315" s="2" t="s">
        <v>722</v>
      </c>
      <c r="D315" s="2">
        <v>6</v>
      </c>
      <c r="E315" s="2">
        <v>11875</v>
      </c>
      <c r="F315" s="2">
        <v>139.43600000000001</v>
      </c>
      <c r="G315" s="2">
        <v>-2.556</v>
      </c>
      <c r="H315" s="2">
        <v>24.132000000000001</v>
      </c>
    </row>
    <row r="316" spans="1:8" x14ac:dyDescent="0.25">
      <c r="A316" s="2">
        <v>165</v>
      </c>
      <c r="B316" s="2" t="s">
        <v>1487</v>
      </c>
      <c r="C316" s="2" t="s">
        <v>722</v>
      </c>
      <c r="D316" s="2">
        <v>7</v>
      </c>
      <c r="E316" s="2">
        <v>11024</v>
      </c>
      <c r="F316" s="2">
        <v>128.94399999999999</v>
      </c>
      <c r="G316" s="2">
        <v>-2.5099999999999998</v>
      </c>
      <c r="H316" s="2">
        <v>24.097999999999999</v>
      </c>
    </row>
    <row r="317" spans="1:8" x14ac:dyDescent="0.25">
      <c r="A317" s="2">
        <v>166</v>
      </c>
      <c r="B317" s="2" t="s">
        <v>1493</v>
      </c>
      <c r="C317" s="2" t="s">
        <v>269</v>
      </c>
      <c r="D317" s="2">
        <v>6</v>
      </c>
      <c r="E317" s="2">
        <v>12879</v>
      </c>
      <c r="F317" s="2">
        <v>143.964</v>
      </c>
      <c r="G317" s="2">
        <v>-2.6309999999999998</v>
      </c>
      <c r="H317" s="2">
        <v>24.22</v>
      </c>
    </row>
    <row r="318" spans="1:8" x14ac:dyDescent="0.25">
      <c r="A318" s="2">
        <v>166</v>
      </c>
      <c r="B318" s="2" t="s">
        <v>1493</v>
      </c>
      <c r="C318" s="2" t="s">
        <v>269</v>
      </c>
      <c r="D318" s="2">
        <v>7</v>
      </c>
      <c r="E318" s="2">
        <v>11955</v>
      </c>
      <c r="F318" s="2">
        <v>133.601</v>
      </c>
      <c r="G318" s="2">
        <v>-2.569</v>
      </c>
      <c r="H318" s="2">
        <v>24.161999999999999</v>
      </c>
    </row>
    <row r="319" spans="1:8" x14ac:dyDescent="0.25">
      <c r="A319" s="2">
        <v>167</v>
      </c>
      <c r="B319" s="2" t="s">
        <v>1497</v>
      </c>
      <c r="C319" s="2" t="s">
        <v>1498</v>
      </c>
      <c r="D319" s="2">
        <v>6</v>
      </c>
      <c r="E319" s="2">
        <v>11266</v>
      </c>
      <c r="F319" s="2">
        <v>132.06399999999999</v>
      </c>
      <c r="G319" s="2">
        <v>-2.2349999999999999</v>
      </c>
      <c r="H319" s="2">
        <v>23.928999999999998</v>
      </c>
    </row>
    <row r="320" spans="1:8" x14ac:dyDescent="0.25">
      <c r="A320" s="2">
        <v>167</v>
      </c>
      <c r="B320" s="2" t="s">
        <v>1497</v>
      </c>
      <c r="C320" s="2" t="s">
        <v>1498</v>
      </c>
      <c r="D320" s="2">
        <v>7</v>
      </c>
      <c r="E320" s="2">
        <v>10448</v>
      </c>
      <c r="F320" s="2">
        <v>122.012</v>
      </c>
      <c r="G320" s="2">
        <v>-2.202</v>
      </c>
      <c r="H320" s="2">
        <v>24.024999999999999</v>
      </c>
    </row>
    <row r="321" spans="1:8" x14ac:dyDescent="0.25">
      <c r="A321" s="2">
        <v>168</v>
      </c>
      <c r="B321" s="2" t="s">
        <v>1502</v>
      </c>
      <c r="C321" s="2" t="s">
        <v>284</v>
      </c>
      <c r="D321" s="2">
        <v>6</v>
      </c>
      <c r="E321" s="2">
        <v>11341</v>
      </c>
      <c r="F321" s="2">
        <v>130.703</v>
      </c>
      <c r="G321" s="2">
        <v>-2.411</v>
      </c>
      <c r="H321" s="2">
        <v>23.952000000000002</v>
      </c>
    </row>
    <row r="322" spans="1:8" x14ac:dyDescent="0.25">
      <c r="A322" s="2">
        <v>168</v>
      </c>
      <c r="B322" s="2" t="s">
        <v>1502</v>
      </c>
      <c r="C322" s="2" t="s">
        <v>284</v>
      </c>
      <c r="D322" s="2">
        <v>7</v>
      </c>
      <c r="E322" s="2">
        <v>10442</v>
      </c>
      <c r="F322" s="2">
        <v>120.758</v>
      </c>
      <c r="G322" s="2">
        <v>-2.3519999999999999</v>
      </c>
      <c r="H322" s="2">
        <v>23.969000000000001</v>
      </c>
    </row>
    <row r="323" spans="1:8" x14ac:dyDescent="0.25">
      <c r="A323" s="2">
        <v>169</v>
      </c>
      <c r="B323" s="2" t="s">
        <v>1507</v>
      </c>
      <c r="C323" s="2" t="s">
        <v>325</v>
      </c>
      <c r="D323" s="2">
        <v>6</v>
      </c>
      <c r="E323" s="2">
        <v>10973</v>
      </c>
      <c r="F323" s="2">
        <v>127.437</v>
      </c>
      <c r="G323" s="2">
        <v>-2.3319999999999999</v>
      </c>
      <c r="H323" s="2">
        <v>23.984000000000002</v>
      </c>
    </row>
    <row r="324" spans="1:8" x14ac:dyDescent="0.25">
      <c r="A324" s="2">
        <v>169</v>
      </c>
      <c r="B324" s="2" t="s">
        <v>1507</v>
      </c>
      <c r="C324" s="2" t="s">
        <v>325</v>
      </c>
      <c r="D324" s="2">
        <v>7</v>
      </c>
      <c r="E324" s="2">
        <v>10269</v>
      </c>
      <c r="F324" s="2">
        <v>118.193</v>
      </c>
      <c r="G324" s="2">
        <v>-2.2709999999999999</v>
      </c>
      <c r="H324" s="2">
        <v>24.030999999999999</v>
      </c>
    </row>
    <row r="325" spans="1:8" x14ac:dyDescent="0.25">
      <c r="A325" s="2">
        <v>170</v>
      </c>
      <c r="B325" s="2" t="s">
        <v>1512</v>
      </c>
      <c r="C325" s="2" t="s">
        <v>1031</v>
      </c>
      <c r="D325" s="2">
        <v>6</v>
      </c>
      <c r="E325" s="2">
        <v>12973</v>
      </c>
      <c r="F325" s="2">
        <v>151.87799999999999</v>
      </c>
      <c r="G325" s="2">
        <v>-2.4620000000000002</v>
      </c>
      <c r="H325" s="2">
        <v>23.998999999999999</v>
      </c>
    </row>
    <row r="326" spans="1:8" x14ac:dyDescent="0.25">
      <c r="A326" s="2">
        <v>170</v>
      </c>
      <c r="B326" s="2" t="s">
        <v>1512</v>
      </c>
      <c r="C326" s="2" t="s">
        <v>1031</v>
      </c>
      <c r="D326" s="2">
        <v>7</v>
      </c>
      <c r="E326" s="2">
        <v>11998</v>
      </c>
      <c r="F326" s="2">
        <v>140.476</v>
      </c>
      <c r="G326" s="2">
        <v>-2.423</v>
      </c>
      <c r="H326" s="2">
        <v>24.071000000000002</v>
      </c>
    </row>
    <row r="327" spans="1:8" x14ac:dyDescent="0.25">
      <c r="A327" s="2">
        <v>171</v>
      </c>
      <c r="B327" s="2" t="s">
        <v>1517</v>
      </c>
      <c r="C327" s="2" t="s">
        <v>678</v>
      </c>
      <c r="D327" s="2">
        <v>6</v>
      </c>
      <c r="E327" s="2">
        <v>13159</v>
      </c>
      <c r="F327" s="2">
        <v>151.352</v>
      </c>
      <c r="G327" s="2">
        <v>-2.9129999999999998</v>
      </c>
      <c r="H327" s="2">
        <v>24.056999999999999</v>
      </c>
    </row>
    <row r="328" spans="1:8" x14ac:dyDescent="0.25">
      <c r="A328" s="2">
        <v>171</v>
      </c>
      <c r="B328" s="2" t="s">
        <v>1517</v>
      </c>
      <c r="C328" s="2" t="s">
        <v>678</v>
      </c>
      <c r="D328" s="2">
        <v>7</v>
      </c>
      <c r="E328" s="2">
        <v>12329</v>
      </c>
      <c r="F328" s="2">
        <v>140.65</v>
      </c>
      <c r="G328" s="2">
        <v>-2.87</v>
      </c>
      <c r="H328" s="2">
        <v>24.08</v>
      </c>
    </row>
    <row r="329" spans="1:8" x14ac:dyDescent="0.25">
      <c r="A329" s="2">
        <v>172</v>
      </c>
      <c r="B329" s="2" t="s">
        <v>1522</v>
      </c>
      <c r="C329" s="2" t="s">
        <v>327</v>
      </c>
      <c r="D329" s="2">
        <v>6</v>
      </c>
      <c r="E329" s="2">
        <v>17421</v>
      </c>
      <c r="F329" s="2">
        <v>203.38200000000001</v>
      </c>
      <c r="G329" s="2">
        <v>3.9350000000000001</v>
      </c>
      <c r="H329" s="2">
        <v>25.076000000000001</v>
      </c>
    </row>
    <row r="330" spans="1:8" x14ac:dyDescent="0.25">
      <c r="A330" s="2">
        <v>172</v>
      </c>
      <c r="B330" s="2" t="s">
        <v>1522</v>
      </c>
      <c r="C330" s="2" t="s">
        <v>327</v>
      </c>
      <c r="D330" s="2">
        <v>7</v>
      </c>
      <c r="E330" s="2">
        <v>16040</v>
      </c>
      <c r="F330" s="2">
        <v>187.54300000000001</v>
      </c>
      <c r="G330" s="2">
        <v>3.9590000000000001</v>
      </c>
      <c r="H330" s="2">
        <v>25.117000000000001</v>
      </c>
    </row>
    <row r="331" spans="1:8" x14ac:dyDescent="0.25">
      <c r="A331" s="2">
        <v>173</v>
      </c>
      <c r="B331" s="2" t="s">
        <v>1527</v>
      </c>
      <c r="C331" s="2" t="s">
        <v>632</v>
      </c>
      <c r="D331" s="2">
        <v>6</v>
      </c>
      <c r="E331" s="2">
        <v>11447</v>
      </c>
      <c r="F331" s="2">
        <v>129.47999999999999</v>
      </c>
      <c r="G331" s="2">
        <v>3.8079999999999998</v>
      </c>
      <c r="H331" s="2">
        <v>25.157</v>
      </c>
    </row>
    <row r="332" spans="1:8" x14ac:dyDescent="0.25">
      <c r="A332" s="2">
        <v>173</v>
      </c>
      <c r="B332" s="2" t="s">
        <v>1527</v>
      </c>
      <c r="C332" s="2" t="s">
        <v>632</v>
      </c>
      <c r="D332" s="2">
        <v>7</v>
      </c>
      <c r="E332" s="2">
        <v>10739</v>
      </c>
      <c r="F332" s="2">
        <v>120.542</v>
      </c>
      <c r="G332" s="2">
        <v>3.8759999999999999</v>
      </c>
      <c r="H332" s="2">
        <v>25.187000000000001</v>
      </c>
    </row>
    <row r="333" spans="1:8" x14ac:dyDescent="0.25">
      <c r="A333" s="2">
        <v>174</v>
      </c>
      <c r="B333" s="2" t="s">
        <v>1532</v>
      </c>
      <c r="C333" s="2" t="s">
        <v>1533</v>
      </c>
      <c r="D333" s="2">
        <v>6</v>
      </c>
      <c r="E333" s="2">
        <v>11736</v>
      </c>
      <c r="F333" s="2">
        <v>138.001</v>
      </c>
      <c r="G333" s="2">
        <v>-2.831</v>
      </c>
      <c r="H333" s="2">
        <v>24.17</v>
      </c>
    </row>
    <row r="334" spans="1:8" x14ac:dyDescent="0.25">
      <c r="A334" s="2">
        <v>174</v>
      </c>
      <c r="B334" s="2" t="s">
        <v>1532</v>
      </c>
      <c r="C334" s="2" t="s">
        <v>1533</v>
      </c>
      <c r="D334" s="2">
        <v>7</v>
      </c>
      <c r="E334" s="2">
        <v>10895</v>
      </c>
      <c r="F334" s="2">
        <v>127.697</v>
      </c>
      <c r="G334" s="2">
        <v>-2.823</v>
      </c>
      <c r="H334" s="2">
        <v>24.172000000000001</v>
      </c>
    </row>
    <row r="335" spans="1:8" x14ac:dyDescent="0.25">
      <c r="A335" s="2">
        <v>175</v>
      </c>
      <c r="B335" s="2" t="s">
        <v>1538</v>
      </c>
      <c r="C335" s="2" t="s">
        <v>1467</v>
      </c>
      <c r="D335" s="2">
        <v>6</v>
      </c>
      <c r="E335" s="2">
        <v>11299</v>
      </c>
      <c r="F335" s="2">
        <v>126.444</v>
      </c>
      <c r="G335" s="2">
        <v>-2.5430000000000001</v>
      </c>
      <c r="H335" s="2">
        <v>24.126000000000001</v>
      </c>
    </row>
    <row r="336" spans="1:8" x14ac:dyDescent="0.25">
      <c r="A336" s="2">
        <v>175</v>
      </c>
      <c r="B336" s="2" t="s">
        <v>1538</v>
      </c>
      <c r="C336" s="2" t="s">
        <v>1467</v>
      </c>
      <c r="D336" s="2">
        <v>7</v>
      </c>
      <c r="E336" s="2">
        <v>10480</v>
      </c>
      <c r="F336" s="2">
        <v>117.30200000000001</v>
      </c>
      <c r="G336" s="2">
        <v>-2.4529999999999998</v>
      </c>
      <c r="H336" s="2">
        <v>24.126999999999999</v>
      </c>
    </row>
    <row r="337" spans="1:8" x14ac:dyDescent="0.25">
      <c r="A337" s="2">
        <v>176</v>
      </c>
      <c r="B337" s="2" t="s">
        <v>1543</v>
      </c>
      <c r="C337" s="2" t="s">
        <v>444</v>
      </c>
      <c r="D337" s="2">
        <v>6</v>
      </c>
      <c r="E337" s="2">
        <v>11943</v>
      </c>
      <c r="F337" s="2">
        <v>139.75899999999999</v>
      </c>
      <c r="G337" s="2">
        <v>-2.6080000000000001</v>
      </c>
      <c r="H337" s="2">
        <v>23.97</v>
      </c>
    </row>
    <row r="338" spans="1:8" x14ac:dyDescent="0.25">
      <c r="A338" s="2">
        <v>176</v>
      </c>
      <c r="B338" s="2" t="s">
        <v>1543</v>
      </c>
      <c r="C338" s="2" t="s">
        <v>444</v>
      </c>
      <c r="D338" s="2">
        <v>7</v>
      </c>
      <c r="E338" s="2">
        <v>11081</v>
      </c>
      <c r="F338" s="2">
        <v>129.23500000000001</v>
      </c>
      <c r="G338" s="2">
        <v>-2.6080000000000001</v>
      </c>
      <c r="H338" s="2">
        <v>23.984000000000002</v>
      </c>
    </row>
    <row r="339" spans="1:8" x14ac:dyDescent="0.25">
      <c r="A339" s="2">
        <v>177</v>
      </c>
      <c r="B339" s="2" t="s">
        <v>1547</v>
      </c>
      <c r="C339" s="2" t="s">
        <v>441</v>
      </c>
      <c r="D339" s="2">
        <v>6</v>
      </c>
      <c r="E339" s="2">
        <v>16958</v>
      </c>
      <c r="F339" s="2">
        <v>190.97499999999999</v>
      </c>
      <c r="G339" s="2">
        <v>-2.33</v>
      </c>
      <c r="H339" s="2">
        <v>23.94</v>
      </c>
    </row>
    <row r="340" spans="1:8" x14ac:dyDescent="0.25">
      <c r="A340" s="2">
        <v>177</v>
      </c>
      <c r="B340" s="2" t="s">
        <v>1547</v>
      </c>
      <c r="C340" s="2" t="s">
        <v>441</v>
      </c>
      <c r="D340" s="2">
        <v>7</v>
      </c>
      <c r="E340" s="2">
        <v>15556</v>
      </c>
      <c r="F340" s="2">
        <v>176.172</v>
      </c>
      <c r="G340" s="2">
        <v>-2.3029999999999999</v>
      </c>
      <c r="H340" s="2">
        <v>23.981999999999999</v>
      </c>
    </row>
    <row r="341" spans="1:8" x14ac:dyDescent="0.25">
      <c r="A341" s="2">
        <v>178</v>
      </c>
      <c r="B341" s="2" t="s">
        <v>1551</v>
      </c>
      <c r="C341" s="2" t="s">
        <v>269</v>
      </c>
      <c r="D341" s="2">
        <v>6</v>
      </c>
      <c r="E341" s="2">
        <v>11726</v>
      </c>
      <c r="F341" s="2">
        <v>137.12899999999999</v>
      </c>
      <c r="G341" s="2">
        <v>-2.754</v>
      </c>
      <c r="H341" s="2">
        <v>23.928999999999998</v>
      </c>
    </row>
    <row r="342" spans="1:8" x14ac:dyDescent="0.25">
      <c r="A342" s="2">
        <v>178</v>
      </c>
      <c r="B342" s="2" t="s">
        <v>1551</v>
      </c>
      <c r="C342" s="2" t="s">
        <v>269</v>
      </c>
      <c r="D342" s="2">
        <v>7</v>
      </c>
      <c r="E342" s="2">
        <v>10897</v>
      </c>
      <c r="F342" s="2">
        <v>126.82299999999999</v>
      </c>
      <c r="G342" s="2">
        <v>-2.702</v>
      </c>
      <c r="H342" s="2">
        <v>23.962</v>
      </c>
    </row>
    <row r="343" spans="1:8" x14ac:dyDescent="0.25">
      <c r="A343" s="2">
        <v>179</v>
      </c>
      <c r="B343" s="2" t="s">
        <v>1556</v>
      </c>
      <c r="C343" s="2" t="s">
        <v>741</v>
      </c>
      <c r="D343" s="2">
        <v>6</v>
      </c>
      <c r="E343" s="2">
        <v>15805</v>
      </c>
      <c r="F343" s="2">
        <v>181.79400000000001</v>
      </c>
      <c r="G343" s="2">
        <v>-2.8940000000000001</v>
      </c>
      <c r="H343" s="2">
        <v>23.939</v>
      </c>
    </row>
    <row r="344" spans="1:8" x14ac:dyDescent="0.25">
      <c r="A344" s="2">
        <v>179</v>
      </c>
      <c r="B344" s="2" t="s">
        <v>1556</v>
      </c>
      <c r="C344" s="2" t="s">
        <v>741</v>
      </c>
      <c r="D344" s="2">
        <v>7</v>
      </c>
      <c r="E344" s="2">
        <v>14596</v>
      </c>
      <c r="F344" s="2">
        <v>168.34200000000001</v>
      </c>
      <c r="G344" s="2">
        <v>-2.855</v>
      </c>
      <c r="H344" s="2">
        <v>23.957000000000001</v>
      </c>
    </row>
    <row r="345" spans="1:8" x14ac:dyDescent="0.25">
      <c r="A345" s="2">
        <v>180</v>
      </c>
      <c r="B345" s="2" t="s">
        <v>1561</v>
      </c>
      <c r="C345" s="2" t="s">
        <v>1562</v>
      </c>
      <c r="D345" s="2">
        <v>6</v>
      </c>
      <c r="E345" s="2">
        <v>11734</v>
      </c>
      <c r="F345" s="2">
        <v>134.423</v>
      </c>
      <c r="G345" s="2">
        <v>-3.4860000000000002</v>
      </c>
      <c r="H345" s="2">
        <v>24.071999999999999</v>
      </c>
    </row>
    <row r="346" spans="1:8" x14ac:dyDescent="0.25">
      <c r="A346" s="2">
        <v>180</v>
      </c>
      <c r="B346" s="2" t="s">
        <v>1561</v>
      </c>
      <c r="C346" s="2" t="s">
        <v>1562</v>
      </c>
      <c r="D346" s="2">
        <v>7</v>
      </c>
      <c r="E346" s="2">
        <v>11000</v>
      </c>
      <c r="F346" s="2">
        <v>124.946</v>
      </c>
      <c r="G346" s="2">
        <v>-3.4510000000000001</v>
      </c>
      <c r="H346" s="2">
        <v>24.093</v>
      </c>
    </row>
    <row r="347" spans="1:8" x14ac:dyDescent="0.25">
      <c r="A347" s="2">
        <v>181</v>
      </c>
      <c r="B347" s="2" t="s">
        <v>1566</v>
      </c>
      <c r="C347" s="2" t="s">
        <v>284</v>
      </c>
      <c r="D347" s="2">
        <v>6</v>
      </c>
      <c r="E347" s="2">
        <v>11285</v>
      </c>
      <c r="F347" s="2">
        <v>132.71899999999999</v>
      </c>
      <c r="G347" s="2">
        <v>-3.0640000000000001</v>
      </c>
      <c r="H347" s="2">
        <v>24.192</v>
      </c>
    </row>
    <row r="348" spans="1:8" x14ac:dyDescent="0.25">
      <c r="A348" s="2">
        <v>181</v>
      </c>
      <c r="B348" s="2" t="s">
        <v>1566</v>
      </c>
      <c r="C348" s="2" t="s">
        <v>284</v>
      </c>
      <c r="D348" s="2">
        <v>7</v>
      </c>
      <c r="E348" s="2">
        <v>10448</v>
      </c>
      <c r="F348" s="2">
        <v>122.574</v>
      </c>
      <c r="G348" s="2">
        <v>-3.0369999999999999</v>
      </c>
      <c r="H348" s="2">
        <v>24.212</v>
      </c>
    </row>
    <row r="349" spans="1:8" x14ac:dyDescent="0.25">
      <c r="A349" s="2">
        <v>182</v>
      </c>
      <c r="B349" s="2" t="s">
        <v>1570</v>
      </c>
      <c r="C349" s="2" t="s">
        <v>281</v>
      </c>
      <c r="D349" s="2">
        <v>6</v>
      </c>
      <c r="E349" s="2">
        <v>10004</v>
      </c>
      <c r="F349" s="2">
        <v>112.693</v>
      </c>
      <c r="G349" s="2">
        <v>-2.8559999999999999</v>
      </c>
      <c r="H349" s="2">
        <v>24.077999999999999</v>
      </c>
    </row>
    <row r="350" spans="1:8" x14ac:dyDescent="0.25">
      <c r="A350" s="2">
        <v>182</v>
      </c>
      <c r="B350" s="2" t="s">
        <v>1570</v>
      </c>
      <c r="C350" s="2" t="s">
        <v>281</v>
      </c>
      <c r="D350" s="2">
        <v>7</v>
      </c>
      <c r="E350" s="2">
        <v>9375</v>
      </c>
      <c r="F350" s="2">
        <v>104.80200000000001</v>
      </c>
      <c r="G350" s="2">
        <v>-2.7650000000000001</v>
      </c>
      <c r="H350" s="2">
        <v>24.155000000000001</v>
      </c>
    </row>
    <row r="351" spans="1:8" x14ac:dyDescent="0.25">
      <c r="A351" s="2">
        <v>183</v>
      </c>
      <c r="B351" s="2" t="s">
        <v>1575</v>
      </c>
      <c r="C351" s="2" t="s">
        <v>520</v>
      </c>
      <c r="D351" s="2">
        <v>6</v>
      </c>
      <c r="E351" s="2">
        <v>14501</v>
      </c>
      <c r="F351" s="2">
        <v>169.994</v>
      </c>
      <c r="G351" s="2">
        <v>-2.6869999999999998</v>
      </c>
      <c r="H351" s="2">
        <v>23.895</v>
      </c>
    </row>
    <row r="352" spans="1:8" x14ac:dyDescent="0.25">
      <c r="A352" s="2">
        <v>183</v>
      </c>
      <c r="B352" s="2" t="s">
        <v>1575</v>
      </c>
      <c r="C352" s="2" t="s">
        <v>520</v>
      </c>
      <c r="D352" s="2">
        <v>7</v>
      </c>
      <c r="E352" s="2">
        <v>13434</v>
      </c>
      <c r="F352" s="2">
        <v>157.04900000000001</v>
      </c>
      <c r="G352" s="2">
        <v>-2.6309999999999998</v>
      </c>
      <c r="H352" s="2">
        <v>23.934000000000001</v>
      </c>
    </row>
    <row r="353" spans="1:8" x14ac:dyDescent="0.25">
      <c r="A353" s="2">
        <v>184</v>
      </c>
      <c r="B353" s="2" t="s">
        <v>1579</v>
      </c>
      <c r="C353" s="2" t="s">
        <v>586</v>
      </c>
      <c r="D353" s="2">
        <v>6</v>
      </c>
      <c r="E353" s="2">
        <v>17561</v>
      </c>
      <c r="F353" s="2">
        <v>194.97800000000001</v>
      </c>
      <c r="G353" s="2">
        <v>3.92</v>
      </c>
      <c r="H353" s="2">
        <v>24.709</v>
      </c>
    </row>
    <row r="354" spans="1:8" x14ac:dyDescent="0.25">
      <c r="A354" s="2">
        <v>184</v>
      </c>
      <c r="B354" s="2" t="s">
        <v>1579</v>
      </c>
      <c r="C354" s="2" t="s">
        <v>586</v>
      </c>
      <c r="D354" s="2">
        <v>7</v>
      </c>
      <c r="E354" s="2">
        <v>16341</v>
      </c>
      <c r="F354" s="2">
        <v>181.12700000000001</v>
      </c>
      <c r="G354" s="2">
        <v>3.9729999999999999</v>
      </c>
      <c r="H354" s="2">
        <v>24.771000000000001</v>
      </c>
    </row>
    <row r="355" spans="1:8" x14ac:dyDescent="0.25">
      <c r="A355" s="2">
        <v>185</v>
      </c>
      <c r="B355" s="2" t="s">
        <v>1585</v>
      </c>
      <c r="C355" s="2" t="s">
        <v>220</v>
      </c>
      <c r="D355" s="2">
        <v>6</v>
      </c>
      <c r="E355" s="2">
        <v>9241</v>
      </c>
      <c r="F355" s="2">
        <v>108.96899999999999</v>
      </c>
      <c r="G355" s="2">
        <v>3.823</v>
      </c>
      <c r="H355" s="2">
        <v>25.202999999999999</v>
      </c>
    </row>
    <row r="356" spans="1:8" x14ac:dyDescent="0.25">
      <c r="A356" s="2">
        <v>185</v>
      </c>
      <c r="B356" s="2" t="s">
        <v>1585</v>
      </c>
      <c r="C356" s="2" t="s">
        <v>220</v>
      </c>
      <c r="D356" s="2">
        <v>7</v>
      </c>
      <c r="E356" s="2">
        <v>8577</v>
      </c>
      <c r="F356" s="2">
        <v>100.68300000000001</v>
      </c>
      <c r="G356" s="2">
        <v>3.8929999999999998</v>
      </c>
      <c r="H356" s="2">
        <v>25.247</v>
      </c>
    </row>
    <row r="357" spans="1:8" x14ac:dyDescent="0.25">
      <c r="A357" s="2">
        <v>186</v>
      </c>
      <c r="B357" s="2" t="s">
        <v>1590</v>
      </c>
      <c r="C357" s="2" t="s">
        <v>336</v>
      </c>
      <c r="D357" s="2">
        <v>6</v>
      </c>
      <c r="E357" s="2">
        <v>14534</v>
      </c>
      <c r="F357" s="2">
        <v>162.51400000000001</v>
      </c>
      <c r="G357" s="2">
        <v>-3.0369999999999999</v>
      </c>
      <c r="H357" s="2">
        <v>23.814</v>
      </c>
    </row>
    <row r="358" spans="1:8" x14ac:dyDescent="0.25">
      <c r="A358" s="2">
        <v>186</v>
      </c>
      <c r="B358" s="2" t="s">
        <v>1590</v>
      </c>
      <c r="C358" s="2" t="s">
        <v>336</v>
      </c>
      <c r="D358" s="2">
        <v>7</v>
      </c>
      <c r="E358" s="2">
        <v>13441</v>
      </c>
      <c r="F358" s="2">
        <v>150.59200000000001</v>
      </c>
      <c r="G358" s="2">
        <v>-2.9529999999999998</v>
      </c>
      <c r="H358" s="2">
        <v>23.859000000000002</v>
      </c>
    </row>
    <row r="359" spans="1:8" x14ac:dyDescent="0.25">
      <c r="A359" s="2">
        <v>187</v>
      </c>
      <c r="B359" s="2" t="s">
        <v>1595</v>
      </c>
      <c r="C359" s="2" t="s">
        <v>327</v>
      </c>
      <c r="D359" s="2">
        <v>6</v>
      </c>
      <c r="E359" s="2">
        <v>14865</v>
      </c>
      <c r="F359" s="2">
        <v>173.55099999999999</v>
      </c>
      <c r="G359" s="2">
        <v>-3.0720000000000001</v>
      </c>
      <c r="H359" s="2">
        <v>23.773</v>
      </c>
    </row>
    <row r="360" spans="1:8" x14ac:dyDescent="0.25">
      <c r="A360" s="2">
        <v>187</v>
      </c>
      <c r="B360" s="2" t="s">
        <v>1595</v>
      </c>
      <c r="C360" s="2" t="s">
        <v>327</v>
      </c>
      <c r="D360" s="2">
        <v>7</v>
      </c>
      <c r="E360" s="2">
        <v>13766</v>
      </c>
      <c r="F360" s="2">
        <v>160.13300000000001</v>
      </c>
      <c r="G360" s="2">
        <v>-3.0129999999999999</v>
      </c>
      <c r="H360" s="2">
        <v>23.815999999999999</v>
      </c>
    </row>
    <row r="361" spans="1:8" x14ac:dyDescent="0.25">
      <c r="A361" s="2">
        <v>188</v>
      </c>
      <c r="B361" s="2" t="s">
        <v>1600</v>
      </c>
      <c r="C361" s="2" t="s">
        <v>840</v>
      </c>
      <c r="D361" s="2">
        <v>6</v>
      </c>
      <c r="E361" s="2">
        <v>16225</v>
      </c>
      <c r="F361" s="2">
        <v>185.971</v>
      </c>
      <c r="G361" s="2">
        <v>-3.8959999999999999</v>
      </c>
      <c r="H361" s="2">
        <v>24.012</v>
      </c>
    </row>
    <row r="362" spans="1:8" x14ac:dyDescent="0.25">
      <c r="A362" s="2">
        <v>188</v>
      </c>
      <c r="B362" s="2" t="s">
        <v>1600</v>
      </c>
      <c r="C362" s="2" t="s">
        <v>840</v>
      </c>
      <c r="D362" s="2">
        <v>7</v>
      </c>
      <c r="E362" s="2">
        <v>14906</v>
      </c>
      <c r="F362" s="2">
        <v>171.63900000000001</v>
      </c>
      <c r="G362" s="2">
        <v>-3.863</v>
      </c>
      <c r="H362" s="2">
        <v>24.036000000000001</v>
      </c>
    </row>
    <row r="363" spans="1:8" x14ac:dyDescent="0.25">
      <c r="A363" s="2">
        <v>189</v>
      </c>
      <c r="B363" s="2" t="s">
        <v>1604</v>
      </c>
      <c r="C363" s="2" t="s">
        <v>1087</v>
      </c>
      <c r="D363" s="2">
        <v>6</v>
      </c>
      <c r="E363" s="2">
        <v>15591</v>
      </c>
      <c r="F363" s="2">
        <v>178.80500000000001</v>
      </c>
      <c r="G363" s="2">
        <v>-3.5619999999999998</v>
      </c>
      <c r="H363" s="2">
        <v>23.933</v>
      </c>
    </row>
    <row r="364" spans="1:8" x14ac:dyDescent="0.25">
      <c r="A364" s="2">
        <v>189</v>
      </c>
      <c r="B364" s="2" t="s">
        <v>1604</v>
      </c>
      <c r="C364" s="2" t="s">
        <v>1087</v>
      </c>
      <c r="D364" s="2">
        <v>7</v>
      </c>
      <c r="E364" s="2">
        <v>14614</v>
      </c>
      <c r="F364" s="2">
        <v>166.119</v>
      </c>
      <c r="G364" s="2">
        <v>-3.536</v>
      </c>
      <c r="H364" s="2">
        <v>24.016999999999999</v>
      </c>
    </row>
    <row r="365" spans="1:8" x14ac:dyDescent="0.25">
      <c r="A365" s="2">
        <v>190</v>
      </c>
      <c r="B365" s="2" t="s">
        <v>1610</v>
      </c>
      <c r="C365" s="2" t="s">
        <v>428</v>
      </c>
      <c r="D365" s="2">
        <v>6</v>
      </c>
      <c r="E365" s="2">
        <v>11949</v>
      </c>
      <c r="F365" s="2">
        <v>140.70599999999999</v>
      </c>
      <c r="G365" s="2">
        <v>-2.8290000000000002</v>
      </c>
      <c r="H365" s="2">
        <v>24.266999999999999</v>
      </c>
    </row>
    <row r="366" spans="1:8" x14ac:dyDescent="0.25">
      <c r="A366" s="2">
        <v>190</v>
      </c>
      <c r="B366" s="2" t="s">
        <v>1610</v>
      </c>
      <c r="C366" s="2" t="s">
        <v>428</v>
      </c>
      <c r="D366" s="2">
        <v>7</v>
      </c>
      <c r="E366" s="2">
        <v>11060</v>
      </c>
      <c r="F366" s="2">
        <v>130.12799999999999</v>
      </c>
      <c r="G366" s="2">
        <v>-2.76</v>
      </c>
      <c r="H366" s="2">
        <v>24.286000000000001</v>
      </c>
    </row>
    <row r="367" spans="1:8" x14ac:dyDescent="0.25">
      <c r="A367" s="2">
        <v>191</v>
      </c>
      <c r="B367" s="2" t="s">
        <v>1616</v>
      </c>
      <c r="C367" s="2" t="s">
        <v>503</v>
      </c>
      <c r="D367" s="2">
        <v>6</v>
      </c>
      <c r="E367" s="2">
        <v>15881</v>
      </c>
      <c r="F367" s="2">
        <v>180.23599999999999</v>
      </c>
      <c r="G367" s="2">
        <v>-2.5030000000000001</v>
      </c>
      <c r="H367" s="2">
        <v>23.992999999999999</v>
      </c>
    </row>
    <row r="368" spans="1:8" x14ac:dyDescent="0.25">
      <c r="A368" s="2">
        <v>191</v>
      </c>
      <c r="B368" s="2" t="s">
        <v>1616</v>
      </c>
      <c r="C368" s="2" t="s">
        <v>503</v>
      </c>
      <c r="D368" s="2">
        <v>7</v>
      </c>
      <c r="E368" s="2">
        <v>14936</v>
      </c>
      <c r="F368" s="2">
        <v>167.94399999999999</v>
      </c>
      <c r="G368" s="2">
        <v>-2.4159999999999999</v>
      </c>
      <c r="H368" s="2">
        <v>23.986000000000001</v>
      </c>
    </row>
    <row r="369" spans="1:8" x14ac:dyDescent="0.25">
      <c r="A369" s="2">
        <v>192</v>
      </c>
      <c r="B369" s="2" t="s">
        <v>1621</v>
      </c>
      <c r="C369" s="2" t="s">
        <v>432</v>
      </c>
      <c r="D369" s="2">
        <v>6</v>
      </c>
      <c r="E369" s="2">
        <v>12780</v>
      </c>
      <c r="F369" s="2">
        <v>150.654</v>
      </c>
      <c r="G369" s="2">
        <v>-2.6779999999999999</v>
      </c>
      <c r="H369" s="2">
        <v>23.856999999999999</v>
      </c>
    </row>
    <row r="370" spans="1:8" x14ac:dyDescent="0.25">
      <c r="A370" s="2">
        <v>192</v>
      </c>
      <c r="B370" s="2" t="s">
        <v>1621</v>
      </c>
      <c r="C370" s="2" t="s">
        <v>432</v>
      </c>
      <c r="D370" s="2">
        <v>7</v>
      </c>
      <c r="E370" s="2">
        <v>11865</v>
      </c>
      <c r="F370" s="2">
        <v>139.506</v>
      </c>
      <c r="G370" s="2">
        <v>-2.6269999999999998</v>
      </c>
      <c r="H370" s="2">
        <v>23.925000000000001</v>
      </c>
    </row>
    <row r="371" spans="1:8" x14ac:dyDescent="0.25">
      <c r="A371" s="2">
        <v>193</v>
      </c>
      <c r="B371" s="2" t="s">
        <v>1627</v>
      </c>
      <c r="C371" s="2" t="s">
        <v>1628</v>
      </c>
      <c r="D371" s="2">
        <v>6</v>
      </c>
      <c r="E371" s="2">
        <v>9053</v>
      </c>
      <c r="F371" s="2">
        <v>102.25</v>
      </c>
      <c r="G371" s="2">
        <v>-2.907</v>
      </c>
      <c r="H371" s="2">
        <v>24.029</v>
      </c>
    </row>
    <row r="372" spans="1:8" x14ac:dyDescent="0.25">
      <c r="A372" s="2">
        <v>193</v>
      </c>
      <c r="B372" s="2" t="s">
        <v>1627</v>
      </c>
      <c r="C372" s="2" t="s">
        <v>1628</v>
      </c>
      <c r="D372" s="2">
        <v>7</v>
      </c>
      <c r="E372" s="2">
        <v>8496</v>
      </c>
      <c r="F372" s="2">
        <v>95.260999999999996</v>
      </c>
      <c r="G372" s="2">
        <v>-2.8210000000000002</v>
      </c>
      <c r="H372" s="2">
        <v>24.053999999999998</v>
      </c>
    </row>
    <row r="373" spans="1:8" x14ac:dyDescent="0.25">
      <c r="A373" s="2">
        <v>194</v>
      </c>
      <c r="B373" s="2" t="s">
        <v>1633</v>
      </c>
      <c r="C373" s="2" t="s">
        <v>1628</v>
      </c>
      <c r="D373" s="2">
        <v>6</v>
      </c>
      <c r="E373" s="2">
        <v>8511</v>
      </c>
      <c r="F373" s="2">
        <v>100.49299999999999</v>
      </c>
      <c r="G373" s="2">
        <v>-2.915</v>
      </c>
      <c r="H373" s="2">
        <v>23.928999999999998</v>
      </c>
    </row>
    <row r="374" spans="1:8" x14ac:dyDescent="0.25">
      <c r="A374" s="2">
        <v>194</v>
      </c>
      <c r="B374" s="2" t="s">
        <v>1633</v>
      </c>
      <c r="C374" s="2" t="s">
        <v>1628</v>
      </c>
      <c r="D374" s="2">
        <v>7</v>
      </c>
      <c r="E374" s="2">
        <v>7907</v>
      </c>
      <c r="F374" s="2">
        <v>93.019000000000005</v>
      </c>
      <c r="G374" s="2">
        <v>-2.9119999999999999</v>
      </c>
      <c r="H374" s="2">
        <v>23.891999999999999</v>
      </c>
    </row>
    <row r="375" spans="1:8" x14ac:dyDescent="0.25">
      <c r="A375" s="2">
        <v>195</v>
      </c>
      <c r="B375" s="2" t="s">
        <v>1638</v>
      </c>
      <c r="C375" s="2" t="s">
        <v>1498</v>
      </c>
      <c r="D375" s="2">
        <v>6</v>
      </c>
      <c r="E375" s="2">
        <v>11665</v>
      </c>
      <c r="F375" s="2">
        <v>130.87</v>
      </c>
      <c r="G375" s="2">
        <v>-3.5649999999999999</v>
      </c>
      <c r="H375" s="2">
        <v>24.193000000000001</v>
      </c>
    </row>
    <row r="376" spans="1:8" x14ac:dyDescent="0.25">
      <c r="A376" s="2">
        <v>195</v>
      </c>
      <c r="B376" s="2" t="s">
        <v>1638</v>
      </c>
      <c r="C376" s="2" t="s">
        <v>1498</v>
      </c>
      <c r="D376" s="2">
        <v>7</v>
      </c>
      <c r="E376" s="2">
        <v>10803</v>
      </c>
      <c r="F376" s="2">
        <v>121.35</v>
      </c>
      <c r="G376" s="2">
        <v>-3.516</v>
      </c>
      <c r="H376" s="2">
        <v>24.196999999999999</v>
      </c>
    </row>
    <row r="377" spans="1:8" x14ac:dyDescent="0.25">
      <c r="A377" s="2">
        <v>196</v>
      </c>
      <c r="B377" s="2" t="s">
        <v>1642</v>
      </c>
      <c r="C377" s="2" t="s">
        <v>1643</v>
      </c>
      <c r="D377" s="2">
        <v>6</v>
      </c>
      <c r="E377" s="2">
        <v>16308</v>
      </c>
      <c r="F377" s="2">
        <v>190.09</v>
      </c>
      <c r="G377" s="2">
        <v>3.9239999999999999</v>
      </c>
      <c r="H377" s="2">
        <v>25.181000000000001</v>
      </c>
    </row>
    <row r="378" spans="1:8" x14ac:dyDescent="0.25">
      <c r="A378" s="2">
        <v>196</v>
      </c>
      <c r="B378" s="2" t="s">
        <v>1642</v>
      </c>
      <c r="C378" s="2" t="s">
        <v>1643</v>
      </c>
      <c r="D378" s="2">
        <v>7</v>
      </c>
      <c r="E378" s="2">
        <v>15115</v>
      </c>
      <c r="F378" s="2">
        <v>175.61199999999999</v>
      </c>
      <c r="G378" s="2">
        <v>3.9929999999999999</v>
      </c>
      <c r="H378" s="2">
        <v>25.193999999999999</v>
      </c>
    </row>
    <row r="379" spans="1:8" x14ac:dyDescent="0.25">
      <c r="A379" s="2">
        <v>197</v>
      </c>
      <c r="B379" s="2" t="s">
        <v>1647</v>
      </c>
      <c r="C379" s="2" t="s">
        <v>403</v>
      </c>
      <c r="D379" s="2">
        <v>6</v>
      </c>
      <c r="E379" s="2">
        <v>14207</v>
      </c>
      <c r="F379" s="2">
        <v>160.464</v>
      </c>
      <c r="G379" s="2">
        <v>3.8849999999999998</v>
      </c>
      <c r="H379" s="2">
        <v>25.135999999999999</v>
      </c>
    </row>
    <row r="380" spans="1:8" x14ac:dyDescent="0.25">
      <c r="A380" s="2">
        <v>197</v>
      </c>
      <c r="B380" s="2" t="s">
        <v>1647</v>
      </c>
      <c r="C380" s="2" t="s">
        <v>403</v>
      </c>
      <c r="D380" s="2">
        <v>7</v>
      </c>
      <c r="E380" s="2">
        <v>13031</v>
      </c>
      <c r="F380" s="2">
        <v>147.99</v>
      </c>
      <c r="G380" s="2">
        <v>3.9449999999999998</v>
      </c>
      <c r="H380" s="2">
        <v>25.161000000000001</v>
      </c>
    </row>
    <row r="381" spans="1:8" x14ac:dyDescent="0.25">
      <c r="A381" s="2">
        <v>198</v>
      </c>
      <c r="B381" s="2" t="s">
        <v>1651</v>
      </c>
      <c r="C381" s="2" t="s">
        <v>1219</v>
      </c>
      <c r="D381" s="2">
        <v>6</v>
      </c>
      <c r="E381" s="2">
        <v>11529</v>
      </c>
      <c r="F381" s="2">
        <v>134.70400000000001</v>
      </c>
      <c r="G381" s="2">
        <v>-3.1640000000000001</v>
      </c>
      <c r="H381" s="2">
        <v>24.335999999999999</v>
      </c>
    </row>
    <row r="382" spans="1:8" x14ac:dyDescent="0.25">
      <c r="A382" s="2">
        <v>198</v>
      </c>
      <c r="B382" s="2" t="s">
        <v>1651</v>
      </c>
      <c r="C382" s="2" t="s">
        <v>1219</v>
      </c>
      <c r="D382" s="2">
        <v>7</v>
      </c>
      <c r="E382" s="2">
        <v>10702</v>
      </c>
      <c r="F382" s="2">
        <v>124.578</v>
      </c>
      <c r="G382" s="2">
        <v>-3.14</v>
      </c>
      <c r="H382" s="2">
        <v>24.332999999999998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DC1A-DF21-43F6-BF65-DDA169E82591}">
  <dimension ref="A1:AS158"/>
  <sheetViews>
    <sheetView topLeftCell="Y1" zoomScale="85" zoomScaleNormal="85" workbookViewId="0">
      <pane ySplit="1" topLeftCell="A44" activePane="bottomLeft" state="frozen"/>
      <selection activeCell="N1" sqref="N1"/>
      <selection pane="bottomLeft" activeCell="Y159" sqref="Y159"/>
    </sheetView>
  </sheetViews>
  <sheetFormatPr defaultColWidth="9.140625" defaultRowHeight="15" x14ac:dyDescent="0.25"/>
  <cols>
    <col min="1" max="1" width="9.140625" style="4"/>
    <col min="2" max="2" width="9" style="2" bestFit="1" customWidth="1"/>
    <col min="3" max="4" width="10.85546875" style="2" bestFit="1" customWidth="1"/>
    <col min="5" max="5" width="9" style="2" bestFit="1" customWidth="1"/>
    <col min="6" max="6" width="11" style="2" bestFit="1" customWidth="1"/>
    <col min="7" max="9" width="9" style="2" bestFit="1" customWidth="1"/>
    <col min="10" max="10" width="9.140625" style="2"/>
    <col min="11" max="11" width="12" style="2" bestFit="1" customWidth="1"/>
    <col min="12" max="12" width="9" style="2" bestFit="1" customWidth="1"/>
    <col min="13" max="13" width="9.140625" style="2"/>
    <col min="14" max="14" width="9" style="2" bestFit="1" customWidth="1"/>
    <col min="15" max="15" width="15.140625" style="2" bestFit="1" customWidth="1"/>
    <col min="16" max="16" width="14.28515625" style="2" bestFit="1" customWidth="1"/>
    <col min="17" max="17" width="9" style="2" bestFit="1" customWidth="1"/>
    <col min="18" max="18" width="11.5703125" style="2" bestFit="1" customWidth="1"/>
    <col min="19" max="19" width="14.28515625" style="2" bestFit="1" customWidth="1"/>
    <col min="20" max="20" width="18.7109375" style="2" bestFit="1" customWidth="1"/>
    <col min="21" max="21" width="20.28515625" style="2" bestFit="1" customWidth="1"/>
    <col min="22" max="23" width="9.140625" style="2"/>
    <col min="24" max="24" width="18.42578125" style="2" bestFit="1" customWidth="1"/>
    <col min="25" max="25" width="21" style="2" bestFit="1" customWidth="1"/>
    <col min="26" max="26" width="9.140625" style="2"/>
    <col min="27" max="27" width="12.85546875" style="2" bestFit="1" customWidth="1"/>
    <col min="28" max="28" width="10.7109375" style="2" bestFit="1" customWidth="1"/>
    <col min="29" max="37" width="9.140625" style="2"/>
    <col min="38" max="38" width="11.28515625" style="2" bestFit="1" customWidth="1"/>
    <col min="39" max="16384" width="9.140625" style="2"/>
  </cols>
  <sheetData>
    <row r="1" spans="1:38" x14ac:dyDescent="0.25">
      <c r="A1" s="4" t="s">
        <v>1</v>
      </c>
      <c r="B1" s="2" t="s">
        <v>119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/>
      <c r="N1" s="1" t="s">
        <v>11</v>
      </c>
      <c r="P1" s="1" t="s">
        <v>12</v>
      </c>
      <c r="Q1" s="1" t="s">
        <v>10</v>
      </c>
      <c r="T1" s="1" t="s">
        <v>13</v>
      </c>
      <c r="U1" s="1" t="s">
        <v>14</v>
      </c>
      <c r="V1" s="1"/>
      <c r="X1" s="1" t="s">
        <v>15</v>
      </c>
      <c r="Y1" s="1" t="s">
        <v>16</v>
      </c>
    </row>
    <row r="3" spans="1:38" s="13" customFormat="1" x14ac:dyDescent="0.25">
      <c r="A3" s="1">
        <v>2</v>
      </c>
      <c r="B3" s="1">
        <v>2</v>
      </c>
      <c r="C3" s="1" t="s">
        <v>495</v>
      </c>
      <c r="D3" s="1" t="s">
        <v>496</v>
      </c>
      <c r="E3" s="1">
        <v>6</v>
      </c>
      <c r="F3" s="1">
        <v>11410</v>
      </c>
      <c r="G3" s="1">
        <v>141.34299999999999</v>
      </c>
      <c r="H3" s="1">
        <v>-5.4560000000000004</v>
      </c>
      <c r="I3" s="1">
        <v>5.806</v>
      </c>
      <c r="K3" s="14">
        <f>AVERAGE(H3:H4)</f>
        <v>-5.4385000000000003</v>
      </c>
      <c r="L3" s="14">
        <f>STDEV(H3:H4)</f>
        <v>2.4748737341529263E-2</v>
      </c>
      <c r="M3" s="14"/>
      <c r="N3" s="15">
        <f>AVERAGE(F3,F4)</f>
        <v>11051.5</v>
      </c>
      <c r="O3" s="14"/>
      <c r="P3" s="14">
        <f>AVERAGE(I3:I4)</f>
        <v>5.7995000000000001</v>
      </c>
      <c r="Q3" s="14">
        <f>STDEV(I3:I4)</f>
        <v>9.1923881554250471E-3</v>
      </c>
      <c r="T3" s="14">
        <f>K3-(B3-$A$121)*$AA$4</f>
        <v>-5.5106086176470592</v>
      </c>
      <c r="U3" s="14">
        <f>T3-(N3-$N$121)*$AA$55</f>
        <v>-5.4817301235294122</v>
      </c>
      <c r="V3" s="14"/>
      <c r="X3" s="14">
        <f>P3-(B3-$A$121)*$AL$5</f>
        <v>5.6995652352941182</v>
      </c>
      <c r="Y3" s="14">
        <f>X3-(N3-$N$121)*$AL$54</f>
        <v>5.6303771764705886</v>
      </c>
    </row>
    <row r="4" spans="1:38" x14ac:dyDescent="0.25">
      <c r="A4" s="1">
        <v>2</v>
      </c>
      <c r="B4" s="1">
        <v>2</v>
      </c>
      <c r="C4" s="1" t="s">
        <v>495</v>
      </c>
      <c r="D4" s="1" t="s">
        <v>496</v>
      </c>
      <c r="E4" s="1">
        <v>7</v>
      </c>
      <c r="F4" s="1">
        <v>10693</v>
      </c>
      <c r="G4" s="1">
        <v>131.62899999999999</v>
      </c>
      <c r="H4" s="1">
        <v>-5.4210000000000003</v>
      </c>
      <c r="I4" s="1">
        <v>5.7930000000000001</v>
      </c>
      <c r="K4" s="3"/>
      <c r="L4" s="3"/>
      <c r="M4" s="3"/>
      <c r="N4" s="3"/>
      <c r="O4" s="3"/>
      <c r="P4" s="3"/>
      <c r="Q4" s="3"/>
      <c r="AA4" s="2">
        <v>-7.2300000000000001E-4</v>
      </c>
      <c r="AL4" s="2" t="s">
        <v>1656</v>
      </c>
    </row>
    <row r="5" spans="1:38" x14ac:dyDescent="0.25">
      <c r="A5" s="1">
        <v>3</v>
      </c>
      <c r="B5" s="1">
        <v>3</v>
      </c>
      <c r="C5" s="1" t="s">
        <v>502</v>
      </c>
      <c r="D5" s="1" t="s">
        <v>503</v>
      </c>
      <c r="E5" s="1">
        <v>6</v>
      </c>
      <c r="F5" s="1">
        <v>15181</v>
      </c>
      <c r="G5" s="1">
        <v>185.80799999999999</v>
      </c>
      <c r="H5" s="1">
        <v>-5.4480000000000004</v>
      </c>
      <c r="I5" s="1">
        <v>5.7960000000000003</v>
      </c>
      <c r="K5" s="3">
        <f>AVERAGE(H5:H6)</f>
        <v>-5.4275000000000002</v>
      </c>
      <c r="L5" s="3">
        <f>STDEV(H5:H6)</f>
        <v>2.899137802864871E-2</v>
      </c>
      <c r="M5" s="3"/>
      <c r="N5" s="4">
        <f>AVERAGE(F5,F6)</f>
        <v>14646</v>
      </c>
      <c r="O5" s="3"/>
      <c r="P5" s="3">
        <f>AVERAGE(I5:I6)</f>
        <v>5.8029999999999999</v>
      </c>
      <c r="Q5" s="3">
        <f>STDEV(I5:I6)</f>
        <v>9.8994949366112035E-3</v>
      </c>
      <c r="T5" s="14">
        <f>K5-(B5-$A$121)*$AA$4</f>
        <v>-5.4988856176470593</v>
      </c>
      <c r="U5" s="14">
        <f>T5-(N5-$N$121)*$AA$55</f>
        <v>-5.5045143235294125</v>
      </c>
      <c r="V5" s="14"/>
      <c r="W5" s="13"/>
      <c r="X5" s="14">
        <f>P5-(B5-$A$121)*$AL$5</f>
        <v>5.7040672352941177</v>
      </c>
      <c r="Y5" s="14">
        <f>X5-(N5-$N$121)*$AL$54</f>
        <v>5.7175526764705884</v>
      </c>
      <c r="AL5" s="2">
        <v>-1.0020000000000001E-3</v>
      </c>
    </row>
    <row r="6" spans="1:38" x14ac:dyDescent="0.25">
      <c r="A6" s="1">
        <v>3</v>
      </c>
      <c r="B6" s="1">
        <v>3</v>
      </c>
      <c r="C6" s="1" t="s">
        <v>502</v>
      </c>
      <c r="D6" s="1" t="s">
        <v>503</v>
      </c>
      <c r="E6" s="1">
        <v>7</v>
      </c>
      <c r="F6" s="1">
        <v>14111</v>
      </c>
      <c r="G6" s="1">
        <v>173.148</v>
      </c>
      <c r="H6" s="1">
        <v>-5.407</v>
      </c>
      <c r="I6" s="1">
        <v>5.81</v>
      </c>
      <c r="K6" s="3"/>
      <c r="L6" s="3"/>
      <c r="M6" s="3"/>
      <c r="N6" s="3"/>
      <c r="O6" s="3"/>
      <c r="P6" s="3"/>
      <c r="Q6" s="3"/>
    </row>
    <row r="7" spans="1:38" x14ac:dyDescent="0.25">
      <c r="A7" s="1">
        <v>4</v>
      </c>
      <c r="B7" s="1">
        <v>4</v>
      </c>
      <c r="C7" s="1" t="s">
        <v>509</v>
      </c>
      <c r="D7" s="1" t="s">
        <v>510</v>
      </c>
      <c r="E7" s="1">
        <v>6</v>
      </c>
      <c r="F7" s="1">
        <v>16135</v>
      </c>
      <c r="G7" s="1">
        <v>193.20699999999999</v>
      </c>
      <c r="H7" s="1">
        <v>-5.3869999999999996</v>
      </c>
      <c r="I7" s="1">
        <v>5.7930000000000001</v>
      </c>
      <c r="K7" s="3">
        <f>AVERAGE(H7:H8)</f>
        <v>-5.3454999999999995</v>
      </c>
      <c r="L7" s="3">
        <f>STDEV(H7:H8)</f>
        <v>5.8689862838482945E-2</v>
      </c>
      <c r="M7" s="3"/>
      <c r="N7" s="4">
        <f>AVERAGE(F7,F8)</f>
        <v>15682</v>
      </c>
      <c r="O7" s="3"/>
      <c r="P7" s="3">
        <f>AVERAGE(I7:I8)</f>
        <v>5.7934999999999999</v>
      </c>
      <c r="Q7" s="3">
        <f>STDEV(I7:I8)</f>
        <v>7.0710678118615568E-4</v>
      </c>
      <c r="T7" s="14">
        <f>K7-(B7-$A$121)*$AA$4</f>
        <v>-5.4161626176470579</v>
      </c>
      <c r="U7" s="14">
        <f>T7-(N7-$N$121)*$AA$55</f>
        <v>-5.4317369235294111</v>
      </c>
      <c r="V7" s="14"/>
      <c r="W7" s="13"/>
      <c r="X7" s="14">
        <f>P7-(B7-$A$121)*$AL$5</f>
        <v>5.6955692352941174</v>
      </c>
      <c r="Y7" s="14">
        <f>X7-(N7-$N$121)*$AL$54</f>
        <v>5.732882676470588</v>
      </c>
    </row>
    <row r="8" spans="1:38" x14ac:dyDescent="0.25">
      <c r="A8" s="1">
        <v>4</v>
      </c>
      <c r="B8" s="1">
        <v>4</v>
      </c>
      <c r="C8" s="1" t="s">
        <v>509</v>
      </c>
      <c r="D8" s="1" t="s">
        <v>510</v>
      </c>
      <c r="E8" s="1">
        <v>7</v>
      </c>
      <c r="F8" s="1">
        <v>15229</v>
      </c>
      <c r="G8" s="1">
        <v>181.07900000000001</v>
      </c>
      <c r="H8" s="1">
        <v>-5.3040000000000003</v>
      </c>
      <c r="I8" s="1">
        <v>5.7939999999999996</v>
      </c>
    </row>
    <row r="9" spans="1:38" x14ac:dyDescent="0.25">
      <c r="A9" s="1">
        <v>5</v>
      </c>
      <c r="B9" s="1">
        <v>5</v>
      </c>
      <c r="C9" s="1" t="s">
        <v>519</v>
      </c>
      <c r="D9" s="1" t="s">
        <v>520</v>
      </c>
      <c r="E9" s="1">
        <v>6</v>
      </c>
      <c r="F9" s="1">
        <v>13008</v>
      </c>
      <c r="G9" s="1">
        <v>161.98500000000001</v>
      </c>
      <c r="H9" s="1">
        <v>-5.4370000000000003</v>
      </c>
      <c r="I9" s="1">
        <v>6.0389999999999997</v>
      </c>
      <c r="K9" s="3">
        <f>AVERAGE(H9:H10)</f>
        <v>-5.4184999999999999</v>
      </c>
      <c r="L9" s="3">
        <f>STDEV(H9:H10)</f>
        <v>2.6162950903902204E-2</v>
      </c>
      <c r="M9" s="3"/>
      <c r="N9" s="4">
        <f>AVERAGE(F9,F10)</f>
        <v>12586</v>
      </c>
      <c r="O9" s="3"/>
      <c r="P9" s="3">
        <f>AVERAGE(I9:I10)</f>
        <v>6.0474999999999994</v>
      </c>
      <c r="Q9" s="3">
        <f>STDEV(I9:I10)</f>
        <v>1.2020815280171555E-2</v>
      </c>
      <c r="T9" s="14">
        <f>K9-(B9-$A$121)*$AA$4</f>
        <v>-5.4884396176470585</v>
      </c>
      <c r="U9" s="14">
        <f>T9-(N9-$N$121)*$AA$55</f>
        <v>-5.4742923235294114</v>
      </c>
      <c r="V9" s="14"/>
      <c r="W9" s="13"/>
      <c r="X9" s="14">
        <f>P9-(B9-$A$121)*$AL$5</f>
        <v>5.9505712352941167</v>
      </c>
      <c r="Y9" s="14">
        <f>X9-(N9-$N$121)*$AL$54</f>
        <v>5.9166766764705869</v>
      </c>
    </row>
    <row r="10" spans="1:38" x14ac:dyDescent="0.25">
      <c r="A10" s="1">
        <v>5</v>
      </c>
      <c r="B10" s="1">
        <v>5</v>
      </c>
      <c r="C10" s="1" t="s">
        <v>519</v>
      </c>
      <c r="D10" s="1" t="s">
        <v>520</v>
      </c>
      <c r="E10" s="1">
        <v>7</v>
      </c>
      <c r="F10" s="1">
        <v>12164</v>
      </c>
      <c r="G10" s="1">
        <v>150.96299999999999</v>
      </c>
      <c r="H10" s="1">
        <v>-5.4</v>
      </c>
      <c r="I10" s="1">
        <v>6.056</v>
      </c>
      <c r="K10" s="3"/>
      <c r="L10" s="3"/>
      <c r="M10" s="3"/>
      <c r="N10" s="4"/>
      <c r="O10" s="3"/>
      <c r="P10" s="3"/>
      <c r="Q10" s="3"/>
    </row>
    <row r="11" spans="1:38" x14ac:dyDescent="0.25">
      <c r="A11" s="2">
        <v>103</v>
      </c>
      <c r="B11" s="2">
        <v>103</v>
      </c>
      <c r="C11" s="1" t="s">
        <v>1150</v>
      </c>
      <c r="D11" s="1" t="s">
        <v>654</v>
      </c>
      <c r="E11" s="1">
        <v>6</v>
      </c>
      <c r="F11" s="1">
        <v>8170</v>
      </c>
      <c r="G11" s="1">
        <v>96.081000000000003</v>
      </c>
      <c r="H11" s="1">
        <v>-5.6130000000000004</v>
      </c>
      <c r="I11" s="1">
        <v>5.8940000000000001</v>
      </c>
      <c r="K11" s="3">
        <f>AVERAGE(H11:H12)</f>
        <v>-5.5850000000000009</v>
      </c>
      <c r="L11" s="3">
        <f>STDEV(H11:H12)</f>
        <v>3.9597979746446695E-2</v>
      </c>
      <c r="M11" s="3"/>
      <c r="N11" s="4">
        <f>AVERAGE(F11,F12)</f>
        <v>7870.5</v>
      </c>
      <c r="O11" s="3"/>
      <c r="P11" s="3">
        <f>AVERAGE(I11:I12)</f>
        <v>5.8930000000000007</v>
      </c>
      <c r="Q11" s="3">
        <f>STDEV(I11:I12)</f>
        <v>1.4142135623729393E-3</v>
      </c>
      <c r="T11" s="14">
        <f>K11-(B11-$A$121)*$AA$4</f>
        <v>-5.5840856176470597</v>
      </c>
      <c r="U11" s="14">
        <f>T11-(N11-$N$121)*$AA$55</f>
        <v>-5.524669523529413</v>
      </c>
      <c r="V11" s="14"/>
      <c r="W11" s="13"/>
      <c r="X11" s="14">
        <f>P11-(B11-$A$121)*$AL$5</f>
        <v>5.8942672352941186</v>
      </c>
      <c r="Y11" s="14">
        <f>X11-(N11-$N$121)*$AL$54</f>
        <v>5.7519161764705888</v>
      </c>
    </row>
    <row r="12" spans="1:38" x14ac:dyDescent="0.25">
      <c r="A12" s="2">
        <v>103</v>
      </c>
      <c r="B12" s="2">
        <v>103</v>
      </c>
      <c r="C12" s="1" t="s">
        <v>1150</v>
      </c>
      <c r="D12" s="1" t="s">
        <v>654</v>
      </c>
      <c r="E12" s="1">
        <v>7</v>
      </c>
      <c r="F12" s="1">
        <v>7571</v>
      </c>
      <c r="G12" s="1">
        <v>88.997</v>
      </c>
      <c r="H12" s="1">
        <v>-5.5570000000000004</v>
      </c>
      <c r="I12" s="1">
        <v>5.8920000000000003</v>
      </c>
      <c r="K12" s="3"/>
      <c r="L12" s="3"/>
      <c r="M12" s="3"/>
      <c r="N12" s="4"/>
      <c r="O12" s="3"/>
      <c r="P12" s="3"/>
      <c r="Q12" s="3"/>
    </row>
    <row r="13" spans="1:38" x14ac:dyDescent="0.25">
      <c r="A13" s="2">
        <v>104</v>
      </c>
      <c r="B13" s="2">
        <v>104</v>
      </c>
      <c r="C13" s="1" t="s">
        <v>1155</v>
      </c>
      <c r="D13" s="1" t="s">
        <v>876</v>
      </c>
      <c r="E13" s="1">
        <v>6</v>
      </c>
      <c r="F13" s="1">
        <v>13211</v>
      </c>
      <c r="G13" s="1">
        <v>148.93299999999999</v>
      </c>
      <c r="H13" s="1">
        <v>-5.5540000000000003</v>
      </c>
      <c r="I13" s="1">
        <v>5.625</v>
      </c>
      <c r="K13" s="3">
        <f>AVERAGE(H13:H14)</f>
        <v>-5.53</v>
      </c>
      <c r="L13" s="3">
        <f>STDEV(H13:H14)</f>
        <v>3.3941125496954314E-2</v>
      </c>
      <c r="M13" s="3"/>
      <c r="N13" s="4">
        <f>AVERAGE(F13,F14)</f>
        <v>12805</v>
      </c>
      <c r="O13" s="3"/>
      <c r="P13" s="3">
        <f>AVERAGE(I13:I14)</f>
        <v>5.6560000000000006</v>
      </c>
      <c r="Q13" s="3">
        <f>STDEV(I13:I14)</f>
        <v>4.3840620433566145E-2</v>
      </c>
      <c r="T13" s="14">
        <f>K13-(B13-$A$121)*$AA$4</f>
        <v>-5.5283626176470593</v>
      </c>
      <c r="U13" s="14">
        <f>T13-(N13-$N$121)*$AA$55</f>
        <v>-5.5163177235294123</v>
      </c>
      <c r="V13" s="14"/>
      <c r="W13" s="13"/>
      <c r="X13" s="14">
        <f>P13-(B13-$A$121)*$AL$5</f>
        <v>5.6582692352941182</v>
      </c>
      <c r="Y13" s="14">
        <f>X13-(N13-$N$121)*$AL$54</f>
        <v>5.629411676470589</v>
      </c>
    </row>
    <row r="14" spans="1:38" x14ac:dyDescent="0.25">
      <c r="A14" s="2">
        <v>104</v>
      </c>
      <c r="B14" s="2">
        <v>104</v>
      </c>
      <c r="C14" s="1" t="s">
        <v>1155</v>
      </c>
      <c r="D14" s="1" t="s">
        <v>876</v>
      </c>
      <c r="E14" s="1">
        <v>7</v>
      </c>
      <c r="F14" s="1">
        <v>12399</v>
      </c>
      <c r="G14" s="1">
        <v>139.006</v>
      </c>
      <c r="H14" s="1">
        <v>-5.5060000000000002</v>
      </c>
      <c r="I14" s="1">
        <v>5.6870000000000003</v>
      </c>
      <c r="K14" s="3"/>
      <c r="L14" s="3"/>
      <c r="M14" s="3"/>
      <c r="N14" s="4"/>
      <c r="O14" s="3"/>
      <c r="P14" s="3"/>
      <c r="Q14" s="3"/>
    </row>
    <row r="15" spans="1:38" x14ac:dyDescent="0.25">
      <c r="A15" s="2">
        <v>105</v>
      </c>
      <c r="B15" s="2">
        <v>105</v>
      </c>
      <c r="C15" s="1" t="s">
        <v>1162</v>
      </c>
      <c r="D15" s="1" t="s">
        <v>934</v>
      </c>
      <c r="E15" s="1">
        <v>6</v>
      </c>
      <c r="F15" s="1">
        <v>9978</v>
      </c>
      <c r="G15" s="1">
        <v>117.53</v>
      </c>
      <c r="H15" s="1">
        <v>-5.5670000000000002</v>
      </c>
      <c r="I15" s="1">
        <v>5.82</v>
      </c>
      <c r="K15" s="3">
        <f>AVERAGE(H15:H16)</f>
        <v>-5.5380000000000003</v>
      </c>
      <c r="L15" s="3">
        <f>STDEV(H15:H16)</f>
        <v>4.1012193308819639E-2</v>
      </c>
      <c r="M15" s="3"/>
      <c r="N15" s="4">
        <f>AVERAGE(F15,F16)</f>
        <v>9628</v>
      </c>
      <c r="O15" s="3"/>
      <c r="P15" s="3">
        <f>AVERAGE(I15:I16)</f>
        <v>5.8130000000000006</v>
      </c>
      <c r="Q15" s="3">
        <f>STDEV(I15:I16)</f>
        <v>9.8994949366118315E-3</v>
      </c>
      <c r="T15" s="14">
        <f>K15-(B15-$A$121)*$AA$4</f>
        <v>-5.5356396176470595</v>
      </c>
      <c r="U15" s="14">
        <f>T15-(N15-$N$121)*$AA$55</f>
        <v>-5.4930955235294121</v>
      </c>
      <c r="V15" s="14"/>
      <c r="W15" s="13"/>
      <c r="X15" s="14">
        <f>P15-(B15-$A$121)*$AL$5</f>
        <v>5.8162712352941179</v>
      </c>
      <c r="Y15" s="14">
        <f>X15-(N15-$N$121)*$AL$54</f>
        <v>5.7143426764705882</v>
      </c>
    </row>
    <row r="16" spans="1:38" x14ac:dyDescent="0.25">
      <c r="A16" s="2">
        <v>105</v>
      </c>
      <c r="B16" s="2">
        <v>105</v>
      </c>
      <c r="C16" s="1" t="s">
        <v>1162</v>
      </c>
      <c r="D16" s="1" t="s">
        <v>934</v>
      </c>
      <c r="E16" s="1">
        <v>7</v>
      </c>
      <c r="F16" s="1">
        <v>9278</v>
      </c>
      <c r="G16" s="1">
        <v>108.88200000000001</v>
      </c>
      <c r="H16" s="1">
        <v>-5.5090000000000003</v>
      </c>
      <c r="I16" s="1">
        <v>5.806</v>
      </c>
      <c r="K16" s="3"/>
      <c r="L16" s="3"/>
      <c r="M16" s="3"/>
      <c r="N16" s="4"/>
      <c r="O16" s="3"/>
      <c r="P16" s="3"/>
      <c r="Q16" s="3"/>
    </row>
    <row r="17" spans="1:25" x14ac:dyDescent="0.25">
      <c r="A17" s="2">
        <v>106</v>
      </c>
      <c r="B17" s="2">
        <v>106</v>
      </c>
      <c r="C17" s="1" t="s">
        <v>1167</v>
      </c>
      <c r="D17" s="1" t="s">
        <v>433</v>
      </c>
      <c r="E17" s="1">
        <v>6</v>
      </c>
      <c r="F17" s="1">
        <v>13689</v>
      </c>
      <c r="G17" s="1">
        <v>152.732</v>
      </c>
      <c r="H17" s="1">
        <v>-5.5339999999999998</v>
      </c>
      <c r="I17" s="1">
        <v>5.7220000000000004</v>
      </c>
      <c r="K17" s="3">
        <f>AVERAGE(H17:H18)</f>
        <v>-5.5019999999999998</v>
      </c>
      <c r="L17" s="3">
        <f>STDEV(H17:H18)</f>
        <v>4.5254833995939082E-2</v>
      </c>
      <c r="M17" s="3"/>
      <c r="N17" s="4">
        <f>AVERAGE(F17,F18)</f>
        <v>13234.5</v>
      </c>
      <c r="O17" s="3"/>
      <c r="P17" s="3">
        <f>AVERAGE(I17:I18)</f>
        <v>5.7190000000000003</v>
      </c>
      <c r="Q17" s="3">
        <f>STDEV(I17:I18)</f>
        <v>4.2426406871194462E-3</v>
      </c>
      <c r="T17" s="14">
        <f>K17-(B17-$A$121)*$AA$4</f>
        <v>-5.4989166176470583</v>
      </c>
      <c r="U17" s="14">
        <f>T17-(N17-$N$121)*$AA$55</f>
        <v>-5.4909949235294109</v>
      </c>
      <c r="V17" s="14"/>
      <c r="W17" s="13"/>
      <c r="X17" s="14">
        <f>P17-(B17-$A$121)*$AL$5</f>
        <v>5.7232732352941182</v>
      </c>
      <c r="Y17" s="14">
        <f>X17-(N17-$N$121)*$AL$54</f>
        <v>5.7042941764705892</v>
      </c>
    </row>
    <row r="18" spans="1:25" x14ac:dyDescent="0.25">
      <c r="A18" s="2">
        <v>106</v>
      </c>
      <c r="B18" s="2">
        <v>106</v>
      </c>
      <c r="C18" s="1" t="s">
        <v>1167</v>
      </c>
      <c r="D18" s="1" t="s">
        <v>433</v>
      </c>
      <c r="E18" s="1">
        <v>7</v>
      </c>
      <c r="F18" s="1">
        <v>12780</v>
      </c>
      <c r="G18" s="1">
        <v>141.95099999999999</v>
      </c>
      <c r="H18" s="1">
        <v>-5.47</v>
      </c>
      <c r="I18" s="1">
        <v>5.7160000000000002</v>
      </c>
      <c r="K18" s="3"/>
      <c r="L18" s="3"/>
      <c r="M18" s="3"/>
      <c r="N18" s="4"/>
      <c r="O18" s="3"/>
      <c r="P18" s="3"/>
      <c r="Q18" s="3"/>
    </row>
    <row r="19" spans="1:25" x14ac:dyDescent="0.25">
      <c r="K19" s="3"/>
      <c r="L19" s="3"/>
      <c r="M19" s="3"/>
      <c r="N19" s="4"/>
      <c r="O19" s="3"/>
      <c r="P19" s="3"/>
      <c r="Q19" s="3"/>
    </row>
    <row r="20" spans="1:25" ht="15.75" thickBot="1" x14ac:dyDescent="0.3">
      <c r="K20" s="3"/>
      <c r="L20" s="3"/>
      <c r="M20" s="3"/>
      <c r="N20" s="4"/>
      <c r="O20" s="3"/>
      <c r="P20" s="3"/>
      <c r="Q20" s="3"/>
    </row>
    <row r="21" spans="1:25" ht="15.75" x14ac:dyDescent="0.25">
      <c r="A21" s="2"/>
      <c r="K21" s="3">
        <f>AVERAGE(K3:K17)</f>
        <v>-5.4731250000000005</v>
      </c>
      <c r="L21" s="3"/>
      <c r="M21" s="3"/>
      <c r="N21" s="3"/>
      <c r="O21" s="2" t="s">
        <v>17</v>
      </c>
      <c r="P21" s="3">
        <f>AVERAGE(P3:P17)</f>
        <v>5.8155625000000004</v>
      </c>
      <c r="Q21" s="3"/>
      <c r="S21" s="2" t="s">
        <v>17</v>
      </c>
      <c r="T21" s="3">
        <f>AVERAGE(T3:T17)</f>
        <v>-5.5076376176470578</v>
      </c>
      <c r="U21" s="175">
        <f>AVERAGE(U3:U17)</f>
        <v>-5.489668923529412</v>
      </c>
      <c r="V21" s="5"/>
      <c r="W21" s="2" t="s">
        <v>17</v>
      </c>
      <c r="X21" s="3">
        <f>AVERAGE(X3:X17)</f>
        <v>5.7677317352941175</v>
      </c>
      <c r="Y21" s="175">
        <f>AVERAGE(Y3:Y17)</f>
        <v>5.7246817389705882</v>
      </c>
    </row>
    <row r="22" spans="1:25" ht="15.75" thickBot="1" x14ac:dyDescent="0.3">
      <c r="K22" s="3">
        <f>STDEV(K3:K17)</f>
        <v>7.8690964266190724E-2</v>
      </c>
      <c r="L22" s="3"/>
      <c r="M22" s="3"/>
      <c r="N22" s="3"/>
      <c r="O22" s="2" t="s">
        <v>18</v>
      </c>
      <c r="P22" s="3">
        <f>STDEV(P3:P17)</f>
        <v>0.11679360228931306</v>
      </c>
      <c r="Q22" s="3"/>
      <c r="S22" s="2" t="s">
        <v>18</v>
      </c>
      <c r="T22" s="3">
        <f>STDEV(T3:T17)</f>
        <v>4.7742842916130783E-2</v>
      </c>
      <c r="U22" s="176">
        <f>STDEV(U3:U17)</f>
        <v>2.8846062626887523E-2</v>
      </c>
      <c r="V22" s="3"/>
      <c r="W22" s="2" t="s">
        <v>18</v>
      </c>
      <c r="X22" s="3">
        <f>STDEV(X3:X17)</f>
        <v>0.10667940114326509</v>
      </c>
      <c r="Y22" s="176">
        <f>STDEV(Y3:Y17)</f>
        <v>8.9613562234676786E-2</v>
      </c>
    </row>
    <row r="23" spans="1:25" x14ac:dyDescent="0.25">
      <c r="K23" s="3"/>
      <c r="L23" s="3"/>
      <c r="M23" s="3"/>
      <c r="N23" s="3"/>
      <c r="O23" s="3"/>
      <c r="P23" s="3"/>
      <c r="Q23" s="3"/>
    </row>
    <row r="24" spans="1:25" x14ac:dyDescent="0.25">
      <c r="K24" s="3"/>
      <c r="L24" s="3"/>
      <c r="M24" s="3"/>
      <c r="N24" s="3"/>
      <c r="O24" s="3"/>
      <c r="P24" s="3"/>
      <c r="Q24" s="3"/>
    </row>
    <row r="25" spans="1:25" x14ac:dyDescent="0.25">
      <c r="A25" s="1">
        <v>6</v>
      </c>
      <c r="B25" s="1">
        <v>6</v>
      </c>
      <c r="C25" s="1" t="s">
        <v>527</v>
      </c>
      <c r="D25" s="1" t="s">
        <v>284</v>
      </c>
      <c r="E25" s="1">
        <v>6</v>
      </c>
      <c r="F25" s="1">
        <v>11298</v>
      </c>
      <c r="G25" s="1">
        <v>135.06299999999999</v>
      </c>
      <c r="H25" s="1">
        <v>1.4410000000000001</v>
      </c>
      <c r="I25" s="1">
        <v>27.338999999999999</v>
      </c>
      <c r="K25" s="3">
        <f>AVERAGE(H25:H26)</f>
        <v>1.472</v>
      </c>
      <c r="L25" s="3">
        <f>STDEV(H25:H26)</f>
        <v>4.3840620433565826E-2</v>
      </c>
      <c r="M25" s="3"/>
      <c r="N25" s="4">
        <f>AVERAGE(F25,F26)</f>
        <v>10988</v>
      </c>
      <c r="O25" s="3"/>
      <c r="P25" s="3">
        <f>AVERAGE(I25:I26)</f>
        <v>27.360999999999997</v>
      </c>
      <c r="Q25" s="3">
        <f>STDEV(I25:I26)</f>
        <v>3.1112698372208432E-2</v>
      </c>
      <c r="T25" s="14">
        <f>K25-(B25-$A$121)*$AA$4</f>
        <v>1.4027833823529412</v>
      </c>
      <c r="U25" s="14">
        <f>T25-(N25-$N$121)*$AA$55</f>
        <v>1.4322714764705882</v>
      </c>
      <c r="V25" s="14"/>
      <c r="W25" s="13"/>
      <c r="X25" s="14">
        <f>P25-(B25-$A$121)*$AL$5</f>
        <v>27.265073235294114</v>
      </c>
      <c r="Y25" s="14">
        <f>X25-(N25-$N$121)*$AL$54</f>
        <v>27.194424676470586</v>
      </c>
    </row>
    <row r="26" spans="1:25" x14ac:dyDescent="0.25">
      <c r="A26" s="1">
        <v>6</v>
      </c>
      <c r="B26" s="1">
        <v>6</v>
      </c>
      <c r="C26" s="1" t="s">
        <v>527</v>
      </c>
      <c r="D26" s="1" t="s">
        <v>284</v>
      </c>
      <c r="E26" s="1">
        <v>7</v>
      </c>
      <c r="F26" s="1">
        <v>10678</v>
      </c>
      <c r="G26" s="1">
        <v>126.699</v>
      </c>
      <c r="H26" s="1">
        <v>1.5029999999999999</v>
      </c>
      <c r="I26" s="1">
        <v>27.382999999999999</v>
      </c>
      <c r="K26" s="3"/>
      <c r="L26" s="3"/>
      <c r="M26" s="3"/>
      <c r="N26" s="3"/>
      <c r="O26" s="3"/>
      <c r="P26" s="3"/>
      <c r="Q26" s="3"/>
    </row>
    <row r="27" spans="1:25" x14ac:dyDescent="0.25">
      <c r="A27" s="1">
        <v>7</v>
      </c>
      <c r="B27" s="1">
        <v>7</v>
      </c>
      <c r="C27" s="1" t="s">
        <v>533</v>
      </c>
      <c r="D27" s="1" t="s">
        <v>534</v>
      </c>
      <c r="E27" s="1">
        <v>6</v>
      </c>
      <c r="F27" s="1">
        <v>10691</v>
      </c>
      <c r="G27" s="1">
        <v>133.483</v>
      </c>
      <c r="H27" s="1">
        <v>1.48</v>
      </c>
      <c r="I27" s="1">
        <v>27.395</v>
      </c>
      <c r="K27" s="3">
        <f>AVERAGE(H27:H28)</f>
        <v>1.5150000000000001</v>
      </c>
      <c r="L27" s="3">
        <f>STDEV(H27:H28)</f>
        <v>4.9497474683058366E-2</v>
      </c>
      <c r="M27" s="3"/>
      <c r="N27" s="4">
        <f>AVERAGE(F27,F28)</f>
        <v>10340.5</v>
      </c>
      <c r="O27" s="3"/>
      <c r="P27" s="3">
        <f>AVERAGE(I27:I28)</f>
        <v>27.405999999999999</v>
      </c>
      <c r="Q27" s="3">
        <f>STDEV(I27:I28)</f>
        <v>1.5556349186105472E-2</v>
      </c>
      <c r="T27" s="14">
        <f>K27-(B27-$A$121)*$AA$4</f>
        <v>1.4465063823529414</v>
      </c>
      <c r="U27" s="14">
        <f>T27-(N27-$N$121)*$AA$55</f>
        <v>1.4822104764705883</v>
      </c>
      <c r="V27" s="14"/>
      <c r="W27" s="13"/>
      <c r="X27" s="14">
        <f>P27-(B27-$A$121)*$AL$5</f>
        <v>27.311075235294116</v>
      </c>
      <c r="Y27" s="14">
        <f>X27-(N27-$N$121)*$AL$54</f>
        <v>27.225534176470585</v>
      </c>
    </row>
    <row r="28" spans="1:25" x14ac:dyDescent="0.25">
      <c r="A28" s="1">
        <v>7</v>
      </c>
      <c r="B28" s="1">
        <v>7</v>
      </c>
      <c r="C28" s="1" t="s">
        <v>533</v>
      </c>
      <c r="D28" s="1" t="s">
        <v>534</v>
      </c>
      <c r="E28" s="1">
        <v>7</v>
      </c>
      <c r="F28" s="1">
        <v>9990</v>
      </c>
      <c r="G28" s="1">
        <v>124.348</v>
      </c>
      <c r="H28" s="1">
        <v>1.55</v>
      </c>
      <c r="I28" s="1">
        <v>27.417000000000002</v>
      </c>
      <c r="K28" s="3"/>
      <c r="L28" s="3"/>
      <c r="M28" s="3"/>
      <c r="N28" s="3"/>
      <c r="O28" s="3"/>
      <c r="P28" s="3"/>
      <c r="Q28" s="3"/>
    </row>
    <row r="29" spans="1:25" x14ac:dyDescent="0.25">
      <c r="A29" s="1">
        <v>8</v>
      </c>
      <c r="B29" s="1">
        <v>8</v>
      </c>
      <c r="C29" s="1" t="s">
        <v>542</v>
      </c>
      <c r="D29" s="1" t="s">
        <v>412</v>
      </c>
      <c r="E29" s="1">
        <v>6</v>
      </c>
      <c r="F29" s="1">
        <v>14933</v>
      </c>
      <c r="G29" s="1">
        <v>176.76400000000001</v>
      </c>
      <c r="H29" s="1">
        <v>1.4850000000000001</v>
      </c>
      <c r="I29" s="1">
        <v>27.305</v>
      </c>
      <c r="K29" s="3">
        <f>AVERAGE(H29:H30)</f>
        <v>1.5129999999999999</v>
      </c>
      <c r="L29" s="3">
        <f>STDEV(H29:H30)</f>
        <v>3.9597979746446542E-2</v>
      </c>
      <c r="M29" s="3"/>
      <c r="N29" s="4">
        <f>AVERAGE(F29,F30)</f>
        <v>14504.5</v>
      </c>
      <c r="O29" s="3"/>
      <c r="P29" s="3">
        <f>AVERAGE(I29:I30)</f>
        <v>27.333500000000001</v>
      </c>
      <c r="Q29" s="3">
        <f>STDEV(I29:I30)</f>
        <v>4.0305086527632226E-2</v>
      </c>
      <c r="T29" s="14">
        <f>K29-(B29-$A$121)*$AA$4</f>
        <v>1.4452293823529412</v>
      </c>
      <c r="U29" s="14">
        <f>T29-(N29-$N$121)*$AA$55</f>
        <v>1.4409590764705882</v>
      </c>
      <c r="V29" s="14"/>
      <c r="W29" s="13"/>
      <c r="X29" s="14">
        <f>P29-(B29-$A$121)*$AL$5</f>
        <v>27.239577235294117</v>
      </c>
      <c r="Y29" s="14">
        <f>X29-(N29-$N$121)*$AL$54</f>
        <v>27.249808176470587</v>
      </c>
    </row>
    <row r="30" spans="1:25" x14ac:dyDescent="0.25">
      <c r="A30" s="1">
        <v>8</v>
      </c>
      <c r="B30" s="1">
        <v>8</v>
      </c>
      <c r="C30" s="1" t="s">
        <v>542</v>
      </c>
      <c r="D30" s="1" t="s">
        <v>412</v>
      </c>
      <c r="E30" s="1">
        <v>7</v>
      </c>
      <c r="F30" s="1">
        <v>14076</v>
      </c>
      <c r="G30" s="1">
        <v>166.077</v>
      </c>
      <c r="H30" s="1">
        <v>1.5409999999999999</v>
      </c>
      <c r="I30" s="1">
        <v>27.361999999999998</v>
      </c>
      <c r="K30" s="3"/>
      <c r="L30" s="3"/>
      <c r="M30" s="3"/>
      <c r="N30" s="3"/>
      <c r="O30" s="3"/>
      <c r="P30" s="3"/>
      <c r="Q30" s="3"/>
    </row>
    <row r="31" spans="1:25" x14ac:dyDescent="0.25">
      <c r="A31" s="1">
        <v>9</v>
      </c>
      <c r="B31" s="1">
        <v>9</v>
      </c>
      <c r="C31" s="1" t="s">
        <v>550</v>
      </c>
      <c r="D31" s="1" t="s">
        <v>496</v>
      </c>
      <c r="E31" s="1">
        <v>6</v>
      </c>
      <c r="F31" s="1">
        <v>15233</v>
      </c>
      <c r="G31" s="1">
        <v>189.197</v>
      </c>
      <c r="H31" s="1">
        <v>1.5149999999999999</v>
      </c>
      <c r="I31" s="1">
        <v>27.309000000000001</v>
      </c>
      <c r="K31" s="3">
        <f>AVERAGE(H31:H32)</f>
        <v>1.532</v>
      </c>
      <c r="L31" s="3">
        <f>STDEV(H31:H32)</f>
        <v>2.4041630560342638E-2</v>
      </c>
      <c r="M31" s="3"/>
      <c r="N31" s="4">
        <f>AVERAGE(F31,F32)</f>
        <v>14717.5</v>
      </c>
      <c r="O31" s="3"/>
      <c r="P31" s="3">
        <f>AVERAGE(I31:I32)</f>
        <v>27.3155</v>
      </c>
      <c r="Q31" s="3">
        <f>STDEV(I31:I32)</f>
        <v>9.1923881554237911E-3</v>
      </c>
      <c r="T31" s="14">
        <f>K31-(B31-$A$121)*$AA$4</f>
        <v>1.4649523823529411</v>
      </c>
      <c r="U31" s="14">
        <f>T31-(N31-$N$121)*$AA$55</f>
        <v>1.4586372764705882</v>
      </c>
      <c r="V31" s="14"/>
      <c r="W31" s="13"/>
      <c r="X31" s="14">
        <f>P31-(B31-$A$121)*$AL$5</f>
        <v>27.222579235294116</v>
      </c>
      <c r="Y31" s="14">
        <f>X31-(N31-$N$121)*$AL$54</f>
        <v>27.237709176470588</v>
      </c>
    </row>
    <row r="32" spans="1:25" x14ac:dyDescent="0.25">
      <c r="A32" s="1">
        <v>9</v>
      </c>
      <c r="B32" s="1">
        <v>9</v>
      </c>
      <c r="C32" s="1" t="s">
        <v>550</v>
      </c>
      <c r="D32" s="1" t="s">
        <v>496</v>
      </c>
      <c r="E32" s="1">
        <v>7</v>
      </c>
      <c r="F32" s="1">
        <v>14202</v>
      </c>
      <c r="G32" s="1">
        <v>175.852</v>
      </c>
      <c r="H32" s="1">
        <v>1.5489999999999999</v>
      </c>
      <c r="I32" s="1">
        <v>27.321999999999999</v>
      </c>
      <c r="K32" s="3"/>
      <c r="L32" s="3"/>
      <c r="M32" s="3"/>
      <c r="N32" s="3"/>
      <c r="O32" s="3"/>
      <c r="P32" s="3"/>
      <c r="Q32" s="3"/>
    </row>
    <row r="33" spans="1:25" x14ac:dyDescent="0.25">
      <c r="A33" s="2">
        <v>107</v>
      </c>
      <c r="B33" s="2">
        <v>107</v>
      </c>
      <c r="C33" s="1" t="s">
        <v>1172</v>
      </c>
      <c r="D33" s="1" t="s">
        <v>280</v>
      </c>
      <c r="E33" s="1">
        <v>6</v>
      </c>
      <c r="F33" s="1">
        <v>10906</v>
      </c>
      <c r="G33" s="1">
        <v>127.949</v>
      </c>
      <c r="H33" s="1">
        <v>1.397</v>
      </c>
      <c r="I33" s="1">
        <v>27.173999999999999</v>
      </c>
      <c r="K33" s="3">
        <f>AVERAGE(H33:H34)</f>
        <v>1.4264999999999999</v>
      </c>
      <c r="L33" s="3">
        <f>STDEV(H33:H34)</f>
        <v>4.171930009000626E-2</v>
      </c>
      <c r="M33" s="3"/>
      <c r="N33" s="4">
        <f>AVERAGE(F33,F34)</f>
        <v>10524</v>
      </c>
      <c r="O33" s="3"/>
      <c r="P33" s="3">
        <f>AVERAGE(I33:I34)</f>
        <v>27.226500000000001</v>
      </c>
      <c r="Q33" s="3">
        <f>STDEV(I33:I34)</f>
        <v>7.4246212024587796E-2</v>
      </c>
      <c r="T33" s="14">
        <f>K33-(B33-$A$121)*$AA$4</f>
        <v>1.4303063823529412</v>
      </c>
      <c r="U33" s="14">
        <f>T33-(N33-$N$121)*$AA$55</f>
        <v>1.4642488764705883</v>
      </c>
      <c r="V33" s="14"/>
      <c r="W33" s="13"/>
      <c r="X33" s="14">
        <f>P33-(B33-$A$121)*$AL$5</f>
        <v>27.231775235294119</v>
      </c>
      <c r="Y33" s="14">
        <f>X33-(N33-$N$121)*$AL$54</f>
        <v>27.150454676470591</v>
      </c>
    </row>
    <row r="34" spans="1:25" x14ac:dyDescent="0.25">
      <c r="A34" s="2">
        <v>107</v>
      </c>
      <c r="B34" s="2">
        <v>107</v>
      </c>
      <c r="C34" s="1" t="s">
        <v>1172</v>
      </c>
      <c r="D34" s="1" t="s">
        <v>280</v>
      </c>
      <c r="E34" s="1">
        <v>7</v>
      </c>
      <c r="F34" s="1">
        <v>10142</v>
      </c>
      <c r="G34" s="1">
        <v>118.61499999999999</v>
      </c>
      <c r="H34" s="1">
        <v>1.456</v>
      </c>
      <c r="I34" s="1">
        <v>27.279</v>
      </c>
      <c r="K34" s="3"/>
      <c r="L34" s="3"/>
      <c r="M34" s="3"/>
      <c r="N34" s="3"/>
      <c r="O34" s="3"/>
      <c r="P34" s="3"/>
      <c r="Q34" s="3"/>
    </row>
    <row r="35" spans="1:25" x14ac:dyDescent="0.25">
      <c r="A35" s="2">
        <v>108</v>
      </c>
      <c r="B35" s="2">
        <v>108</v>
      </c>
      <c r="C35" s="1" t="s">
        <v>1178</v>
      </c>
      <c r="D35" s="1" t="s">
        <v>671</v>
      </c>
      <c r="E35" s="1">
        <v>6</v>
      </c>
      <c r="F35" s="1">
        <v>12575</v>
      </c>
      <c r="G35" s="1">
        <v>140.262</v>
      </c>
      <c r="H35" s="1">
        <v>1.3480000000000001</v>
      </c>
      <c r="I35" s="1">
        <v>27.201000000000001</v>
      </c>
      <c r="K35" s="3">
        <f>AVERAGE(H35:H36)</f>
        <v>1.3805000000000001</v>
      </c>
      <c r="L35" s="3">
        <f>STDEV(H35:H36)</f>
        <v>4.5961940777125551E-2</v>
      </c>
      <c r="M35" s="3"/>
      <c r="N35" s="4">
        <f>AVERAGE(F35,F36)</f>
        <v>12129</v>
      </c>
      <c r="O35" s="3"/>
      <c r="P35" s="3">
        <f>AVERAGE(I35:I36)</f>
        <v>27.233000000000001</v>
      </c>
      <c r="Q35" s="3">
        <f>STDEV(I35:I36)</f>
        <v>4.5254833995939082E-2</v>
      </c>
      <c r="T35" s="14">
        <f>K35-(B35-$A$121)*$AA$4</f>
        <v>1.3850293823529412</v>
      </c>
      <c r="U35" s="14">
        <f>T35-(N35-$N$121)*$AA$55</f>
        <v>1.4035638764705882</v>
      </c>
      <c r="V35" s="14"/>
      <c r="W35" s="13"/>
      <c r="X35" s="14">
        <f>P35-(B35-$A$121)*$AL$5</f>
        <v>27.239277235294118</v>
      </c>
      <c r="Y35" s="14">
        <f>X35-(N35-$N$121)*$AL$54</f>
        <v>27.194871676470587</v>
      </c>
    </row>
    <row r="36" spans="1:25" x14ac:dyDescent="0.25">
      <c r="A36" s="2">
        <v>108</v>
      </c>
      <c r="B36" s="2">
        <v>108</v>
      </c>
      <c r="C36" s="1" t="s">
        <v>1178</v>
      </c>
      <c r="D36" s="1" t="s">
        <v>671</v>
      </c>
      <c r="E36" s="1">
        <v>7</v>
      </c>
      <c r="F36" s="1">
        <v>11683</v>
      </c>
      <c r="G36" s="1">
        <v>130.32400000000001</v>
      </c>
      <c r="H36" s="1">
        <v>1.413</v>
      </c>
      <c r="I36" s="1">
        <v>27.265000000000001</v>
      </c>
      <c r="K36" s="3"/>
      <c r="L36" s="3"/>
      <c r="M36" s="3"/>
      <c r="N36" s="3"/>
      <c r="O36" s="3"/>
      <c r="P36" s="3"/>
      <c r="Q36" s="3"/>
    </row>
    <row r="37" spans="1:25" x14ac:dyDescent="0.25">
      <c r="A37" s="2">
        <v>109</v>
      </c>
      <c r="B37" s="2">
        <v>109</v>
      </c>
      <c r="C37" s="1" t="s">
        <v>1183</v>
      </c>
      <c r="D37" s="1" t="s">
        <v>317</v>
      </c>
      <c r="E37" s="1">
        <v>6</v>
      </c>
      <c r="F37" s="1">
        <v>13910</v>
      </c>
      <c r="G37" s="1">
        <v>162.33799999999999</v>
      </c>
      <c r="H37" s="1">
        <v>1.383</v>
      </c>
      <c r="I37" s="1">
        <v>27.116</v>
      </c>
      <c r="K37" s="3">
        <f>AVERAGE(H37:H38)</f>
        <v>1.4125000000000001</v>
      </c>
      <c r="L37" s="3">
        <f>STDEV(H37:H38)</f>
        <v>4.171930009000626E-2</v>
      </c>
      <c r="M37" s="3"/>
      <c r="N37" s="4">
        <f>AVERAGE(F37,F38)</f>
        <v>13412.5</v>
      </c>
      <c r="O37" s="3"/>
      <c r="P37" s="3">
        <f>AVERAGE(I37:I38)</f>
        <v>27.141999999999999</v>
      </c>
      <c r="Q37" s="3">
        <f>STDEV(I37:I38)</f>
        <v>3.6769552621700188E-2</v>
      </c>
      <c r="T37" s="14">
        <f>K37-(B37-$A$121)*$AA$4</f>
        <v>1.4177523823529412</v>
      </c>
      <c r="U37" s="14">
        <f>T37-(N37-$N$121)*$AA$55</f>
        <v>1.4239652764705883</v>
      </c>
      <c r="V37" s="14"/>
      <c r="W37" s="13"/>
      <c r="X37" s="14">
        <f>P37-(B37-$A$121)*$AL$5</f>
        <v>27.149279235294117</v>
      </c>
      <c r="Y37" s="14">
        <f>X37-(N37-$N$121)*$AL$54</f>
        <v>27.134394176470586</v>
      </c>
    </row>
    <row r="38" spans="1:25" x14ac:dyDescent="0.25">
      <c r="A38" s="2">
        <v>109</v>
      </c>
      <c r="B38" s="2">
        <v>109</v>
      </c>
      <c r="C38" s="1" t="s">
        <v>1183</v>
      </c>
      <c r="D38" s="1" t="s">
        <v>317</v>
      </c>
      <c r="E38" s="1">
        <v>7</v>
      </c>
      <c r="F38" s="1">
        <v>12915</v>
      </c>
      <c r="G38" s="1">
        <v>150.142</v>
      </c>
      <c r="H38" s="1">
        <v>1.4419999999999999</v>
      </c>
      <c r="I38" s="1">
        <v>27.167999999999999</v>
      </c>
      <c r="K38" s="3"/>
      <c r="L38" s="3"/>
      <c r="M38" s="3"/>
      <c r="N38" s="3"/>
      <c r="O38" s="3"/>
      <c r="P38" s="3"/>
      <c r="Q38" s="3"/>
    </row>
    <row r="39" spans="1:25" x14ac:dyDescent="0.25">
      <c r="A39" s="2">
        <v>110</v>
      </c>
      <c r="B39" s="2">
        <v>110</v>
      </c>
      <c r="C39" s="1" t="s">
        <v>1189</v>
      </c>
      <c r="D39" s="1" t="s">
        <v>654</v>
      </c>
      <c r="E39" s="1">
        <v>6</v>
      </c>
      <c r="F39" s="1">
        <v>12839</v>
      </c>
      <c r="G39" s="1">
        <v>144.708</v>
      </c>
      <c r="H39" s="1">
        <v>1.446</v>
      </c>
      <c r="I39" s="1">
        <v>27.228999999999999</v>
      </c>
      <c r="K39" s="3">
        <f>AVERAGE(H39:H40)</f>
        <v>1.4655</v>
      </c>
      <c r="L39" s="3">
        <f>STDEV(H39:H40)</f>
        <v>2.7577164466275457E-2</v>
      </c>
      <c r="M39" s="3"/>
      <c r="N39" s="4">
        <f>AVERAGE(F39,F40)</f>
        <v>12336.5</v>
      </c>
      <c r="O39" s="3"/>
      <c r="P39" s="3">
        <f>AVERAGE(I39:I40)</f>
        <v>27.244999999999997</v>
      </c>
      <c r="Q39" s="3">
        <f>STDEV(I39:I40)</f>
        <v>2.2627416997969541E-2</v>
      </c>
      <c r="T39" s="14">
        <f>K39-(B39-$A$121)*$AA$4</f>
        <v>1.4714753823529412</v>
      </c>
      <c r="U39" s="14">
        <f>T39-(N39-$N$121)*$AA$55</f>
        <v>1.4880178764705883</v>
      </c>
      <c r="V39" s="14"/>
      <c r="W39" s="13"/>
      <c r="X39" s="14">
        <f>P39-(B39-$A$121)*$AL$5</f>
        <v>27.253281235294114</v>
      </c>
      <c r="Y39" s="14">
        <f>X39-(N39-$N$121)*$AL$54</f>
        <v>27.213648176470585</v>
      </c>
    </row>
    <row r="40" spans="1:25" x14ac:dyDescent="0.25">
      <c r="A40" s="2">
        <v>110</v>
      </c>
      <c r="B40" s="2">
        <v>110</v>
      </c>
      <c r="C40" s="1" t="s">
        <v>1189</v>
      </c>
      <c r="D40" s="1" t="s">
        <v>654</v>
      </c>
      <c r="E40" s="1">
        <v>7</v>
      </c>
      <c r="F40" s="1">
        <v>11834</v>
      </c>
      <c r="G40" s="1">
        <v>133.88300000000001</v>
      </c>
      <c r="H40" s="1">
        <v>1.4850000000000001</v>
      </c>
      <c r="I40" s="1">
        <v>27.260999999999999</v>
      </c>
      <c r="K40" s="3"/>
      <c r="L40" s="3"/>
      <c r="M40" s="3"/>
      <c r="N40" s="3"/>
      <c r="O40" s="3"/>
      <c r="P40" s="3"/>
      <c r="Q40" s="3"/>
    </row>
    <row r="41" spans="1:25" x14ac:dyDescent="0.25">
      <c r="B41" s="54"/>
      <c r="C41" s="1"/>
      <c r="D41" s="1"/>
      <c r="E41" s="1"/>
      <c r="F41" s="1"/>
      <c r="G41" s="1"/>
      <c r="H41" s="1"/>
      <c r="I41" s="1"/>
      <c r="K41" s="3"/>
      <c r="L41" s="3"/>
      <c r="M41" s="3"/>
      <c r="N41" s="4"/>
      <c r="O41" s="3"/>
      <c r="P41" s="3"/>
      <c r="Q41" s="3"/>
      <c r="T41" s="3"/>
      <c r="U41" s="3"/>
      <c r="X41" s="3"/>
      <c r="Y41" s="14"/>
    </row>
    <row r="42" spans="1:25" ht="15.75" thickBot="1" x14ac:dyDescent="0.3">
      <c r="B42" s="1"/>
      <c r="C42" s="1"/>
      <c r="D42" s="1"/>
      <c r="E42" s="1"/>
      <c r="F42" s="1"/>
      <c r="G42" s="1"/>
      <c r="H42" s="1"/>
      <c r="I42" s="1"/>
      <c r="K42" s="3"/>
      <c r="L42" s="3"/>
      <c r="M42" s="3"/>
      <c r="N42" s="4"/>
      <c r="O42" s="3"/>
      <c r="P42" s="3"/>
      <c r="Q42" s="3"/>
      <c r="T42" s="3"/>
      <c r="U42" s="3"/>
      <c r="X42" s="3"/>
      <c r="Y42" s="14"/>
    </row>
    <row r="43" spans="1:25" ht="15.75" x14ac:dyDescent="0.25">
      <c r="K43" s="3">
        <f>AVERAGE(K25:K39)</f>
        <v>1.4646250000000001</v>
      </c>
      <c r="L43" s="3"/>
      <c r="M43" s="3"/>
      <c r="N43" s="3"/>
      <c r="O43" s="2" t="s">
        <v>17</v>
      </c>
      <c r="P43" s="3">
        <f>AVERAGE(P25:P39)</f>
        <v>27.282812499999999</v>
      </c>
      <c r="Q43" s="3"/>
      <c r="S43" s="2" t="s">
        <v>17</v>
      </c>
      <c r="T43" s="3">
        <f>AVERAGE(T25:T39)</f>
        <v>1.4330043823529408</v>
      </c>
      <c r="U43" s="175">
        <f>AVERAGE(U25:U39)</f>
        <v>1.4492342764705881</v>
      </c>
      <c r="V43" s="5"/>
      <c r="W43" s="2" t="s">
        <v>17</v>
      </c>
      <c r="X43" s="3">
        <f>AVERAGE(X25:X39)</f>
        <v>27.238989735294115</v>
      </c>
      <c r="Y43" s="175">
        <f>AVERAGE(Y25:Y39)</f>
        <v>27.200105613970585</v>
      </c>
    </row>
    <row r="44" spans="1:25" ht="15.75" thickBot="1" x14ac:dyDescent="0.3">
      <c r="K44" s="3">
        <f>STDEV(K25:K39)</f>
        <v>5.4405717924287535E-2</v>
      </c>
      <c r="L44" s="3"/>
      <c r="M44" s="3"/>
      <c r="N44" s="3"/>
      <c r="O44" s="2" t="s">
        <v>18</v>
      </c>
      <c r="P44" s="3">
        <f>STDEV(P25:P39)</f>
        <v>8.6053528814502983E-2</v>
      </c>
      <c r="Q44" s="3"/>
      <c r="S44" s="2" t="s">
        <v>18</v>
      </c>
      <c r="T44" s="3">
        <f>STDEV(T25:T39)</f>
        <v>2.9969649762003281E-2</v>
      </c>
      <c r="U44" s="176">
        <f>STDEV(U25:U39)</f>
        <v>2.9242765487748072E-2</v>
      </c>
      <c r="V44" s="3"/>
      <c r="W44" s="2" t="s">
        <v>18</v>
      </c>
      <c r="X44" s="3">
        <f>STDEV(X25:X39)</f>
        <v>4.543546506231138E-2</v>
      </c>
      <c r="Y44" s="176">
        <f>STDEV(Y25:Y39)</f>
        <v>4.0632958450742593E-2</v>
      </c>
    </row>
    <row r="45" spans="1:25" x14ac:dyDescent="0.25">
      <c r="K45" s="3"/>
      <c r="L45" s="3"/>
      <c r="M45" s="3"/>
      <c r="N45" s="3"/>
      <c r="O45" s="3"/>
      <c r="P45" s="3"/>
      <c r="Q45" s="3"/>
    </row>
    <row r="46" spans="1:25" x14ac:dyDescent="0.25">
      <c r="K46" s="3"/>
      <c r="L46" s="3"/>
      <c r="M46" s="3"/>
      <c r="N46" s="3"/>
      <c r="O46" s="3"/>
      <c r="P46" s="3"/>
      <c r="Q46" s="3"/>
    </row>
    <row r="47" spans="1:25" x14ac:dyDescent="0.25">
      <c r="K47" s="3"/>
      <c r="L47" s="3"/>
      <c r="M47" s="3"/>
      <c r="N47" s="3"/>
      <c r="O47" s="3"/>
      <c r="P47" s="3"/>
      <c r="Q47" s="3"/>
    </row>
    <row r="48" spans="1:25" x14ac:dyDescent="0.25">
      <c r="K48" s="3"/>
      <c r="L48" s="3"/>
      <c r="M48" s="3"/>
      <c r="N48" s="3"/>
      <c r="O48" s="3"/>
      <c r="P48" s="3"/>
      <c r="Q48" s="3"/>
    </row>
    <row r="49" spans="1:45" s="13" customFormat="1" x14ac:dyDescent="0.25">
      <c r="A49" s="2">
        <v>10</v>
      </c>
      <c r="B49" s="2">
        <v>10</v>
      </c>
      <c r="C49" s="2" t="s">
        <v>557</v>
      </c>
      <c r="D49" s="2" t="s">
        <v>372</v>
      </c>
      <c r="E49" s="2">
        <v>6</v>
      </c>
      <c r="F49" s="2">
        <v>17381</v>
      </c>
      <c r="G49" s="2">
        <v>204.71899999999999</v>
      </c>
      <c r="H49" s="2">
        <v>3.9950000000000001</v>
      </c>
      <c r="I49" s="2">
        <v>25.23</v>
      </c>
      <c r="K49" s="14">
        <f>AVERAGE(H49:H50)</f>
        <v>3.9790000000000001</v>
      </c>
      <c r="L49" s="14">
        <f>STDEV(H49:H50)</f>
        <v>2.2627416997969541E-2</v>
      </c>
      <c r="M49" s="14"/>
      <c r="N49" s="15">
        <f>AVERAGE(F49,F50)</f>
        <v>16799.5</v>
      </c>
      <c r="O49" s="14"/>
      <c r="P49" s="14">
        <f>AVERAGE(I49:I50)</f>
        <v>25.255499999999998</v>
      </c>
      <c r="Q49" s="14">
        <f>STDEV(I49:I50)</f>
        <v>3.6062445840512776E-2</v>
      </c>
      <c r="T49" s="14">
        <f>K49-(B49-$A$121)*$AA$4</f>
        <v>3.9126753823529414</v>
      </c>
      <c r="U49" s="14">
        <f>T49-(N49-$N$121)*$AA$55</f>
        <v>3.8863730764705884</v>
      </c>
      <c r="V49" s="14"/>
      <c r="X49" s="14">
        <f>P49-(B49-$A$121)*$AL$5</f>
        <v>25.163581235294114</v>
      </c>
      <c r="Y49" s="14">
        <f>X49-(N49-$N$121)*$AL$54</f>
        <v>25.226597176470584</v>
      </c>
    </row>
    <row r="50" spans="1:45" s="13" customFormat="1" x14ac:dyDescent="0.25">
      <c r="A50" s="2">
        <v>10</v>
      </c>
      <c r="B50" s="2">
        <v>10</v>
      </c>
      <c r="C50" s="2" t="s">
        <v>557</v>
      </c>
      <c r="D50" s="2" t="s">
        <v>372</v>
      </c>
      <c r="E50" s="2">
        <v>7</v>
      </c>
      <c r="F50" s="2">
        <v>16218</v>
      </c>
      <c r="G50" s="2">
        <v>192.9</v>
      </c>
      <c r="H50" s="2">
        <v>3.9630000000000001</v>
      </c>
      <c r="I50" s="2">
        <v>25.280999999999999</v>
      </c>
      <c r="K50" s="14"/>
      <c r="L50" s="14"/>
      <c r="M50" s="14"/>
      <c r="N50" s="15"/>
      <c r="O50" s="14"/>
      <c r="P50" s="14"/>
      <c r="Q50" s="14"/>
      <c r="T50" s="14"/>
      <c r="U50" s="14"/>
      <c r="V50" s="14"/>
      <c r="X50" s="14"/>
      <c r="Y50" s="14"/>
    </row>
    <row r="51" spans="1:45" s="17" customFormat="1" x14ac:dyDescent="0.25">
      <c r="A51" s="2">
        <v>11</v>
      </c>
      <c r="B51" s="2">
        <v>11</v>
      </c>
      <c r="C51" s="2" t="s">
        <v>562</v>
      </c>
      <c r="D51" s="2" t="s">
        <v>389</v>
      </c>
      <c r="E51" s="2">
        <v>6</v>
      </c>
      <c r="F51" s="2">
        <v>13560</v>
      </c>
      <c r="G51" s="2">
        <v>168.17400000000001</v>
      </c>
      <c r="H51" s="2">
        <v>3.968</v>
      </c>
      <c r="I51" s="2">
        <v>25.234000000000002</v>
      </c>
      <c r="J51" s="13"/>
      <c r="K51" s="14">
        <f>AVERAGE(H51:H52)</f>
        <v>3.9855</v>
      </c>
      <c r="L51" s="14">
        <f>STDEV(H51:H52)</f>
        <v>2.4748737341529263E-2</v>
      </c>
      <c r="M51" s="14"/>
      <c r="N51" s="15">
        <f>AVERAGE(F51,F52)</f>
        <v>13105.5</v>
      </c>
      <c r="O51" s="14"/>
      <c r="P51" s="14">
        <f>AVERAGE(I51:I52)</f>
        <v>25.2575</v>
      </c>
      <c r="Q51" s="14">
        <f>STDEV(I51:I52)</f>
        <v>3.3234018715765645E-2</v>
      </c>
      <c r="R51" s="13"/>
      <c r="S51" s="13"/>
      <c r="T51" s="14">
        <f>K51-(B51-$A$121)*$AA$4</f>
        <v>3.9198983823529412</v>
      </c>
      <c r="U51" s="14">
        <f>T51-(N51-$N$121)*$AA$55</f>
        <v>3.9290584764705883</v>
      </c>
      <c r="V51" s="14"/>
      <c r="W51" s="13"/>
      <c r="X51" s="14">
        <f>P51-(B51-$A$121)*$AL$5</f>
        <v>25.166583235294119</v>
      </c>
      <c r="Y51" s="14">
        <f>X51-(N51-$N$121)*$AL$54</f>
        <v>25.144637176470589</v>
      </c>
    </row>
    <row r="52" spans="1:45" s="17" customFormat="1" x14ac:dyDescent="0.25">
      <c r="A52" s="2">
        <v>11</v>
      </c>
      <c r="B52" s="2">
        <v>11</v>
      </c>
      <c r="C52" s="2" t="s">
        <v>562</v>
      </c>
      <c r="D52" s="2" t="s">
        <v>389</v>
      </c>
      <c r="E52" s="2">
        <v>7</v>
      </c>
      <c r="F52" s="2">
        <v>12651</v>
      </c>
      <c r="G52" s="2">
        <v>156.36500000000001</v>
      </c>
      <c r="H52" s="2">
        <v>4.0030000000000001</v>
      </c>
      <c r="I52" s="2">
        <v>25.280999999999999</v>
      </c>
      <c r="J52" s="13"/>
      <c r="K52" s="14"/>
      <c r="L52" s="14"/>
      <c r="M52" s="14"/>
      <c r="N52" s="15"/>
      <c r="O52" s="14"/>
      <c r="P52" s="14"/>
      <c r="Q52" s="14"/>
      <c r="R52" s="13"/>
      <c r="S52" s="13"/>
      <c r="T52" s="14"/>
      <c r="U52" s="14"/>
      <c r="V52" s="14"/>
      <c r="W52" s="13"/>
      <c r="X52" s="14"/>
      <c r="Y52" s="14"/>
    </row>
    <row r="53" spans="1:45" s="13" customFormat="1" x14ac:dyDescent="0.25">
      <c r="A53" s="2">
        <v>12</v>
      </c>
      <c r="B53" s="2">
        <v>12</v>
      </c>
      <c r="C53" s="2" t="s">
        <v>569</v>
      </c>
      <c r="D53" s="2" t="s">
        <v>340</v>
      </c>
      <c r="E53" s="2">
        <v>6</v>
      </c>
      <c r="F53" s="2">
        <v>13750</v>
      </c>
      <c r="G53" s="2">
        <v>166.66800000000001</v>
      </c>
      <c r="H53" s="2">
        <v>3.9860000000000002</v>
      </c>
      <c r="I53" s="2">
        <v>25.228000000000002</v>
      </c>
      <c r="K53" s="14">
        <f>AVERAGE(H53:H54)</f>
        <v>4.0065</v>
      </c>
      <c r="L53" s="14">
        <f>STDEV(H53:H54)</f>
        <v>2.8991378028648394E-2</v>
      </c>
      <c r="M53" s="14"/>
      <c r="N53" s="15">
        <f>AVERAGE(F53,F54)</f>
        <v>13249</v>
      </c>
      <c r="O53" s="14"/>
      <c r="P53" s="14">
        <f>AVERAGE(I53:I54)</f>
        <v>25.257000000000001</v>
      </c>
      <c r="Q53" s="14">
        <f>STDEV(I53:I54)</f>
        <v>4.1012193308819639E-2</v>
      </c>
      <c r="T53" s="14">
        <f>K53-(B53-$A$121)*$AA$4</f>
        <v>3.9416213823529409</v>
      </c>
      <c r="U53" s="14">
        <f>T53-(N53-$N$121)*$AA$55</f>
        <v>3.9494038764705879</v>
      </c>
      <c r="V53" s="14"/>
      <c r="X53" s="14">
        <f>P53-(B53-$A$121)*$AL$5</f>
        <v>25.16708523529412</v>
      </c>
      <c r="Y53" s="14">
        <f>X53-(N53-$N$121)*$AL$54</f>
        <v>25.148439676470591</v>
      </c>
      <c r="AL53" s="13" t="s">
        <v>1657</v>
      </c>
    </row>
    <row r="54" spans="1:45" s="13" customFormat="1" x14ac:dyDescent="0.25">
      <c r="A54" s="2">
        <v>12</v>
      </c>
      <c r="B54" s="2">
        <v>12</v>
      </c>
      <c r="C54" s="2" t="s">
        <v>569</v>
      </c>
      <c r="D54" s="2" t="s">
        <v>340</v>
      </c>
      <c r="E54" s="2">
        <v>7</v>
      </c>
      <c r="F54" s="2">
        <v>12748</v>
      </c>
      <c r="G54" s="2">
        <v>154.93</v>
      </c>
      <c r="H54" s="2">
        <v>4.0270000000000001</v>
      </c>
      <c r="I54" s="2">
        <v>25.286000000000001</v>
      </c>
      <c r="K54" s="14"/>
      <c r="L54" s="14"/>
      <c r="M54" s="14"/>
      <c r="N54" s="15"/>
      <c r="O54" s="14"/>
      <c r="P54" s="14"/>
      <c r="Q54" s="14"/>
      <c r="T54" s="14"/>
      <c r="U54" s="14"/>
      <c r="V54" s="14"/>
      <c r="X54" s="14"/>
      <c r="Y54" s="14"/>
      <c r="AA54" s="13" t="s">
        <v>1655</v>
      </c>
      <c r="AL54" s="13">
        <v>-2.3E-5</v>
      </c>
    </row>
    <row r="55" spans="1:45" s="13" customFormat="1" x14ac:dyDescent="0.25">
      <c r="A55" s="2">
        <v>23</v>
      </c>
      <c r="B55" s="2">
        <v>23</v>
      </c>
      <c r="C55" s="2" t="s">
        <v>646</v>
      </c>
      <c r="D55" s="2" t="s">
        <v>444</v>
      </c>
      <c r="E55" s="2">
        <v>6</v>
      </c>
      <c r="F55" s="2">
        <v>15608</v>
      </c>
      <c r="G55" s="2">
        <v>188.458</v>
      </c>
      <c r="H55" s="2">
        <v>3.9849999999999999</v>
      </c>
      <c r="I55" s="2">
        <v>25.207000000000001</v>
      </c>
      <c r="K55" s="14">
        <f>AVERAGE(H55:H56)</f>
        <v>4.0184999999999995</v>
      </c>
      <c r="L55" s="14">
        <f>STDEV(H55:H56)</f>
        <v>4.7376154339498489E-2</v>
      </c>
      <c r="M55" s="14"/>
      <c r="N55" s="15">
        <f>AVERAGE(F55,F56)</f>
        <v>15026</v>
      </c>
      <c r="O55" s="14"/>
      <c r="P55" s="14">
        <f>AVERAGE(I55:I56)</f>
        <v>25.2255</v>
      </c>
      <c r="Q55" s="14">
        <f>STDEV(I55:I56)</f>
        <v>2.6162950903901576E-2</v>
      </c>
      <c r="T55" s="14">
        <f>K55-(B55-$A$121)*$AA$4</f>
        <v>3.9615743823529406</v>
      </c>
      <c r="U55" s="14">
        <f>T55-(N55-$N$121)*$AA$55</f>
        <v>3.9522976764705877</v>
      </c>
      <c r="V55" s="14"/>
      <c r="X55" s="14">
        <f>P55-(B55-$A$121)*$AL$5</f>
        <v>25.14660723529412</v>
      </c>
      <c r="Y55" s="14">
        <f>X55-(N55-$N$121)*$AL$54</f>
        <v>25.16883267647059</v>
      </c>
      <c r="AA55" s="13">
        <v>9.5999999999999996E-6</v>
      </c>
    </row>
    <row r="56" spans="1:45" s="13" customFormat="1" x14ac:dyDescent="0.25">
      <c r="A56" s="2">
        <v>23</v>
      </c>
      <c r="B56" s="2">
        <v>23</v>
      </c>
      <c r="C56" s="2" t="s">
        <v>646</v>
      </c>
      <c r="D56" s="2" t="s">
        <v>444</v>
      </c>
      <c r="E56" s="2">
        <v>7</v>
      </c>
      <c r="F56" s="2">
        <v>14444</v>
      </c>
      <c r="G56" s="2">
        <v>175.05699999999999</v>
      </c>
      <c r="H56" s="2">
        <v>4.0519999999999996</v>
      </c>
      <c r="I56" s="2">
        <v>25.244</v>
      </c>
      <c r="K56" s="14"/>
      <c r="L56" s="14"/>
      <c r="M56" s="14"/>
      <c r="N56" s="15"/>
      <c r="O56" s="14"/>
      <c r="P56" s="14"/>
      <c r="Q56" s="14"/>
      <c r="T56" s="14"/>
      <c r="U56" s="14"/>
      <c r="V56" s="14"/>
      <c r="X56" s="14"/>
      <c r="Y56" s="14"/>
    </row>
    <row r="57" spans="1:45" s="13" customFormat="1" x14ac:dyDescent="0.25">
      <c r="A57" s="2">
        <v>24</v>
      </c>
      <c r="B57" s="2">
        <v>24</v>
      </c>
      <c r="C57" s="2" t="s">
        <v>653</v>
      </c>
      <c r="D57" s="2" t="s">
        <v>654</v>
      </c>
      <c r="E57" s="2">
        <v>6</v>
      </c>
      <c r="F57" s="2">
        <v>16859</v>
      </c>
      <c r="G57" s="2">
        <v>206.78200000000001</v>
      </c>
      <c r="H57" s="2">
        <v>4.0049999999999999</v>
      </c>
      <c r="I57" s="2">
        <v>25.263999999999999</v>
      </c>
      <c r="K57" s="14">
        <f>AVERAGE(H57:H58)</f>
        <v>4.0220000000000002</v>
      </c>
      <c r="L57" s="14">
        <f>STDEV(H57:H58)</f>
        <v>2.4041630560342479E-2</v>
      </c>
      <c r="M57" s="14"/>
      <c r="N57" s="15">
        <f>AVERAGE(F57,F58)</f>
        <v>16330.5</v>
      </c>
      <c r="O57" s="14"/>
      <c r="P57" s="14">
        <f>AVERAGE(I57:I58)</f>
        <v>25.2745</v>
      </c>
      <c r="Q57" s="14">
        <f>STDEV(I57:I58)</f>
        <v>1.4849242404918061E-2</v>
      </c>
      <c r="T57" s="14">
        <f>K57-(B57-$A$121)*$AA$4</f>
        <v>3.9657973823529415</v>
      </c>
      <c r="U57" s="14">
        <f>T57-(N57-$N$121)*$AA$55</f>
        <v>3.9439974764705887</v>
      </c>
      <c r="V57" s="14"/>
      <c r="X57" s="14">
        <f>P57-(B57-$A$121)*$AL$5</f>
        <v>25.196609235294119</v>
      </c>
      <c r="Y57" s="14">
        <f>X57-(N57-$N$121)*$AL$54</f>
        <v>25.248838176470588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</row>
    <row r="58" spans="1:45" s="13" customFormat="1" x14ac:dyDescent="0.25">
      <c r="A58" s="2">
        <v>24</v>
      </c>
      <c r="B58" s="2">
        <v>24</v>
      </c>
      <c r="C58" s="2" t="s">
        <v>653</v>
      </c>
      <c r="D58" s="2" t="s">
        <v>654</v>
      </c>
      <c r="E58" s="2">
        <v>7</v>
      </c>
      <c r="F58" s="2">
        <v>15802</v>
      </c>
      <c r="G58" s="2">
        <v>192.35400000000001</v>
      </c>
      <c r="H58" s="2">
        <v>4.0389999999999997</v>
      </c>
      <c r="I58" s="2">
        <v>25.285</v>
      </c>
      <c r="K58" s="14"/>
      <c r="L58" s="14"/>
      <c r="M58" s="14"/>
      <c r="N58" s="15"/>
      <c r="O58" s="14"/>
      <c r="P58" s="14"/>
      <c r="Q58" s="14"/>
      <c r="T58" s="14"/>
      <c r="U58" s="14"/>
      <c r="V58" s="14"/>
      <c r="X58" s="14"/>
      <c r="Y58" s="14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</row>
    <row r="59" spans="1:45" s="13" customFormat="1" x14ac:dyDescent="0.25">
      <c r="A59" s="2">
        <v>35</v>
      </c>
      <c r="B59" s="2">
        <v>35</v>
      </c>
      <c r="C59" s="2" t="s">
        <v>721</v>
      </c>
      <c r="D59" s="2" t="s">
        <v>722</v>
      </c>
      <c r="E59" s="2">
        <v>6</v>
      </c>
      <c r="F59" s="2">
        <v>15784</v>
      </c>
      <c r="G59" s="2">
        <v>194.42400000000001</v>
      </c>
      <c r="H59" s="2">
        <v>4.01</v>
      </c>
      <c r="I59" s="2">
        <v>25.12</v>
      </c>
      <c r="K59" s="14">
        <f>AVERAGE(H59:H60)</f>
        <v>4.0255000000000001</v>
      </c>
      <c r="L59" s="14">
        <f>STDEV(H59:H60)</f>
        <v>2.1920310216783385E-2</v>
      </c>
      <c r="M59" s="14"/>
      <c r="N59" s="15">
        <f>AVERAGE(F59,F60)</f>
        <v>15250.5</v>
      </c>
      <c r="O59" s="14"/>
      <c r="P59" s="14">
        <f>AVERAGE(I59:I60)</f>
        <v>25.1645</v>
      </c>
      <c r="Q59" s="14">
        <f>STDEV(I59:I60)</f>
        <v>6.2932503525601757E-2</v>
      </c>
      <c r="T59" s="14">
        <f>K59-(B59-$A$121)*$AA$4</f>
        <v>3.977250382352941</v>
      </c>
      <c r="U59" s="14">
        <f>T59-(N59-$N$121)*$AA$55</f>
        <v>3.9658184764705879</v>
      </c>
      <c r="V59" s="14"/>
      <c r="X59" s="14">
        <f>P59-(B59-$A$121)*$AL$5</f>
        <v>25.097631235294116</v>
      </c>
      <c r="Y59" s="14">
        <f>X59-(N59-$N$121)*$AL$54</f>
        <v>25.125020176470588</v>
      </c>
    </row>
    <row r="60" spans="1:45" s="13" customFormat="1" x14ac:dyDescent="0.25">
      <c r="A60" s="2">
        <v>35</v>
      </c>
      <c r="B60" s="2">
        <v>35</v>
      </c>
      <c r="C60" s="2" t="s">
        <v>721</v>
      </c>
      <c r="D60" s="2" t="s">
        <v>722</v>
      </c>
      <c r="E60" s="2">
        <v>7</v>
      </c>
      <c r="F60" s="2">
        <v>14717</v>
      </c>
      <c r="G60" s="2">
        <v>180.59399999999999</v>
      </c>
      <c r="H60" s="2">
        <v>4.0410000000000004</v>
      </c>
      <c r="I60" s="2">
        <v>25.209</v>
      </c>
      <c r="K60" s="14"/>
      <c r="L60" s="14"/>
      <c r="M60" s="14"/>
      <c r="N60" s="15"/>
      <c r="O60" s="14"/>
      <c r="P60" s="14"/>
      <c r="Q60" s="14"/>
      <c r="T60" s="14"/>
      <c r="U60" s="14"/>
      <c r="V60" s="14"/>
      <c r="X60" s="14"/>
      <c r="Y60" s="14"/>
    </row>
    <row r="61" spans="1:45" s="13" customFormat="1" x14ac:dyDescent="0.25">
      <c r="A61" s="2">
        <v>36</v>
      </c>
      <c r="B61" s="2">
        <v>36</v>
      </c>
      <c r="C61" s="2" t="s">
        <v>731</v>
      </c>
      <c r="D61" s="2" t="s">
        <v>732</v>
      </c>
      <c r="E61" s="2">
        <v>6</v>
      </c>
      <c r="F61" s="2">
        <v>18112</v>
      </c>
      <c r="G61" s="2">
        <v>219.363</v>
      </c>
      <c r="H61" s="2">
        <v>3.9860000000000002</v>
      </c>
      <c r="I61" s="2">
        <v>25.18</v>
      </c>
      <c r="K61" s="14">
        <f>AVERAGE(H61:H62)</f>
        <v>4.0140000000000002</v>
      </c>
      <c r="L61" s="14">
        <f>STDEV(H61:H62)</f>
        <v>3.9597979746446382E-2</v>
      </c>
      <c r="M61" s="14"/>
      <c r="N61" s="15">
        <f>AVERAGE(F61,F62)</f>
        <v>17431</v>
      </c>
      <c r="O61" s="14"/>
      <c r="P61" s="14">
        <f>AVERAGE(I61:I62)</f>
        <v>25.216000000000001</v>
      </c>
      <c r="Q61" s="14">
        <f>STDEV(I61:I62)</f>
        <v>5.0911688245430839E-2</v>
      </c>
      <c r="T61" s="14">
        <f>K61-(B61-$A$121)*$AA$4</f>
        <v>3.9664733823529414</v>
      </c>
      <c r="U61" s="14">
        <f>T61-(N61-$N$121)*$AA$55</f>
        <v>3.9341086764705886</v>
      </c>
      <c r="V61" s="14"/>
      <c r="X61" s="14">
        <f>P61-(B61-$A$121)*$AL$5</f>
        <v>25.15013323529412</v>
      </c>
      <c r="Y61" s="14">
        <f>X61-(N61-$N$121)*$AL$54</f>
        <v>25.227673676470591</v>
      </c>
    </row>
    <row r="62" spans="1:45" s="13" customFormat="1" x14ac:dyDescent="0.25">
      <c r="A62" s="2">
        <v>36</v>
      </c>
      <c r="B62" s="2">
        <v>36</v>
      </c>
      <c r="C62" s="2" t="s">
        <v>731</v>
      </c>
      <c r="D62" s="2" t="s">
        <v>732</v>
      </c>
      <c r="E62" s="2">
        <v>7</v>
      </c>
      <c r="F62" s="2">
        <v>16750</v>
      </c>
      <c r="G62" s="2">
        <v>203.67</v>
      </c>
      <c r="H62" s="2">
        <v>4.0419999999999998</v>
      </c>
      <c r="I62" s="2">
        <v>25.251999999999999</v>
      </c>
      <c r="K62" s="14"/>
      <c r="L62" s="14"/>
      <c r="M62" s="14"/>
      <c r="N62" s="15"/>
      <c r="O62" s="14"/>
      <c r="P62" s="14"/>
      <c r="Q62" s="14"/>
      <c r="T62" s="14"/>
      <c r="U62" s="14"/>
      <c r="V62" s="14"/>
      <c r="X62" s="14"/>
      <c r="Y62" s="14"/>
    </row>
    <row r="63" spans="1:45" s="13" customFormat="1" x14ac:dyDescent="0.25">
      <c r="A63" s="2">
        <v>47</v>
      </c>
      <c r="B63" s="2">
        <v>47</v>
      </c>
      <c r="C63" s="2" t="s">
        <v>809</v>
      </c>
      <c r="D63" s="2" t="s">
        <v>678</v>
      </c>
      <c r="E63" s="2">
        <v>6</v>
      </c>
      <c r="F63" s="2">
        <v>17557</v>
      </c>
      <c r="G63" s="2">
        <v>217.36699999999999</v>
      </c>
      <c r="H63" s="2">
        <v>4.0549999999999997</v>
      </c>
      <c r="I63" s="2">
        <v>25.09</v>
      </c>
      <c r="K63" s="14">
        <f>AVERAGE(H63:H64)</f>
        <v>4.0614999999999997</v>
      </c>
      <c r="L63" s="14">
        <f>STDEV(H63:H64)</f>
        <v>9.1923881554250471E-3</v>
      </c>
      <c r="M63" s="14"/>
      <c r="N63" s="15">
        <f>AVERAGE(F63,F64)</f>
        <v>16965</v>
      </c>
      <c r="O63" s="14"/>
      <c r="P63" s="14">
        <f>AVERAGE(I63:I64)</f>
        <v>25.094000000000001</v>
      </c>
      <c r="Q63" s="14">
        <f>STDEV(I63:I64)</f>
        <v>5.6568542494917573E-3</v>
      </c>
      <c r="T63" s="14">
        <f>K63-(B63-$A$121)*$AA$4</f>
        <v>4.021926382352941</v>
      </c>
      <c r="U63" s="14">
        <f>T63-(N63-$N$121)*$AA$55</f>
        <v>3.994035276470588</v>
      </c>
      <c r="V63" s="14"/>
      <c r="X63" s="14">
        <f>P63-(B63-$A$121)*$AL$5</f>
        <v>25.039155235294118</v>
      </c>
      <c r="Y63" s="14">
        <f>X63-(N63-$N$121)*$AL$54</f>
        <v>25.105977676470587</v>
      </c>
    </row>
    <row r="64" spans="1:45" s="13" customFormat="1" x14ac:dyDescent="0.25">
      <c r="A64" s="2">
        <v>47</v>
      </c>
      <c r="B64" s="2">
        <v>47</v>
      </c>
      <c r="C64" s="2" t="s">
        <v>809</v>
      </c>
      <c r="D64" s="2" t="s">
        <v>678</v>
      </c>
      <c r="E64" s="2">
        <v>7</v>
      </c>
      <c r="F64" s="2">
        <v>16373</v>
      </c>
      <c r="G64" s="2">
        <v>202.316</v>
      </c>
      <c r="H64" s="2">
        <v>4.0679999999999996</v>
      </c>
      <c r="I64" s="2">
        <v>25.097999999999999</v>
      </c>
      <c r="K64" s="14"/>
      <c r="L64" s="14"/>
      <c r="M64" s="14"/>
      <c r="N64" s="15"/>
      <c r="O64" s="14"/>
      <c r="P64" s="14"/>
      <c r="Q64" s="14"/>
      <c r="T64" s="14"/>
      <c r="U64" s="14"/>
      <c r="V64" s="14"/>
      <c r="X64" s="14"/>
      <c r="Y64" s="14"/>
    </row>
    <row r="65" spans="1:45" s="13" customFormat="1" x14ac:dyDescent="0.25">
      <c r="A65" s="2">
        <v>48</v>
      </c>
      <c r="B65" s="2">
        <v>48</v>
      </c>
      <c r="C65" s="2" t="s">
        <v>817</v>
      </c>
      <c r="D65" s="2" t="s">
        <v>278</v>
      </c>
      <c r="E65" s="2">
        <v>6</v>
      </c>
      <c r="F65" s="2">
        <v>12102</v>
      </c>
      <c r="G65" s="2">
        <v>144.43600000000001</v>
      </c>
      <c r="H65" s="2">
        <v>3.9460000000000002</v>
      </c>
      <c r="I65" s="2">
        <v>25.338999999999999</v>
      </c>
      <c r="K65" s="14">
        <f>AVERAGE(H65:H66)</f>
        <v>3.9729999999999999</v>
      </c>
      <c r="L65" s="14">
        <f>STDEV(H65:H66)</f>
        <v>3.8183766184073445E-2</v>
      </c>
      <c r="M65" s="14"/>
      <c r="N65" s="15">
        <f>AVERAGE(F65,F66)</f>
        <v>11773</v>
      </c>
      <c r="O65" s="14"/>
      <c r="P65" s="14">
        <f>AVERAGE(I65:I66)</f>
        <v>25.335000000000001</v>
      </c>
      <c r="Q65" s="14">
        <f>STDEV(I65:I66)</f>
        <v>5.6568542494917573E-3</v>
      </c>
      <c r="T65" s="14">
        <f>K65-(B65-$A$121)*$AA$4</f>
        <v>3.934149382352941</v>
      </c>
      <c r="U65" s="14">
        <f>T65-(N65-$N$121)*$AA$55</f>
        <v>3.9561014764705882</v>
      </c>
      <c r="V65" s="14"/>
      <c r="X65" s="14">
        <f>P65-(B65-$A$121)*$AL$5</f>
        <v>25.281157235294117</v>
      </c>
      <c r="Y65" s="14">
        <f>X65-(N65-$N$121)*$AL$54</f>
        <v>25.228563676470589</v>
      </c>
    </row>
    <row r="66" spans="1:45" s="13" customFormat="1" x14ac:dyDescent="0.25">
      <c r="A66" s="2">
        <v>48</v>
      </c>
      <c r="B66" s="2">
        <v>48</v>
      </c>
      <c r="C66" s="2" t="s">
        <v>817</v>
      </c>
      <c r="D66" s="2" t="s">
        <v>278</v>
      </c>
      <c r="E66" s="2">
        <v>7</v>
      </c>
      <c r="F66" s="2">
        <v>11444</v>
      </c>
      <c r="G66" s="2">
        <v>135.602</v>
      </c>
      <c r="H66" s="2">
        <v>4</v>
      </c>
      <c r="I66" s="2">
        <v>25.331</v>
      </c>
      <c r="K66" s="14"/>
      <c r="L66" s="14"/>
      <c r="M66" s="14"/>
      <c r="N66" s="15"/>
      <c r="O66" s="14"/>
      <c r="P66" s="14"/>
      <c r="Q66" s="14"/>
      <c r="T66" s="14"/>
      <c r="U66" s="14"/>
      <c r="V66" s="14"/>
      <c r="X66" s="14"/>
      <c r="Y66" s="14"/>
    </row>
    <row r="67" spans="1:45" s="13" customFormat="1" x14ac:dyDescent="0.25">
      <c r="A67" s="2">
        <v>59</v>
      </c>
      <c r="B67" s="2">
        <v>59</v>
      </c>
      <c r="C67" s="2" t="s">
        <v>894</v>
      </c>
      <c r="D67" s="2" t="s">
        <v>433</v>
      </c>
      <c r="E67" s="2">
        <v>6</v>
      </c>
      <c r="F67" s="2">
        <v>17682</v>
      </c>
      <c r="G67" s="2">
        <v>208.30099999999999</v>
      </c>
      <c r="H67" s="2">
        <v>4.0129999999999999</v>
      </c>
      <c r="I67" s="2">
        <v>25.263999999999999</v>
      </c>
      <c r="K67" s="14">
        <f>AVERAGE(H67:H68)</f>
        <v>4.0365000000000002</v>
      </c>
      <c r="L67" s="14">
        <f>STDEV(H67:H68)</f>
        <v>3.3234018715767526E-2</v>
      </c>
      <c r="M67" s="14"/>
      <c r="N67" s="15">
        <f>AVERAGE(F67,F68)</f>
        <v>17077.5</v>
      </c>
      <c r="O67" s="14"/>
      <c r="P67" s="14">
        <f>AVERAGE(I67:I68)</f>
        <v>25.262999999999998</v>
      </c>
      <c r="Q67" s="14">
        <f>STDEV(I67:I68)</f>
        <v>1.4142135623723114E-3</v>
      </c>
      <c r="T67" s="14">
        <f>K67-(B67-$A$121)*$AA$4</f>
        <v>4.005602382352941</v>
      </c>
      <c r="U67" s="14">
        <f>T67-(N67-$N$121)*$AA$55</f>
        <v>3.976631276470588</v>
      </c>
      <c r="V67" s="14"/>
      <c r="X67" s="14">
        <f>P67-(B67-$A$121)*$AL$5</f>
        <v>25.220179235294115</v>
      </c>
      <c r="Y67" s="14">
        <f>X67-(N67-$N$121)*$AL$54</f>
        <v>25.289589176470585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</row>
    <row r="68" spans="1:45" s="13" customFormat="1" x14ac:dyDescent="0.25">
      <c r="A68" s="2">
        <v>59</v>
      </c>
      <c r="B68" s="2">
        <v>59</v>
      </c>
      <c r="C68" s="2" t="s">
        <v>894</v>
      </c>
      <c r="D68" s="2" t="s">
        <v>433</v>
      </c>
      <c r="E68" s="2">
        <v>7</v>
      </c>
      <c r="F68" s="2">
        <v>16473</v>
      </c>
      <c r="G68" s="2">
        <v>194.422</v>
      </c>
      <c r="H68" s="2">
        <v>4.0599999999999996</v>
      </c>
      <c r="I68" s="2">
        <v>25.262</v>
      </c>
      <c r="K68" s="14"/>
      <c r="L68" s="14"/>
      <c r="M68" s="14"/>
      <c r="N68" s="15"/>
      <c r="O68" s="14"/>
      <c r="P68" s="14"/>
      <c r="Q68" s="14"/>
      <c r="T68" s="14"/>
      <c r="U68" s="14"/>
      <c r="V68" s="14"/>
      <c r="X68" s="14"/>
      <c r="Y68" s="14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</row>
    <row r="69" spans="1:45" s="13" customFormat="1" x14ac:dyDescent="0.25">
      <c r="A69" s="2">
        <v>60</v>
      </c>
      <c r="B69" s="2">
        <v>60</v>
      </c>
      <c r="C69" s="2" t="s">
        <v>899</v>
      </c>
      <c r="D69" s="2" t="s">
        <v>220</v>
      </c>
      <c r="E69" s="2">
        <v>6</v>
      </c>
      <c r="F69" s="2">
        <v>12296</v>
      </c>
      <c r="G69" s="2">
        <v>152.47200000000001</v>
      </c>
      <c r="H69" s="2">
        <v>3.9780000000000002</v>
      </c>
      <c r="I69" s="2">
        <v>25.282</v>
      </c>
      <c r="K69" s="14">
        <f>AVERAGE(H69:H70)</f>
        <v>4.0004999999999997</v>
      </c>
      <c r="L69" s="14">
        <f>STDEV(H69:H70)</f>
        <v>3.1819805153394276E-2</v>
      </c>
      <c r="M69" s="14"/>
      <c r="N69" s="15">
        <f>AVERAGE(F69,F70)</f>
        <v>11894.5</v>
      </c>
      <c r="O69" s="14"/>
      <c r="P69" s="14">
        <f>AVERAGE(I69:I70)</f>
        <v>25.294499999999999</v>
      </c>
      <c r="Q69" s="14">
        <f>STDEV(I69:I70)</f>
        <v>1.7677669529662685E-2</v>
      </c>
      <c r="T69" s="14">
        <f>K69-(B69-$A$121)*$AA$4</f>
        <v>3.9703253823529407</v>
      </c>
      <c r="U69" s="14">
        <f>T69-(N69-$N$121)*$AA$55</f>
        <v>3.9911110764705877</v>
      </c>
      <c r="V69" s="14"/>
      <c r="X69" s="14">
        <f>P69-(B69-$A$121)*$AL$5</f>
        <v>25.252681235294116</v>
      </c>
      <c r="Y69" s="14">
        <f>X69-(N69-$N$121)*$AL$54</f>
        <v>25.202882176470585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</row>
    <row r="70" spans="1:45" s="13" customFormat="1" x14ac:dyDescent="0.25">
      <c r="A70" s="2">
        <v>60</v>
      </c>
      <c r="B70" s="2">
        <v>60</v>
      </c>
      <c r="C70" s="2" t="s">
        <v>899</v>
      </c>
      <c r="D70" s="2" t="s">
        <v>220</v>
      </c>
      <c r="E70" s="2">
        <v>7</v>
      </c>
      <c r="F70" s="2">
        <v>11493</v>
      </c>
      <c r="G70" s="2">
        <v>141.96100000000001</v>
      </c>
      <c r="H70" s="2">
        <v>4.0229999999999997</v>
      </c>
      <c r="I70" s="2">
        <v>25.306999999999999</v>
      </c>
      <c r="K70" s="14"/>
      <c r="L70" s="14"/>
      <c r="M70" s="14"/>
      <c r="N70" s="15"/>
      <c r="O70" s="14"/>
      <c r="P70" s="14"/>
      <c r="Q70" s="14"/>
      <c r="T70" s="14"/>
      <c r="U70" s="14"/>
      <c r="V70" s="14"/>
      <c r="X70" s="14"/>
      <c r="Y70" s="14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</row>
    <row r="71" spans="1:45" s="13" customFormat="1" x14ac:dyDescent="0.25">
      <c r="A71" s="2">
        <v>71</v>
      </c>
      <c r="B71" s="2">
        <v>71</v>
      </c>
      <c r="C71" s="2" t="s">
        <v>970</v>
      </c>
      <c r="D71" s="2" t="s">
        <v>414</v>
      </c>
      <c r="E71" s="2">
        <v>6</v>
      </c>
      <c r="F71" s="2">
        <v>19159</v>
      </c>
      <c r="G71" s="2">
        <v>234.69300000000001</v>
      </c>
      <c r="H71" s="2">
        <v>4.0419999999999998</v>
      </c>
      <c r="I71" s="2">
        <v>25.186</v>
      </c>
      <c r="K71" s="14">
        <f>AVERAGE(H71:H72)</f>
        <v>4.0489999999999995</v>
      </c>
      <c r="L71" s="14">
        <f>STDEV(H71:H72)</f>
        <v>9.8994949366118315E-3</v>
      </c>
      <c r="M71" s="14"/>
      <c r="N71" s="15">
        <f>AVERAGE(F71,F72)</f>
        <v>18574</v>
      </c>
      <c r="O71" s="14"/>
      <c r="P71" s="14">
        <f>AVERAGE(I71:I72)</f>
        <v>25.206499999999998</v>
      </c>
      <c r="Q71" s="14">
        <f>STDEV(I71:I72)</f>
        <v>2.8991378028648707E-2</v>
      </c>
      <c r="T71" s="14">
        <f>K71-(B71-$A$121)*$AA$4</f>
        <v>4.0267783823529406</v>
      </c>
      <c r="U71" s="14">
        <f>T71-(N71-$N$121)*$AA$55</f>
        <v>3.9834408764705875</v>
      </c>
      <c r="V71" s="14"/>
      <c r="X71" s="14">
        <f>P71-(B71-$A$121)*$AL$5</f>
        <v>25.175703235294115</v>
      </c>
      <c r="Y71" s="14">
        <f>X71-(N71-$N$121)*$AL$54</f>
        <v>25.279532676470584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</row>
    <row r="72" spans="1:45" s="13" customFormat="1" x14ac:dyDescent="0.25">
      <c r="A72" s="2">
        <v>71</v>
      </c>
      <c r="B72" s="2">
        <v>71</v>
      </c>
      <c r="C72" s="2" t="s">
        <v>970</v>
      </c>
      <c r="D72" s="2" t="s">
        <v>414</v>
      </c>
      <c r="E72" s="2">
        <v>7</v>
      </c>
      <c r="F72" s="2">
        <v>17989</v>
      </c>
      <c r="G72" s="2">
        <v>219.322</v>
      </c>
      <c r="H72" s="2">
        <v>4.056</v>
      </c>
      <c r="I72" s="2">
        <v>25.227</v>
      </c>
      <c r="K72" s="14"/>
      <c r="L72" s="14"/>
      <c r="M72" s="14"/>
      <c r="N72" s="15"/>
      <c r="O72" s="14"/>
      <c r="P72" s="14"/>
      <c r="Q72" s="14"/>
      <c r="T72" s="14"/>
      <c r="U72" s="14"/>
      <c r="V72" s="14"/>
      <c r="X72" s="14"/>
      <c r="Y72" s="14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</row>
    <row r="73" spans="1:45" s="13" customFormat="1" x14ac:dyDescent="0.25">
      <c r="A73" s="2">
        <v>72</v>
      </c>
      <c r="B73" s="2">
        <v>72</v>
      </c>
      <c r="C73" s="2" t="s">
        <v>977</v>
      </c>
      <c r="D73" s="2" t="s">
        <v>732</v>
      </c>
      <c r="E73" s="2">
        <v>6</v>
      </c>
      <c r="F73" s="2">
        <v>17591</v>
      </c>
      <c r="G73" s="2">
        <v>214.041</v>
      </c>
      <c r="H73" s="2">
        <v>4.0170000000000003</v>
      </c>
      <c r="I73" s="2">
        <v>25.295000000000002</v>
      </c>
      <c r="K73" s="14">
        <f>AVERAGE(H73:H74)</f>
        <v>4.0055000000000005</v>
      </c>
      <c r="L73" s="14">
        <f>STDEV(H73:H74)</f>
        <v>1.6263455967290685E-2</v>
      </c>
      <c r="M73" s="14"/>
      <c r="N73" s="15">
        <f>AVERAGE(F73,F74)</f>
        <v>16936.5</v>
      </c>
      <c r="O73" s="14"/>
      <c r="P73" s="14">
        <f>AVERAGE(I73:I74)</f>
        <v>25.319000000000003</v>
      </c>
      <c r="Q73" s="14">
        <f>STDEV(I73:I74)</f>
        <v>3.3941125496953058E-2</v>
      </c>
      <c r="T73" s="14">
        <f>K73-(B73-$A$121)*$AA$4</f>
        <v>3.9840013823529419</v>
      </c>
      <c r="U73" s="14">
        <f>T73-(N73-$N$121)*$AA$55</f>
        <v>3.9563838764705888</v>
      </c>
      <c r="V73" s="14"/>
      <c r="X73" s="14">
        <f>P73-(B73-$A$121)*$AL$5</f>
        <v>25.289205235294119</v>
      </c>
      <c r="Y73" s="14">
        <f>X73-(N73-$N$121)*$AL$54</f>
        <v>25.355372176470588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</row>
    <row r="74" spans="1:45" s="13" customFormat="1" x14ac:dyDescent="0.25">
      <c r="A74" s="2">
        <v>72</v>
      </c>
      <c r="B74" s="2">
        <v>72</v>
      </c>
      <c r="C74" s="2" t="s">
        <v>977</v>
      </c>
      <c r="D74" s="2" t="s">
        <v>732</v>
      </c>
      <c r="E74" s="2">
        <v>7</v>
      </c>
      <c r="F74" s="2">
        <v>16282</v>
      </c>
      <c r="G74" s="2">
        <v>200.94399999999999</v>
      </c>
      <c r="H74" s="2">
        <v>3.9940000000000002</v>
      </c>
      <c r="I74" s="2">
        <v>25.343</v>
      </c>
      <c r="K74" s="14"/>
      <c r="L74" s="14"/>
      <c r="M74" s="14"/>
      <c r="N74" s="15"/>
      <c r="O74" s="14"/>
      <c r="P74" s="14"/>
      <c r="Q74" s="14"/>
      <c r="T74" s="14"/>
      <c r="U74" s="14"/>
      <c r="V74" s="14"/>
      <c r="X74" s="14"/>
      <c r="Y74" s="14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</row>
    <row r="75" spans="1:45" s="13" customFormat="1" x14ac:dyDescent="0.25">
      <c r="A75" s="2">
        <v>83</v>
      </c>
      <c r="B75" s="2">
        <v>83</v>
      </c>
      <c r="C75" s="2" t="s">
        <v>1043</v>
      </c>
      <c r="D75" s="2" t="s">
        <v>420</v>
      </c>
      <c r="E75" s="2">
        <v>6</v>
      </c>
      <c r="F75" s="2">
        <v>10743</v>
      </c>
      <c r="G75" s="2">
        <v>133.30500000000001</v>
      </c>
      <c r="H75" s="2">
        <v>3.847</v>
      </c>
      <c r="I75" s="2">
        <v>25.297000000000001</v>
      </c>
      <c r="K75" s="14">
        <f>AVERAGE(H75:H76)</f>
        <v>3.8919999999999999</v>
      </c>
      <c r="L75" s="14">
        <f>STDEV(H75:H76)</f>
        <v>6.3639610306789177E-2</v>
      </c>
      <c r="M75" s="14"/>
      <c r="N75" s="15">
        <f>AVERAGE(F75,F76)</f>
        <v>10417.5</v>
      </c>
      <c r="O75" s="14"/>
      <c r="P75" s="14">
        <f>AVERAGE(I75:I76)</f>
        <v>25.3185</v>
      </c>
      <c r="Q75" s="14">
        <f>STDEV(I75:I76)</f>
        <v>3.0405591591021019E-2</v>
      </c>
      <c r="T75" s="14">
        <f>K75-(B75-$A$121)*$AA$4</f>
        <v>3.8784543823529409</v>
      </c>
      <c r="U75" s="14">
        <f>T75-(N75-$N$121)*$AA$55</f>
        <v>3.913419276470588</v>
      </c>
      <c r="V75" s="14"/>
      <c r="X75" s="14">
        <f>P75-(B75-$A$121)*$AL$5</f>
        <v>25.299727235294117</v>
      </c>
      <c r="Y75" s="14">
        <f>X75-(N75-$N$121)*$AL$54</f>
        <v>25.215957176470589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</row>
    <row r="76" spans="1:45" s="13" customFormat="1" x14ac:dyDescent="0.25">
      <c r="A76" s="2">
        <v>83</v>
      </c>
      <c r="B76" s="2">
        <v>83</v>
      </c>
      <c r="C76" s="2" t="s">
        <v>1043</v>
      </c>
      <c r="D76" s="2" t="s">
        <v>420</v>
      </c>
      <c r="E76" s="2">
        <v>7</v>
      </c>
      <c r="F76" s="2">
        <v>10092</v>
      </c>
      <c r="G76" s="2">
        <v>125.098</v>
      </c>
      <c r="H76" s="2">
        <v>3.9369999999999998</v>
      </c>
      <c r="I76" s="2">
        <v>25.34</v>
      </c>
      <c r="K76" s="14"/>
      <c r="L76" s="14"/>
      <c r="M76" s="14"/>
      <c r="N76" s="15"/>
      <c r="O76" s="14"/>
      <c r="P76" s="14"/>
      <c r="Q76" s="14"/>
      <c r="T76" s="14"/>
      <c r="U76" s="14"/>
      <c r="V76" s="14"/>
      <c r="X76" s="14"/>
      <c r="Y76" s="14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</row>
    <row r="77" spans="1:45" s="13" customFormat="1" x14ac:dyDescent="0.25">
      <c r="A77" s="2">
        <v>84</v>
      </c>
      <c r="B77" s="2">
        <v>84</v>
      </c>
      <c r="C77" s="2" t="s">
        <v>1050</v>
      </c>
      <c r="D77" s="2" t="s">
        <v>340</v>
      </c>
      <c r="E77" s="2">
        <v>6</v>
      </c>
      <c r="F77" s="2">
        <v>13432</v>
      </c>
      <c r="G77" s="2">
        <v>160.11099999999999</v>
      </c>
      <c r="H77" s="2">
        <v>3.879</v>
      </c>
      <c r="I77" s="2">
        <v>25.335000000000001</v>
      </c>
      <c r="K77" s="14">
        <f>AVERAGE(H77:H78)</f>
        <v>3.927</v>
      </c>
      <c r="L77" s="14">
        <f>STDEV(H77:H78)</f>
        <v>6.7882250993908627E-2</v>
      </c>
      <c r="M77" s="14"/>
      <c r="N77" s="15">
        <f>AVERAGE(F77,F78)</f>
        <v>13072.5</v>
      </c>
      <c r="O77" s="14"/>
      <c r="P77" s="14">
        <f>AVERAGE(I77:I78)</f>
        <v>25.341000000000001</v>
      </c>
      <c r="Q77" s="14">
        <f>STDEV(I77:I78)</f>
        <v>8.4852813742388924E-3</v>
      </c>
      <c r="T77" s="14">
        <f>K77-(B77-$A$121)*$AA$4</f>
        <v>3.9141773823529413</v>
      </c>
      <c r="U77" s="14">
        <f>T77-(N77-$N$121)*$AA$55</f>
        <v>3.9236542764705882</v>
      </c>
      <c r="V77" s="14"/>
      <c r="X77" s="14">
        <f>P77-(B77-$A$121)*$AL$5</f>
        <v>25.323229235294118</v>
      </c>
      <c r="Y77" s="14">
        <f>X77-(N77-$N$121)*$AL$54</f>
        <v>25.300524176470589</v>
      </c>
    </row>
    <row r="78" spans="1:45" s="13" customFormat="1" x14ac:dyDescent="0.25">
      <c r="A78" s="2">
        <v>84</v>
      </c>
      <c r="B78" s="2">
        <v>84</v>
      </c>
      <c r="C78" s="2" t="s">
        <v>1050</v>
      </c>
      <c r="D78" s="2" t="s">
        <v>340</v>
      </c>
      <c r="E78" s="2">
        <v>7</v>
      </c>
      <c r="F78" s="2">
        <v>12713</v>
      </c>
      <c r="G78" s="2">
        <v>150.786</v>
      </c>
      <c r="H78" s="2">
        <v>3.9750000000000001</v>
      </c>
      <c r="I78" s="2">
        <v>25.347000000000001</v>
      </c>
      <c r="K78" s="14"/>
      <c r="L78" s="14"/>
      <c r="M78" s="14"/>
      <c r="N78" s="15"/>
      <c r="O78" s="14"/>
      <c r="P78" s="14"/>
      <c r="Q78" s="14"/>
      <c r="T78" s="14"/>
      <c r="U78" s="14"/>
      <c r="V78" s="14"/>
      <c r="X78" s="14"/>
      <c r="Y78" s="14"/>
      <c r="Z78" s="14"/>
    </row>
    <row r="79" spans="1:45" x14ac:dyDescent="0.25">
      <c r="A79" s="1">
        <v>100</v>
      </c>
      <c r="B79" s="1">
        <v>100</v>
      </c>
      <c r="C79" s="1" t="s">
        <v>1118</v>
      </c>
      <c r="D79" s="1" t="s">
        <v>503</v>
      </c>
      <c r="E79" s="1">
        <v>6</v>
      </c>
      <c r="F79" s="1">
        <v>8691</v>
      </c>
      <c r="G79" s="1">
        <v>100.762</v>
      </c>
      <c r="H79" s="1">
        <v>3.8290000000000002</v>
      </c>
      <c r="I79" s="1">
        <v>25.234999999999999</v>
      </c>
      <c r="J79" s="13"/>
      <c r="K79" s="14">
        <f>AVERAGE(H79:H80)</f>
        <v>3.8529999999999998</v>
      </c>
      <c r="L79" s="14">
        <f>STDEV(H79:H80)</f>
        <v>3.3941125496953994E-2</v>
      </c>
      <c r="M79" s="14"/>
      <c r="N79" s="15">
        <f>AVERAGE(F79,F80)</f>
        <v>8417</v>
      </c>
      <c r="O79" s="14"/>
      <c r="P79" s="14">
        <f>AVERAGE(I79:I80)</f>
        <v>25.250999999999998</v>
      </c>
      <c r="Q79" s="14">
        <f>STDEV(I79:I80)</f>
        <v>2.2627416997969541E-2</v>
      </c>
      <c r="R79" s="13"/>
      <c r="S79" s="13"/>
      <c r="T79" s="14">
        <f>K79-(B79-$A$121)*$AA$4</f>
        <v>3.8517453823529411</v>
      </c>
      <c r="U79" s="14">
        <f>T79-(N79-$N$121)*$AA$55</f>
        <v>3.9059150764705883</v>
      </c>
      <c r="V79" s="14"/>
      <c r="W79" s="13"/>
      <c r="X79" s="14">
        <f>P79-(B79-$A$121)*$AL$5</f>
        <v>25.249261235294114</v>
      </c>
      <c r="Y79" s="14">
        <f>X79-(N79-$N$121)*$AL$54</f>
        <v>25.119479676470583</v>
      </c>
      <c r="Z79" s="14"/>
    </row>
    <row r="80" spans="1:45" s="57" customFormat="1" x14ac:dyDescent="0.25">
      <c r="A80" s="1">
        <v>100</v>
      </c>
      <c r="B80" s="1">
        <v>100</v>
      </c>
      <c r="C80" s="1" t="s">
        <v>1118</v>
      </c>
      <c r="D80" s="1" t="s">
        <v>503</v>
      </c>
      <c r="E80" s="1">
        <v>7</v>
      </c>
      <c r="F80" s="1">
        <v>8143</v>
      </c>
      <c r="G80" s="1">
        <v>93.548000000000002</v>
      </c>
      <c r="H80" s="1">
        <v>3.8769999999999998</v>
      </c>
      <c r="I80" s="1">
        <v>25.266999999999999</v>
      </c>
      <c r="J80" s="56"/>
      <c r="K80" s="55"/>
      <c r="L80" s="55"/>
      <c r="M80" s="55"/>
      <c r="N80" s="82"/>
      <c r="O80" s="55"/>
      <c r="P80" s="55"/>
      <c r="Q80" s="55"/>
      <c r="R80" s="56"/>
      <c r="S80" s="56"/>
      <c r="T80" s="55"/>
      <c r="U80" s="55"/>
      <c r="V80" s="55"/>
      <c r="W80" s="56"/>
      <c r="X80" s="55"/>
      <c r="Y80" s="55"/>
      <c r="Z80" s="55"/>
    </row>
    <row r="81" spans="1:26" x14ac:dyDescent="0.25">
      <c r="A81" s="1">
        <v>101</v>
      </c>
      <c r="B81" s="1">
        <v>101</v>
      </c>
      <c r="C81" s="1" t="s">
        <v>1123</v>
      </c>
      <c r="D81" s="1" t="s">
        <v>443</v>
      </c>
      <c r="E81" s="1">
        <v>6</v>
      </c>
      <c r="F81" s="1">
        <v>7115</v>
      </c>
      <c r="G81" s="1">
        <v>83.316999999999993</v>
      </c>
      <c r="H81" s="1">
        <v>3.96</v>
      </c>
      <c r="I81" s="1">
        <v>25.4</v>
      </c>
      <c r="J81" s="13"/>
      <c r="K81" s="14">
        <f>AVERAGE(H81:H82)</f>
        <v>3.9864999999999999</v>
      </c>
      <c r="L81" s="14">
        <f>STDEV(H81:H82)</f>
        <v>3.7476659402886976E-2</v>
      </c>
      <c r="M81" s="14"/>
      <c r="N81" s="15">
        <f>AVERAGE(F81,F82)</f>
        <v>6854.5</v>
      </c>
      <c r="O81" s="14"/>
      <c r="P81" s="14">
        <f>AVERAGE(I81:I82)</f>
        <v>25.409500000000001</v>
      </c>
      <c r="Q81" s="14">
        <f>STDEV(I81:I82)</f>
        <v>1.343502884254575E-2</v>
      </c>
      <c r="R81" s="13"/>
      <c r="S81" s="13"/>
      <c r="T81" s="14">
        <f>K81-(B81-$A$121)*$AA$4</f>
        <v>3.985968382352941</v>
      </c>
      <c r="U81" s="14">
        <f>T81-(N81-$N$121)*$AA$55</f>
        <v>4.0551380764705884</v>
      </c>
      <c r="V81" s="14"/>
      <c r="W81" s="13"/>
      <c r="X81" s="14">
        <f>P81-(B81-$A$121)*$AL$5</f>
        <v>25.408763235294121</v>
      </c>
      <c r="Y81" s="14">
        <f>X81-(N81-$N$121)*$AL$54</f>
        <v>25.24304417647059</v>
      </c>
      <c r="Z81" s="14"/>
    </row>
    <row r="82" spans="1:26" x14ac:dyDescent="0.25">
      <c r="A82" s="173">
        <v>101</v>
      </c>
      <c r="B82" s="173">
        <v>101</v>
      </c>
      <c r="C82" s="173" t="s">
        <v>1123</v>
      </c>
      <c r="D82" s="173" t="s">
        <v>443</v>
      </c>
      <c r="E82" s="173">
        <v>7</v>
      </c>
      <c r="F82" s="173">
        <v>6594</v>
      </c>
      <c r="G82" s="173">
        <v>77.305999999999997</v>
      </c>
      <c r="H82" s="173">
        <v>4.0129999999999999</v>
      </c>
      <c r="I82" s="173">
        <v>25.419</v>
      </c>
      <c r="J82" s="13"/>
      <c r="K82" s="14"/>
      <c r="L82" s="14"/>
      <c r="M82" s="14"/>
      <c r="N82" s="15"/>
      <c r="O82" s="14"/>
      <c r="P82" s="14"/>
      <c r="Q82" s="14"/>
      <c r="R82" s="13"/>
      <c r="S82" s="13"/>
      <c r="T82" s="3"/>
      <c r="U82" s="3"/>
      <c r="V82" s="14"/>
      <c r="W82" s="13"/>
      <c r="X82" s="3"/>
      <c r="Y82" s="14"/>
      <c r="Z82" s="14"/>
    </row>
    <row r="83" spans="1:26" x14ac:dyDescent="0.25">
      <c r="A83" s="2">
        <v>111</v>
      </c>
      <c r="B83" s="2">
        <v>111</v>
      </c>
      <c r="C83" s="1" t="s">
        <v>1196</v>
      </c>
      <c r="D83" s="1" t="s">
        <v>281</v>
      </c>
      <c r="E83" s="1">
        <v>6</v>
      </c>
      <c r="F83" s="1">
        <v>11467</v>
      </c>
      <c r="G83" s="1">
        <v>133.82400000000001</v>
      </c>
      <c r="H83" s="1">
        <v>3.8610000000000002</v>
      </c>
      <c r="I83" s="1">
        <v>25.125</v>
      </c>
      <c r="J83" s="13"/>
      <c r="K83" s="14">
        <f>AVERAGE(H83:H84)</f>
        <v>3.8765000000000001</v>
      </c>
      <c r="L83" s="14">
        <f>STDEV(H83:H84)</f>
        <v>2.1920310216782757E-2</v>
      </c>
      <c r="M83" s="14"/>
      <c r="N83" s="15">
        <f>AVERAGE(F83,F84)</f>
        <v>11061.5</v>
      </c>
      <c r="O83" s="14"/>
      <c r="P83" s="14">
        <f>AVERAGE(I83:I84)</f>
        <v>25.140499999999999</v>
      </c>
      <c r="Q83" s="14">
        <f>STDEV(I83:I84)</f>
        <v>2.1920310216782129E-2</v>
      </c>
      <c r="R83" s="13"/>
      <c r="S83" s="13"/>
      <c r="T83" s="14">
        <f>K83-(B83-$A$121)*$AA$4</f>
        <v>3.883198382352941</v>
      </c>
      <c r="U83" s="14">
        <f>T83-(N83-$N$121)*$AA$55</f>
        <v>3.9119808764705879</v>
      </c>
      <c r="V83" s="14"/>
      <c r="W83" s="13"/>
      <c r="X83" s="14">
        <f>P83-(B83-$A$121)*$AL$5</f>
        <v>25.149783235294116</v>
      </c>
      <c r="Y83" s="14">
        <f>X83-(N83-$N$121)*$AL$54</f>
        <v>25.080825176470587</v>
      </c>
      <c r="Z83" s="14"/>
    </row>
    <row r="84" spans="1:26" x14ac:dyDescent="0.25">
      <c r="A84" s="2">
        <v>111</v>
      </c>
      <c r="B84" s="2">
        <v>111</v>
      </c>
      <c r="C84" s="1" t="s">
        <v>1196</v>
      </c>
      <c r="D84" s="1" t="s">
        <v>281</v>
      </c>
      <c r="E84" s="1">
        <v>7</v>
      </c>
      <c r="F84" s="1">
        <v>10656</v>
      </c>
      <c r="G84" s="1">
        <v>123.729</v>
      </c>
      <c r="H84" s="1">
        <v>3.8919999999999999</v>
      </c>
      <c r="I84" s="1">
        <v>25.155999999999999</v>
      </c>
      <c r="J84" s="13"/>
      <c r="K84" s="14"/>
      <c r="L84" s="14"/>
      <c r="M84" s="14"/>
      <c r="N84" s="15"/>
      <c r="O84" s="14"/>
      <c r="P84" s="14"/>
      <c r="Q84" s="14"/>
      <c r="R84" s="13"/>
      <c r="S84" s="13"/>
      <c r="T84" s="3"/>
      <c r="U84" s="3"/>
      <c r="V84" s="14"/>
      <c r="W84" s="13"/>
      <c r="X84" s="3"/>
      <c r="Y84" s="14"/>
      <c r="Z84" s="14"/>
    </row>
    <row r="85" spans="1:26" x14ac:dyDescent="0.25">
      <c r="A85" s="2">
        <v>112</v>
      </c>
      <c r="B85" s="2">
        <v>112</v>
      </c>
      <c r="C85" s="1" t="s">
        <v>1201</v>
      </c>
      <c r="D85" s="1" t="s">
        <v>317</v>
      </c>
      <c r="E85" s="1">
        <v>6</v>
      </c>
      <c r="F85" s="1">
        <v>15047</v>
      </c>
      <c r="G85" s="1">
        <v>173.566</v>
      </c>
      <c r="H85" s="1">
        <v>3.8420000000000001</v>
      </c>
      <c r="I85" s="1">
        <v>25.12</v>
      </c>
      <c r="K85" s="14">
        <f>AVERAGE(H85:H86)</f>
        <v>3.879</v>
      </c>
      <c r="L85" s="14">
        <f>STDEV(H85:H86)</f>
        <v>5.2325901807804408E-2</v>
      </c>
      <c r="M85" s="14"/>
      <c r="N85" s="15">
        <f>AVERAGE(F85,F86)</f>
        <v>14456</v>
      </c>
      <c r="O85" s="14"/>
      <c r="P85" s="14">
        <f>AVERAGE(I85:I86)</f>
        <v>25.139499999999998</v>
      </c>
      <c r="Q85" s="14">
        <f>STDEV(I85:I86)</f>
        <v>2.7577164466273885E-2</v>
      </c>
      <c r="R85" s="13"/>
      <c r="S85" s="13"/>
      <c r="T85" s="14">
        <f>K85-(B85-$A$121)*$AA$4</f>
        <v>3.8864213823529412</v>
      </c>
      <c r="U85" s="14">
        <f>T85-(N85-$N$121)*$AA$55</f>
        <v>3.8826166764705881</v>
      </c>
      <c r="V85" s="14"/>
      <c r="W85" s="13"/>
      <c r="X85" s="14">
        <f>P85-(B85-$A$121)*$AL$5</f>
        <v>25.149785235294114</v>
      </c>
      <c r="Y85" s="14">
        <f>X85-(N85-$N$121)*$AL$54</f>
        <v>25.158900676470584</v>
      </c>
      <c r="Z85" s="14"/>
    </row>
    <row r="86" spans="1:26" x14ac:dyDescent="0.25">
      <c r="A86" s="2">
        <v>112</v>
      </c>
      <c r="B86" s="2">
        <v>112</v>
      </c>
      <c r="C86" s="1" t="s">
        <v>1201</v>
      </c>
      <c r="D86" s="1" t="s">
        <v>317</v>
      </c>
      <c r="E86" s="1">
        <v>7</v>
      </c>
      <c r="F86" s="1">
        <v>13865</v>
      </c>
      <c r="G86" s="1">
        <v>160.4</v>
      </c>
      <c r="H86" s="1">
        <v>3.9159999999999999</v>
      </c>
      <c r="I86" s="1">
        <v>25.158999999999999</v>
      </c>
      <c r="K86" s="14"/>
      <c r="L86" s="14"/>
      <c r="M86" s="14"/>
      <c r="N86" s="15"/>
      <c r="O86" s="14"/>
      <c r="P86" s="14"/>
      <c r="Q86" s="14"/>
      <c r="R86" s="13"/>
      <c r="S86" s="13"/>
      <c r="T86" s="14"/>
      <c r="U86" s="14"/>
      <c r="V86" s="14"/>
      <c r="W86" s="13"/>
      <c r="X86" s="14"/>
      <c r="Y86" s="14"/>
      <c r="Z86" s="14"/>
    </row>
    <row r="87" spans="1:26" x14ac:dyDescent="0.25">
      <c r="A87" s="2">
        <v>113</v>
      </c>
      <c r="B87" s="2">
        <v>113</v>
      </c>
      <c r="C87" s="1" t="s">
        <v>1206</v>
      </c>
      <c r="D87" s="1" t="s">
        <v>946</v>
      </c>
      <c r="E87" s="1">
        <v>6</v>
      </c>
      <c r="F87" s="1">
        <v>20491</v>
      </c>
      <c r="G87" s="1">
        <v>230.114</v>
      </c>
      <c r="H87" s="1">
        <v>3.9590000000000001</v>
      </c>
      <c r="I87" s="1">
        <v>24.899000000000001</v>
      </c>
      <c r="K87" s="14">
        <f>AVERAGE(H87:H88)</f>
        <v>3.9814999999999996</v>
      </c>
      <c r="L87" s="14">
        <f>STDEV(H87:H88)</f>
        <v>3.1819805153394276E-2</v>
      </c>
      <c r="M87" s="14"/>
      <c r="N87" s="15">
        <f>AVERAGE(F87,F88)</f>
        <v>19813</v>
      </c>
      <c r="O87" s="14"/>
      <c r="P87" s="14">
        <f>AVERAGE(I87:I88)</f>
        <v>24.918500000000002</v>
      </c>
      <c r="Q87" s="14">
        <f>STDEV(I87:I88)</f>
        <v>2.7577164466273885E-2</v>
      </c>
      <c r="R87" s="13"/>
      <c r="S87" s="13"/>
      <c r="T87" s="14">
        <f>K87-(B87-$A$121)*$AA$4</f>
        <v>3.9896443823529406</v>
      </c>
      <c r="U87" s="14">
        <f>T87-(N87-$N$121)*$AA$55</f>
        <v>3.9344124764705879</v>
      </c>
      <c r="V87" s="14"/>
      <c r="W87" s="13"/>
      <c r="X87" s="14">
        <f>P87-(B87-$A$121)*$AL$5</f>
        <v>24.929787235294118</v>
      </c>
      <c r="Y87" s="14">
        <f>X87-(N87-$N$121)*$AL$54</f>
        <v>25.062113676470588</v>
      </c>
      <c r="Z87" s="14"/>
    </row>
    <row r="88" spans="1:26" x14ac:dyDescent="0.25">
      <c r="A88" s="2">
        <v>113</v>
      </c>
      <c r="B88" s="2">
        <v>113</v>
      </c>
      <c r="C88" s="1" t="s">
        <v>1206</v>
      </c>
      <c r="D88" s="1" t="s">
        <v>946</v>
      </c>
      <c r="E88" s="1">
        <v>7</v>
      </c>
      <c r="F88" s="1">
        <v>19135</v>
      </c>
      <c r="G88" s="1">
        <v>213.96100000000001</v>
      </c>
      <c r="H88" s="1">
        <v>4.0039999999999996</v>
      </c>
      <c r="I88" s="1">
        <v>24.937999999999999</v>
      </c>
      <c r="K88" s="14"/>
      <c r="L88" s="14"/>
      <c r="M88" s="14"/>
      <c r="N88" s="15"/>
      <c r="O88" s="14"/>
      <c r="P88" s="14"/>
      <c r="Q88" s="14"/>
      <c r="R88" s="13"/>
      <c r="S88" s="13"/>
      <c r="T88" s="14"/>
      <c r="U88" s="14"/>
      <c r="V88" s="14"/>
      <c r="W88" s="13"/>
      <c r="X88" s="14"/>
      <c r="Y88" s="14"/>
      <c r="Z88" s="14"/>
    </row>
    <row r="89" spans="1:26" x14ac:dyDescent="0.25">
      <c r="A89" s="2">
        <v>124</v>
      </c>
      <c r="B89" s="2">
        <v>124</v>
      </c>
      <c r="C89" s="1" t="s">
        <v>1275</v>
      </c>
      <c r="D89" s="1" t="s">
        <v>327</v>
      </c>
      <c r="E89" s="1">
        <v>6</v>
      </c>
      <c r="F89" s="1">
        <v>16509</v>
      </c>
      <c r="G89" s="1">
        <v>186.352</v>
      </c>
      <c r="H89" s="1">
        <v>3.895</v>
      </c>
      <c r="I89" s="1">
        <v>25.145</v>
      </c>
      <c r="K89" s="14">
        <f>AVERAGE(H89:H90)</f>
        <v>3.915</v>
      </c>
      <c r="L89" s="14">
        <f>STDEV(H89:H90)</f>
        <v>2.8284271247461926E-2</v>
      </c>
      <c r="M89" s="14"/>
      <c r="N89" s="15">
        <f>AVERAGE(F89,F90)</f>
        <v>15999</v>
      </c>
      <c r="O89" s="14"/>
      <c r="P89" s="14">
        <f>AVERAGE(I89:I90)</f>
        <v>25.157499999999999</v>
      </c>
      <c r="Q89" s="14">
        <f>STDEV(I89:I90)</f>
        <v>1.7677669529665197E-2</v>
      </c>
      <c r="R89" s="13"/>
      <c r="S89" s="13"/>
      <c r="T89" s="14">
        <f>K89-(B89-$A$121)*$AA$4</f>
        <v>3.9310973823529411</v>
      </c>
      <c r="U89" s="14">
        <f>T89-(N89-$N$121)*$AA$55</f>
        <v>3.9124798764705884</v>
      </c>
      <c r="V89" s="14"/>
      <c r="W89" s="13"/>
      <c r="X89" s="14">
        <f>P89-(B89-$A$121)*$AL$5</f>
        <v>25.179809235294115</v>
      </c>
      <c r="Y89" s="14">
        <f>X89-(N89-$N$121)*$AL$54</f>
        <v>25.224413676470586</v>
      </c>
      <c r="Z89" s="14"/>
    </row>
    <row r="90" spans="1:26" x14ac:dyDescent="0.25">
      <c r="A90" s="2">
        <v>124</v>
      </c>
      <c r="B90" s="2">
        <v>124</v>
      </c>
      <c r="C90" s="1" t="s">
        <v>1275</v>
      </c>
      <c r="D90" s="1" t="s">
        <v>327</v>
      </c>
      <c r="E90" s="1">
        <v>7</v>
      </c>
      <c r="F90" s="1">
        <v>15489</v>
      </c>
      <c r="G90" s="1">
        <v>173.566</v>
      </c>
      <c r="H90" s="1">
        <v>3.9350000000000001</v>
      </c>
      <c r="I90" s="1">
        <v>25.17</v>
      </c>
      <c r="K90" s="14"/>
      <c r="L90" s="14"/>
      <c r="M90" s="14"/>
      <c r="N90" s="15"/>
      <c r="O90" s="14"/>
      <c r="P90" s="14"/>
      <c r="Q90" s="14"/>
      <c r="R90" s="13"/>
      <c r="S90" s="13"/>
      <c r="T90" s="14"/>
      <c r="U90" s="14"/>
      <c r="V90" s="14"/>
      <c r="W90" s="13"/>
      <c r="X90" s="14"/>
      <c r="Y90" s="14"/>
      <c r="Z90" s="14"/>
    </row>
    <row r="91" spans="1:26" x14ac:dyDescent="0.25">
      <c r="A91" s="2">
        <v>125</v>
      </c>
      <c r="B91" s="2">
        <v>125</v>
      </c>
      <c r="C91" s="1" t="s">
        <v>1280</v>
      </c>
      <c r="D91" s="1" t="s">
        <v>601</v>
      </c>
      <c r="E91" s="1">
        <v>6</v>
      </c>
      <c r="F91" s="1">
        <v>15110</v>
      </c>
      <c r="G91" s="1">
        <v>177.28</v>
      </c>
      <c r="H91" s="1">
        <v>3.9060000000000001</v>
      </c>
      <c r="I91" s="1">
        <v>25.154</v>
      </c>
      <c r="K91" s="14">
        <f>AVERAGE(H91:H92)</f>
        <v>3.9115000000000002</v>
      </c>
      <c r="L91" s="14">
        <f>STDEV(H91:H92)</f>
        <v>7.778174593051794E-3</v>
      </c>
      <c r="M91" s="14"/>
      <c r="N91" s="15">
        <f>AVERAGE(F91,F92)</f>
        <v>14546</v>
      </c>
      <c r="O91" s="14"/>
      <c r="P91" s="14">
        <f>AVERAGE(I91:I92)</f>
        <v>25.1675</v>
      </c>
      <c r="Q91" s="14">
        <f>STDEV(I91:I92)</f>
        <v>1.9091883092037507E-2</v>
      </c>
      <c r="R91" s="13"/>
      <c r="S91" s="13"/>
      <c r="T91" s="14">
        <f>K91-(B91-$A$121)*$AA$4</f>
        <v>3.9283203823529416</v>
      </c>
      <c r="U91" s="14">
        <f>T91-(N91-$N$121)*$AA$55</f>
        <v>3.9236516764705884</v>
      </c>
      <c r="V91" s="14"/>
      <c r="W91" s="13"/>
      <c r="X91" s="14">
        <f>P91-(B91-$A$121)*$AL$5</f>
        <v>25.190811235294117</v>
      </c>
      <c r="Y91" s="14">
        <f>X91-(N91-$N$121)*$AL$54</f>
        <v>25.201996676470586</v>
      </c>
      <c r="Z91" s="14"/>
    </row>
    <row r="92" spans="1:26" x14ac:dyDescent="0.25">
      <c r="A92" s="2">
        <v>125</v>
      </c>
      <c r="B92" s="2">
        <v>125</v>
      </c>
      <c r="C92" s="1" t="s">
        <v>1280</v>
      </c>
      <c r="D92" s="1" t="s">
        <v>601</v>
      </c>
      <c r="E92" s="1">
        <v>7</v>
      </c>
      <c r="F92" s="1">
        <v>13982</v>
      </c>
      <c r="G92" s="1">
        <v>163.673</v>
      </c>
      <c r="H92" s="1">
        <v>3.9169999999999998</v>
      </c>
      <c r="I92" s="1">
        <v>25.181000000000001</v>
      </c>
      <c r="K92" s="14"/>
      <c r="L92" s="14"/>
      <c r="M92" s="14"/>
      <c r="N92" s="15"/>
      <c r="O92" s="14"/>
      <c r="P92" s="14"/>
      <c r="Q92" s="14"/>
      <c r="R92" s="13"/>
      <c r="S92" s="13"/>
      <c r="T92" s="14"/>
      <c r="U92" s="14"/>
      <c r="V92" s="14"/>
      <c r="W92" s="13"/>
      <c r="X92" s="14"/>
      <c r="Y92" s="14"/>
      <c r="Z92" s="14"/>
    </row>
    <row r="93" spans="1:26" x14ac:dyDescent="0.25">
      <c r="A93" s="2">
        <v>136</v>
      </c>
      <c r="B93" s="2">
        <v>136</v>
      </c>
      <c r="C93" s="1" t="s">
        <v>1343</v>
      </c>
      <c r="D93" s="1" t="s">
        <v>722</v>
      </c>
      <c r="E93" s="1">
        <v>6</v>
      </c>
      <c r="F93" s="1">
        <v>17446</v>
      </c>
      <c r="G93" s="1">
        <v>203.78399999999999</v>
      </c>
      <c r="H93" s="1">
        <v>3.903</v>
      </c>
      <c r="I93" s="1">
        <v>24.957000000000001</v>
      </c>
      <c r="K93" s="14">
        <f>AVERAGE(H93:H94)</f>
        <v>3.9165000000000001</v>
      </c>
      <c r="L93" s="14">
        <f>STDEV(H93:H94)</f>
        <v>1.9091883092036879E-2</v>
      </c>
      <c r="M93" s="14"/>
      <c r="N93" s="15">
        <f>AVERAGE(F93,F94)</f>
        <v>16785</v>
      </c>
      <c r="O93" s="14"/>
      <c r="P93" s="14">
        <f>AVERAGE(I93:I94)</f>
        <v>24.986000000000001</v>
      </c>
      <c r="Q93" s="14">
        <f>STDEV(I93:I94)</f>
        <v>4.1012193308819639E-2</v>
      </c>
      <c r="R93" s="13"/>
      <c r="S93" s="13"/>
      <c r="T93" s="14">
        <f>K93-(B93-$A$121)*$AA$4</f>
        <v>3.9412733823529411</v>
      </c>
      <c r="U93" s="14">
        <f>T93-(N93-$N$121)*$AA$55</f>
        <v>3.9151102764705881</v>
      </c>
      <c r="V93" s="14"/>
      <c r="W93" s="13"/>
      <c r="X93" s="14">
        <f>P93-(B93-$A$121)*$AL$5</f>
        <v>25.020333235294117</v>
      </c>
      <c r="Y93" s="14">
        <f>X93-(N93-$N$121)*$AL$54</f>
        <v>25.083015676470588</v>
      </c>
      <c r="Z93" s="14"/>
    </row>
    <row r="94" spans="1:26" x14ac:dyDescent="0.25">
      <c r="A94" s="2">
        <v>136</v>
      </c>
      <c r="B94" s="2">
        <v>136</v>
      </c>
      <c r="C94" s="1" t="s">
        <v>1343</v>
      </c>
      <c r="D94" s="1" t="s">
        <v>722</v>
      </c>
      <c r="E94" s="1">
        <v>7</v>
      </c>
      <c r="F94" s="1">
        <v>16124</v>
      </c>
      <c r="G94" s="1">
        <v>187.91900000000001</v>
      </c>
      <c r="H94" s="1">
        <v>3.93</v>
      </c>
      <c r="I94" s="1">
        <v>25.015000000000001</v>
      </c>
      <c r="K94" s="14"/>
      <c r="L94" s="14"/>
      <c r="M94" s="14"/>
      <c r="N94" s="15"/>
      <c r="O94" s="14"/>
      <c r="P94" s="14"/>
      <c r="Q94" s="14"/>
      <c r="R94" s="13"/>
      <c r="S94" s="13"/>
      <c r="T94" s="14"/>
      <c r="U94" s="14"/>
      <c r="V94" s="14"/>
      <c r="W94" s="13"/>
      <c r="X94" s="14"/>
      <c r="Y94" s="14"/>
      <c r="Z94" s="14"/>
    </row>
    <row r="95" spans="1:26" x14ac:dyDescent="0.25">
      <c r="A95" s="2">
        <v>137</v>
      </c>
      <c r="B95" s="2">
        <v>137</v>
      </c>
      <c r="C95" s="1" t="s">
        <v>1347</v>
      </c>
      <c r="D95" s="1" t="s">
        <v>357</v>
      </c>
      <c r="E95" s="1">
        <v>6</v>
      </c>
      <c r="F95" s="1">
        <v>11963</v>
      </c>
      <c r="G95" s="1">
        <v>133.62700000000001</v>
      </c>
      <c r="H95" s="1">
        <v>3.806</v>
      </c>
      <c r="I95" s="1">
        <v>25.167999999999999</v>
      </c>
      <c r="K95" s="14">
        <f>AVERAGE(H95:H96)</f>
        <v>3.8360000000000003</v>
      </c>
      <c r="L95" s="14">
        <f>STDEV(H95:H96)</f>
        <v>4.2426406871192889E-2</v>
      </c>
      <c r="M95" s="14"/>
      <c r="N95" s="15">
        <f>AVERAGE(F95,F96)</f>
        <v>11559.5</v>
      </c>
      <c r="O95" s="14"/>
      <c r="P95" s="14">
        <f>AVERAGE(I95:I96)</f>
        <v>25.190999999999999</v>
      </c>
      <c r="Q95" s="14">
        <f>STDEV(I95:I96)</f>
        <v>3.2526911934580745E-2</v>
      </c>
      <c r="R95" s="13"/>
      <c r="S95" s="13"/>
      <c r="T95" s="14">
        <f>K95-(B95-$A$121)*$AA$4</f>
        <v>3.8614963823529416</v>
      </c>
      <c r="U95" s="14">
        <f>T95-(N95-$N$121)*$AA$55</f>
        <v>3.8854980764705886</v>
      </c>
      <c r="V95" s="14"/>
      <c r="W95" s="13"/>
      <c r="X95" s="14">
        <f>P95-(B95-$A$121)*$AL$5</f>
        <v>25.226335235294115</v>
      </c>
      <c r="Y95" s="14">
        <f>X95-(N95-$N$121)*$AL$54</f>
        <v>25.168831176470587</v>
      </c>
      <c r="Z95" s="14"/>
    </row>
    <row r="96" spans="1:26" x14ac:dyDescent="0.25">
      <c r="A96" s="2">
        <v>137</v>
      </c>
      <c r="B96" s="2">
        <v>137</v>
      </c>
      <c r="C96" s="1" t="s">
        <v>1347</v>
      </c>
      <c r="D96" s="1" t="s">
        <v>357</v>
      </c>
      <c r="E96" s="1">
        <v>7</v>
      </c>
      <c r="F96" s="1">
        <v>11156</v>
      </c>
      <c r="G96" s="1">
        <v>124.178</v>
      </c>
      <c r="H96" s="1">
        <v>3.8660000000000001</v>
      </c>
      <c r="I96" s="1">
        <v>25.213999999999999</v>
      </c>
      <c r="K96" s="14"/>
      <c r="L96" s="14"/>
      <c r="M96" s="14"/>
      <c r="N96" s="15"/>
      <c r="O96" s="14"/>
      <c r="P96" s="14"/>
      <c r="Q96" s="14"/>
      <c r="R96" s="13"/>
      <c r="S96" s="13"/>
      <c r="T96" s="14"/>
      <c r="U96" s="14"/>
      <c r="V96" s="14"/>
      <c r="W96" s="13"/>
      <c r="X96" s="14"/>
      <c r="Y96" s="14"/>
      <c r="Z96" s="14"/>
    </row>
    <row r="97" spans="1:26" x14ac:dyDescent="0.25">
      <c r="A97" s="2">
        <v>148</v>
      </c>
      <c r="B97" s="2">
        <v>148</v>
      </c>
      <c r="C97" s="1" t="s">
        <v>1405</v>
      </c>
      <c r="D97" s="1" t="s">
        <v>654</v>
      </c>
      <c r="E97" s="1">
        <v>6</v>
      </c>
      <c r="F97" s="1">
        <v>12127</v>
      </c>
      <c r="G97" s="1">
        <v>136.304</v>
      </c>
      <c r="H97" s="1">
        <v>3.847</v>
      </c>
      <c r="I97" s="1">
        <v>25.048999999999999</v>
      </c>
      <c r="K97" s="14">
        <f>AVERAGE(H97:H98)</f>
        <v>3.8715000000000002</v>
      </c>
      <c r="L97" s="14">
        <f>STDEV(H97:H98)</f>
        <v>3.4648232278140782E-2</v>
      </c>
      <c r="M97" s="14"/>
      <c r="N97" s="15">
        <f>AVERAGE(F97,F98)</f>
        <v>11653</v>
      </c>
      <c r="O97" s="14"/>
      <c r="P97" s="14">
        <f>AVERAGE(I97:I98)</f>
        <v>25.087499999999999</v>
      </c>
      <c r="Q97" s="14">
        <f>STDEV(I97:I98)</f>
        <v>5.4447222151365389E-2</v>
      </c>
      <c r="R97" s="13"/>
      <c r="S97" s="13"/>
      <c r="T97" s="14">
        <f>K97-(B97-$A$121)*$AA$4</f>
        <v>3.9049493823529415</v>
      </c>
      <c r="U97" s="14">
        <f>T97-(N97-$N$121)*$AA$55</f>
        <v>3.9280534764705886</v>
      </c>
      <c r="V97" s="14"/>
      <c r="W97" s="13"/>
      <c r="X97" s="14">
        <f>P97-(B97-$A$121)*$AL$5</f>
        <v>25.133857235294116</v>
      </c>
      <c r="Y97" s="14">
        <f>X97-(N97-$N$121)*$AL$54</f>
        <v>25.078503676470586</v>
      </c>
      <c r="Z97" s="14"/>
    </row>
    <row r="98" spans="1:26" x14ac:dyDescent="0.25">
      <c r="A98" s="2">
        <v>148</v>
      </c>
      <c r="B98" s="2">
        <v>148</v>
      </c>
      <c r="C98" s="1" t="s">
        <v>1405</v>
      </c>
      <c r="D98" s="1" t="s">
        <v>654</v>
      </c>
      <c r="E98" s="1">
        <v>7</v>
      </c>
      <c r="F98" s="1">
        <v>11179</v>
      </c>
      <c r="G98" s="1">
        <v>126</v>
      </c>
      <c r="H98" s="1">
        <v>3.8959999999999999</v>
      </c>
      <c r="I98" s="1">
        <v>25.126000000000001</v>
      </c>
      <c r="K98" s="14"/>
      <c r="L98" s="14"/>
      <c r="M98" s="14"/>
      <c r="N98" s="15"/>
      <c r="O98" s="14"/>
      <c r="P98" s="14"/>
      <c r="Q98" s="14"/>
      <c r="R98" s="13"/>
      <c r="S98" s="13"/>
      <c r="T98" s="14"/>
      <c r="U98" s="14"/>
      <c r="V98" s="14"/>
      <c r="W98" s="13"/>
      <c r="X98" s="14"/>
      <c r="Y98" s="14"/>
      <c r="Z98" s="14"/>
    </row>
    <row r="99" spans="1:26" x14ac:dyDescent="0.25">
      <c r="A99" s="2">
        <v>149</v>
      </c>
      <c r="B99" s="2">
        <v>149</v>
      </c>
      <c r="C99" s="1" t="s">
        <v>1411</v>
      </c>
      <c r="D99" s="1" t="s">
        <v>336</v>
      </c>
      <c r="E99" s="1">
        <v>6</v>
      </c>
      <c r="F99" s="1">
        <v>15450</v>
      </c>
      <c r="G99" s="1">
        <v>179.96700000000001</v>
      </c>
      <c r="H99" s="1">
        <v>3.9209999999999998</v>
      </c>
      <c r="I99" s="1">
        <v>25.047000000000001</v>
      </c>
      <c r="K99" s="14">
        <f>AVERAGE(H99:H100)</f>
        <v>3.9379999999999997</v>
      </c>
      <c r="L99" s="14">
        <f>STDEV(H99:H100)</f>
        <v>2.4041630560342794E-2</v>
      </c>
      <c r="M99" s="14"/>
      <c r="N99" s="15">
        <f>AVERAGE(F99,F100)</f>
        <v>14892</v>
      </c>
      <c r="O99" s="14"/>
      <c r="P99" s="14">
        <f>AVERAGE(I99:I100)</f>
        <v>25.060000000000002</v>
      </c>
      <c r="Q99" s="14">
        <f>STDEV(I99:I100)</f>
        <v>1.8384776310850094E-2</v>
      </c>
      <c r="R99" s="13"/>
      <c r="S99" s="13"/>
      <c r="T99" s="14">
        <f>K99-(B99-$A$121)*$AA$4</f>
        <v>3.9721723823529409</v>
      </c>
      <c r="U99" s="14">
        <f>T99-(N99-$N$121)*$AA$55</f>
        <v>3.9641820764705882</v>
      </c>
      <c r="V99" s="14"/>
      <c r="W99" s="13"/>
      <c r="X99" s="14">
        <f>P99-(B99-$A$121)*$AL$5</f>
        <v>25.107359235294119</v>
      </c>
      <c r="Y99" s="14">
        <f>X99-(N99-$N$121)*$AL$54</f>
        <v>25.12650267647059</v>
      </c>
      <c r="Z99" s="14"/>
    </row>
    <row r="100" spans="1:26" x14ac:dyDescent="0.25">
      <c r="A100" s="2">
        <v>149</v>
      </c>
      <c r="B100" s="2">
        <v>149</v>
      </c>
      <c r="C100" s="1" t="s">
        <v>1411</v>
      </c>
      <c r="D100" s="1" t="s">
        <v>336</v>
      </c>
      <c r="E100" s="1">
        <v>7</v>
      </c>
      <c r="F100" s="1">
        <v>14334</v>
      </c>
      <c r="G100" s="1">
        <v>166.37299999999999</v>
      </c>
      <c r="H100" s="1">
        <v>3.9550000000000001</v>
      </c>
      <c r="I100" s="1">
        <v>25.073</v>
      </c>
      <c r="K100" s="14"/>
      <c r="L100" s="14"/>
      <c r="M100" s="14"/>
      <c r="N100" s="15"/>
      <c r="O100" s="14"/>
      <c r="P100" s="14"/>
      <c r="Q100" s="14"/>
      <c r="R100" s="13"/>
      <c r="S100" s="13"/>
      <c r="T100" s="14"/>
      <c r="U100" s="14"/>
      <c r="V100" s="14"/>
      <c r="W100" s="13"/>
      <c r="X100" s="14"/>
      <c r="Y100" s="14"/>
      <c r="Z100" s="14"/>
    </row>
    <row r="101" spans="1:26" x14ac:dyDescent="0.25">
      <c r="A101" s="2">
        <v>160</v>
      </c>
      <c r="B101" s="2">
        <v>160</v>
      </c>
      <c r="C101" s="1" t="s">
        <v>1466</v>
      </c>
      <c r="D101" s="1" t="s">
        <v>1467</v>
      </c>
      <c r="E101" s="1">
        <v>6</v>
      </c>
      <c r="F101" s="1">
        <v>12090</v>
      </c>
      <c r="G101" s="1">
        <v>139.44499999999999</v>
      </c>
      <c r="H101" s="1">
        <v>3.879</v>
      </c>
      <c r="I101" s="1">
        <v>25.161000000000001</v>
      </c>
      <c r="K101" s="14">
        <f>AVERAGE(H101:H102)</f>
        <v>3.8864999999999998</v>
      </c>
      <c r="L101" s="14">
        <f>STDEV(H101:H102)</f>
        <v>1.06066017177983E-2</v>
      </c>
      <c r="M101" s="14"/>
      <c r="N101" s="15">
        <f>AVERAGE(F101,F102)</f>
        <v>11703.5</v>
      </c>
      <c r="O101" s="14"/>
      <c r="P101" s="14">
        <f>AVERAGE(I101:I102)</f>
        <v>25.191500000000001</v>
      </c>
      <c r="Q101" s="14">
        <f>STDEV(I101:I102)</f>
        <v>4.3133513652379357E-2</v>
      </c>
      <c r="R101" s="13"/>
      <c r="S101" s="13"/>
      <c r="T101" s="14">
        <f>K101-(B101-$A$121)*$AA$4</f>
        <v>3.9286253823529411</v>
      </c>
      <c r="U101" s="14">
        <f>T101-(N101-$N$121)*$AA$55</f>
        <v>3.951244676470588</v>
      </c>
      <c r="V101" s="14"/>
      <c r="W101" s="13"/>
      <c r="X101" s="14">
        <f>P101-(B101-$A$121)*$AL$5</f>
        <v>25.249881235294119</v>
      </c>
      <c r="Y101" s="14">
        <f>X101-(N101-$N$121)*$AL$54</f>
        <v>25.195689176470591</v>
      </c>
      <c r="Z101" s="14"/>
    </row>
    <row r="102" spans="1:26" x14ac:dyDescent="0.25">
      <c r="A102" s="2">
        <v>160</v>
      </c>
      <c r="B102" s="2">
        <v>160</v>
      </c>
      <c r="C102" s="1" t="s">
        <v>1466</v>
      </c>
      <c r="D102" s="1" t="s">
        <v>1467</v>
      </c>
      <c r="E102" s="1">
        <v>7</v>
      </c>
      <c r="F102" s="1">
        <v>11317</v>
      </c>
      <c r="G102" s="1">
        <v>129.435</v>
      </c>
      <c r="H102" s="1">
        <v>3.8940000000000001</v>
      </c>
      <c r="I102" s="1">
        <v>25.222000000000001</v>
      </c>
      <c r="K102" s="14"/>
      <c r="L102" s="14"/>
      <c r="M102" s="14"/>
      <c r="N102" s="15"/>
      <c r="O102" s="14"/>
      <c r="P102" s="14"/>
      <c r="Q102" s="14"/>
      <c r="R102" s="13"/>
      <c r="S102" s="13"/>
      <c r="T102" s="14"/>
      <c r="U102" s="14"/>
      <c r="V102" s="14"/>
      <c r="W102" s="13"/>
      <c r="X102" s="14"/>
      <c r="Y102" s="14"/>
      <c r="Z102" s="14"/>
    </row>
    <row r="103" spans="1:26" x14ac:dyDescent="0.25">
      <c r="A103" s="2">
        <v>161</v>
      </c>
      <c r="B103" s="2">
        <v>161</v>
      </c>
      <c r="C103" s="1" t="s">
        <v>1472</v>
      </c>
      <c r="D103" s="1" t="s">
        <v>340</v>
      </c>
      <c r="E103" s="1">
        <v>6</v>
      </c>
      <c r="F103" s="1">
        <v>13892</v>
      </c>
      <c r="G103" s="1">
        <v>162.37200000000001</v>
      </c>
      <c r="H103" s="1">
        <v>3.9220000000000002</v>
      </c>
      <c r="I103" s="1">
        <v>25.202999999999999</v>
      </c>
      <c r="K103" s="14">
        <f>AVERAGE(H103:H104)</f>
        <v>3.9320000000000004</v>
      </c>
      <c r="L103" s="14">
        <f>STDEV(H103:H104)</f>
        <v>1.4142135623730963E-2</v>
      </c>
      <c r="M103" s="14"/>
      <c r="N103" s="15">
        <f>AVERAGE(F103,F104)</f>
        <v>13372.5</v>
      </c>
      <c r="O103" s="14"/>
      <c r="P103" s="14">
        <f>AVERAGE(I103:I104)</f>
        <v>25.222000000000001</v>
      </c>
      <c r="Q103" s="14">
        <f>STDEV(I103:I104)</f>
        <v>2.6870057685088988E-2</v>
      </c>
      <c r="R103" s="13"/>
      <c r="S103" s="13"/>
      <c r="T103" s="14">
        <f>K103-(B103-$A$121)*$AA$4</f>
        <v>3.9748483823529415</v>
      </c>
      <c r="U103" s="14">
        <f>T103-(N103-$N$121)*$AA$55</f>
        <v>3.9814452764705885</v>
      </c>
      <c r="V103" s="14"/>
      <c r="W103" s="13"/>
      <c r="X103" s="14">
        <f>P103-(B103-$A$121)*$AL$5</f>
        <v>25.281383235294118</v>
      </c>
      <c r="Y103" s="14">
        <f>X103-(N103-$N$121)*$AL$54</f>
        <v>25.265578176470591</v>
      </c>
      <c r="Z103" s="14"/>
    </row>
    <row r="104" spans="1:26" x14ac:dyDescent="0.25">
      <c r="A104" s="2">
        <v>161</v>
      </c>
      <c r="B104" s="2">
        <v>161</v>
      </c>
      <c r="C104" s="1" t="s">
        <v>1472</v>
      </c>
      <c r="D104" s="1" t="s">
        <v>340</v>
      </c>
      <c r="E104" s="1">
        <v>7</v>
      </c>
      <c r="F104" s="1">
        <v>12853</v>
      </c>
      <c r="G104" s="1">
        <v>150.20099999999999</v>
      </c>
      <c r="H104" s="1">
        <v>3.9420000000000002</v>
      </c>
      <c r="I104" s="1">
        <v>25.241</v>
      </c>
      <c r="K104" s="14"/>
      <c r="L104" s="14"/>
      <c r="M104" s="14"/>
      <c r="N104" s="15"/>
      <c r="O104" s="14"/>
      <c r="P104" s="14"/>
      <c r="Q104" s="14"/>
      <c r="R104" s="13"/>
      <c r="S104" s="13"/>
      <c r="T104" s="14"/>
      <c r="U104" s="14"/>
      <c r="V104" s="14"/>
      <c r="W104" s="13"/>
      <c r="X104" s="14"/>
      <c r="Y104" s="14"/>
      <c r="Z104" s="14"/>
    </row>
    <row r="105" spans="1:26" x14ac:dyDescent="0.25">
      <c r="A105" s="2">
        <v>172</v>
      </c>
      <c r="B105" s="2">
        <v>172</v>
      </c>
      <c r="C105" s="1" t="s">
        <v>1522</v>
      </c>
      <c r="D105" s="1" t="s">
        <v>327</v>
      </c>
      <c r="E105" s="1">
        <v>6</v>
      </c>
      <c r="F105" s="1">
        <v>17421</v>
      </c>
      <c r="G105" s="1">
        <v>203.38200000000001</v>
      </c>
      <c r="H105" s="1">
        <v>3.9350000000000001</v>
      </c>
      <c r="I105" s="1">
        <v>25.076000000000001</v>
      </c>
      <c r="K105" s="14">
        <f>AVERAGE(H105:H106)</f>
        <v>3.9470000000000001</v>
      </c>
      <c r="L105" s="14">
        <f>STDEV(H105:H106)</f>
        <v>1.6970562748477157E-2</v>
      </c>
      <c r="M105" s="14"/>
      <c r="N105" s="15">
        <f>AVERAGE(F105,F106)</f>
        <v>16730.5</v>
      </c>
      <c r="O105" s="14"/>
      <c r="P105" s="14">
        <f>AVERAGE(I105:I106)</f>
        <v>25.096499999999999</v>
      </c>
      <c r="Q105" s="14">
        <f>STDEV(I105:I106)</f>
        <v>2.8991378028648707E-2</v>
      </c>
      <c r="R105" s="13"/>
      <c r="S105" s="13"/>
      <c r="T105" s="14">
        <f>K105-(B105-$A$121)*$AA$4</f>
        <v>3.9978013823529412</v>
      </c>
      <c r="U105" s="14">
        <f>T105-(N105-$N$121)*$AA$55</f>
        <v>3.9721614764705881</v>
      </c>
      <c r="V105" s="14"/>
      <c r="W105" s="13"/>
      <c r="X105" s="14">
        <f>P105-(B105-$A$121)*$AL$5</f>
        <v>25.166905235294116</v>
      </c>
      <c r="Y105" s="14">
        <f>X105-(N105-$N$121)*$AL$54</f>
        <v>25.228334176470586</v>
      </c>
      <c r="Z105" s="14"/>
    </row>
    <row r="106" spans="1:26" x14ac:dyDescent="0.25">
      <c r="A106" s="2">
        <v>172</v>
      </c>
      <c r="B106" s="2">
        <v>172</v>
      </c>
      <c r="C106" s="1" t="s">
        <v>1522</v>
      </c>
      <c r="D106" s="1" t="s">
        <v>327</v>
      </c>
      <c r="E106" s="1">
        <v>7</v>
      </c>
      <c r="F106" s="1">
        <v>16040</v>
      </c>
      <c r="G106" s="1">
        <v>187.54300000000001</v>
      </c>
      <c r="H106" s="1">
        <v>3.9590000000000001</v>
      </c>
      <c r="I106" s="1">
        <v>25.117000000000001</v>
      </c>
      <c r="K106" s="14"/>
      <c r="L106" s="14"/>
      <c r="M106" s="14"/>
      <c r="N106" s="15"/>
      <c r="O106" s="14"/>
      <c r="P106" s="14"/>
      <c r="Q106" s="14"/>
      <c r="R106" s="13"/>
      <c r="S106" s="13"/>
      <c r="T106" s="14"/>
      <c r="U106" s="14"/>
      <c r="V106" s="14"/>
      <c r="W106" s="13"/>
      <c r="X106" s="14"/>
      <c r="Y106" s="14"/>
      <c r="Z106" s="14"/>
    </row>
    <row r="107" spans="1:26" x14ac:dyDescent="0.25">
      <c r="A107" s="2">
        <v>173</v>
      </c>
      <c r="B107" s="2">
        <v>173</v>
      </c>
      <c r="C107" s="1" t="s">
        <v>1527</v>
      </c>
      <c r="D107" s="1" t="s">
        <v>632</v>
      </c>
      <c r="E107" s="1">
        <v>6</v>
      </c>
      <c r="F107" s="1">
        <v>11447</v>
      </c>
      <c r="G107" s="1">
        <v>129.47999999999999</v>
      </c>
      <c r="H107" s="1">
        <v>3.8079999999999998</v>
      </c>
      <c r="I107" s="1">
        <v>25.157</v>
      </c>
      <c r="K107" s="14">
        <f>AVERAGE(H107:H108)</f>
        <v>3.8419999999999996</v>
      </c>
      <c r="L107" s="14">
        <f>STDEV(H107:H108)</f>
        <v>4.8083261120685276E-2</v>
      </c>
      <c r="M107" s="14"/>
      <c r="N107" s="15">
        <f>AVERAGE(F107,F108)</f>
        <v>11093</v>
      </c>
      <c r="O107" s="14"/>
      <c r="P107" s="14">
        <f>AVERAGE(I107:I108)</f>
        <v>25.172000000000001</v>
      </c>
      <c r="Q107" s="14">
        <f>STDEV(I107:I108)</f>
        <v>2.1213203435597228E-2</v>
      </c>
      <c r="R107" s="13"/>
      <c r="S107" s="13"/>
      <c r="T107" s="14">
        <f>K107-(B107-$A$121)*$AA$4</f>
        <v>3.8935243823529406</v>
      </c>
      <c r="U107" s="14">
        <f>T107-(N107-$N$121)*$AA$55</f>
        <v>3.9220044764705877</v>
      </c>
      <c r="V107" s="14"/>
      <c r="W107" s="13"/>
      <c r="X107" s="14">
        <f>P107-(B107-$A$121)*$AL$5</f>
        <v>25.243407235294118</v>
      </c>
      <c r="Y107" s="14">
        <f>X107-(N107-$N$121)*$AL$54</f>
        <v>25.175173676470589</v>
      </c>
      <c r="Z107" s="14"/>
    </row>
    <row r="108" spans="1:26" x14ac:dyDescent="0.25">
      <c r="A108" s="2">
        <v>173</v>
      </c>
      <c r="B108" s="2">
        <v>173</v>
      </c>
      <c r="C108" s="1" t="s">
        <v>1527</v>
      </c>
      <c r="D108" s="1" t="s">
        <v>632</v>
      </c>
      <c r="E108" s="1">
        <v>7</v>
      </c>
      <c r="F108" s="1">
        <v>10739</v>
      </c>
      <c r="G108" s="1">
        <v>120.542</v>
      </c>
      <c r="H108" s="1">
        <v>3.8759999999999999</v>
      </c>
      <c r="I108" s="1">
        <v>25.187000000000001</v>
      </c>
      <c r="K108" s="14"/>
      <c r="L108" s="14"/>
      <c r="M108" s="14"/>
      <c r="N108" s="15"/>
      <c r="O108" s="14"/>
      <c r="P108" s="14"/>
      <c r="Q108" s="14"/>
      <c r="R108" s="13"/>
      <c r="S108" s="13"/>
      <c r="T108" s="14"/>
      <c r="U108" s="14"/>
      <c r="V108" s="14"/>
      <c r="W108" s="13"/>
      <c r="X108" s="14"/>
      <c r="Y108" s="14"/>
      <c r="Z108" s="14"/>
    </row>
    <row r="109" spans="1:26" x14ac:dyDescent="0.25">
      <c r="A109" s="2">
        <v>184</v>
      </c>
      <c r="B109" s="2">
        <v>184</v>
      </c>
      <c r="C109" s="1" t="s">
        <v>1579</v>
      </c>
      <c r="D109" s="1" t="s">
        <v>586</v>
      </c>
      <c r="E109" s="1">
        <v>6</v>
      </c>
      <c r="F109" s="1">
        <v>17561</v>
      </c>
      <c r="G109" s="1">
        <v>194.97800000000001</v>
      </c>
      <c r="H109" s="1">
        <v>3.92</v>
      </c>
      <c r="I109" s="1">
        <v>24.709</v>
      </c>
      <c r="K109" s="14">
        <f>AVERAGE(H109:H110)</f>
        <v>3.9464999999999999</v>
      </c>
      <c r="L109" s="14">
        <f>STDEV(H109:H110)</f>
        <v>3.7476659402886976E-2</v>
      </c>
      <c r="M109" s="14"/>
      <c r="N109" s="15">
        <f>AVERAGE(F109,F110)</f>
        <v>16951</v>
      </c>
      <c r="O109" s="14"/>
      <c r="P109" s="14">
        <f>AVERAGE(I109:I110)</f>
        <v>24.740000000000002</v>
      </c>
      <c r="Q109" s="14">
        <f>STDEV(I109:I110)</f>
        <v>4.384062043356677E-2</v>
      </c>
      <c r="R109" s="13"/>
      <c r="S109" s="13"/>
      <c r="T109" s="14">
        <f>K109-(B109-$A$121)*$AA$4</f>
        <v>4.005977382352941</v>
      </c>
      <c r="U109" s="14">
        <f>T109-(N109-$N$121)*$AA$55</f>
        <v>3.9782206764705879</v>
      </c>
      <c r="V109" s="14"/>
      <c r="W109" s="13"/>
      <c r="X109" s="14">
        <f>P109-(B109-$A$121)*$AL$5</f>
        <v>24.82242923529412</v>
      </c>
      <c r="Y109" s="14">
        <f>X109-(N109-$N$121)*$AL$54</f>
        <v>24.888929676470589</v>
      </c>
      <c r="Z109" s="14"/>
    </row>
    <row r="110" spans="1:26" x14ac:dyDescent="0.25">
      <c r="A110" s="2">
        <v>184</v>
      </c>
      <c r="B110" s="2">
        <v>184</v>
      </c>
      <c r="C110" s="1" t="s">
        <v>1579</v>
      </c>
      <c r="D110" s="1" t="s">
        <v>586</v>
      </c>
      <c r="E110" s="1">
        <v>7</v>
      </c>
      <c r="F110" s="1">
        <v>16341</v>
      </c>
      <c r="G110" s="1">
        <v>181.12700000000001</v>
      </c>
      <c r="H110" s="1">
        <v>3.9729999999999999</v>
      </c>
      <c r="I110" s="1">
        <v>24.771000000000001</v>
      </c>
      <c r="K110" s="14"/>
      <c r="L110" s="14"/>
      <c r="M110" s="14"/>
      <c r="N110" s="15"/>
      <c r="O110" s="14"/>
      <c r="P110" s="14"/>
      <c r="Q110" s="14"/>
      <c r="R110" s="13"/>
      <c r="S110" s="13"/>
      <c r="T110" s="14"/>
      <c r="U110" s="14"/>
      <c r="V110" s="14"/>
      <c r="W110" s="13"/>
      <c r="X110" s="14"/>
      <c r="Y110" s="14"/>
      <c r="Z110" s="14"/>
    </row>
    <row r="111" spans="1:26" x14ac:dyDescent="0.25">
      <c r="A111" s="2">
        <v>185</v>
      </c>
      <c r="B111" s="2">
        <v>185</v>
      </c>
      <c r="C111" s="1" t="s">
        <v>1585</v>
      </c>
      <c r="D111" s="1" t="s">
        <v>220</v>
      </c>
      <c r="E111" s="1">
        <v>6</v>
      </c>
      <c r="F111" s="1">
        <v>9241</v>
      </c>
      <c r="G111" s="1">
        <v>108.96899999999999</v>
      </c>
      <c r="H111" s="1">
        <v>3.823</v>
      </c>
      <c r="I111" s="1">
        <v>25.202999999999999</v>
      </c>
      <c r="K111" s="14">
        <f>AVERAGE(H111:H112)</f>
        <v>3.8579999999999997</v>
      </c>
      <c r="L111" s="14">
        <f>STDEV(H111:H112)</f>
        <v>4.9497474683058214E-2</v>
      </c>
      <c r="M111" s="14"/>
      <c r="N111" s="15">
        <f>AVERAGE(F111,F112)</f>
        <v>8909</v>
      </c>
      <c r="O111" s="14"/>
      <c r="P111" s="14">
        <f>AVERAGE(I111:I112)</f>
        <v>25.225000000000001</v>
      </c>
      <c r="Q111" s="14">
        <f>STDEV(I111:I112)</f>
        <v>3.1112698372208432E-2</v>
      </c>
      <c r="R111" s="13"/>
      <c r="S111" s="13"/>
      <c r="T111" s="14">
        <f>K111-(B111-$A$121)*$AA$4</f>
        <v>3.918200382352941</v>
      </c>
      <c r="U111" s="14">
        <f>T111-(N111-$N$121)*$AA$55</f>
        <v>3.9676468764705879</v>
      </c>
      <c r="V111" s="14"/>
      <c r="W111" s="13"/>
      <c r="X111" s="14">
        <f>P111-(B111-$A$121)*$AL$5</f>
        <v>25.308431235294119</v>
      </c>
      <c r="Y111" s="14">
        <f>X111-(N111-$N$121)*$AL$54</f>
        <v>25.189965676470589</v>
      </c>
      <c r="Z111" s="14"/>
    </row>
    <row r="112" spans="1:26" x14ac:dyDescent="0.25">
      <c r="A112" s="2">
        <v>185</v>
      </c>
      <c r="B112" s="2">
        <v>185</v>
      </c>
      <c r="C112" s="1" t="s">
        <v>1585</v>
      </c>
      <c r="D112" s="1" t="s">
        <v>220</v>
      </c>
      <c r="E112" s="1">
        <v>7</v>
      </c>
      <c r="F112" s="1">
        <v>8577</v>
      </c>
      <c r="G112" s="1">
        <v>100.68300000000001</v>
      </c>
      <c r="H112" s="1">
        <v>3.8929999999999998</v>
      </c>
      <c r="I112" s="1">
        <v>25.247</v>
      </c>
      <c r="K112" s="14"/>
      <c r="L112" s="14"/>
      <c r="M112" s="14"/>
      <c r="N112" s="15"/>
      <c r="O112" s="14"/>
      <c r="P112" s="14"/>
      <c r="Q112" s="14"/>
      <c r="R112" s="13"/>
      <c r="S112" s="13"/>
      <c r="T112" s="14"/>
      <c r="U112" s="14"/>
      <c r="V112" s="14"/>
      <c r="W112" s="13"/>
      <c r="X112" s="14"/>
      <c r="Y112" s="14"/>
      <c r="Z112" s="14"/>
    </row>
    <row r="113" spans="1:26" x14ac:dyDescent="0.25">
      <c r="A113" s="2">
        <v>196</v>
      </c>
      <c r="B113" s="2">
        <v>196</v>
      </c>
      <c r="C113" s="1" t="s">
        <v>1642</v>
      </c>
      <c r="D113" s="1" t="s">
        <v>1643</v>
      </c>
      <c r="E113" s="1">
        <v>6</v>
      </c>
      <c r="F113" s="1">
        <v>16308</v>
      </c>
      <c r="G113" s="1">
        <v>190.09</v>
      </c>
      <c r="H113" s="1">
        <v>3.9239999999999999</v>
      </c>
      <c r="I113" s="1">
        <v>25.181000000000001</v>
      </c>
      <c r="K113" s="14">
        <f>AVERAGE(H113:H114)</f>
        <v>3.9584999999999999</v>
      </c>
      <c r="L113" s="14">
        <f>STDEV(H113:H114)</f>
        <v>4.8790367901871745E-2</v>
      </c>
      <c r="M113" s="14"/>
      <c r="N113" s="15">
        <f>AVERAGE(F113,F114)</f>
        <v>15711.5</v>
      </c>
      <c r="O113" s="14"/>
      <c r="P113" s="14">
        <f>AVERAGE(I113:I114)</f>
        <v>25.1875</v>
      </c>
      <c r="Q113" s="14">
        <f>STDEV(I113:I114)</f>
        <v>9.1923881554237911E-3</v>
      </c>
      <c r="R113" s="13"/>
      <c r="S113" s="13"/>
      <c r="T113" s="14">
        <f>K113-(B113-$A$121)*$AA$4</f>
        <v>4.0266533823529409</v>
      </c>
      <c r="U113" s="14">
        <f>T113-(N113-$N$121)*$AA$55</f>
        <v>4.0107958764705876</v>
      </c>
      <c r="V113" s="14"/>
      <c r="W113" s="13"/>
      <c r="X113" s="14">
        <f>P113-(B113-$A$121)*$AL$5</f>
        <v>25.281953235294118</v>
      </c>
      <c r="Y113" s="14">
        <f>X113-(N113-$N$121)*$AL$54</f>
        <v>25.31994517647059</v>
      </c>
      <c r="Z113" s="14"/>
    </row>
    <row r="114" spans="1:26" x14ac:dyDescent="0.25">
      <c r="A114" s="2">
        <v>196</v>
      </c>
      <c r="B114" s="2">
        <v>196</v>
      </c>
      <c r="C114" s="1" t="s">
        <v>1642</v>
      </c>
      <c r="D114" s="1" t="s">
        <v>1643</v>
      </c>
      <c r="E114" s="1">
        <v>7</v>
      </c>
      <c r="F114" s="1">
        <v>15115</v>
      </c>
      <c r="G114" s="1">
        <v>175.61199999999999</v>
      </c>
      <c r="H114" s="1">
        <v>3.9929999999999999</v>
      </c>
      <c r="I114" s="1">
        <v>25.193999999999999</v>
      </c>
      <c r="K114" s="14"/>
      <c r="L114" s="14"/>
      <c r="M114" s="14"/>
      <c r="N114" s="15"/>
      <c r="O114" s="14"/>
      <c r="P114" s="14"/>
      <c r="Q114" s="14"/>
      <c r="R114" s="13"/>
      <c r="S114" s="13"/>
      <c r="T114" s="14"/>
      <c r="U114" s="14"/>
      <c r="V114" s="14"/>
      <c r="W114" s="13"/>
      <c r="X114" s="14"/>
      <c r="Y114" s="14"/>
      <c r="Z114" s="14"/>
    </row>
    <row r="115" spans="1:26" x14ac:dyDescent="0.25">
      <c r="A115" s="2">
        <v>197</v>
      </c>
      <c r="B115" s="2">
        <v>197</v>
      </c>
      <c r="C115" s="1" t="s">
        <v>1647</v>
      </c>
      <c r="D115" s="1" t="s">
        <v>403</v>
      </c>
      <c r="E115" s="1">
        <v>6</v>
      </c>
      <c r="F115" s="1">
        <v>14207</v>
      </c>
      <c r="G115" s="1">
        <v>160.464</v>
      </c>
      <c r="H115" s="1">
        <v>3.8849999999999998</v>
      </c>
      <c r="I115" s="1">
        <v>25.135999999999999</v>
      </c>
      <c r="K115" s="14">
        <f>AVERAGE(H115:H116)</f>
        <v>3.915</v>
      </c>
      <c r="L115" s="14">
        <f>STDEV(H115:H116)</f>
        <v>4.2426406871192889E-2</v>
      </c>
      <c r="M115" s="14"/>
      <c r="N115" s="15">
        <f>AVERAGE(F115,F116)</f>
        <v>13619</v>
      </c>
      <c r="O115" s="14"/>
      <c r="P115" s="14">
        <f>AVERAGE(I115:I116)</f>
        <v>25.148499999999999</v>
      </c>
      <c r="Q115" s="14">
        <f>STDEV(I115:I116)</f>
        <v>1.7677669529665197E-2</v>
      </c>
      <c r="R115" s="13"/>
      <c r="S115" s="13"/>
      <c r="T115" s="14">
        <f>K115-(B115-$A$121)*$AA$4</f>
        <v>3.9838763823529413</v>
      </c>
      <c r="U115" s="14">
        <f>T115-(N115-$N$121)*$AA$55</f>
        <v>3.9881068764705883</v>
      </c>
      <c r="V115" s="14"/>
      <c r="W115" s="13"/>
      <c r="X115" s="14">
        <f>P115-(B115-$A$121)*$AL$5</f>
        <v>25.243955235294116</v>
      </c>
      <c r="Y115" s="14">
        <f>X115-(N115-$N$121)*$AL$54</f>
        <v>25.233819676470588</v>
      </c>
      <c r="Z115" s="14"/>
    </row>
    <row r="116" spans="1:26" x14ac:dyDescent="0.25">
      <c r="A116" s="2">
        <v>197</v>
      </c>
      <c r="B116" s="2">
        <v>197</v>
      </c>
      <c r="C116" s="1" t="s">
        <v>1647</v>
      </c>
      <c r="D116" s="1" t="s">
        <v>403</v>
      </c>
      <c r="E116" s="1">
        <v>7</v>
      </c>
      <c r="F116" s="1">
        <v>13031</v>
      </c>
      <c r="G116" s="1">
        <v>147.99</v>
      </c>
      <c r="H116" s="1">
        <v>3.9449999999999998</v>
      </c>
      <c r="I116" s="1">
        <v>25.161000000000001</v>
      </c>
      <c r="K116" s="14"/>
      <c r="L116" s="14"/>
      <c r="M116" s="14"/>
      <c r="N116" s="15"/>
      <c r="O116" s="14"/>
      <c r="P116" s="14"/>
      <c r="Q116" s="14"/>
      <c r="R116" s="13"/>
      <c r="S116" s="13"/>
      <c r="T116" s="14"/>
      <c r="U116" s="14"/>
      <c r="V116" s="14"/>
      <c r="W116" s="13"/>
      <c r="X116" s="14"/>
      <c r="Y116" s="14"/>
      <c r="Z116" s="14"/>
    </row>
    <row r="117" spans="1:26" x14ac:dyDescent="0.25">
      <c r="A117" s="2"/>
      <c r="K117" s="14"/>
      <c r="L117" s="14"/>
      <c r="M117" s="14"/>
      <c r="N117" s="15"/>
      <c r="O117" s="14"/>
      <c r="P117" s="14"/>
      <c r="Q117" s="14"/>
      <c r="R117" s="13"/>
      <c r="S117" s="13"/>
      <c r="T117" s="14"/>
      <c r="U117" s="14"/>
      <c r="V117" s="14"/>
      <c r="W117" s="13"/>
      <c r="X117" s="14"/>
      <c r="Y117" s="14"/>
      <c r="Z117" s="14"/>
    </row>
    <row r="118" spans="1:26" x14ac:dyDescent="0.25">
      <c r="K118" s="14"/>
      <c r="L118" s="14"/>
      <c r="M118" s="14"/>
      <c r="N118" s="15"/>
      <c r="O118" s="14"/>
      <c r="P118" s="14"/>
      <c r="Q118" s="14"/>
      <c r="R118" s="13"/>
      <c r="S118" s="13"/>
      <c r="T118" s="14"/>
      <c r="U118" s="14"/>
      <c r="V118" s="14"/>
      <c r="W118" s="13"/>
      <c r="X118" s="14"/>
      <c r="Y118" s="14"/>
      <c r="Z118" s="14"/>
    </row>
    <row r="119" spans="1:26" x14ac:dyDescent="0.25">
      <c r="K119" s="3">
        <f>AVERAGE(K49:K115)</f>
        <v>3.9484264705882359</v>
      </c>
      <c r="L119" s="14"/>
      <c r="M119" s="14"/>
      <c r="N119" s="15"/>
      <c r="O119" s="14"/>
      <c r="P119" s="14"/>
      <c r="Q119" s="14"/>
      <c r="R119" s="13"/>
      <c r="S119" s="13"/>
      <c r="T119" s="14"/>
      <c r="U119" s="14"/>
      <c r="V119" s="14"/>
      <c r="W119" s="13"/>
      <c r="X119" s="14"/>
      <c r="Y119" s="14"/>
      <c r="Z119" s="14"/>
    </row>
    <row r="120" spans="1:26" x14ac:dyDescent="0.25">
      <c r="K120" s="3">
        <f>STDEV(K49:K115)</f>
        <v>6.4140250251439532E-2</v>
      </c>
      <c r="L120" s="14"/>
      <c r="M120" s="14"/>
      <c r="N120" s="15"/>
      <c r="O120" s="14"/>
      <c r="P120" s="14"/>
      <c r="Q120" s="14"/>
      <c r="R120" s="13"/>
      <c r="S120" s="13"/>
      <c r="T120" s="14"/>
      <c r="U120" s="14"/>
      <c r="V120" s="14"/>
      <c r="W120" s="13"/>
      <c r="X120" s="14"/>
      <c r="Y120" s="14"/>
      <c r="Z120" s="14"/>
    </row>
    <row r="121" spans="1:26" x14ac:dyDescent="0.25">
      <c r="A121" s="82">
        <f>AVERAGE(A49:A116)</f>
        <v>101.73529411764706</v>
      </c>
      <c r="K121" s="14"/>
      <c r="L121" s="14"/>
      <c r="M121" s="14"/>
      <c r="N121" s="82">
        <f>AVERAGE(N49:N115)</f>
        <v>14059.676470588236</v>
      </c>
      <c r="O121" s="14"/>
      <c r="P121" s="14"/>
      <c r="Q121" s="14"/>
      <c r="R121" s="13"/>
      <c r="S121" s="13"/>
      <c r="T121" s="14"/>
      <c r="U121" s="14"/>
      <c r="V121" s="14"/>
      <c r="W121" s="13"/>
      <c r="X121" s="14"/>
      <c r="Y121" s="14"/>
      <c r="Z121" s="14"/>
    </row>
    <row r="122" spans="1:26" ht="15.75" thickBot="1" x14ac:dyDescent="0.3">
      <c r="A122" s="2"/>
      <c r="K122" s="14"/>
      <c r="L122" s="14"/>
      <c r="M122" s="14"/>
      <c r="N122" s="15"/>
      <c r="O122" s="14"/>
      <c r="P122" s="14"/>
      <c r="Q122" s="14"/>
      <c r="R122" s="13"/>
      <c r="S122" s="13"/>
      <c r="T122" s="18"/>
      <c r="U122" s="18"/>
      <c r="V122" s="55"/>
      <c r="W122" s="56"/>
      <c r="X122" s="18"/>
      <c r="Y122" s="55"/>
      <c r="Z122" s="14"/>
    </row>
    <row r="123" spans="1:26" s="57" customFormat="1" x14ac:dyDescent="0.25">
      <c r="J123" s="56"/>
      <c r="K123" s="55"/>
      <c r="L123" s="55"/>
      <c r="M123" s="55"/>
      <c r="O123" s="55"/>
      <c r="P123" s="55">
        <f>AVERAGE(P49:P115)</f>
        <v>25.185691176470591</v>
      </c>
      <c r="Q123" s="55"/>
      <c r="R123" s="56"/>
      <c r="S123" s="56"/>
      <c r="T123" s="55">
        <f>AVERAGE(T49:T115)</f>
        <v>3.9484264705882346</v>
      </c>
      <c r="U123" s="175">
        <f>AVERAGE(U49:U115)</f>
        <v>3.948426470588235</v>
      </c>
      <c r="V123" s="55"/>
      <c r="W123" s="56"/>
      <c r="X123" s="55">
        <f>AVERAGE(X49:X115)</f>
        <v>25.185691176470595</v>
      </c>
      <c r="Y123" s="175">
        <f>AVERAGE(Y49:Y115)</f>
        <v>25.185691176470595</v>
      </c>
      <c r="Z123" s="55"/>
    </row>
    <row r="124" spans="1:26" s="57" customFormat="1" ht="15.75" thickBot="1" x14ac:dyDescent="0.3">
      <c r="J124" s="56"/>
      <c r="K124" s="55"/>
      <c r="L124" s="55"/>
      <c r="M124" s="55"/>
      <c r="N124" s="82"/>
      <c r="O124" s="55"/>
      <c r="P124" s="55">
        <f>STDEV(P49:P115)</f>
        <v>0.12814450973151953</v>
      </c>
      <c r="Q124" s="55"/>
      <c r="R124" s="56"/>
      <c r="S124" s="56"/>
      <c r="T124" s="55">
        <f>STDEV(T49:T115)</f>
        <v>4.8009970640178069E-2</v>
      </c>
      <c r="U124" s="176">
        <f>STDEV(U49:U115)</f>
        <v>3.8306763760273622E-2</v>
      </c>
      <c r="V124" s="55"/>
      <c r="W124" s="56"/>
      <c r="X124" s="55">
        <f>STDEV(X49:X115)</f>
        <v>0.11378589025857214</v>
      </c>
      <c r="Y124" s="176">
        <f>STDEV(Y49:Y115)</f>
        <v>8.9531689639885295E-2</v>
      </c>
      <c r="Z124" s="55"/>
    </row>
    <row r="125" spans="1:26" s="57" customFormat="1" x14ac:dyDescent="0.25">
      <c r="J125" s="56"/>
      <c r="K125" s="55"/>
      <c r="L125" s="55"/>
      <c r="M125" s="55"/>
      <c r="N125" s="82"/>
      <c r="O125" s="55"/>
      <c r="P125" s="55"/>
      <c r="Q125" s="55"/>
      <c r="R125" s="56"/>
      <c r="S125" s="56"/>
      <c r="T125" s="55"/>
      <c r="U125" s="55"/>
      <c r="V125" s="55"/>
      <c r="W125" s="56"/>
      <c r="X125" s="55"/>
      <c r="Y125" s="55"/>
      <c r="Z125" s="55"/>
    </row>
    <row r="126" spans="1:26" s="10" customFormat="1" ht="15.75" thickBot="1" x14ac:dyDescent="0.3">
      <c r="A126" s="81"/>
      <c r="J126" s="79"/>
      <c r="K126" s="80"/>
      <c r="L126" s="80"/>
      <c r="M126" s="80"/>
      <c r="N126" s="81"/>
      <c r="O126" s="80"/>
      <c r="P126" s="80"/>
      <c r="Q126" s="80"/>
      <c r="R126" s="79"/>
      <c r="S126" s="79"/>
      <c r="Z126" s="80"/>
    </row>
    <row r="131" spans="17:39" ht="15.75" thickBot="1" x14ac:dyDescent="0.3">
      <c r="R131" s="10"/>
      <c r="S131" s="10"/>
      <c r="T131" s="10"/>
      <c r="U131" s="10"/>
    </row>
    <row r="132" spans="17:39" x14ac:dyDescent="0.25">
      <c r="Q132" s="6"/>
      <c r="R132" s="41" t="s">
        <v>19</v>
      </c>
      <c r="S132" s="42" t="s">
        <v>20</v>
      </c>
      <c r="T132" s="42" t="s">
        <v>21</v>
      </c>
      <c r="U132" s="43" t="s">
        <v>22</v>
      </c>
    </row>
    <row r="133" spans="17:39" x14ac:dyDescent="0.25">
      <c r="Q133" s="7" t="s">
        <v>23</v>
      </c>
      <c r="R133" s="2">
        <v>-5.0140000000000002</v>
      </c>
      <c r="S133" s="3">
        <f>U21</f>
        <v>-5.489668923529412</v>
      </c>
      <c r="T133" s="2">
        <v>7.2</v>
      </c>
      <c r="U133" s="8">
        <f>Y21</f>
        <v>5.7246817389705882</v>
      </c>
      <c r="W133" s="3"/>
      <c r="X133" s="3"/>
    </row>
    <row r="134" spans="17:39" x14ac:dyDescent="0.25">
      <c r="Q134" s="7" t="s">
        <v>24</v>
      </c>
      <c r="R134" s="2">
        <v>1.95</v>
      </c>
      <c r="S134" s="3">
        <f>U43</f>
        <v>1.4492342764705881</v>
      </c>
      <c r="T134" s="2">
        <v>28.6</v>
      </c>
      <c r="U134" s="8">
        <f>Y43</f>
        <v>27.200105613970585</v>
      </c>
      <c r="W134" s="3"/>
      <c r="X134" s="3"/>
    </row>
    <row r="135" spans="17:39" ht="15.75" thickBot="1" x14ac:dyDescent="0.3">
      <c r="Q135" s="9" t="s">
        <v>0</v>
      </c>
      <c r="R135" s="10">
        <v>4.49</v>
      </c>
      <c r="S135" s="11">
        <f>U123</f>
        <v>3.948426470588235</v>
      </c>
      <c r="T135" s="10">
        <v>26.5</v>
      </c>
      <c r="U135" s="12">
        <f>Y123</f>
        <v>25.185691176470595</v>
      </c>
      <c r="W135" s="3"/>
      <c r="X135" s="3"/>
      <c r="AA135" s="13"/>
    </row>
    <row r="137" spans="17:39" x14ac:dyDescent="0.25">
      <c r="AM137" s="13"/>
    </row>
    <row r="138" spans="17:39" x14ac:dyDescent="0.25">
      <c r="AM138" s="13"/>
    </row>
    <row r="156" spans="12:20" ht="16.5" x14ac:dyDescent="0.25">
      <c r="L156" s="44" t="s">
        <v>25</v>
      </c>
      <c r="M156" s="44"/>
      <c r="N156" s="44"/>
      <c r="O156" s="45">
        <f>SLOPE(R133:R135,S133:S135)</f>
        <v>1.0062600707713028</v>
      </c>
      <c r="P156" s="44"/>
      <c r="Q156" s="44"/>
      <c r="R156" s="44"/>
      <c r="S156" s="44" t="s">
        <v>25</v>
      </c>
      <c r="T156" s="45">
        <f>SLOPE(T133:T135,U133:U135)</f>
        <v>0.99457244597196892</v>
      </c>
    </row>
    <row r="157" spans="12:20" ht="16.5" x14ac:dyDescent="0.25">
      <c r="L157" s="44" t="s">
        <v>26</v>
      </c>
      <c r="M157" s="44"/>
      <c r="N157" s="44"/>
      <c r="O157" s="44">
        <f>INTERCEPT(R133:R135,S133:S135)</f>
        <v>0.50619471805561111</v>
      </c>
      <c r="P157" s="44"/>
      <c r="Q157" s="44"/>
      <c r="R157" s="44"/>
      <c r="S157" s="44" t="s">
        <v>26</v>
      </c>
      <c r="T157" s="44">
        <f>INTERCEPT(T133:T135,U133:U135)</f>
        <v>1.5016397441337865</v>
      </c>
    </row>
    <row r="158" spans="12:20" ht="19.5" x14ac:dyDescent="0.25">
      <c r="L158" s="44" t="s">
        <v>124</v>
      </c>
      <c r="M158" s="44"/>
      <c r="N158" s="44"/>
      <c r="O158" s="46">
        <f>RSQ(R133:R135,S133:S135)</f>
        <v>0.99999300571852401</v>
      </c>
      <c r="P158" s="44"/>
      <c r="Q158" s="44"/>
      <c r="R158" s="44"/>
      <c r="S158" s="44" t="s">
        <v>124</v>
      </c>
      <c r="T158" s="46">
        <f>RSQ(T133:T135,U133:U135)</f>
        <v>0.99998314045449155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F21D-4149-4765-9B2D-09520252EEA7}">
  <dimension ref="A1:I103"/>
  <sheetViews>
    <sheetView zoomScaleNormal="100" workbookViewId="0">
      <selection activeCell="A70" sqref="A70:I103"/>
    </sheetView>
  </sheetViews>
  <sheetFormatPr defaultColWidth="8.85546875" defaultRowHeight="15" x14ac:dyDescent="0.25"/>
  <cols>
    <col min="1" max="16384" width="8.85546875" style="2"/>
  </cols>
  <sheetData>
    <row r="1" spans="1:9" x14ac:dyDescent="0.25">
      <c r="A1" s="1" t="s">
        <v>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>
        <v>2</v>
      </c>
      <c r="B3" s="1">
        <v>2</v>
      </c>
      <c r="C3" s="1" t="s">
        <v>495</v>
      </c>
      <c r="D3" s="1" t="s">
        <v>496</v>
      </c>
      <c r="E3" s="1">
        <v>6</v>
      </c>
      <c r="F3" s="1">
        <v>11410</v>
      </c>
      <c r="G3" s="1">
        <v>141.34299999999999</v>
      </c>
      <c r="H3" s="1">
        <v>-5.4560000000000004</v>
      </c>
      <c r="I3" s="1">
        <v>5.806</v>
      </c>
    </row>
    <row r="4" spans="1:9" x14ac:dyDescent="0.25">
      <c r="A4" s="1">
        <v>2</v>
      </c>
      <c r="B4" s="1">
        <v>2</v>
      </c>
      <c r="C4" s="1" t="s">
        <v>495</v>
      </c>
      <c r="D4" s="1" t="s">
        <v>496</v>
      </c>
      <c r="E4" s="1">
        <v>7</v>
      </c>
      <c r="F4" s="1">
        <v>10693</v>
      </c>
      <c r="G4" s="1">
        <v>131.62899999999999</v>
      </c>
      <c r="H4" s="1">
        <v>-5.4210000000000003</v>
      </c>
      <c r="I4" s="1">
        <v>5.7930000000000001</v>
      </c>
    </row>
    <row r="5" spans="1:9" x14ac:dyDescent="0.25">
      <c r="A5" s="1">
        <v>3</v>
      </c>
      <c r="B5" s="1">
        <v>3</v>
      </c>
      <c r="C5" s="1" t="s">
        <v>502</v>
      </c>
      <c r="D5" s="1" t="s">
        <v>503</v>
      </c>
      <c r="E5" s="1">
        <v>6</v>
      </c>
      <c r="F5" s="1">
        <v>15181</v>
      </c>
      <c r="G5" s="1">
        <v>185.80799999999999</v>
      </c>
      <c r="H5" s="1">
        <v>-5.4480000000000004</v>
      </c>
      <c r="I5" s="1">
        <v>5.7960000000000003</v>
      </c>
    </row>
    <row r="6" spans="1:9" x14ac:dyDescent="0.25">
      <c r="A6" s="1">
        <v>3</v>
      </c>
      <c r="B6" s="1">
        <v>3</v>
      </c>
      <c r="C6" s="1" t="s">
        <v>502</v>
      </c>
      <c r="D6" s="1" t="s">
        <v>503</v>
      </c>
      <c r="E6" s="1">
        <v>7</v>
      </c>
      <c r="F6" s="1">
        <v>14111</v>
      </c>
      <c r="G6" s="1">
        <v>173.148</v>
      </c>
      <c r="H6" s="1">
        <v>-5.407</v>
      </c>
      <c r="I6" s="1">
        <v>5.81</v>
      </c>
    </row>
    <row r="7" spans="1:9" x14ac:dyDescent="0.25">
      <c r="A7" s="1">
        <v>4</v>
      </c>
      <c r="B7" s="1">
        <v>4</v>
      </c>
      <c r="C7" s="1" t="s">
        <v>509</v>
      </c>
      <c r="D7" s="1" t="s">
        <v>510</v>
      </c>
      <c r="E7" s="1">
        <v>6</v>
      </c>
      <c r="F7" s="1">
        <v>16135</v>
      </c>
      <c r="G7" s="1">
        <v>193.20699999999999</v>
      </c>
      <c r="H7" s="1">
        <v>-5.3869999999999996</v>
      </c>
      <c r="I7" s="1">
        <v>5.7930000000000001</v>
      </c>
    </row>
    <row r="8" spans="1:9" x14ac:dyDescent="0.25">
      <c r="A8" s="1">
        <v>4</v>
      </c>
      <c r="B8" s="1">
        <v>4</v>
      </c>
      <c r="C8" s="1" t="s">
        <v>509</v>
      </c>
      <c r="D8" s="1" t="s">
        <v>510</v>
      </c>
      <c r="E8" s="1">
        <v>7</v>
      </c>
      <c r="F8" s="1">
        <v>15229</v>
      </c>
      <c r="G8" s="1">
        <v>181.07900000000001</v>
      </c>
      <c r="H8" s="1">
        <v>-5.3040000000000003</v>
      </c>
      <c r="I8" s="1">
        <v>5.7939999999999996</v>
      </c>
    </row>
    <row r="9" spans="1:9" x14ac:dyDescent="0.25">
      <c r="A9" s="1">
        <v>5</v>
      </c>
      <c r="B9" s="1">
        <v>5</v>
      </c>
      <c r="C9" s="1" t="s">
        <v>519</v>
      </c>
      <c r="D9" s="1" t="s">
        <v>520</v>
      </c>
      <c r="E9" s="1">
        <v>6</v>
      </c>
      <c r="F9" s="1">
        <v>13008</v>
      </c>
      <c r="G9" s="1">
        <v>161.98500000000001</v>
      </c>
      <c r="H9" s="1">
        <v>-5.4370000000000003</v>
      </c>
      <c r="I9" s="1">
        <v>6.0389999999999997</v>
      </c>
    </row>
    <row r="10" spans="1:9" x14ac:dyDescent="0.25">
      <c r="A10" s="1">
        <v>5</v>
      </c>
      <c r="B10" s="1">
        <v>5</v>
      </c>
      <c r="C10" s="1" t="s">
        <v>519</v>
      </c>
      <c r="D10" s="1" t="s">
        <v>520</v>
      </c>
      <c r="E10" s="1">
        <v>7</v>
      </c>
      <c r="F10" s="1">
        <v>12164</v>
      </c>
      <c r="G10" s="1">
        <v>150.96299999999999</v>
      </c>
      <c r="H10" s="1">
        <v>-5.4</v>
      </c>
      <c r="I10" s="1">
        <v>6.056</v>
      </c>
    </row>
    <row r="11" spans="1:9" x14ac:dyDescent="0.25">
      <c r="A11" s="1">
        <v>6</v>
      </c>
      <c r="B11" s="1">
        <v>6</v>
      </c>
      <c r="C11" s="1" t="s">
        <v>527</v>
      </c>
      <c r="D11" s="1" t="s">
        <v>284</v>
      </c>
      <c r="E11" s="1">
        <v>6</v>
      </c>
      <c r="F11" s="1">
        <v>11298</v>
      </c>
      <c r="G11" s="1">
        <v>135.06299999999999</v>
      </c>
      <c r="H11" s="1">
        <v>1.4410000000000001</v>
      </c>
      <c r="I11" s="1">
        <v>27.338999999999999</v>
      </c>
    </row>
    <row r="12" spans="1:9" x14ac:dyDescent="0.25">
      <c r="A12" s="1">
        <v>6</v>
      </c>
      <c r="B12" s="1">
        <v>6</v>
      </c>
      <c r="C12" s="1" t="s">
        <v>527</v>
      </c>
      <c r="D12" s="1" t="s">
        <v>284</v>
      </c>
      <c r="E12" s="1">
        <v>7</v>
      </c>
      <c r="F12" s="1">
        <v>10678</v>
      </c>
      <c r="G12" s="1">
        <v>126.699</v>
      </c>
      <c r="H12" s="1">
        <v>1.5029999999999999</v>
      </c>
      <c r="I12" s="1">
        <v>27.382999999999999</v>
      </c>
    </row>
    <row r="13" spans="1:9" x14ac:dyDescent="0.25">
      <c r="A13" s="1">
        <v>7</v>
      </c>
      <c r="B13" s="1">
        <v>7</v>
      </c>
      <c r="C13" s="1" t="s">
        <v>533</v>
      </c>
      <c r="D13" s="1" t="s">
        <v>534</v>
      </c>
      <c r="E13" s="1">
        <v>6</v>
      </c>
      <c r="F13" s="1">
        <v>10691</v>
      </c>
      <c r="G13" s="1">
        <v>133.483</v>
      </c>
      <c r="H13" s="1">
        <v>1.48</v>
      </c>
      <c r="I13" s="1">
        <v>27.395</v>
      </c>
    </row>
    <row r="14" spans="1:9" x14ac:dyDescent="0.25">
      <c r="A14" s="1">
        <v>7</v>
      </c>
      <c r="B14" s="1">
        <v>7</v>
      </c>
      <c r="C14" s="1" t="s">
        <v>533</v>
      </c>
      <c r="D14" s="1" t="s">
        <v>534</v>
      </c>
      <c r="E14" s="1">
        <v>7</v>
      </c>
      <c r="F14" s="1">
        <v>9990</v>
      </c>
      <c r="G14" s="1">
        <v>124.348</v>
      </c>
      <c r="H14" s="1">
        <v>1.55</v>
      </c>
      <c r="I14" s="1">
        <v>27.417000000000002</v>
      </c>
    </row>
    <row r="15" spans="1:9" x14ac:dyDescent="0.25">
      <c r="A15" s="1">
        <v>8</v>
      </c>
      <c r="B15" s="1">
        <v>8</v>
      </c>
      <c r="C15" s="1" t="s">
        <v>542</v>
      </c>
      <c r="D15" s="1" t="s">
        <v>412</v>
      </c>
      <c r="E15" s="1">
        <v>6</v>
      </c>
      <c r="F15" s="1">
        <v>14933</v>
      </c>
      <c r="G15" s="1">
        <v>176.76400000000001</v>
      </c>
      <c r="H15" s="1">
        <v>1.4850000000000001</v>
      </c>
      <c r="I15" s="1">
        <v>27.305</v>
      </c>
    </row>
    <row r="16" spans="1:9" x14ac:dyDescent="0.25">
      <c r="A16" s="1">
        <v>8</v>
      </c>
      <c r="B16" s="1">
        <v>8</v>
      </c>
      <c r="C16" s="1" t="s">
        <v>542</v>
      </c>
      <c r="D16" s="1" t="s">
        <v>412</v>
      </c>
      <c r="E16" s="1">
        <v>7</v>
      </c>
      <c r="F16" s="1">
        <v>14076</v>
      </c>
      <c r="G16" s="1">
        <v>166.077</v>
      </c>
      <c r="H16" s="1">
        <v>1.5409999999999999</v>
      </c>
      <c r="I16" s="1">
        <v>27.361999999999998</v>
      </c>
    </row>
    <row r="17" spans="1:9" x14ac:dyDescent="0.25">
      <c r="A17" s="1">
        <v>9</v>
      </c>
      <c r="B17" s="1">
        <v>9</v>
      </c>
      <c r="C17" s="1" t="s">
        <v>550</v>
      </c>
      <c r="D17" s="1" t="s">
        <v>496</v>
      </c>
      <c r="E17" s="1">
        <v>6</v>
      </c>
      <c r="F17" s="1">
        <v>15233</v>
      </c>
      <c r="G17" s="1">
        <v>189.197</v>
      </c>
      <c r="H17" s="1">
        <v>1.5149999999999999</v>
      </c>
      <c r="I17" s="1">
        <v>27.309000000000001</v>
      </c>
    </row>
    <row r="18" spans="1:9" x14ac:dyDescent="0.25">
      <c r="A18" s="1">
        <v>9</v>
      </c>
      <c r="B18" s="1">
        <v>9</v>
      </c>
      <c r="C18" s="1" t="s">
        <v>550</v>
      </c>
      <c r="D18" s="1" t="s">
        <v>496</v>
      </c>
      <c r="E18" s="1">
        <v>7</v>
      </c>
      <c r="F18" s="1">
        <v>14202</v>
      </c>
      <c r="G18" s="1">
        <v>175.852</v>
      </c>
      <c r="H18" s="1">
        <v>1.5489999999999999</v>
      </c>
      <c r="I18" s="1">
        <v>27.321999999999999</v>
      </c>
    </row>
    <row r="19" spans="1:9" x14ac:dyDescent="0.25">
      <c r="A19" s="1">
        <v>10</v>
      </c>
      <c r="B19" s="1">
        <v>10</v>
      </c>
      <c r="C19" s="1" t="s">
        <v>557</v>
      </c>
      <c r="D19" s="1" t="s">
        <v>372</v>
      </c>
      <c r="E19" s="1">
        <v>6</v>
      </c>
      <c r="F19" s="1">
        <v>17381</v>
      </c>
      <c r="G19" s="1">
        <v>204.71899999999999</v>
      </c>
      <c r="H19" s="1">
        <v>3.9950000000000001</v>
      </c>
      <c r="I19" s="1">
        <v>25.23</v>
      </c>
    </row>
    <row r="20" spans="1:9" x14ac:dyDescent="0.25">
      <c r="A20" s="1">
        <v>10</v>
      </c>
      <c r="B20" s="1">
        <v>10</v>
      </c>
      <c r="C20" s="1" t="s">
        <v>557</v>
      </c>
      <c r="D20" s="1" t="s">
        <v>372</v>
      </c>
      <c r="E20" s="1">
        <v>7</v>
      </c>
      <c r="F20" s="1">
        <v>16218</v>
      </c>
      <c r="G20" s="1">
        <v>192.9</v>
      </c>
      <c r="H20" s="1">
        <v>3.9630000000000001</v>
      </c>
      <c r="I20" s="1">
        <v>25.280999999999999</v>
      </c>
    </row>
    <row r="21" spans="1:9" x14ac:dyDescent="0.25">
      <c r="A21" s="1">
        <v>11</v>
      </c>
      <c r="B21" s="1">
        <v>11</v>
      </c>
      <c r="C21" s="1" t="s">
        <v>562</v>
      </c>
      <c r="D21" s="1" t="s">
        <v>389</v>
      </c>
      <c r="E21" s="1">
        <v>6</v>
      </c>
      <c r="F21" s="1">
        <v>13560</v>
      </c>
      <c r="G21" s="1">
        <v>168.17400000000001</v>
      </c>
      <c r="H21" s="1">
        <v>3.968</v>
      </c>
      <c r="I21" s="1">
        <v>25.234000000000002</v>
      </c>
    </row>
    <row r="22" spans="1:9" x14ac:dyDescent="0.25">
      <c r="A22" s="1">
        <v>11</v>
      </c>
      <c r="B22" s="1">
        <v>11</v>
      </c>
      <c r="C22" s="1" t="s">
        <v>562</v>
      </c>
      <c r="D22" s="1" t="s">
        <v>389</v>
      </c>
      <c r="E22" s="1">
        <v>7</v>
      </c>
      <c r="F22" s="1">
        <v>12651</v>
      </c>
      <c r="G22" s="1">
        <v>156.36500000000001</v>
      </c>
      <c r="H22" s="1">
        <v>4.0030000000000001</v>
      </c>
      <c r="I22" s="1">
        <v>25.280999999999999</v>
      </c>
    </row>
    <row r="23" spans="1:9" x14ac:dyDescent="0.25">
      <c r="A23" s="1">
        <v>12</v>
      </c>
      <c r="B23" s="1">
        <v>12</v>
      </c>
      <c r="C23" s="1" t="s">
        <v>569</v>
      </c>
      <c r="D23" s="1" t="s">
        <v>340</v>
      </c>
      <c r="E23" s="1">
        <v>6</v>
      </c>
      <c r="F23" s="1">
        <v>13750</v>
      </c>
      <c r="G23" s="1">
        <v>166.66800000000001</v>
      </c>
      <c r="H23" s="1">
        <v>3.9860000000000002</v>
      </c>
      <c r="I23" s="1">
        <v>25.228000000000002</v>
      </c>
    </row>
    <row r="24" spans="1:9" x14ac:dyDescent="0.25">
      <c r="A24" s="1">
        <v>12</v>
      </c>
      <c r="B24" s="1">
        <v>12</v>
      </c>
      <c r="C24" s="1" t="s">
        <v>569</v>
      </c>
      <c r="D24" s="1" t="s">
        <v>340</v>
      </c>
      <c r="E24" s="1">
        <v>7</v>
      </c>
      <c r="F24" s="1">
        <v>12748</v>
      </c>
      <c r="G24" s="1">
        <v>154.93</v>
      </c>
      <c r="H24" s="1">
        <v>4.0270000000000001</v>
      </c>
      <c r="I24" s="1">
        <v>25.286000000000001</v>
      </c>
    </row>
    <row r="25" spans="1:9" x14ac:dyDescent="0.25">
      <c r="A25" s="1">
        <v>23</v>
      </c>
      <c r="B25" s="1">
        <v>23</v>
      </c>
      <c r="C25" s="1" t="s">
        <v>646</v>
      </c>
      <c r="D25" s="1" t="s">
        <v>444</v>
      </c>
      <c r="E25" s="1">
        <v>6</v>
      </c>
      <c r="F25" s="1">
        <v>15608</v>
      </c>
      <c r="G25" s="1">
        <v>188.458</v>
      </c>
      <c r="H25" s="1">
        <v>3.9849999999999999</v>
      </c>
      <c r="I25" s="1">
        <v>25.207000000000001</v>
      </c>
    </row>
    <row r="26" spans="1:9" x14ac:dyDescent="0.25">
      <c r="A26" s="1">
        <v>23</v>
      </c>
      <c r="B26" s="1">
        <v>23</v>
      </c>
      <c r="C26" s="1" t="s">
        <v>646</v>
      </c>
      <c r="D26" s="1" t="s">
        <v>444</v>
      </c>
      <c r="E26" s="1">
        <v>7</v>
      </c>
      <c r="F26" s="1">
        <v>14444</v>
      </c>
      <c r="G26" s="1">
        <v>175.05699999999999</v>
      </c>
      <c r="H26" s="1">
        <v>4.0519999999999996</v>
      </c>
      <c r="I26" s="1">
        <v>25.244</v>
      </c>
    </row>
    <row r="27" spans="1:9" x14ac:dyDescent="0.25">
      <c r="A27" s="1">
        <v>24</v>
      </c>
      <c r="B27" s="1">
        <v>24</v>
      </c>
      <c r="C27" s="1" t="s">
        <v>653</v>
      </c>
      <c r="D27" s="1" t="s">
        <v>654</v>
      </c>
      <c r="E27" s="1">
        <v>6</v>
      </c>
      <c r="F27" s="1">
        <v>16859</v>
      </c>
      <c r="G27" s="1">
        <v>206.78200000000001</v>
      </c>
      <c r="H27" s="1">
        <v>4.0049999999999999</v>
      </c>
      <c r="I27" s="1">
        <v>25.263999999999999</v>
      </c>
    </row>
    <row r="28" spans="1:9" x14ac:dyDescent="0.25">
      <c r="A28" s="1">
        <v>24</v>
      </c>
      <c r="B28" s="1">
        <v>24</v>
      </c>
      <c r="C28" s="1" t="s">
        <v>653</v>
      </c>
      <c r="D28" s="1" t="s">
        <v>654</v>
      </c>
      <c r="E28" s="1">
        <v>7</v>
      </c>
      <c r="F28" s="1">
        <v>15802</v>
      </c>
      <c r="G28" s="1">
        <v>192.35400000000001</v>
      </c>
      <c r="H28" s="1">
        <v>4.0389999999999997</v>
      </c>
      <c r="I28" s="1">
        <v>25.285</v>
      </c>
    </row>
    <row r="29" spans="1:9" x14ac:dyDescent="0.25">
      <c r="A29" s="1">
        <v>35</v>
      </c>
      <c r="B29" s="1">
        <v>35</v>
      </c>
      <c r="C29" s="1" t="s">
        <v>721</v>
      </c>
      <c r="D29" s="1" t="s">
        <v>722</v>
      </c>
      <c r="E29" s="1">
        <v>6</v>
      </c>
      <c r="F29" s="1">
        <v>15784</v>
      </c>
      <c r="G29" s="1">
        <v>194.42400000000001</v>
      </c>
      <c r="H29" s="1">
        <v>4.01</v>
      </c>
      <c r="I29" s="1">
        <v>25.12</v>
      </c>
    </row>
    <row r="30" spans="1:9" x14ac:dyDescent="0.25">
      <c r="A30" s="1">
        <v>35</v>
      </c>
      <c r="B30" s="1">
        <v>35</v>
      </c>
      <c r="C30" s="1" t="s">
        <v>721</v>
      </c>
      <c r="D30" s="1" t="s">
        <v>722</v>
      </c>
      <c r="E30" s="1">
        <v>7</v>
      </c>
      <c r="F30" s="1">
        <v>14717</v>
      </c>
      <c r="G30" s="1">
        <v>180.59399999999999</v>
      </c>
      <c r="H30" s="1">
        <v>4.0410000000000004</v>
      </c>
      <c r="I30" s="1">
        <v>25.209</v>
      </c>
    </row>
    <row r="31" spans="1:9" x14ac:dyDescent="0.25">
      <c r="A31" s="1">
        <v>36</v>
      </c>
      <c r="B31" s="1">
        <v>36</v>
      </c>
      <c r="C31" s="1" t="s">
        <v>731</v>
      </c>
      <c r="D31" s="1" t="s">
        <v>732</v>
      </c>
      <c r="E31" s="1">
        <v>6</v>
      </c>
      <c r="F31" s="1">
        <v>18112</v>
      </c>
      <c r="G31" s="1">
        <v>219.363</v>
      </c>
      <c r="H31" s="1">
        <v>3.9860000000000002</v>
      </c>
      <c r="I31" s="1">
        <v>25.18</v>
      </c>
    </row>
    <row r="32" spans="1:9" x14ac:dyDescent="0.25">
      <c r="A32" s="1">
        <v>36</v>
      </c>
      <c r="B32" s="1">
        <v>36</v>
      </c>
      <c r="C32" s="1" t="s">
        <v>731</v>
      </c>
      <c r="D32" s="1" t="s">
        <v>732</v>
      </c>
      <c r="E32" s="1">
        <v>7</v>
      </c>
      <c r="F32" s="1">
        <v>16750</v>
      </c>
      <c r="G32" s="1">
        <v>203.67</v>
      </c>
      <c r="H32" s="1">
        <v>4.0419999999999998</v>
      </c>
      <c r="I32" s="1">
        <v>25.251999999999999</v>
      </c>
    </row>
    <row r="33" spans="1:9" x14ac:dyDescent="0.25">
      <c r="A33" s="1">
        <v>47</v>
      </c>
      <c r="B33" s="1">
        <v>47</v>
      </c>
      <c r="C33" s="1" t="s">
        <v>809</v>
      </c>
      <c r="D33" s="1" t="s">
        <v>678</v>
      </c>
      <c r="E33" s="1">
        <v>6</v>
      </c>
      <c r="F33" s="1">
        <v>17557</v>
      </c>
      <c r="G33" s="1">
        <v>217.36699999999999</v>
      </c>
      <c r="H33" s="1">
        <v>4.0549999999999997</v>
      </c>
      <c r="I33" s="1">
        <v>25.09</v>
      </c>
    </row>
    <row r="34" spans="1:9" x14ac:dyDescent="0.25">
      <c r="A34" s="1">
        <v>47</v>
      </c>
      <c r="B34" s="1">
        <v>47</v>
      </c>
      <c r="C34" s="1" t="s">
        <v>809</v>
      </c>
      <c r="D34" s="1" t="s">
        <v>678</v>
      </c>
      <c r="E34" s="1">
        <v>7</v>
      </c>
      <c r="F34" s="1">
        <v>16373</v>
      </c>
      <c r="G34" s="1">
        <v>202.316</v>
      </c>
      <c r="H34" s="1">
        <v>4.0679999999999996</v>
      </c>
      <c r="I34" s="1">
        <v>25.097999999999999</v>
      </c>
    </row>
    <row r="35" spans="1:9" x14ac:dyDescent="0.25">
      <c r="A35" s="1">
        <v>48</v>
      </c>
      <c r="B35" s="1">
        <v>48</v>
      </c>
      <c r="C35" s="1" t="s">
        <v>817</v>
      </c>
      <c r="D35" s="1" t="s">
        <v>278</v>
      </c>
      <c r="E35" s="1">
        <v>6</v>
      </c>
      <c r="F35" s="1">
        <v>12102</v>
      </c>
      <c r="G35" s="1">
        <v>144.43600000000001</v>
      </c>
      <c r="H35" s="1">
        <v>3.9460000000000002</v>
      </c>
      <c r="I35" s="1">
        <v>25.338999999999999</v>
      </c>
    </row>
    <row r="36" spans="1:9" x14ac:dyDescent="0.25">
      <c r="A36" s="1">
        <v>48</v>
      </c>
      <c r="B36" s="1">
        <v>48</v>
      </c>
      <c r="C36" s="1" t="s">
        <v>817</v>
      </c>
      <c r="D36" s="1" t="s">
        <v>278</v>
      </c>
      <c r="E36" s="1">
        <v>7</v>
      </c>
      <c r="F36" s="1">
        <v>11444</v>
      </c>
      <c r="G36" s="1">
        <v>135.602</v>
      </c>
      <c r="H36" s="1">
        <v>4</v>
      </c>
      <c r="I36" s="1">
        <v>25.331</v>
      </c>
    </row>
    <row r="37" spans="1:9" x14ac:dyDescent="0.25">
      <c r="A37" s="1">
        <v>59</v>
      </c>
      <c r="B37" s="1">
        <v>59</v>
      </c>
      <c r="C37" s="1" t="s">
        <v>894</v>
      </c>
      <c r="D37" s="1" t="s">
        <v>433</v>
      </c>
      <c r="E37" s="1">
        <v>6</v>
      </c>
      <c r="F37" s="1">
        <v>17682</v>
      </c>
      <c r="G37" s="1">
        <v>208.30099999999999</v>
      </c>
      <c r="H37" s="1">
        <v>4.0129999999999999</v>
      </c>
      <c r="I37" s="1">
        <v>25.263999999999999</v>
      </c>
    </row>
    <row r="38" spans="1:9" x14ac:dyDescent="0.25">
      <c r="A38" s="1">
        <v>59</v>
      </c>
      <c r="B38" s="1">
        <v>59</v>
      </c>
      <c r="C38" s="1" t="s">
        <v>894</v>
      </c>
      <c r="D38" s="1" t="s">
        <v>433</v>
      </c>
      <c r="E38" s="1">
        <v>7</v>
      </c>
      <c r="F38" s="1">
        <v>16473</v>
      </c>
      <c r="G38" s="1">
        <v>194.422</v>
      </c>
      <c r="H38" s="1">
        <v>4.0599999999999996</v>
      </c>
      <c r="I38" s="1">
        <v>25.262</v>
      </c>
    </row>
    <row r="39" spans="1:9" x14ac:dyDescent="0.25">
      <c r="A39" s="1">
        <v>60</v>
      </c>
      <c r="B39" s="1">
        <v>60</v>
      </c>
      <c r="C39" s="1" t="s">
        <v>899</v>
      </c>
      <c r="D39" s="1" t="s">
        <v>220</v>
      </c>
      <c r="E39" s="1">
        <v>6</v>
      </c>
      <c r="F39" s="1">
        <v>12296</v>
      </c>
      <c r="G39" s="1">
        <v>152.47200000000001</v>
      </c>
      <c r="H39" s="1">
        <v>3.9780000000000002</v>
      </c>
      <c r="I39" s="1">
        <v>25.282</v>
      </c>
    </row>
    <row r="40" spans="1:9" x14ac:dyDescent="0.25">
      <c r="A40" s="1">
        <v>60</v>
      </c>
      <c r="B40" s="1">
        <v>60</v>
      </c>
      <c r="C40" s="1" t="s">
        <v>899</v>
      </c>
      <c r="D40" s="1" t="s">
        <v>220</v>
      </c>
      <c r="E40" s="1">
        <v>7</v>
      </c>
      <c r="F40" s="1">
        <v>11493</v>
      </c>
      <c r="G40" s="1">
        <v>141.96100000000001</v>
      </c>
      <c r="H40" s="1">
        <v>4.0229999999999997</v>
      </c>
      <c r="I40" s="1">
        <v>25.306999999999999</v>
      </c>
    </row>
    <row r="41" spans="1:9" x14ac:dyDescent="0.25">
      <c r="A41" s="1">
        <v>71</v>
      </c>
      <c r="B41" s="1">
        <v>71</v>
      </c>
      <c r="C41" s="1" t="s">
        <v>970</v>
      </c>
      <c r="D41" s="1" t="s">
        <v>414</v>
      </c>
      <c r="E41" s="1">
        <v>6</v>
      </c>
      <c r="F41" s="1">
        <v>19159</v>
      </c>
      <c r="G41" s="1">
        <v>234.69300000000001</v>
      </c>
      <c r="H41" s="1">
        <v>4.0419999999999998</v>
      </c>
      <c r="I41" s="1">
        <v>25.186</v>
      </c>
    </row>
    <row r="42" spans="1:9" x14ac:dyDescent="0.25">
      <c r="A42" s="1">
        <v>71</v>
      </c>
      <c r="B42" s="1">
        <v>71</v>
      </c>
      <c r="C42" s="1" t="s">
        <v>970</v>
      </c>
      <c r="D42" s="1" t="s">
        <v>414</v>
      </c>
      <c r="E42" s="1">
        <v>7</v>
      </c>
      <c r="F42" s="1">
        <v>17989</v>
      </c>
      <c r="G42" s="1">
        <v>219.322</v>
      </c>
      <c r="H42" s="1">
        <v>4.056</v>
      </c>
      <c r="I42" s="1">
        <v>25.227</v>
      </c>
    </row>
    <row r="43" spans="1:9" x14ac:dyDescent="0.25">
      <c r="A43" s="1">
        <v>72</v>
      </c>
      <c r="B43" s="1">
        <v>72</v>
      </c>
      <c r="C43" s="1" t="s">
        <v>977</v>
      </c>
      <c r="D43" s="1" t="s">
        <v>732</v>
      </c>
      <c r="E43" s="1">
        <v>6</v>
      </c>
      <c r="F43" s="1">
        <v>17591</v>
      </c>
      <c r="G43" s="1">
        <v>214.041</v>
      </c>
      <c r="H43" s="1">
        <v>4.0170000000000003</v>
      </c>
      <c r="I43" s="1">
        <v>25.295000000000002</v>
      </c>
    </row>
    <row r="44" spans="1:9" x14ac:dyDescent="0.25">
      <c r="A44" s="1">
        <v>72</v>
      </c>
      <c r="B44" s="1">
        <v>72</v>
      </c>
      <c r="C44" s="1" t="s">
        <v>977</v>
      </c>
      <c r="D44" s="1" t="s">
        <v>732</v>
      </c>
      <c r="E44" s="1">
        <v>7</v>
      </c>
      <c r="F44" s="1">
        <v>16282</v>
      </c>
      <c r="G44" s="1">
        <v>200.94399999999999</v>
      </c>
      <c r="H44" s="1">
        <v>3.9940000000000002</v>
      </c>
      <c r="I44" s="1">
        <v>25.343</v>
      </c>
    </row>
    <row r="45" spans="1:9" x14ac:dyDescent="0.25">
      <c r="A45" s="1">
        <v>83</v>
      </c>
      <c r="B45" s="1">
        <v>83</v>
      </c>
      <c r="C45" s="1" t="s">
        <v>1043</v>
      </c>
      <c r="D45" s="1" t="s">
        <v>420</v>
      </c>
      <c r="E45" s="1">
        <v>6</v>
      </c>
      <c r="F45" s="1">
        <v>10743</v>
      </c>
      <c r="G45" s="1">
        <v>133.30500000000001</v>
      </c>
      <c r="H45" s="1">
        <v>3.847</v>
      </c>
      <c r="I45" s="1">
        <v>25.297000000000001</v>
      </c>
    </row>
    <row r="46" spans="1:9" x14ac:dyDescent="0.25">
      <c r="A46" s="1">
        <v>83</v>
      </c>
      <c r="B46" s="1">
        <v>83</v>
      </c>
      <c r="C46" s="1" t="s">
        <v>1043</v>
      </c>
      <c r="D46" s="1" t="s">
        <v>420</v>
      </c>
      <c r="E46" s="1">
        <v>7</v>
      </c>
      <c r="F46" s="1">
        <v>10092</v>
      </c>
      <c r="G46" s="1">
        <v>125.098</v>
      </c>
      <c r="H46" s="1">
        <v>3.9369999999999998</v>
      </c>
      <c r="I46" s="1">
        <v>25.34</v>
      </c>
    </row>
    <row r="47" spans="1:9" x14ac:dyDescent="0.25">
      <c r="A47" s="1">
        <v>84</v>
      </c>
      <c r="B47" s="1">
        <v>84</v>
      </c>
      <c r="C47" s="1" t="s">
        <v>1050</v>
      </c>
      <c r="D47" s="1" t="s">
        <v>340</v>
      </c>
      <c r="E47" s="1">
        <v>6</v>
      </c>
      <c r="F47" s="1">
        <v>13432</v>
      </c>
      <c r="G47" s="1">
        <v>160.11099999999999</v>
      </c>
      <c r="H47" s="1">
        <v>3.879</v>
      </c>
      <c r="I47" s="1">
        <v>25.335000000000001</v>
      </c>
    </row>
    <row r="48" spans="1:9" x14ac:dyDescent="0.25">
      <c r="A48" s="1">
        <v>84</v>
      </c>
      <c r="B48" s="1">
        <v>84</v>
      </c>
      <c r="C48" s="1" t="s">
        <v>1050</v>
      </c>
      <c r="D48" s="1" t="s">
        <v>340</v>
      </c>
      <c r="E48" s="1">
        <v>7</v>
      </c>
      <c r="F48" s="1">
        <v>12713</v>
      </c>
      <c r="G48" s="1">
        <v>150.786</v>
      </c>
      <c r="H48" s="1">
        <v>3.9750000000000001</v>
      </c>
      <c r="I48" s="1">
        <v>25.347000000000001</v>
      </c>
    </row>
    <row r="49" spans="1:9" x14ac:dyDescent="0.25">
      <c r="A49" s="174">
        <v>95</v>
      </c>
      <c r="B49" s="174">
        <v>95</v>
      </c>
      <c r="C49" s="174" t="s">
        <v>1118</v>
      </c>
      <c r="D49" s="174" t="s">
        <v>503</v>
      </c>
      <c r="E49" s="174">
        <v>6</v>
      </c>
      <c r="F49" s="174">
        <v>17132</v>
      </c>
      <c r="G49" s="174">
        <v>203.16800000000001</v>
      </c>
      <c r="H49" s="174">
        <v>3.819</v>
      </c>
      <c r="I49" s="174">
        <v>25.241</v>
      </c>
    </row>
    <row r="50" spans="1:9" x14ac:dyDescent="0.25">
      <c r="A50" s="1">
        <v>100</v>
      </c>
      <c r="B50" s="1">
        <v>100</v>
      </c>
      <c r="C50" s="1" t="s">
        <v>1118</v>
      </c>
      <c r="D50" s="1" t="s">
        <v>503</v>
      </c>
      <c r="E50" s="1">
        <v>6</v>
      </c>
      <c r="F50" s="1">
        <v>8691</v>
      </c>
      <c r="G50" s="1">
        <v>100.762</v>
      </c>
      <c r="H50" s="1">
        <v>3.8290000000000002</v>
      </c>
      <c r="I50" s="1">
        <v>25.234999999999999</v>
      </c>
    </row>
    <row r="51" spans="1:9" x14ac:dyDescent="0.25">
      <c r="A51" s="1">
        <v>100</v>
      </c>
      <c r="B51" s="1">
        <v>100</v>
      </c>
      <c r="C51" s="1" t="s">
        <v>1118</v>
      </c>
      <c r="D51" s="1" t="s">
        <v>503</v>
      </c>
      <c r="E51" s="1">
        <v>7</v>
      </c>
      <c r="F51" s="1">
        <v>8143</v>
      </c>
      <c r="G51" s="1">
        <v>93.548000000000002</v>
      </c>
      <c r="H51" s="1">
        <v>3.8769999999999998</v>
      </c>
      <c r="I51" s="1">
        <v>25.266999999999999</v>
      </c>
    </row>
    <row r="52" spans="1:9" x14ac:dyDescent="0.25">
      <c r="A52" s="1">
        <v>101</v>
      </c>
      <c r="B52" s="1">
        <v>101</v>
      </c>
      <c r="C52" s="1" t="s">
        <v>1123</v>
      </c>
      <c r="D52" s="1" t="s">
        <v>443</v>
      </c>
      <c r="E52" s="1">
        <v>6</v>
      </c>
      <c r="F52" s="1">
        <v>7115</v>
      </c>
      <c r="G52" s="1">
        <v>83.316999999999993</v>
      </c>
      <c r="H52" s="1">
        <v>3.96</v>
      </c>
      <c r="I52" s="1">
        <v>25.4</v>
      </c>
    </row>
    <row r="53" spans="1:9" x14ac:dyDescent="0.25">
      <c r="A53" s="173">
        <v>101</v>
      </c>
      <c r="B53" s="173">
        <v>101</v>
      </c>
      <c r="C53" s="173" t="s">
        <v>1123</v>
      </c>
      <c r="D53" s="173" t="s">
        <v>443</v>
      </c>
      <c r="E53" s="173">
        <v>7</v>
      </c>
      <c r="F53" s="173">
        <v>6594</v>
      </c>
      <c r="G53" s="173">
        <v>77.305999999999997</v>
      </c>
      <c r="H53" s="173">
        <v>4.0129999999999999</v>
      </c>
      <c r="I53" s="173">
        <v>25.419</v>
      </c>
    </row>
    <row r="54" spans="1:9" x14ac:dyDescent="0.25">
      <c r="A54" s="2">
        <v>103</v>
      </c>
      <c r="B54" s="2">
        <v>103</v>
      </c>
      <c r="C54" s="1" t="s">
        <v>1150</v>
      </c>
      <c r="D54" s="1" t="s">
        <v>654</v>
      </c>
      <c r="E54" s="1">
        <v>6</v>
      </c>
      <c r="F54" s="1">
        <v>8170</v>
      </c>
      <c r="G54" s="1">
        <v>96.081000000000003</v>
      </c>
      <c r="H54" s="1">
        <v>-5.6130000000000004</v>
      </c>
      <c r="I54" s="1">
        <v>5.8940000000000001</v>
      </c>
    </row>
    <row r="55" spans="1:9" x14ac:dyDescent="0.25">
      <c r="A55" s="2">
        <v>103</v>
      </c>
      <c r="B55" s="2">
        <v>103</v>
      </c>
      <c r="C55" s="1" t="s">
        <v>1150</v>
      </c>
      <c r="D55" s="1" t="s">
        <v>654</v>
      </c>
      <c r="E55" s="1">
        <v>7</v>
      </c>
      <c r="F55" s="1">
        <v>7571</v>
      </c>
      <c r="G55" s="1">
        <v>88.997</v>
      </c>
      <c r="H55" s="1">
        <v>-5.5570000000000004</v>
      </c>
      <c r="I55" s="1">
        <v>5.8920000000000003</v>
      </c>
    </row>
    <row r="56" spans="1:9" x14ac:dyDescent="0.25">
      <c r="A56" s="2">
        <v>104</v>
      </c>
      <c r="B56" s="2">
        <v>104</v>
      </c>
      <c r="C56" s="1" t="s">
        <v>1155</v>
      </c>
      <c r="D56" s="1" t="s">
        <v>876</v>
      </c>
      <c r="E56" s="1">
        <v>6</v>
      </c>
      <c r="F56" s="1">
        <v>13211</v>
      </c>
      <c r="G56" s="1">
        <v>148.93299999999999</v>
      </c>
      <c r="H56" s="1">
        <v>-5.5540000000000003</v>
      </c>
      <c r="I56" s="1">
        <v>5.625</v>
      </c>
    </row>
    <row r="57" spans="1:9" x14ac:dyDescent="0.25">
      <c r="A57" s="2">
        <v>104</v>
      </c>
      <c r="B57" s="2">
        <v>104</v>
      </c>
      <c r="C57" s="1" t="s">
        <v>1155</v>
      </c>
      <c r="D57" s="1" t="s">
        <v>876</v>
      </c>
      <c r="E57" s="1">
        <v>7</v>
      </c>
      <c r="F57" s="1">
        <v>12399</v>
      </c>
      <c r="G57" s="1">
        <v>139.006</v>
      </c>
      <c r="H57" s="1">
        <v>-5.5060000000000002</v>
      </c>
      <c r="I57" s="1">
        <v>5.6870000000000003</v>
      </c>
    </row>
    <row r="58" spans="1:9" x14ac:dyDescent="0.25">
      <c r="A58" s="2">
        <v>105</v>
      </c>
      <c r="B58" s="2">
        <v>105</v>
      </c>
      <c r="C58" s="1" t="s">
        <v>1162</v>
      </c>
      <c r="D58" s="1" t="s">
        <v>934</v>
      </c>
      <c r="E58" s="1">
        <v>6</v>
      </c>
      <c r="F58" s="1">
        <v>9978</v>
      </c>
      <c r="G58" s="1">
        <v>117.53</v>
      </c>
      <c r="H58" s="1">
        <v>-5.5670000000000002</v>
      </c>
      <c r="I58" s="1">
        <v>5.82</v>
      </c>
    </row>
    <row r="59" spans="1:9" x14ac:dyDescent="0.25">
      <c r="A59" s="2">
        <v>105</v>
      </c>
      <c r="B59" s="2">
        <v>105</v>
      </c>
      <c r="C59" s="1" t="s">
        <v>1162</v>
      </c>
      <c r="D59" s="1" t="s">
        <v>934</v>
      </c>
      <c r="E59" s="1">
        <v>7</v>
      </c>
      <c r="F59" s="1">
        <v>9278</v>
      </c>
      <c r="G59" s="1">
        <v>108.88200000000001</v>
      </c>
      <c r="H59" s="1">
        <v>-5.5090000000000003</v>
      </c>
      <c r="I59" s="1">
        <v>5.806</v>
      </c>
    </row>
    <row r="60" spans="1:9" x14ac:dyDescent="0.25">
      <c r="A60" s="2">
        <v>106</v>
      </c>
      <c r="B60" s="2">
        <v>106</v>
      </c>
      <c r="C60" s="1" t="s">
        <v>1167</v>
      </c>
      <c r="D60" s="1" t="s">
        <v>433</v>
      </c>
      <c r="E60" s="1">
        <v>6</v>
      </c>
      <c r="F60" s="1">
        <v>13689</v>
      </c>
      <c r="G60" s="1">
        <v>152.732</v>
      </c>
      <c r="H60" s="1">
        <v>-5.5339999999999998</v>
      </c>
      <c r="I60" s="1">
        <v>5.7220000000000004</v>
      </c>
    </row>
    <row r="61" spans="1:9" x14ac:dyDescent="0.25">
      <c r="A61" s="2">
        <v>106</v>
      </c>
      <c r="B61" s="2">
        <v>106</v>
      </c>
      <c r="C61" s="1" t="s">
        <v>1167</v>
      </c>
      <c r="D61" s="1" t="s">
        <v>433</v>
      </c>
      <c r="E61" s="1">
        <v>7</v>
      </c>
      <c r="F61" s="1">
        <v>12780</v>
      </c>
      <c r="G61" s="1">
        <v>141.95099999999999</v>
      </c>
      <c r="H61" s="1">
        <v>-5.47</v>
      </c>
      <c r="I61" s="1">
        <v>5.7160000000000002</v>
      </c>
    </row>
    <row r="62" spans="1:9" x14ac:dyDescent="0.25">
      <c r="A62" s="2">
        <v>107</v>
      </c>
      <c r="B62" s="2">
        <v>107</v>
      </c>
      <c r="C62" s="1" t="s">
        <v>1172</v>
      </c>
      <c r="D62" s="1" t="s">
        <v>280</v>
      </c>
      <c r="E62" s="1">
        <v>6</v>
      </c>
      <c r="F62" s="1">
        <v>10906</v>
      </c>
      <c r="G62" s="1">
        <v>127.949</v>
      </c>
      <c r="H62" s="1">
        <v>1.397</v>
      </c>
      <c r="I62" s="1">
        <v>27.173999999999999</v>
      </c>
    </row>
    <row r="63" spans="1:9" x14ac:dyDescent="0.25">
      <c r="A63" s="2">
        <v>107</v>
      </c>
      <c r="B63" s="2">
        <v>107</v>
      </c>
      <c r="C63" s="1" t="s">
        <v>1172</v>
      </c>
      <c r="D63" s="1" t="s">
        <v>280</v>
      </c>
      <c r="E63" s="1">
        <v>7</v>
      </c>
      <c r="F63" s="1">
        <v>10142</v>
      </c>
      <c r="G63" s="1">
        <v>118.61499999999999</v>
      </c>
      <c r="H63" s="1">
        <v>1.456</v>
      </c>
      <c r="I63" s="1">
        <v>27.279</v>
      </c>
    </row>
    <row r="64" spans="1:9" x14ac:dyDescent="0.25">
      <c r="A64" s="2">
        <v>108</v>
      </c>
      <c r="B64" s="2">
        <v>108</v>
      </c>
      <c r="C64" s="1" t="s">
        <v>1178</v>
      </c>
      <c r="D64" s="1" t="s">
        <v>671</v>
      </c>
      <c r="E64" s="1">
        <v>6</v>
      </c>
      <c r="F64" s="1">
        <v>12575</v>
      </c>
      <c r="G64" s="1">
        <v>140.262</v>
      </c>
      <c r="H64" s="1">
        <v>1.3480000000000001</v>
      </c>
      <c r="I64" s="1">
        <v>27.201000000000001</v>
      </c>
    </row>
    <row r="65" spans="1:9" x14ac:dyDescent="0.25">
      <c r="A65" s="2">
        <v>108</v>
      </c>
      <c r="B65" s="2">
        <v>108</v>
      </c>
      <c r="C65" s="1" t="s">
        <v>1178</v>
      </c>
      <c r="D65" s="1" t="s">
        <v>671</v>
      </c>
      <c r="E65" s="1">
        <v>7</v>
      </c>
      <c r="F65" s="1">
        <v>11683</v>
      </c>
      <c r="G65" s="1">
        <v>130.32400000000001</v>
      </c>
      <c r="H65" s="1">
        <v>1.413</v>
      </c>
      <c r="I65" s="1">
        <v>27.265000000000001</v>
      </c>
    </row>
    <row r="66" spans="1:9" x14ac:dyDescent="0.25">
      <c r="A66" s="2">
        <v>109</v>
      </c>
      <c r="B66" s="2">
        <v>109</v>
      </c>
      <c r="C66" s="1" t="s">
        <v>1183</v>
      </c>
      <c r="D66" s="1" t="s">
        <v>317</v>
      </c>
      <c r="E66" s="1">
        <v>6</v>
      </c>
      <c r="F66" s="1">
        <v>13910</v>
      </c>
      <c r="G66" s="1">
        <v>162.33799999999999</v>
      </c>
      <c r="H66" s="1">
        <v>1.383</v>
      </c>
      <c r="I66" s="1">
        <v>27.116</v>
      </c>
    </row>
    <row r="67" spans="1:9" x14ac:dyDescent="0.25">
      <c r="A67" s="2">
        <v>109</v>
      </c>
      <c r="B67" s="2">
        <v>109</v>
      </c>
      <c r="C67" s="1" t="s">
        <v>1183</v>
      </c>
      <c r="D67" s="1" t="s">
        <v>317</v>
      </c>
      <c r="E67" s="1">
        <v>7</v>
      </c>
      <c r="F67" s="1">
        <v>12915</v>
      </c>
      <c r="G67" s="1">
        <v>150.142</v>
      </c>
      <c r="H67" s="1">
        <v>1.4419999999999999</v>
      </c>
      <c r="I67" s="1">
        <v>27.167999999999999</v>
      </c>
    </row>
    <row r="68" spans="1:9" x14ac:dyDescent="0.25">
      <c r="A68" s="2">
        <v>110</v>
      </c>
      <c r="B68" s="2">
        <v>110</v>
      </c>
      <c r="C68" s="1" t="s">
        <v>1189</v>
      </c>
      <c r="D68" s="1" t="s">
        <v>654</v>
      </c>
      <c r="E68" s="1">
        <v>6</v>
      </c>
      <c r="F68" s="1">
        <v>12839</v>
      </c>
      <c r="G68" s="1">
        <v>144.708</v>
      </c>
      <c r="H68" s="1">
        <v>1.446</v>
      </c>
      <c r="I68" s="1">
        <v>27.228999999999999</v>
      </c>
    </row>
    <row r="69" spans="1:9" x14ac:dyDescent="0.25">
      <c r="A69" s="2">
        <v>110</v>
      </c>
      <c r="B69" s="2">
        <v>110</v>
      </c>
      <c r="C69" s="1" t="s">
        <v>1189</v>
      </c>
      <c r="D69" s="1" t="s">
        <v>654</v>
      </c>
      <c r="E69" s="1">
        <v>7</v>
      </c>
      <c r="F69" s="1">
        <v>11834</v>
      </c>
      <c r="G69" s="1">
        <v>133.88300000000001</v>
      </c>
      <c r="H69" s="1">
        <v>1.4850000000000001</v>
      </c>
      <c r="I69" s="1">
        <v>27.260999999999999</v>
      </c>
    </row>
    <row r="70" spans="1:9" x14ac:dyDescent="0.25">
      <c r="A70" s="2">
        <v>111</v>
      </c>
      <c r="B70" s="2">
        <v>111</v>
      </c>
      <c r="C70" s="1" t="s">
        <v>1196</v>
      </c>
      <c r="D70" s="1" t="s">
        <v>281</v>
      </c>
      <c r="E70" s="1">
        <v>6</v>
      </c>
      <c r="F70" s="1">
        <v>11467</v>
      </c>
      <c r="G70" s="1">
        <v>133.82400000000001</v>
      </c>
      <c r="H70" s="1">
        <v>3.8610000000000002</v>
      </c>
      <c r="I70" s="1">
        <v>25.125</v>
      </c>
    </row>
    <row r="71" spans="1:9" x14ac:dyDescent="0.25">
      <c r="A71" s="2">
        <v>111</v>
      </c>
      <c r="B71" s="2">
        <v>111</v>
      </c>
      <c r="C71" s="1" t="s">
        <v>1196</v>
      </c>
      <c r="D71" s="1" t="s">
        <v>281</v>
      </c>
      <c r="E71" s="1">
        <v>7</v>
      </c>
      <c r="F71" s="1">
        <v>10656</v>
      </c>
      <c r="G71" s="1">
        <v>123.729</v>
      </c>
      <c r="H71" s="1">
        <v>3.8919999999999999</v>
      </c>
      <c r="I71" s="1">
        <v>25.155999999999999</v>
      </c>
    </row>
    <row r="72" spans="1:9" x14ac:dyDescent="0.25">
      <c r="A72" s="2">
        <v>112</v>
      </c>
      <c r="B72" s="2">
        <v>112</v>
      </c>
      <c r="C72" s="1" t="s">
        <v>1201</v>
      </c>
      <c r="D72" s="1" t="s">
        <v>317</v>
      </c>
      <c r="E72" s="1">
        <v>6</v>
      </c>
      <c r="F72" s="1">
        <v>15047</v>
      </c>
      <c r="G72" s="1">
        <v>173.566</v>
      </c>
      <c r="H72" s="1">
        <v>3.8420000000000001</v>
      </c>
      <c r="I72" s="1">
        <v>25.12</v>
      </c>
    </row>
    <row r="73" spans="1:9" x14ac:dyDescent="0.25">
      <c r="A73" s="2">
        <v>112</v>
      </c>
      <c r="B73" s="2">
        <v>112</v>
      </c>
      <c r="C73" s="1" t="s">
        <v>1201</v>
      </c>
      <c r="D73" s="1" t="s">
        <v>317</v>
      </c>
      <c r="E73" s="1">
        <v>7</v>
      </c>
      <c r="F73" s="1">
        <v>13865</v>
      </c>
      <c r="G73" s="1">
        <v>160.4</v>
      </c>
      <c r="H73" s="1">
        <v>3.9159999999999999</v>
      </c>
      <c r="I73" s="1">
        <v>25.158999999999999</v>
      </c>
    </row>
    <row r="74" spans="1:9" x14ac:dyDescent="0.25">
      <c r="A74" s="2">
        <v>113</v>
      </c>
      <c r="B74" s="2">
        <v>113</v>
      </c>
      <c r="C74" s="1" t="s">
        <v>1206</v>
      </c>
      <c r="D74" s="1" t="s">
        <v>946</v>
      </c>
      <c r="E74" s="1">
        <v>6</v>
      </c>
      <c r="F74" s="1">
        <v>20491</v>
      </c>
      <c r="G74" s="1">
        <v>230.114</v>
      </c>
      <c r="H74" s="1">
        <v>3.9590000000000001</v>
      </c>
      <c r="I74" s="1">
        <v>24.899000000000001</v>
      </c>
    </row>
    <row r="75" spans="1:9" x14ac:dyDescent="0.25">
      <c r="A75" s="2">
        <v>113</v>
      </c>
      <c r="B75" s="2">
        <v>113</v>
      </c>
      <c r="C75" s="1" t="s">
        <v>1206</v>
      </c>
      <c r="D75" s="1" t="s">
        <v>946</v>
      </c>
      <c r="E75" s="1">
        <v>7</v>
      </c>
      <c r="F75" s="1">
        <v>19135</v>
      </c>
      <c r="G75" s="1">
        <v>213.96100000000001</v>
      </c>
      <c r="H75" s="1">
        <v>4.0039999999999996</v>
      </c>
      <c r="I75" s="1">
        <v>24.937999999999999</v>
      </c>
    </row>
    <row r="76" spans="1:9" x14ac:dyDescent="0.25">
      <c r="A76" s="2">
        <v>124</v>
      </c>
      <c r="B76" s="2">
        <v>124</v>
      </c>
      <c r="C76" s="1" t="s">
        <v>1275</v>
      </c>
      <c r="D76" s="1" t="s">
        <v>327</v>
      </c>
      <c r="E76" s="1">
        <v>6</v>
      </c>
      <c r="F76" s="1">
        <v>16509</v>
      </c>
      <c r="G76" s="1">
        <v>186.352</v>
      </c>
      <c r="H76" s="1">
        <v>3.895</v>
      </c>
      <c r="I76" s="1">
        <v>25.145</v>
      </c>
    </row>
    <row r="77" spans="1:9" x14ac:dyDescent="0.25">
      <c r="A77" s="2">
        <v>124</v>
      </c>
      <c r="B77" s="2">
        <v>124</v>
      </c>
      <c r="C77" s="1" t="s">
        <v>1275</v>
      </c>
      <c r="D77" s="1" t="s">
        <v>327</v>
      </c>
      <c r="E77" s="1">
        <v>7</v>
      </c>
      <c r="F77" s="1">
        <v>15489</v>
      </c>
      <c r="G77" s="1">
        <v>173.566</v>
      </c>
      <c r="H77" s="1">
        <v>3.9350000000000001</v>
      </c>
      <c r="I77" s="1">
        <v>25.17</v>
      </c>
    </row>
    <row r="78" spans="1:9" x14ac:dyDescent="0.25">
      <c r="A78" s="2">
        <v>125</v>
      </c>
      <c r="B78" s="2">
        <v>125</v>
      </c>
      <c r="C78" s="1" t="s">
        <v>1280</v>
      </c>
      <c r="D78" s="1" t="s">
        <v>601</v>
      </c>
      <c r="E78" s="1">
        <v>6</v>
      </c>
      <c r="F78" s="1">
        <v>15110</v>
      </c>
      <c r="G78" s="1">
        <v>177.28</v>
      </c>
      <c r="H78" s="1">
        <v>3.9060000000000001</v>
      </c>
      <c r="I78" s="1">
        <v>25.154</v>
      </c>
    </row>
    <row r="79" spans="1:9" x14ac:dyDescent="0.25">
      <c r="A79" s="2">
        <v>125</v>
      </c>
      <c r="B79" s="2">
        <v>125</v>
      </c>
      <c r="C79" s="1" t="s">
        <v>1280</v>
      </c>
      <c r="D79" s="1" t="s">
        <v>601</v>
      </c>
      <c r="E79" s="1">
        <v>7</v>
      </c>
      <c r="F79" s="1">
        <v>13982</v>
      </c>
      <c r="G79" s="1">
        <v>163.673</v>
      </c>
      <c r="H79" s="1">
        <v>3.9169999999999998</v>
      </c>
      <c r="I79" s="1">
        <v>25.181000000000001</v>
      </c>
    </row>
    <row r="80" spans="1:9" x14ac:dyDescent="0.25">
      <c r="A80" s="2">
        <v>136</v>
      </c>
      <c r="B80" s="2">
        <v>136</v>
      </c>
      <c r="C80" s="1" t="s">
        <v>1343</v>
      </c>
      <c r="D80" s="1" t="s">
        <v>722</v>
      </c>
      <c r="E80" s="1">
        <v>6</v>
      </c>
      <c r="F80" s="1">
        <v>17446</v>
      </c>
      <c r="G80" s="1">
        <v>203.78399999999999</v>
      </c>
      <c r="H80" s="1">
        <v>3.903</v>
      </c>
      <c r="I80" s="1">
        <v>24.957000000000001</v>
      </c>
    </row>
    <row r="81" spans="1:9" x14ac:dyDescent="0.25">
      <c r="A81" s="2">
        <v>136</v>
      </c>
      <c r="B81" s="2">
        <v>136</v>
      </c>
      <c r="C81" s="1" t="s">
        <v>1343</v>
      </c>
      <c r="D81" s="1" t="s">
        <v>722</v>
      </c>
      <c r="E81" s="1">
        <v>7</v>
      </c>
      <c r="F81" s="1">
        <v>16124</v>
      </c>
      <c r="G81" s="1">
        <v>187.91900000000001</v>
      </c>
      <c r="H81" s="1">
        <v>3.93</v>
      </c>
      <c r="I81" s="1">
        <v>25.015000000000001</v>
      </c>
    </row>
    <row r="82" spans="1:9" x14ac:dyDescent="0.25">
      <c r="A82" s="2">
        <v>137</v>
      </c>
      <c r="B82" s="2">
        <v>137</v>
      </c>
      <c r="C82" s="1" t="s">
        <v>1347</v>
      </c>
      <c r="D82" s="1" t="s">
        <v>357</v>
      </c>
      <c r="E82" s="1">
        <v>6</v>
      </c>
      <c r="F82" s="1">
        <v>11963</v>
      </c>
      <c r="G82" s="1">
        <v>133.62700000000001</v>
      </c>
      <c r="H82" s="1">
        <v>3.806</v>
      </c>
      <c r="I82" s="1">
        <v>25.167999999999999</v>
      </c>
    </row>
    <row r="83" spans="1:9" x14ac:dyDescent="0.25">
      <c r="A83" s="2">
        <v>137</v>
      </c>
      <c r="B83" s="2">
        <v>137</v>
      </c>
      <c r="C83" s="1" t="s">
        <v>1347</v>
      </c>
      <c r="D83" s="1" t="s">
        <v>357</v>
      </c>
      <c r="E83" s="1">
        <v>7</v>
      </c>
      <c r="F83" s="1">
        <v>11156</v>
      </c>
      <c r="G83" s="1">
        <v>124.178</v>
      </c>
      <c r="H83" s="1">
        <v>3.8660000000000001</v>
      </c>
      <c r="I83" s="1">
        <v>25.213999999999999</v>
      </c>
    </row>
    <row r="84" spans="1:9" x14ac:dyDescent="0.25">
      <c r="A84" s="2">
        <v>148</v>
      </c>
      <c r="B84" s="2">
        <v>148</v>
      </c>
      <c r="C84" s="1" t="s">
        <v>1405</v>
      </c>
      <c r="D84" s="1" t="s">
        <v>654</v>
      </c>
      <c r="E84" s="1">
        <v>6</v>
      </c>
      <c r="F84" s="1">
        <v>12127</v>
      </c>
      <c r="G84" s="1">
        <v>136.304</v>
      </c>
      <c r="H84" s="1">
        <v>3.847</v>
      </c>
      <c r="I84" s="1">
        <v>25.048999999999999</v>
      </c>
    </row>
    <row r="85" spans="1:9" x14ac:dyDescent="0.25">
      <c r="A85" s="2">
        <v>148</v>
      </c>
      <c r="B85" s="2">
        <v>148</v>
      </c>
      <c r="C85" s="1" t="s">
        <v>1405</v>
      </c>
      <c r="D85" s="1" t="s">
        <v>654</v>
      </c>
      <c r="E85" s="1">
        <v>7</v>
      </c>
      <c r="F85" s="1">
        <v>11179</v>
      </c>
      <c r="G85" s="1">
        <v>126</v>
      </c>
      <c r="H85" s="1">
        <v>3.8959999999999999</v>
      </c>
      <c r="I85" s="1">
        <v>25.126000000000001</v>
      </c>
    </row>
    <row r="86" spans="1:9" x14ac:dyDescent="0.25">
      <c r="A86" s="2">
        <v>149</v>
      </c>
      <c r="B86" s="2">
        <v>149</v>
      </c>
      <c r="C86" s="1" t="s">
        <v>1411</v>
      </c>
      <c r="D86" s="1" t="s">
        <v>336</v>
      </c>
      <c r="E86" s="1">
        <v>6</v>
      </c>
      <c r="F86" s="1">
        <v>15450</v>
      </c>
      <c r="G86" s="1">
        <v>179.96700000000001</v>
      </c>
      <c r="H86" s="1">
        <v>3.9209999999999998</v>
      </c>
      <c r="I86" s="1">
        <v>25.047000000000001</v>
      </c>
    </row>
    <row r="87" spans="1:9" x14ac:dyDescent="0.25">
      <c r="A87" s="2">
        <v>149</v>
      </c>
      <c r="B87" s="2">
        <v>149</v>
      </c>
      <c r="C87" s="1" t="s">
        <v>1411</v>
      </c>
      <c r="D87" s="1" t="s">
        <v>336</v>
      </c>
      <c r="E87" s="1">
        <v>7</v>
      </c>
      <c r="F87" s="1">
        <v>14334</v>
      </c>
      <c r="G87" s="1">
        <v>166.37299999999999</v>
      </c>
      <c r="H87" s="1">
        <v>3.9550000000000001</v>
      </c>
      <c r="I87" s="1">
        <v>25.073</v>
      </c>
    </row>
    <row r="88" spans="1:9" x14ac:dyDescent="0.25">
      <c r="A88" s="2">
        <v>160</v>
      </c>
      <c r="B88" s="2">
        <v>160</v>
      </c>
      <c r="C88" s="1" t="s">
        <v>1466</v>
      </c>
      <c r="D88" s="1" t="s">
        <v>1467</v>
      </c>
      <c r="E88" s="1">
        <v>6</v>
      </c>
      <c r="F88" s="1">
        <v>12090</v>
      </c>
      <c r="G88" s="1">
        <v>139.44499999999999</v>
      </c>
      <c r="H88" s="1">
        <v>3.879</v>
      </c>
      <c r="I88" s="1">
        <v>25.161000000000001</v>
      </c>
    </row>
    <row r="89" spans="1:9" x14ac:dyDescent="0.25">
      <c r="A89" s="2">
        <v>160</v>
      </c>
      <c r="B89" s="2">
        <v>160</v>
      </c>
      <c r="C89" s="1" t="s">
        <v>1466</v>
      </c>
      <c r="D89" s="1" t="s">
        <v>1467</v>
      </c>
      <c r="E89" s="1">
        <v>7</v>
      </c>
      <c r="F89" s="1">
        <v>11317</v>
      </c>
      <c r="G89" s="1">
        <v>129.435</v>
      </c>
      <c r="H89" s="1">
        <v>3.8940000000000001</v>
      </c>
      <c r="I89" s="1">
        <v>25.222000000000001</v>
      </c>
    </row>
    <row r="90" spans="1:9" x14ac:dyDescent="0.25">
      <c r="A90" s="2">
        <v>161</v>
      </c>
      <c r="B90" s="2">
        <v>161</v>
      </c>
      <c r="C90" s="1" t="s">
        <v>1472</v>
      </c>
      <c r="D90" s="1" t="s">
        <v>340</v>
      </c>
      <c r="E90" s="1">
        <v>6</v>
      </c>
      <c r="F90" s="1">
        <v>13892</v>
      </c>
      <c r="G90" s="1">
        <v>162.37200000000001</v>
      </c>
      <c r="H90" s="1">
        <v>3.9220000000000002</v>
      </c>
      <c r="I90" s="1">
        <v>25.202999999999999</v>
      </c>
    </row>
    <row r="91" spans="1:9" x14ac:dyDescent="0.25">
      <c r="A91" s="2">
        <v>161</v>
      </c>
      <c r="B91" s="2">
        <v>161</v>
      </c>
      <c r="C91" s="1" t="s">
        <v>1472</v>
      </c>
      <c r="D91" s="1" t="s">
        <v>340</v>
      </c>
      <c r="E91" s="1">
        <v>7</v>
      </c>
      <c r="F91" s="1">
        <v>12853</v>
      </c>
      <c r="G91" s="1">
        <v>150.20099999999999</v>
      </c>
      <c r="H91" s="1">
        <v>3.9420000000000002</v>
      </c>
      <c r="I91" s="1">
        <v>25.241</v>
      </c>
    </row>
    <row r="92" spans="1:9" x14ac:dyDescent="0.25">
      <c r="A92" s="2">
        <v>172</v>
      </c>
      <c r="B92" s="2">
        <v>172</v>
      </c>
      <c r="C92" s="1" t="s">
        <v>1522</v>
      </c>
      <c r="D92" s="1" t="s">
        <v>327</v>
      </c>
      <c r="E92" s="1">
        <v>6</v>
      </c>
      <c r="F92" s="1">
        <v>17421</v>
      </c>
      <c r="G92" s="1">
        <v>203.38200000000001</v>
      </c>
      <c r="H92" s="1">
        <v>3.9350000000000001</v>
      </c>
      <c r="I92" s="1">
        <v>25.076000000000001</v>
      </c>
    </row>
    <row r="93" spans="1:9" x14ac:dyDescent="0.25">
      <c r="A93" s="2">
        <v>172</v>
      </c>
      <c r="B93" s="2">
        <v>172</v>
      </c>
      <c r="C93" s="1" t="s">
        <v>1522</v>
      </c>
      <c r="D93" s="1" t="s">
        <v>327</v>
      </c>
      <c r="E93" s="1">
        <v>7</v>
      </c>
      <c r="F93" s="1">
        <v>16040</v>
      </c>
      <c r="G93" s="1">
        <v>187.54300000000001</v>
      </c>
      <c r="H93" s="1">
        <v>3.9590000000000001</v>
      </c>
      <c r="I93" s="1">
        <v>25.117000000000001</v>
      </c>
    </row>
    <row r="94" spans="1:9" x14ac:dyDescent="0.25">
      <c r="A94" s="2">
        <v>173</v>
      </c>
      <c r="B94" s="2">
        <v>173</v>
      </c>
      <c r="C94" s="1" t="s">
        <v>1527</v>
      </c>
      <c r="D94" s="1" t="s">
        <v>632</v>
      </c>
      <c r="E94" s="1">
        <v>6</v>
      </c>
      <c r="F94" s="1">
        <v>11447</v>
      </c>
      <c r="G94" s="1">
        <v>129.47999999999999</v>
      </c>
      <c r="H94" s="1">
        <v>3.8079999999999998</v>
      </c>
      <c r="I94" s="1">
        <v>25.157</v>
      </c>
    </row>
    <row r="95" spans="1:9" x14ac:dyDescent="0.25">
      <c r="A95" s="2">
        <v>173</v>
      </c>
      <c r="B95" s="2">
        <v>173</v>
      </c>
      <c r="C95" s="1" t="s">
        <v>1527</v>
      </c>
      <c r="D95" s="1" t="s">
        <v>632</v>
      </c>
      <c r="E95" s="1">
        <v>7</v>
      </c>
      <c r="F95" s="1">
        <v>10739</v>
      </c>
      <c r="G95" s="1">
        <v>120.542</v>
      </c>
      <c r="H95" s="1">
        <v>3.8759999999999999</v>
      </c>
      <c r="I95" s="1">
        <v>25.187000000000001</v>
      </c>
    </row>
    <row r="96" spans="1:9" x14ac:dyDescent="0.25">
      <c r="A96" s="2">
        <v>184</v>
      </c>
      <c r="B96" s="2">
        <v>184</v>
      </c>
      <c r="C96" s="1" t="s">
        <v>1579</v>
      </c>
      <c r="D96" s="1" t="s">
        <v>586</v>
      </c>
      <c r="E96" s="1">
        <v>6</v>
      </c>
      <c r="F96" s="1">
        <v>17561</v>
      </c>
      <c r="G96" s="1">
        <v>194.97800000000001</v>
      </c>
      <c r="H96" s="1">
        <v>3.92</v>
      </c>
      <c r="I96" s="1">
        <v>24.709</v>
      </c>
    </row>
    <row r="97" spans="1:9" x14ac:dyDescent="0.25">
      <c r="A97" s="2">
        <v>184</v>
      </c>
      <c r="B97" s="2">
        <v>184</v>
      </c>
      <c r="C97" s="1" t="s">
        <v>1579</v>
      </c>
      <c r="D97" s="1" t="s">
        <v>586</v>
      </c>
      <c r="E97" s="1">
        <v>7</v>
      </c>
      <c r="F97" s="1">
        <v>16341</v>
      </c>
      <c r="G97" s="1">
        <v>181.12700000000001</v>
      </c>
      <c r="H97" s="1">
        <v>3.9729999999999999</v>
      </c>
      <c r="I97" s="1">
        <v>24.771000000000001</v>
      </c>
    </row>
    <row r="98" spans="1:9" x14ac:dyDescent="0.25">
      <c r="A98" s="2">
        <v>185</v>
      </c>
      <c r="B98" s="2">
        <v>185</v>
      </c>
      <c r="C98" s="1" t="s">
        <v>1585</v>
      </c>
      <c r="D98" s="1" t="s">
        <v>220</v>
      </c>
      <c r="E98" s="1">
        <v>6</v>
      </c>
      <c r="F98" s="1">
        <v>9241</v>
      </c>
      <c r="G98" s="1">
        <v>108.96899999999999</v>
      </c>
      <c r="H98" s="1">
        <v>3.823</v>
      </c>
      <c r="I98" s="1">
        <v>25.202999999999999</v>
      </c>
    </row>
    <row r="99" spans="1:9" x14ac:dyDescent="0.25">
      <c r="A99" s="2">
        <v>185</v>
      </c>
      <c r="B99" s="2">
        <v>185</v>
      </c>
      <c r="C99" s="1" t="s">
        <v>1585</v>
      </c>
      <c r="D99" s="1" t="s">
        <v>220</v>
      </c>
      <c r="E99" s="1">
        <v>7</v>
      </c>
      <c r="F99" s="1">
        <v>8577</v>
      </c>
      <c r="G99" s="1">
        <v>100.68300000000001</v>
      </c>
      <c r="H99" s="1">
        <v>3.8929999999999998</v>
      </c>
      <c r="I99" s="1">
        <v>25.247</v>
      </c>
    </row>
    <row r="100" spans="1:9" x14ac:dyDescent="0.25">
      <c r="A100" s="2">
        <v>196</v>
      </c>
      <c r="B100" s="2">
        <v>196</v>
      </c>
      <c r="C100" s="1" t="s">
        <v>1642</v>
      </c>
      <c r="D100" s="1" t="s">
        <v>1643</v>
      </c>
      <c r="E100" s="1">
        <v>6</v>
      </c>
      <c r="F100" s="1">
        <v>16308</v>
      </c>
      <c r="G100" s="1">
        <v>190.09</v>
      </c>
      <c r="H100" s="1">
        <v>3.9239999999999999</v>
      </c>
      <c r="I100" s="1">
        <v>25.181000000000001</v>
      </c>
    </row>
    <row r="101" spans="1:9" x14ac:dyDescent="0.25">
      <c r="A101" s="2">
        <v>196</v>
      </c>
      <c r="B101" s="2">
        <v>196</v>
      </c>
      <c r="C101" s="1" t="s">
        <v>1642</v>
      </c>
      <c r="D101" s="1" t="s">
        <v>1643</v>
      </c>
      <c r="E101" s="1">
        <v>7</v>
      </c>
      <c r="F101" s="1">
        <v>15115</v>
      </c>
      <c r="G101" s="1">
        <v>175.61199999999999</v>
      </c>
      <c r="H101" s="1">
        <v>3.9929999999999999</v>
      </c>
      <c r="I101" s="1">
        <v>25.193999999999999</v>
      </c>
    </row>
    <row r="102" spans="1:9" x14ac:dyDescent="0.25">
      <c r="A102" s="2">
        <v>197</v>
      </c>
      <c r="B102" s="2">
        <v>197</v>
      </c>
      <c r="C102" s="1" t="s">
        <v>1647</v>
      </c>
      <c r="D102" s="1" t="s">
        <v>403</v>
      </c>
      <c r="E102" s="1">
        <v>6</v>
      </c>
      <c r="F102" s="1">
        <v>14207</v>
      </c>
      <c r="G102" s="1">
        <v>160.464</v>
      </c>
      <c r="H102" s="1">
        <v>3.8849999999999998</v>
      </c>
      <c r="I102" s="1">
        <v>25.135999999999999</v>
      </c>
    </row>
    <row r="103" spans="1:9" x14ac:dyDescent="0.25">
      <c r="A103" s="2">
        <v>197</v>
      </c>
      <c r="B103" s="2">
        <v>197</v>
      </c>
      <c r="C103" s="1" t="s">
        <v>1647</v>
      </c>
      <c r="D103" s="1" t="s">
        <v>403</v>
      </c>
      <c r="E103" s="1">
        <v>7</v>
      </c>
      <c r="F103" s="1">
        <v>13031</v>
      </c>
      <c r="G103" s="1">
        <v>147.99</v>
      </c>
      <c r="H103" s="1">
        <v>3.9449999999999998</v>
      </c>
      <c r="I103" s="1">
        <v>25.161000000000001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7C7F-9204-4E0E-90C2-298C84AF35D0}">
  <sheetPr filterMode="1"/>
  <dimension ref="A1:S1375"/>
  <sheetViews>
    <sheetView zoomScale="93" zoomScaleNormal="93" workbookViewId="0">
      <selection activeCell="F47" sqref="F47"/>
    </sheetView>
  </sheetViews>
  <sheetFormatPr defaultColWidth="8.85546875" defaultRowHeight="15" x14ac:dyDescent="0.25"/>
  <cols>
    <col min="1" max="16384" width="8.85546875" style="2"/>
  </cols>
  <sheetData>
    <row r="1" spans="1:19" x14ac:dyDescent="0.25">
      <c r="A1" s="1" t="s">
        <v>1</v>
      </c>
      <c r="B1" s="1" t="s">
        <v>2</v>
      </c>
      <c r="C1" s="1" t="s">
        <v>3</v>
      </c>
      <c r="D1" s="1" t="s">
        <v>33</v>
      </c>
      <c r="E1" s="1" t="s">
        <v>4</v>
      </c>
      <c r="F1" s="1" t="s">
        <v>40</v>
      </c>
      <c r="G1" s="1" t="s">
        <v>5</v>
      </c>
      <c r="H1" s="1" t="s">
        <v>34</v>
      </c>
      <c r="I1" s="1" t="s">
        <v>35</v>
      </c>
      <c r="J1" s="1" t="s">
        <v>6</v>
      </c>
      <c r="K1" s="1" t="s">
        <v>7</v>
      </c>
      <c r="L1" s="1" t="s">
        <v>8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41</v>
      </c>
      <c r="R1" s="1" t="s">
        <v>42</v>
      </c>
      <c r="S1" s="1" t="s">
        <v>43</v>
      </c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idden="1" x14ac:dyDescent="0.25">
      <c r="A3" s="1">
        <v>1</v>
      </c>
      <c r="B3" s="1" t="s">
        <v>272</v>
      </c>
      <c r="C3" s="1" t="s">
        <v>241</v>
      </c>
      <c r="D3" s="1" t="s">
        <v>419</v>
      </c>
      <c r="E3" s="1">
        <v>1</v>
      </c>
      <c r="F3" s="1">
        <v>174.23699999999999</v>
      </c>
      <c r="G3" s="1">
        <v>8894</v>
      </c>
      <c r="H3" s="1">
        <v>10642</v>
      </c>
      <c r="I3" s="1">
        <v>12314</v>
      </c>
      <c r="J3" s="1">
        <v>171.47300000000001</v>
      </c>
      <c r="K3" s="1">
        <v>-5.4039999999999999</v>
      </c>
      <c r="L3" s="1">
        <v>19.097000000000001</v>
      </c>
      <c r="M3" s="1" t="s">
        <v>491</v>
      </c>
      <c r="N3" s="1" t="s">
        <v>492</v>
      </c>
      <c r="O3" s="1" t="s">
        <v>493</v>
      </c>
      <c r="P3" s="1" t="s">
        <v>494</v>
      </c>
      <c r="Q3" s="1" t="s">
        <v>126</v>
      </c>
      <c r="R3" s="1" t="s">
        <v>48</v>
      </c>
      <c r="S3" s="1" t="s">
        <v>131</v>
      </c>
    </row>
    <row r="4" spans="1:19" hidden="1" x14ac:dyDescent="0.25">
      <c r="A4" s="1">
        <v>1</v>
      </c>
      <c r="B4" s="1" t="s">
        <v>272</v>
      </c>
      <c r="C4" s="1" t="s">
        <v>241</v>
      </c>
      <c r="D4" s="1" t="s">
        <v>419</v>
      </c>
      <c r="E4" s="1">
        <v>2</v>
      </c>
      <c r="F4" s="1">
        <v>172.34899999999999</v>
      </c>
      <c r="G4" s="1">
        <v>8919</v>
      </c>
      <c r="H4" s="1">
        <v>10671</v>
      </c>
      <c r="I4" s="1">
        <v>12350</v>
      </c>
      <c r="J4" s="1">
        <v>169.61500000000001</v>
      </c>
      <c r="K4" s="1">
        <v>-5.4039999999999999</v>
      </c>
      <c r="L4" s="1">
        <v>19.105</v>
      </c>
      <c r="M4" s="1" t="s">
        <v>491</v>
      </c>
      <c r="N4" s="1" t="s">
        <v>492</v>
      </c>
      <c r="O4" s="1" t="s">
        <v>493</v>
      </c>
      <c r="P4" s="1" t="s">
        <v>494</v>
      </c>
      <c r="Q4" s="1" t="s">
        <v>94</v>
      </c>
      <c r="R4" s="1" t="s">
        <v>138</v>
      </c>
      <c r="S4" s="1" t="s">
        <v>149</v>
      </c>
    </row>
    <row r="5" spans="1:19" hidden="1" x14ac:dyDescent="0.25">
      <c r="A5" s="1">
        <v>1</v>
      </c>
      <c r="B5" s="1" t="s">
        <v>272</v>
      </c>
      <c r="C5" s="1" t="s">
        <v>241</v>
      </c>
      <c r="D5" s="1" t="s">
        <v>419</v>
      </c>
      <c r="E5" s="1">
        <v>3</v>
      </c>
      <c r="F5" s="1">
        <v>173.70699999999999</v>
      </c>
      <c r="G5" s="1">
        <v>8978</v>
      </c>
      <c r="H5" s="1">
        <v>10742</v>
      </c>
      <c r="I5" s="1">
        <v>12430</v>
      </c>
      <c r="J5" s="1">
        <v>170.95099999999999</v>
      </c>
      <c r="K5" s="1">
        <v>-5.4059999999999997</v>
      </c>
      <c r="L5" s="1">
        <v>19.081</v>
      </c>
      <c r="M5" s="1" t="s">
        <v>491</v>
      </c>
      <c r="N5" s="1" t="s">
        <v>492</v>
      </c>
      <c r="O5" s="1" t="s">
        <v>493</v>
      </c>
      <c r="P5" s="1" t="s">
        <v>494</v>
      </c>
      <c r="Q5" s="1" t="s">
        <v>90</v>
      </c>
      <c r="R5" s="1" t="s">
        <v>307</v>
      </c>
      <c r="S5" s="1" t="s">
        <v>194</v>
      </c>
    </row>
    <row r="6" spans="1:19" hidden="1" x14ac:dyDescent="0.25">
      <c r="A6" s="1">
        <v>1</v>
      </c>
      <c r="B6" s="1" t="s">
        <v>272</v>
      </c>
      <c r="C6" s="1" t="s">
        <v>241</v>
      </c>
      <c r="D6" s="1" t="s">
        <v>419</v>
      </c>
      <c r="E6" s="1">
        <v>4</v>
      </c>
      <c r="F6" s="1">
        <v>173.517</v>
      </c>
      <c r="G6" s="1">
        <v>8913</v>
      </c>
      <c r="H6" s="1">
        <v>10664</v>
      </c>
      <c r="I6" s="1">
        <v>12341</v>
      </c>
      <c r="J6" s="1">
        <v>170.76400000000001</v>
      </c>
      <c r="K6" s="1">
        <v>-5.399</v>
      </c>
      <c r="L6" s="1">
        <v>19.082999999999998</v>
      </c>
      <c r="M6" s="1" t="s">
        <v>491</v>
      </c>
      <c r="N6" s="1" t="s">
        <v>492</v>
      </c>
      <c r="O6" s="1" t="s">
        <v>493</v>
      </c>
      <c r="P6" s="1" t="s">
        <v>494</v>
      </c>
      <c r="Q6" s="1" t="s">
        <v>108</v>
      </c>
      <c r="R6" s="1" t="s">
        <v>157</v>
      </c>
      <c r="S6" s="1" t="s">
        <v>299</v>
      </c>
    </row>
    <row r="7" spans="1:19" hidden="1" x14ac:dyDescent="0.25">
      <c r="A7" s="1">
        <v>2</v>
      </c>
      <c r="B7" s="1" t="s">
        <v>495</v>
      </c>
      <c r="C7" s="1" t="s">
        <v>496</v>
      </c>
      <c r="D7" s="1" t="s">
        <v>440</v>
      </c>
      <c r="E7" s="1">
        <v>1</v>
      </c>
      <c r="F7" s="1">
        <v>174.30199999999999</v>
      </c>
      <c r="G7" s="1">
        <v>8900</v>
      </c>
      <c r="H7" s="1">
        <v>10648</v>
      </c>
      <c r="I7" s="1">
        <v>12322</v>
      </c>
      <c r="J7" s="1">
        <v>171.53700000000001</v>
      </c>
      <c r="K7" s="1">
        <v>-5.3819999999999997</v>
      </c>
      <c r="L7" s="1">
        <v>19.077000000000002</v>
      </c>
      <c r="M7" s="1" t="s">
        <v>497</v>
      </c>
      <c r="N7" s="1" t="s">
        <v>492</v>
      </c>
      <c r="O7" s="1" t="s">
        <v>498</v>
      </c>
      <c r="P7" s="1" t="s">
        <v>499</v>
      </c>
      <c r="Q7" s="1" t="s">
        <v>114</v>
      </c>
      <c r="R7" s="1" t="s">
        <v>105</v>
      </c>
      <c r="S7" s="1" t="s">
        <v>87</v>
      </c>
    </row>
    <row r="8" spans="1:19" hidden="1" x14ac:dyDescent="0.25">
      <c r="A8" s="1">
        <v>2</v>
      </c>
      <c r="B8" s="1" t="s">
        <v>495</v>
      </c>
      <c r="C8" s="1" t="s">
        <v>496</v>
      </c>
      <c r="D8" s="1" t="s">
        <v>440</v>
      </c>
      <c r="E8" s="1">
        <v>2</v>
      </c>
      <c r="F8" s="1">
        <v>173.18199999999999</v>
      </c>
      <c r="G8" s="1">
        <v>8948</v>
      </c>
      <c r="H8" s="1">
        <v>10706</v>
      </c>
      <c r="I8" s="1">
        <v>12390</v>
      </c>
      <c r="J8" s="1">
        <v>170.435</v>
      </c>
      <c r="K8" s="1">
        <v>-5.383</v>
      </c>
      <c r="L8" s="1">
        <v>19.052</v>
      </c>
      <c r="M8" s="1" t="s">
        <v>497</v>
      </c>
      <c r="N8" s="1" t="s">
        <v>492</v>
      </c>
      <c r="O8" s="1" t="s">
        <v>498</v>
      </c>
      <c r="P8" s="1" t="s">
        <v>499</v>
      </c>
      <c r="Q8" s="1" t="s">
        <v>57</v>
      </c>
      <c r="R8" s="1" t="s">
        <v>113</v>
      </c>
      <c r="S8" s="1" t="s">
        <v>153</v>
      </c>
    </row>
    <row r="9" spans="1:19" hidden="1" x14ac:dyDescent="0.25">
      <c r="A9" s="1">
        <v>2</v>
      </c>
      <c r="B9" s="1" t="s">
        <v>495</v>
      </c>
      <c r="C9" s="1" t="s">
        <v>496</v>
      </c>
      <c r="D9" s="1" t="s">
        <v>440</v>
      </c>
      <c r="E9" s="1">
        <v>3</v>
      </c>
      <c r="F9" s="1">
        <v>173.649</v>
      </c>
      <c r="G9" s="1">
        <v>8981</v>
      </c>
      <c r="H9" s="1">
        <v>10747</v>
      </c>
      <c r="I9" s="1">
        <v>12438</v>
      </c>
      <c r="J9" s="1">
        <v>170.89500000000001</v>
      </c>
      <c r="K9" s="1">
        <v>-5.3849999999999998</v>
      </c>
      <c r="L9" s="1">
        <v>19.053999999999998</v>
      </c>
      <c r="M9" s="1" t="s">
        <v>497</v>
      </c>
      <c r="N9" s="1" t="s">
        <v>492</v>
      </c>
      <c r="O9" s="1" t="s">
        <v>498</v>
      </c>
      <c r="P9" s="1" t="s">
        <v>499</v>
      </c>
      <c r="Q9" s="1" t="s">
        <v>74</v>
      </c>
      <c r="R9" s="1" t="s">
        <v>152</v>
      </c>
      <c r="S9" s="1" t="s">
        <v>148</v>
      </c>
    </row>
    <row r="10" spans="1:19" hidden="1" x14ac:dyDescent="0.25">
      <c r="A10" s="1">
        <v>2</v>
      </c>
      <c r="B10" s="1" t="s">
        <v>495</v>
      </c>
      <c r="C10" s="1" t="s">
        <v>496</v>
      </c>
      <c r="D10" s="1" t="s">
        <v>440</v>
      </c>
      <c r="E10" s="1">
        <v>4</v>
      </c>
      <c r="F10" s="1">
        <v>174.227</v>
      </c>
      <c r="G10" s="1">
        <v>8934</v>
      </c>
      <c r="H10" s="1">
        <v>10690</v>
      </c>
      <c r="I10" s="1">
        <v>12370</v>
      </c>
      <c r="J10" s="1">
        <v>171.46299999999999</v>
      </c>
      <c r="K10" s="1">
        <v>-5.399</v>
      </c>
      <c r="L10" s="1">
        <v>19.082999999999998</v>
      </c>
      <c r="M10" s="1" t="s">
        <v>497</v>
      </c>
      <c r="N10" s="1" t="s">
        <v>492</v>
      </c>
      <c r="O10" s="1" t="s">
        <v>498</v>
      </c>
      <c r="P10" s="1" t="s">
        <v>499</v>
      </c>
      <c r="Q10" s="1" t="s">
        <v>95</v>
      </c>
      <c r="R10" s="1" t="s">
        <v>158</v>
      </c>
      <c r="S10" s="1" t="s">
        <v>173</v>
      </c>
    </row>
    <row r="11" spans="1:19" hidden="1" x14ac:dyDescent="0.25">
      <c r="A11" s="1">
        <v>2</v>
      </c>
      <c r="B11" s="1" t="s">
        <v>495</v>
      </c>
      <c r="C11" s="1" t="s">
        <v>496</v>
      </c>
      <c r="D11" s="1" t="s">
        <v>440</v>
      </c>
      <c r="E11" s="1">
        <v>5</v>
      </c>
      <c r="F11" s="1">
        <v>162.72999999999999</v>
      </c>
      <c r="G11" s="1">
        <v>12762</v>
      </c>
      <c r="H11" s="1">
        <v>15323</v>
      </c>
      <c r="I11" s="1">
        <v>17442</v>
      </c>
      <c r="J11" s="1">
        <v>160.15799999999999</v>
      </c>
      <c r="K11" s="1">
        <v>-5.4969999999999999</v>
      </c>
      <c r="L11" s="1">
        <v>5.6989999999999998</v>
      </c>
      <c r="M11" s="1" t="s">
        <v>497</v>
      </c>
      <c r="N11" s="1" t="s">
        <v>492</v>
      </c>
      <c r="O11" s="1" t="s">
        <v>498</v>
      </c>
      <c r="P11" s="1" t="s">
        <v>499</v>
      </c>
      <c r="Q11" s="1" t="s">
        <v>187</v>
      </c>
      <c r="R11" s="1" t="s">
        <v>183</v>
      </c>
      <c r="S11" s="1" t="s">
        <v>204</v>
      </c>
    </row>
    <row r="12" spans="1:19" x14ac:dyDescent="0.25">
      <c r="A12" s="1">
        <v>2</v>
      </c>
      <c r="B12" s="1" t="s">
        <v>495</v>
      </c>
      <c r="C12" s="1" t="s">
        <v>496</v>
      </c>
      <c r="D12" s="1" t="s">
        <v>440</v>
      </c>
      <c r="E12" s="1">
        <v>6</v>
      </c>
      <c r="F12" s="1">
        <v>143.613</v>
      </c>
      <c r="G12" s="1">
        <v>11410</v>
      </c>
      <c r="H12" s="1">
        <v>13696</v>
      </c>
      <c r="I12" s="1">
        <v>15595</v>
      </c>
      <c r="J12" s="1">
        <v>141.34299999999999</v>
      </c>
      <c r="K12" s="1">
        <v>-5.4560000000000004</v>
      </c>
      <c r="L12" s="1">
        <v>5.806</v>
      </c>
      <c r="M12" s="1" t="s">
        <v>497</v>
      </c>
      <c r="N12" s="1" t="s">
        <v>492</v>
      </c>
      <c r="O12" s="1" t="s">
        <v>498</v>
      </c>
      <c r="P12" s="1" t="s">
        <v>499</v>
      </c>
      <c r="Q12" s="1" t="s">
        <v>258</v>
      </c>
      <c r="R12" s="1" t="s">
        <v>151</v>
      </c>
      <c r="S12" s="1" t="s">
        <v>177</v>
      </c>
    </row>
    <row r="13" spans="1:19" x14ac:dyDescent="0.25">
      <c r="A13" s="1">
        <v>2</v>
      </c>
      <c r="B13" s="1" t="s">
        <v>495</v>
      </c>
      <c r="C13" s="1" t="s">
        <v>496</v>
      </c>
      <c r="D13" s="1" t="s">
        <v>440</v>
      </c>
      <c r="E13" s="1">
        <v>7</v>
      </c>
      <c r="F13" s="1">
        <v>133.74299999999999</v>
      </c>
      <c r="G13" s="1">
        <v>10693</v>
      </c>
      <c r="H13" s="1">
        <v>12834</v>
      </c>
      <c r="I13" s="1">
        <v>14616</v>
      </c>
      <c r="J13" s="1">
        <v>131.62899999999999</v>
      </c>
      <c r="K13" s="1">
        <v>-5.4210000000000003</v>
      </c>
      <c r="L13" s="1">
        <v>5.7930000000000001</v>
      </c>
      <c r="M13" s="1" t="s">
        <v>497</v>
      </c>
      <c r="N13" s="1" t="s">
        <v>492</v>
      </c>
      <c r="O13" s="1" t="s">
        <v>498</v>
      </c>
      <c r="P13" s="1" t="s">
        <v>499</v>
      </c>
      <c r="Q13" s="1" t="s">
        <v>500</v>
      </c>
      <c r="R13" s="1" t="s">
        <v>501</v>
      </c>
      <c r="S13" s="1" t="s">
        <v>351</v>
      </c>
    </row>
    <row r="14" spans="1:19" hidden="1" x14ac:dyDescent="0.25">
      <c r="A14" s="1">
        <v>3</v>
      </c>
      <c r="B14" s="1" t="s">
        <v>502</v>
      </c>
      <c r="C14" s="1" t="s">
        <v>503</v>
      </c>
      <c r="D14" s="1" t="s">
        <v>423</v>
      </c>
      <c r="E14" s="1">
        <v>1</v>
      </c>
      <c r="F14" s="1">
        <v>174.43199999999999</v>
      </c>
      <c r="G14" s="1">
        <v>8876</v>
      </c>
      <c r="H14" s="1">
        <v>10618</v>
      </c>
      <c r="I14" s="1">
        <v>12295</v>
      </c>
      <c r="J14" s="1">
        <v>171.66399999999999</v>
      </c>
      <c r="K14" s="1">
        <v>-5.391</v>
      </c>
      <c r="L14" s="1">
        <v>19.106999999999999</v>
      </c>
      <c r="M14" s="1" t="s">
        <v>504</v>
      </c>
      <c r="N14" s="1" t="s">
        <v>492</v>
      </c>
      <c r="O14" s="1" t="s">
        <v>505</v>
      </c>
      <c r="P14" s="1" t="s">
        <v>506</v>
      </c>
      <c r="Q14" s="1" t="s">
        <v>78</v>
      </c>
      <c r="R14" s="1" t="s">
        <v>67</v>
      </c>
      <c r="S14" s="1" t="s">
        <v>104</v>
      </c>
    </row>
    <row r="15" spans="1:19" hidden="1" x14ac:dyDescent="0.25">
      <c r="A15" s="1">
        <v>3</v>
      </c>
      <c r="B15" s="1" t="s">
        <v>502</v>
      </c>
      <c r="C15" s="1" t="s">
        <v>503</v>
      </c>
      <c r="D15" s="1" t="s">
        <v>423</v>
      </c>
      <c r="E15" s="1">
        <v>2</v>
      </c>
      <c r="F15" s="1">
        <v>171.279</v>
      </c>
      <c r="G15" s="1">
        <v>8859</v>
      </c>
      <c r="H15" s="1">
        <v>10599</v>
      </c>
      <c r="I15" s="1">
        <v>12268</v>
      </c>
      <c r="J15" s="1">
        <v>168.56100000000001</v>
      </c>
      <c r="K15" s="1">
        <v>-5.407</v>
      </c>
      <c r="L15" s="1">
        <v>19.091999999999999</v>
      </c>
      <c r="M15" s="1" t="s">
        <v>504</v>
      </c>
      <c r="N15" s="1" t="s">
        <v>492</v>
      </c>
      <c r="O15" s="1" t="s">
        <v>505</v>
      </c>
      <c r="P15" s="1" t="s">
        <v>506</v>
      </c>
      <c r="Q15" s="1" t="s">
        <v>131</v>
      </c>
      <c r="R15" s="1" t="s">
        <v>176</v>
      </c>
      <c r="S15" s="1" t="s">
        <v>194</v>
      </c>
    </row>
    <row r="16" spans="1:19" hidden="1" x14ac:dyDescent="0.25">
      <c r="A16" s="1">
        <v>3</v>
      </c>
      <c r="B16" s="1" t="s">
        <v>502</v>
      </c>
      <c r="C16" s="1" t="s">
        <v>503</v>
      </c>
      <c r="D16" s="1" t="s">
        <v>423</v>
      </c>
      <c r="E16" s="1">
        <v>3</v>
      </c>
      <c r="F16" s="1">
        <v>172.82900000000001</v>
      </c>
      <c r="G16" s="1">
        <v>8925</v>
      </c>
      <c r="H16" s="1">
        <v>10678</v>
      </c>
      <c r="I16" s="1">
        <v>12363</v>
      </c>
      <c r="J16" s="1">
        <v>170.08699999999999</v>
      </c>
      <c r="K16" s="1">
        <v>-5.4</v>
      </c>
      <c r="L16" s="1">
        <v>19.064</v>
      </c>
      <c r="M16" s="1" t="s">
        <v>504</v>
      </c>
      <c r="N16" s="1" t="s">
        <v>492</v>
      </c>
      <c r="O16" s="1" t="s">
        <v>505</v>
      </c>
      <c r="P16" s="1" t="s">
        <v>506</v>
      </c>
      <c r="Q16" s="1" t="s">
        <v>107</v>
      </c>
      <c r="R16" s="1" t="s">
        <v>290</v>
      </c>
      <c r="S16" s="1" t="s">
        <v>236</v>
      </c>
    </row>
    <row r="17" spans="1:19" hidden="1" x14ac:dyDescent="0.25">
      <c r="A17" s="1">
        <v>3</v>
      </c>
      <c r="B17" s="1" t="s">
        <v>502</v>
      </c>
      <c r="C17" s="1" t="s">
        <v>503</v>
      </c>
      <c r="D17" s="1" t="s">
        <v>423</v>
      </c>
      <c r="E17" s="1">
        <v>4</v>
      </c>
      <c r="F17" s="1">
        <v>172.61799999999999</v>
      </c>
      <c r="G17" s="1">
        <v>8883</v>
      </c>
      <c r="H17" s="1">
        <v>10628</v>
      </c>
      <c r="I17" s="1">
        <v>12305</v>
      </c>
      <c r="J17" s="1">
        <v>169.88</v>
      </c>
      <c r="K17" s="1">
        <v>-5.399</v>
      </c>
      <c r="L17" s="1">
        <v>19.082999999999998</v>
      </c>
      <c r="M17" s="1" t="s">
        <v>504</v>
      </c>
      <c r="N17" s="1" t="s">
        <v>492</v>
      </c>
      <c r="O17" s="1" t="s">
        <v>505</v>
      </c>
      <c r="P17" s="1" t="s">
        <v>506</v>
      </c>
      <c r="Q17" s="1" t="s">
        <v>258</v>
      </c>
      <c r="R17" s="1" t="s">
        <v>151</v>
      </c>
      <c r="S17" s="1" t="s">
        <v>136</v>
      </c>
    </row>
    <row r="18" spans="1:19" hidden="1" x14ac:dyDescent="0.25">
      <c r="A18" s="1">
        <v>3</v>
      </c>
      <c r="B18" s="1" t="s">
        <v>502</v>
      </c>
      <c r="C18" s="1" t="s">
        <v>503</v>
      </c>
      <c r="D18" s="1" t="s">
        <v>423</v>
      </c>
      <c r="E18" s="1">
        <v>5</v>
      </c>
      <c r="F18" s="1">
        <v>213.90799999999999</v>
      </c>
      <c r="G18" s="1">
        <v>17171</v>
      </c>
      <c r="H18" s="1">
        <v>20617</v>
      </c>
      <c r="I18" s="1">
        <v>23478</v>
      </c>
      <c r="J18" s="1">
        <v>210.52699999999999</v>
      </c>
      <c r="K18" s="1">
        <v>-5.4820000000000002</v>
      </c>
      <c r="L18" s="1">
        <v>5.6630000000000003</v>
      </c>
      <c r="M18" s="1" t="s">
        <v>504</v>
      </c>
      <c r="N18" s="1" t="s">
        <v>492</v>
      </c>
      <c r="O18" s="1" t="s">
        <v>505</v>
      </c>
      <c r="P18" s="1" t="s">
        <v>506</v>
      </c>
      <c r="Q18" s="1" t="s">
        <v>186</v>
      </c>
      <c r="R18" s="1" t="s">
        <v>211</v>
      </c>
      <c r="S18" s="1" t="s">
        <v>137</v>
      </c>
    </row>
    <row r="19" spans="1:19" x14ac:dyDescent="0.25">
      <c r="A19" s="1">
        <v>3</v>
      </c>
      <c r="B19" s="1" t="s">
        <v>502</v>
      </c>
      <c r="C19" s="1" t="s">
        <v>503</v>
      </c>
      <c r="D19" s="1" t="s">
        <v>423</v>
      </c>
      <c r="E19" s="1">
        <v>6</v>
      </c>
      <c r="F19" s="1">
        <v>188.79300000000001</v>
      </c>
      <c r="G19" s="1">
        <v>15181</v>
      </c>
      <c r="H19" s="1">
        <v>18218</v>
      </c>
      <c r="I19" s="1">
        <v>20755</v>
      </c>
      <c r="J19" s="1">
        <v>185.80799999999999</v>
      </c>
      <c r="K19" s="1">
        <v>-5.4480000000000004</v>
      </c>
      <c r="L19" s="1">
        <v>5.7960000000000003</v>
      </c>
      <c r="M19" s="1" t="s">
        <v>504</v>
      </c>
      <c r="N19" s="1" t="s">
        <v>492</v>
      </c>
      <c r="O19" s="1" t="s">
        <v>505</v>
      </c>
      <c r="P19" s="1" t="s">
        <v>506</v>
      </c>
      <c r="Q19" s="1" t="s">
        <v>141</v>
      </c>
      <c r="R19" s="1" t="s">
        <v>150</v>
      </c>
      <c r="S19" s="1" t="s">
        <v>322</v>
      </c>
    </row>
    <row r="20" spans="1:19" x14ac:dyDescent="0.25">
      <c r="A20" s="1">
        <v>3</v>
      </c>
      <c r="B20" s="1" t="s">
        <v>502</v>
      </c>
      <c r="C20" s="1" t="s">
        <v>503</v>
      </c>
      <c r="D20" s="1" t="s">
        <v>423</v>
      </c>
      <c r="E20" s="1">
        <v>7</v>
      </c>
      <c r="F20" s="1">
        <v>175.929</v>
      </c>
      <c r="G20" s="1">
        <v>14111</v>
      </c>
      <c r="H20" s="1">
        <v>16932</v>
      </c>
      <c r="I20" s="1">
        <v>19299</v>
      </c>
      <c r="J20" s="1">
        <v>173.148</v>
      </c>
      <c r="K20" s="1">
        <v>-5.407</v>
      </c>
      <c r="L20" s="1">
        <v>5.81</v>
      </c>
      <c r="M20" s="1" t="s">
        <v>504</v>
      </c>
      <c r="N20" s="1" t="s">
        <v>492</v>
      </c>
      <c r="O20" s="1" t="s">
        <v>505</v>
      </c>
      <c r="P20" s="1" t="s">
        <v>506</v>
      </c>
      <c r="Q20" s="1" t="s">
        <v>507</v>
      </c>
      <c r="R20" s="1" t="s">
        <v>339</v>
      </c>
      <c r="S20" s="1" t="s">
        <v>508</v>
      </c>
    </row>
    <row r="21" spans="1:19" hidden="1" x14ac:dyDescent="0.25">
      <c r="A21" s="1">
        <v>4</v>
      </c>
      <c r="B21" s="1" t="s">
        <v>509</v>
      </c>
      <c r="C21" s="1" t="s">
        <v>510</v>
      </c>
      <c r="D21" s="1" t="s">
        <v>511</v>
      </c>
      <c r="E21" s="1">
        <v>1</v>
      </c>
      <c r="F21" s="1">
        <v>175.38900000000001</v>
      </c>
      <c r="G21" s="1">
        <v>8912</v>
      </c>
      <c r="H21" s="1">
        <v>10662</v>
      </c>
      <c r="I21" s="1">
        <v>12344</v>
      </c>
      <c r="J21" s="1">
        <v>172.60599999999999</v>
      </c>
      <c r="K21" s="1">
        <v>-5.3959999999999999</v>
      </c>
      <c r="L21" s="1">
        <v>19.100999999999999</v>
      </c>
      <c r="M21" s="1" t="s">
        <v>512</v>
      </c>
      <c r="N21" s="1" t="s">
        <v>492</v>
      </c>
      <c r="O21" s="1" t="s">
        <v>513</v>
      </c>
      <c r="P21" s="1" t="s">
        <v>514</v>
      </c>
      <c r="Q21" s="1" t="s">
        <v>87</v>
      </c>
      <c r="R21" s="1" t="s">
        <v>131</v>
      </c>
      <c r="S21" s="1" t="s">
        <v>253</v>
      </c>
    </row>
    <row r="22" spans="1:19" hidden="1" x14ac:dyDescent="0.25">
      <c r="A22" s="1">
        <v>4</v>
      </c>
      <c r="B22" s="1" t="s">
        <v>509</v>
      </c>
      <c r="C22" s="1" t="s">
        <v>510</v>
      </c>
      <c r="D22" s="1" t="s">
        <v>511</v>
      </c>
      <c r="E22" s="1">
        <v>2</v>
      </c>
      <c r="F22" s="1">
        <v>172.15899999999999</v>
      </c>
      <c r="G22" s="1">
        <v>8950</v>
      </c>
      <c r="H22" s="1">
        <v>10707</v>
      </c>
      <c r="I22" s="1">
        <v>12396</v>
      </c>
      <c r="J22" s="1">
        <v>169.428</v>
      </c>
      <c r="K22" s="1">
        <v>-5.3860000000000001</v>
      </c>
      <c r="L22" s="1">
        <v>19.074999999999999</v>
      </c>
      <c r="M22" s="1" t="s">
        <v>512</v>
      </c>
      <c r="N22" s="1" t="s">
        <v>492</v>
      </c>
      <c r="O22" s="1" t="s">
        <v>513</v>
      </c>
      <c r="P22" s="1" t="s">
        <v>514</v>
      </c>
      <c r="Q22" s="1" t="s">
        <v>113</v>
      </c>
      <c r="R22" s="1" t="s">
        <v>193</v>
      </c>
      <c r="S22" s="1" t="s">
        <v>252</v>
      </c>
    </row>
    <row r="23" spans="1:19" hidden="1" x14ac:dyDescent="0.25">
      <c r="A23" s="1">
        <v>4</v>
      </c>
      <c r="B23" s="1" t="s">
        <v>509</v>
      </c>
      <c r="C23" s="1" t="s">
        <v>510</v>
      </c>
      <c r="D23" s="1" t="s">
        <v>511</v>
      </c>
      <c r="E23" s="1">
        <v>3</v>
      </c>
      <c r="F23" s="1">
        <v>174.768</v>
      </c>
      <c r="G23" s="1">
        <v>9016</v>
      </c>
      <c r="H23" s="1">
        <v>10787</v>
      </c>
      <c r="I23" s="1">
        <v>12491</v>
      </c>
      <c r="J23" s="1">
        <v>171.995</v>
      </c>
      <c r="K23" s="1">
        <v>-5.3979999999999997</v>
      </c>
      <c r="L23" s="1">
        <v>19.09</v>
      </c>
      <c r="M23" s="1" t="s">
        <v>512</v>
      </c>
      <c r="N23" s="1" t="s">
        <v>492</v>
      </c>
      <c r="O23" s="1" t="s">
        <v>513</v>
      </c>
      <c r="P23" s="1" t="s">
        <v>514</v>
      </c>
      <c r="Q23" s="1" t="s">
        <v>172</v>
      </c>
      <c r="R23" s="1" t="s">
        <v>246</v>
      </c>
      <c r="S23" s="1" t="s">
        <v>318</v>
      </c>
    </row>
    <row r="24" spans="1:19" hidden="1" x14ac:dyDescent="0.25">
      <c r="A24" s="1">
        <v>4</v>
      </c>
      <c r="B24" s="1" t="s">
        <v>509</v>
      </c>
      <c r="C24" s="1" t="s">
        <v>510</v>
      </c>
      <c r="D24" s="1" t="s">
        <v>511</v>
      </c>
      <c r="E24" s="1">
        <v>4</v>
      </c>
      <c r="F24" s="1">
        <v>174.71</v>
      </c>
      <c r="G24" s="1">
        <v>8968</v>
      </c>
      <c r="H24" s="1">
        <v>10728</v>
      </c>
      <c r="I24" s="1">
        <v>12419</v>
      </c>
      <c r="J24" s="1">
        <v>171.93899999999999</v>
      </c>
      <c r="K24" s="1">
        <v>-5.399</v>
      </c>
      <c r="L24" s="1">
        <v>19.082999999999998</v>
      </c>
      <c r="M24" s="1" t="s">
        <v>512</v>
      </c>
      <c r="N24" s="1" t="s">
        <v>492</v>
      </c>
      <c r="O24" s="1" t="s">
        <v>513</v>
      </c>
      <c r="P24" s="1" t="s">
        <v>514</v>
      </c>
      <c r="Q24" s="1" t="s">
        <v>223</v>
      </c>
      <c r="R24" s="1" t="s">
        <v>154</v>
      </c>
      <c r="S24" s="1" t="s">
        <v>135</v>
      </c>
    </row>
    <row r="25" spans="1:19" hidden="1" x14ac:dyDescent="0.25">
      <c r="A25" s="1">
        <v>4</v>
      </c>
      <c r="B25" s="1" t="s">
        <v>509</v>
      </c>
      <c r="C25" s="1" t="s">
        <v>510</v>
      </c>
      <c r="D25" s="1" t="s">
        <v>511</v>
      </c>
      <c r="E25" s="1">
        <v>5</v>
      </c>
      <c r="F25" s="1">
        <v>220.43700000000001</v>
      </c>
      <c r="G25" s="1">
        <v>17711</v>
      </c>
      <c r="H25" s="1">
        <v>21302</v>
      </c>
      <c r="I25" s="1">
        <v>24216</v>
      </c>
      <c r="J25" s="1">
        <v>216.953</v>
      </c>
      <c r="K25" s="1">
        <v>-5.391</v>
      </c>
      <c r="L25" s="1">
        <v>5.7320000000000002</v>
      </c>
      <c r="M25" s="1" t="s">
        <v>512</v>
      </c>
      <c r="N25" s="1" t="s">
        <v>492</v>
      </c>
      <c r="O25" s="1" t="s">
        <v>513</v>
      </c>
      <c r="P25" s="1" t="s">
        <v>514</v>
      </c>
      <c r="Q25" s="1" t="s">
        <v>213</v>
      </c>
      <c r="R25" s="1" t="s">
        <v>205</v>
      </c>
      <c r="S25" s="1" t="s">
        <v>515</v>
      </c>
    </row>
    <row r="26" spans="1:19" x14ac:dyDescent="0.25">
      <c r="A26" s="1">
        <v>4</v>
      </c>
      <c r="B26" s="1" t="s">
        <v>509</v>
      </c>
      <c r="C26" s="1" t="s">
        <v>510</v>
      </c>
      <c r="D26" s="1" t="s">
        <v>511</v>
      </c>
      <c r="E26" s="1">
        <v>6</v>
      </c>
      <c r="F26" s="1">
        <v>196.31</v>
      </c>
      <c r="G26" s="1">
        <v>16135</v>
      </c>
      <c r="H26" s="1">
        <v>19394</v>
      </c>
      <c r="I26" s="1">
        <v>22061</v>
      </c>
      <c r="J26" s="1">
        <v>193.20699999999999</v>
      </c>
      <c r="K26" s="1">
        <v>-5.3869999999999996</v>
      </c>
      <c r="L26" s="1">
        <v>5.7930000000000001</v>
      </c>
      <c r="M26" s="1" t="s">
        <v>512</v>
      </c>
      <c r="N26" s="1" t="s">
        <v>492</v>
      </c>
      <c r="O26" s="1" t="s">
        <v>513</v>
      </c>
      <c r="P26" s="1" t="s">
        <v>514</v>
      </c>
      <c r="Q26" s="1" t="s">
        <v>154</v>
      </c>
      <c r="R26" s="1" t="s">
        <v>324</v>
      </c>
      <c r="S26" s="1" t="s">
        <v>516</v>
      </c>
    </row>
    <row r="27" spans="1:19" x14ac:dyDescent="0.25">
      <c r="A27" s="1">
        <v>4</v>
      </c>
      <c r="B27" s="1" t="s">
        <v>509</v>
      </c>
      <c r="C27" s="1" t="s">
        <v>510</v>
      </c>
      <c r="D27" s="1" t="s">
        <v>511</v>
      </c>
      <c r="E27" s="1">
        <v>7</v>
      </c>
      <c r="F27" s="1">
        <v>183.98699999999999</v>
      </c>
      <c r="G27" s="1">
        <v>15229</v>
      </c>
      <c r="H27" s="1">
        <v>18301</v>
      </c>
      <c r="I27" s="1">
        <v>20829</v>
      </c>
      <c r="J27" s="1">
        <v>181.07900000000001</v>
      </c>
      <c r="K27" s="1">
        <v>-5.3040000000000003</v>
      </c>
      <c r="L27" s="1">
        <v>5.7939999999999996</v>
      </c>
      <c r="M27" s="1" t="s">
        <v>512</v>
      </c>
      <c r="N27" s="1" t="s">
        <v>492</v>
      </c>
      <c r="O27" s="1" t="s">
        <v>513</v>
      </c>
      <c r="P27" s="1" t="s">
        <v>514</v>
      </c>
      <c r="Q27" s="1" t="s">
        <v>517</v>
      </c>
      <c r="R27" s="1" t="s">
        <v>518</v>
      </c>
      <c r="S27" s="1" t="s">
        <v>464</v>
      </c>
    </row>
    <row r="28" spans="1:19" hidden="1" x14ac:dyDescent="0.25">
      <c r="A28" s="1">
        <v>5</v>
      </c>
      <c r="B28" s="1" t="s">
        <v>519</v>
      </c>
      <c r="C28" s="1" t="s">
        <v>520</v>
      </c>
      <c r="D28" s="1" t="s">
        <v>521</v>
      </c>
      <c r="E28" s="1">
        <v>1</v>
      </c>
      <c r="F28" s="1">
        <v>172.63499999999999</v>
      </c>
      <c r="G28" s="1">
        <v>8818</v>
      </c>
      <c r="H28" s="1">
        <v>10550</v>
      </c>
      <c r="I28" s="1">
        <v>12216</v>
      </c>
      <c r="J28" s="1">
        <v>169.89599999999999</v>
      </c>
      <c r="K28" s="1">
        <v>-5.3840000000000003</v>
      </c>
      <c r="L28" s="1">
        <v>19.120999999999999</v>
      </c>
      <c r="M28" s="1" t="s">
        <v>522</v>
      </c>
      <c r="N28" s="1" t="s">
        <v>492</v>
      </c>
      <c r="O28" s="1" t="s">
        <v>523</v>
      </c>
      <c r="P28" s="1" t="s">
        <v>524</v>
      </c>
      <c r="Q28" s="1" t="s">
        <v>71</v>
      </c>
      <c r="R28" s="1" t="s">
        <v>97</v>
      </c>
      <c r="S28" s="1" t="s">
        <v>146</v>
      </c>
    </row>
    <row r="29" spans="1:19" hidden="1" x14ac:dyDescent="0.25">
      <c r="A29" s="1">
        <v>5</v>
      </c>
      <c r="B29" s="1" t="s">
        <v>519</v>
      </c>
      <c r="C29" s="1" t="s">
        <v>520</v>
      </c>
      <c r="D29" s="1" t="s">
        <v>521</v>
      </c>
      <c r="E29" s="1">
        <v>2</v>
      </c>
      <c r="F29" s="1">
        <v>172.10499999999999</v>
      </c>
      <c r="G29" s="1">
        <v>8896</v>
      </c>
      <c r="H29" s="1">
        <v>10643</v>
      </c>
      <c r="I29" s="1">
        <v>12325</v>
      </c>
      <c r="J29" s="1">
        <v>169.375</v>
      </c>
      <c r="K29" s="1">
        <v>-5.3970000000000002</v>
      </c>
      <c r="L29" s="1">
        <v>19.117999999999999</v>
      </c>
      <c r="M29" s="1" t="s">
        <v>522</v>
      </c>
      <c r="N29" s="1" t="s">
        <v>492</v>
      </c>
      <c r="O29" s="1" t="s">
        <v>523</v>
      </c>
      <c r="P29" s="1" t="s">
        <v>524</v>
      </c>
      <c r="Q29" s="1" t="s">
        <v>77</v>
      </c>
      <c r="R29" s="1" t="s">
        <v>140</v>
      </c>
      <c r="S29" s="1" t="s">
        <v>318</v>
      </c>
    </row>
    <row r="30" spans="1:19" hidden="1" x14ac:dyDescent="0.25">
      <c r="A30" s="1">
        <v>5</v>
      </c>
      <c r="B30" s="1" t="s">
        <v>519</v>
      </c>
      <c r="C30" s="1" t="s">
        <v>520</v>
      </c>
      <c r="D30" s="1" t="s">
        <v>521</v>
      </c>
      <c r="E30" s="1">
        <v>3</v>
      </c>
      <c r="F30" s="1">
        <v>172.012</v>
      </c>
      <c r="G30" s="1">
        <v>8873</v>
      </c>
      <c r="H30" s="1">
        <v>10615</v>
      </c>
      <c r="I30" s="1">
        <v>12290</v>
      </c>
      <c r="J30" s="1">
        <v>169.28299999999999</v>
      </c>
      <c r="K30" s="1">
        <v>-5.4059999999999997</v>
      </c>
      <c r="L30" s="1">
        <v>19.094999999999999</v>
      </c>
      <c r="M30" s="1" t="s">
        <v>522</v>
      </c>
      <c r="N30" s="1" t="s">
        <v>492</v>
      </c>
      <c r="O30" s="1" t="s">
        <v>523</v>
      </c>
      <c r="P30" s="1" t="s">
        <v>524</v>
      </c>
      <c r="Q30" s="1" t="s">
        <v>68</v>
      </c>
      <c r="R30" s="1" t="s">
        <v>257</v>
      </c>
      <c r="S30" s="1" t="s">
        <v>286</v>
      </c>
    </row>
    <row r="31" spans="1:19" hidden="1" x14ac:dyDescent="0.25">
      <c r="A31" s="1">
        <v>5</v>
      </c>
      <c r="B31" s="1" t="s">
        <v>519</v>
      </c>
      <c r="C31" s="1" t="s">
        <v>520</v>
      </c>
      <c r="D31" s="1" t="s">
        <v>521</v>
      </c>
      <c r="E31" s="1">
        <v>4</v>
      </c>
      <c r="F31" s="1">
        <v>173.261</v>
      </c>
      <c r="G31" s="1">
        <v>8911</v>
      </c>
      <c r="H31" s="1">
        <v>10662</v>
      </c>
      <c r="I31" s="1">
        <v>12344</v>
      </c>
      <c r="J31" s="1">
        <v>170.51300000000001</v>
      </c>
      <c r="K31" s="1">
        <v>-5.399</v>
      </c>
      <c r="L31" s="1">
        <v>19.082999999999998</v>
      </c>
      <c r="M31" s="1" t="s">
        <v>522</v>
      </c>
      <c r="N31" s="1" t="s">
        <v>492</v>
      </c>
      <c r="O31" s="1" t="s">
        <v>523</v>
      </c>
      <c r="P31" s="1" t="s">
        <v>524</v>
      </c>
      <c r="Q31" s="1" t="s">
        <v>68</v>
      </c>
      <c r="R31" s="1" t="s">
        <v>171</v>
      </c>
      <c r="S31" s="1" t="s">
        <v>123</v>
      </c>
    </row>
    <row r="32" spans="1:19" hidden="1" x14ac:dyDescent="0.25">
      <c r="A32" s="1">
        <v>5</v>
      </c>
      <c r="B32" s="1" t="s">
        <v>519</v>
      </c>
      <c r="C32" s="1" t="s">
        <v>520</v>
      </c>
      <c r="D32" s="1" t="s">
        <v>521</v>
      </c>
      <c r="E32" s="1">
        <v>5</v>
      </c>
      <c r="F32" s="1">
        <v>186.49799999999999</v>
      </c>
      <c r="G32" s="1">
        <v>14583</v>
      </c>
      <c r="H32" s="1">
        <v>17499</v>
      </c>
      <c r="I32" s="1">
        <v>19942</v>
      </c>
      <c r="J32" s="1">
        <v>183.55</v>
      </c>
      <c r="K32" s="1">
        <v>-5.5030000000000001</v>
      </c>
      <c r="L32" s="1">
        <v>5.8609999999999998</v>
      </c>
      <c r="M32" s="1" t="s">
        <v>522</v>
      </c>
      <c r="N32" s="1" t="s">
        <v>492</v>
      </c>
      <c r="O32" s="1" t="s">
        <v>523</v>
      </c>
      <c r="P32" s="1" t="s">
        <v>524</v>
      </c>
      <c r="Q32" s="1" t="s">
        <v>200</v>
      </c>
      <c r="R32" s="1" t="s">
        <v>145</v>
      </c>
      <c r="S32" s="1" t="s">
        <v>70</v>
      </c>
    </row>
    <row r="33" spans="1:19" x14ac:dyDescent="0.25">
      <c r="A33" s="1">
        <v>5</v>
      </c>
      <c r="B33" s="1" t="s">
        <v>519</v>
      </c>
      <c r="C33" s="1" t="s">
        <v>520</v>
      </c>
      <c r="D33" s="1" t="s">
        <v>521</v>
      </c>
      <c r="E33" s="1">
        <v>6</v>
      </c>
      <c r="F33" s="1">
        <v>164.58699999999999</v>
      </c>
      <c r="G33" s="1">
        <v>13008</v>
      </c>
      <c r="H33" s="1">
        <v>15606</v>
      </c>
      <c r="I33" s="1">
        <v>17794</v>
      </c>
      <c r="J33" s="1">
        <v>161.98500000000001</v>
      </c>
      <c r="K33" s="1">
        <v>-5.4370000000000003</v>
      </c>
      <c r="L33" s="1">
        <v>6.0389999999999997</v>
      </c>
      <c r="M33" s="1" t="s">
        <v>522</v>
      </c>
      <c r="N33" s="1" t="s">
        <v>492</v>
      </c>
      <c r="O33" s="1" t="s">
        <v>523</v>
      </c>
      <c r="P33" s="1" t="s">
        <v>524</v>
      </c>
      <c r="Q33" s="1" t="s">
        <v>161</v>
      </c>
      <c r="R33" s="1" t="s">
        <v>266</v>
      </c>
      <c r="S33" s="1" t="s">
        <v>206</v>
      </c>
    </row>
    <row r="34" spans="1:19" x14ac:dyDescent="0.25">
      <c r="A34" s="1">
        <v>5</v>
      </c>
      <c r="B34" s="1" t="s">
        <v>519</v>
      </c>
      <c r="C34" s="1" t="s">
        <v>520</v>
      </c>
      <c r="D34" s="1" t="s">
        <v>521</v>
      </c>
      <c r="E34" s="1">
        <v>7</v>
      </c>
      <c r="F34" s="1">
        <v>153.38800000000001</v>
      </c>
      <c r="G34" s="1">
        <v>12164</v>
      </c>
      <c r="H34" s="1">
        <v>14592</v>
      </c>
      <c r="I34" s="1">
        <v>16634</v>
      </c>
      <c r="J34" s="1">
        <v>150.96299999999999</v>
      </c>
      <c r="K34" s="1">
        <v>-5.4</v>
      </c>
      <c r="L34" s="1">
        <v>6.056</v>
      </c>
      <c r="M34" s="1" t="s">
        <v>522</v>
      </c>
      <c r="N34" s="1" t="s">
        <v>492</v>
      </c>
      <c r="O34" s="1" t="s">
        <v>523</v>
      </c>
      <c r="P34" s="1" t="s">
        <v>524</v>
      </c>
      <c r="Q34" s="1" t="s">
        <v>450</v>
      </c>
      <c r="R34" s="1" t="s">
        <v>525</v>
      </c>
      <c r="S34" s="1" t="s">
        <v>526</v>
      </c>
    </row>
    <row r="35" spans="1:19" hidden="1" x14ac:dyDescent="0.25">
      <c r="A35" s="1">
        <v>6</v>
      </c>
      <c r="B35" s="1" t="s">
        <v>527</v>
      </c>
      <c r="C35" s="1" t="s">
        <v>284</v>
      </c>
      <c r="D35" s="1" t="s">
        <v>528</v>
      </c>
      <c r="E35" s="1">
        <v>1</v>
      </c>
      <c r="F35" s="1">
        <v>174.71</v>
      </c>
      <c r="G35" s="1">
        <v>8943</v>
      </c>
      <c r="H35" s="1">
        <v>10699</v>
      </c>
      <c r="I35" s="1">
        <v>12387</v>
      </c>
      <c r="J35" s="1">
        <v>171.93799999999999</v>
      </c>
      <c r="K35" s="1">
        <v>-5.4050000000000002</v>
      </c>
      <c r="L35" s="1">
        <v>19.106000000000002</v>
      </c>
      <c r="M35" s="1" t="s">
        <v>529</v>
      </c>
      <c r="N35" s="1" t="s">
        <v>492</v>
      </c>
      <c r="O35" s="1" t="s">
        <v>530</v>
      </c>
      <c r="P35" s="1" t="s">
        <v>531</v>
      </c>
      <c r="Q35" s="1" t="s">
        <v>46</v>
      </c>
      <c r="R35" s="1" t="s">
        <v>90</v>
      </c>
      <c r="S35" s="1" t="s">
        <v>89</v>
      </c>
    </row>
    <row r="36" spans="1:19" hidden="1" x14ac:dyDescent="0.25">
      <c r="A36" s="1">
        <v>6</v>
      </c>
      <c r="B36" s="1" t="s">
        <v>527</v>
      </c>
      <c r="C36" s="1" t="s">
        <v>284</v>
      </c>
      <c r="D36" s="1" t="s">
        <v>528</v>
      </c>
      <c r="E36" s="1">
        <v>2</v>
      </c>
      <c r="F36" s="1">
        <v>171.542</v>
      </c>
      <c r="G36" s="1">
        <v>8877</v>
      </c>
      <c r="H36" s="1">
        <v>10620</v>
      </c>
      <c r="I36" s="1">
        <v>12295</v>
      </c>
      <c r="J36" s="1">
        <v>168.821</v>
      </c>
      <c r="K36" s="1">
        <v>-5.3970000000000002</v>
      </c>
      <c r="L36" s="1">
        <v>19.094999999999999</v>
      </c>
      <c r="M36" s="1" t="s">
        <v>529</v>
      </c>
      <c r="N36" s="1" t="s">
        <v>492</v>
      </c>
      <c r="O36" s="1" t="s">
        <v>530</v>
      </c>
      <c r="P36" s="1" t="s">
        <v>531</v>
      </c>
      <c r="Q36" s="1" t="s">
        <v>113</v>
      </c>
      <c r="R36" s="1" t="s">
        <v>193</v>
      </c>
      <c r="S36" s="1" t="s">
        <v>252</v>
      </c>
    </row>
    <row r="37" spans="1:19" hidden="1" x14ac:dyDescent="0.25">
      <c r="A37" s="1">
        <v>6</v>
      </c>
      <c r="B37" s="1" t="s">
        <v>527</v>
      </c>
      <c r="C37" s="1" t="s">
        <v>284</v>
      </c>
      <c r="D37" s="1" t="s">
        <v>528</v>
      </c>
      <c r="E37" s="1">
        <v>3</v>
      </c>
      <c r="F37" s="1">
        <v>174.37100000000001</v>
      </c>
      <c r="G37" s="1">
        <v>9010</v>
      </c>
      <c r="H37" s="1">
        <v>10779</v>
      </c>
      <c r="I37" s="1">
        <v>12483</v>
      </c>
      <c r="J37" s="1">
        <v>171.60499999999999</v>
      </c>
      <c r="K37" s="1">
        <v>-5.4029999999999996</v>
      </c>
      <c r="L37" s="1">
        <v>19.11</v>
      </c>
      <c r="M37" s="1" t="s">
        <v>529</v>
      </c>
      <c r="N37" s="1" t="s">
        <v>492</v>
      </c>
      <c r="O37" s="1" t="s">
        <v>530</v>
      </c>
      <c r="P37" s="1" t="s">
        <v>531</v>
      </c>
      <c r="Q37" s="1" t="s">
        <v>77</v>
      </c>
      <c r="R37" s="1" t="s">
        <v>246</v>
      </c>
      <c r="S37" s="1" t="s">
        <v>318</v>
      </c>
    </row>
    <row r="38" spans="1:19" hidden="1" x14ac:dyDescent="0.25">
      <c r="A38" s="1">
        <v>6</v>
      </c>
      <c r="B38" s="1" t="s">
        <v>527</v>
      </c>
      <c r="C38" s="1" t="s">
        <v>284</v>
      </c>
      <c r="D38" s="1" t="s">
        <v>528</v>
      </c>
      <c r="E38" s="1">
        <v>4</v>
      </c>
      <c r="F38" s="1">
        <v>172.68100000000001</v>
      </c>
      <c r="G38" s="1">
        <v>8871</v>
      </c>
      <c r="H38" s="1">
        <v>10613</v>
      </c>
      <c r="I38" s="1">
        <v>12287</v>
      </c>
      <c r="J38" s="1">
        <v>169.94200000000001</v>
      </c>
      <c r="K38" s="1">
        <v>-5.399</v>
      </c>
      <c r="L38" s="1">
        <v>19.082999999999998</v>
      </c>
      <c r="M38" s="1" t="s">
        <v>529</v>
      </c>
      <c r="N38" s="1" t="s">
        <v>492</v>
      </c>
      <c r="O38" s="1" t="s">
        <v>530</v>
      </c>
      <c r="P38" s="1" t="s">
        <v>531</v>
      </c>
      <c r="Q38" s="1" t="s">
        <v>223</v>
      </c>
      <c r="R38" s="1" t="s">
        <v>302</v>
      </c>
      <c r="S38" s="1" t="s">
        <v>277</v>
      </c>
    </row>
    <row r="39" spans="1:19" hidden="1" x14ac:dyDescent="0.25">
      <c r="A39" s="1">
        <v>6</v>
      </c>
      <c r="B39" s="1" t="s">
        <v>527</v>
      </c>
      <c r="C39" s="1" t="s">
        <v>284</v>
      </c>
      <c r="D39" s="1" t="s">
        <v>528</v>
      </c>
      <c r="E39" s="1">
        <v>5</v>
      </c>
      <c r="F39" s="1">
        <v>152.999</v>
      </c>
      <c r="G39" s="1">
        <v>12395</v>
      </c>
      <c r="H39" s="1">
        <v>14993</v>
      </c>
      <c r="I39" s="1">
        <v>17314</v>
      </c>
      <c r="J39" s="1">
        <v>150.55500000000001</v>
      </c>
      <c r="K39" s="1">
        <v>1.4159999999999999</v>
      </c>
      <c r="L39" s="1">
        <v>27.25</v>
      </c>
      <c r="M39" s="1" t="s">
        <v>529</v>
      </c>
      <c r="N39" s="1" t="s">
        <v>492</v>
      </c>
      <c r="O39" s="1" t="s">
        <v>530</v>
      </c>
      <c r="P39" s="1" t="s">
        <v>531</v>
      </c>
      <c r="Q39" s="1" t="s">
        <v>210</v>
      </c>
      <c r="R39" s="1" t="s">
        <v>204</v>
      </c>
      <c r="S39" s="1" t="s">
        <v>215</v>
      </c>
    </row>
    <row r="40" spans="1:19" x14ac:dyDescent="0.25">
      <c r="A40" s="1">
        <v>6</v>
      </c>
      <c r="B40" s="1" t="s">
        <v>527</v>
      </c>
      <c r="C40" s="1" t="s">
        <v>284</v>
      </c>
      <c r="D40" s="1" t="s">
        <v>528</v>
      </c>
      <c r="E40" s="1">
        <v>6</v>
      </c>
      <c r="F40" s="1">
        <v>137.256</v>
      </c>
      <c r="G40" s="1">
        <v>11298</v>
      </c>
      <c r="H40" s="1">
        <v>13660</v>
      </c>
      <c r="I40" s="1">
        <v>15778</v>
      </c>
      <c r="J40" s="1">
        <v>135.06299999999999</v>
      </c>
      <c r="K40" s="1">
        <v>1.4410000000000001</v>
      </c>
      <c r="L40" s="1">
        <v>27.338999999999999</v>
      </c>
      <c r="M40" s="1" t="s">
        <v>529</v>
      </c>
      <c r="N40" s="1" t="s">
        <v>492</v>
      </c>
      <c r="O40" s="1" t="s">
        <v>530</v>
      </c>
      <c r="P40" s="1" t="s">
        <v>531</v>
      </c>
      <c r="Q40" s="1" t="s">
        <v>256</v>
      </c>
      <c r="R40" s="1" t="s">
        <v>302</v>
      </c>
      <c r="S40" s="1" t="s">
        <v>135</v>
      </c>
    </row>
    <row r="41" spans="1:19" x14ac:dyDescent="0.25">
      <c r="A41" s="1">
        <v>6</v>
      </c>
      <c r="B41" s="1" t="s">
        <v>527</v>
      </c>
      <c r="C41" s="1" t="s">
        <v>284</v>
      </c>
      <c r="D41" s="1" t="s">
        <v>528</v>
      </c>
      <c r="E41" s="1">
        <v>7</v>
      </c>
      <c r="F41" s="1">
        <v>128.756</v>
      </c>
      <c r="G41" s="1">
        <v>10678</v>
      </c>
      <c r="H41" s="1">
        <v>12906</v>
      </c>
      <c r="I41" s="1">
        <v>14911</v>
      </c>
      <c r="J41" s="1">
        <v>126.699</v>
      </c>
      <c r="K41" s="1">
        <v>1.5029999999999999</v>
      </c>
      <c r="L41" s="1">
        <v>27.382999999999999</v>
      </c>
      <c r="M41" s="1" t="s">
        <v>529</v>
      </c>
      <c r="N41" s="1" t="s">
        <v>492</v>
      </c>
      <c r="O41" s="1" t="s">
        <v>530</v>
      </c>
      <c r="P41" s="1" t="s">
        <v>531</v>
      </c>
      <c r="Q41" s="1" t="s">
        <v>532</v>
      </c>
      <c r="R41" s="1" t="s">
        <v>471</v>
      </c>
      <c r="S41" s="1" t="s">
        <v>346</v>
      </c>
    </row>
    <row r="42" spans="1:19" hidden="1" x14ac:dyDescent="0.25">
      <c r="A42" s="1">
        <v>7</v>
      </c>
      <c r="B42" s="1" t="s">
        <v>533</v>
      </c>
      <c r="C42" s="1" t="s">
        <v>534</v>
      </c>
      <c r="D42" s="1" t="s">
        <v>535</v>
      </c>
      <c r="E42" s="1">
        <v>1</v>
      </c>
      <c r="F42" s="1">
        <v>173.37899999999999</v>
      </c>
      <c r="G42" s="1">
        <v>8854</v>
      </c>
      <c r="H42" s="1">
        <v>10592</v>
      </c>
      <c r="I42" s="1">
        <v>12264</v>
      </c>
      <c r="J42" s="1">
        <v>170.62799999999999</v>
      </c>
      <c r="K42" s="1">
        <v>-5.3760000000000003</v>
      </c>
      <c r="L42" s="1">
        <v>19.09</v>
      </c>
      <c r="M42" s="1" t="s">
        <v>536</v>
      </c>
      <c r="N42" s="1" t="s">
        <v>492</v>
      </c>
      <c r="O42" s="1" t="s">
        <v>537</v>
      </c>
      <c r="P42" s="1" t="s">
        <v>538</v>
      </c>
      <c r="Q42" s="1" t="s">
        <v>62</v>
      </c>
      <c r="R42" s="1" t="s">
        <v>88</v>
      </c>
      <c r="S42" s="1" t="s">
        <v>254</v>
      </c>
    </row>
    <row r="43" spans="1:19" hidden="1" x14ac:dyDescent="0.25">
      <c r="A43" s="1">
        <v>7</v>
      </c>
      <c r="B43" s="1" t="s">
        <v>533</v>
      </c>
      <c r="C43" s="1" t="s">
        <v>534</v>
      </c>
      <c r="D43" s="1" t="s">
        <v>535</v>
      </c>
      <c r="E43" s="1">
        <v>2</v>
      </c>
      <c r="F43" s="1">
        <v>173.065</v>
      </c>
      <c r="G43" s="1">
        <v>8945</v>
      </c>
      <c r="H43" s="1">
        <v>10701</v>
      </c>
      <c r="I43" s="1">
        <v>12389</v>
      </c>
      <c r="J43" s="1">
        <v>170.31899999999999</v>
      </c>
      <c r="K43" s="1">
        <v>-5.3810000000000002</v>
      </c>
      <c r="L43" s="1">
        <v>19.085000000000001</v>
      </c>
      <c r="M43" s="1" t="s">
        <v>536</v>
      </c>
      <c r="N43" s="1" t="s">
        <v>492</v>
      </c>
      <c r="O43" s="1" t="s">
        <v>537</v>
      </c>
      <c r="P43" s="1" t="s">
        <v>538</v>
      </c>
      <c r="Q43" s="1" t="s">
        <v>97</v>
      </c>
      <c r="R43" s="1" t="s">
        <v>290</v>
      </c>
      <c r="S43" s="1" t="s">
        <v>143</v>
      </c>
    </row>
    <row r="44" spans="1:19" hidden="1" x14ac:dyDescent="0.25">
      <c r="A44" s="1">
        <v>7</v>
      </c>
      <c r="B44" s="1" t="s">
        <v>533</v>
      </c>
      <c r="C44" s="1" t="s">
        <v>534</v>
      </c>
      <c r="D44" s="1" t="s">
        <v>535</v>
      </c>
      <c r="E44" s="1">
        <v>3</v>
      </c>
      <c r="F44" s="1">
        <v>172.256</v>
      </c>
      <c r="G44" s="1">
        <v>8912</v>
      </c>
      <c r="H44" s="1">
        <v>10662</v>
      </c>
      <c r="I44" s="1">
        <v>12349</v>
      </c>
      <c r="J44" s="1">
        <v>169.523</v>
      </c>
      <c r="K44" s="1">
        <v>-5.3879999999999999</v>
      </c>
      <c r="L44" s="1">
        <v>19.084</v>
      </c>
      <c r="M44" s="1" t="s">
        <v>536</v>
      </c>
      <c r="N44" s="1" t="s">
        <v>492</v>
      </c>
      <c r="O44" s="1" t="s">
        <v>537</v>
      </c>
      <c r="P44" s="1" t="s">
        <v>538</v>
      </c>
      <c r="Q44" s="1" t="s">
        <v>267</v>
      </c>
      <c r="R44" s="1" t="s">
        <v>101</v>
      </c>
      <c r="S44" s="1" t="s">
        <v>341</v>
      </c>
    </row>
    <row r="45" spans="1:19" hidden="1" x14ac:dyDescent="0.25">
      <c r="A45" s="1">
        <v>7</v>
      </c>
      <c r="B45" s="1" t="s">
        <v>533</v>
      </c>
      <c r="C45" s="1" t="s">
        <v>534</v>
      </c>
      <c r="D45" s="1" t="s">
        <v>535</v>
      </c>
      <c r="E45" s="1">
        <v>4</v>
      </c>
      <c r="F45" s="1">
        <v>173.74299999999999</v>
      </c>
      <c r="G45" s="1">
        <v>8928</v>
      </c>
      <c r="H45" s="1">
        <v>10682</v>
      </c>
      <c r="I45" s="1">
        <v>12366</v>
      </c>
      <c r="J45" s="1">
        <v>170.98699999999999</v>
      </c>
      <c r="K45" s="1">
        <v>-5.399</v>
      </c>
      <c r="L45" s="1">
        <v>19.082999999999998</v>
      </c>
      <c r="M45" s="1" t="s">
        <v>536</v>
      </c>
      <c r="N45" s="1" t="s">
        <v>492</v>
      </c>
      <c r="O45" s="1" t="s">
        <v>537</v>
      </c>
      <c r="P45" s="1" t="s">
        <v>538</v>
      </c>
      <c r="Q45" s="1" t="s">
        <v>77</v>
      </c>
      <c r="R45" s="1" t="s">
        <v>140</v>
      </c>
      <c r="S45" s="1" t="s">
        <v>311</v>
      </c>
    </row>
    <row r="46" spans="1:19" hidden="1" x14ac:dyDescent="0.25">
      <c r="A46" s="1">
        <v>7</v>
      </c>
      <c r="B46" s="1" t="s">
        <v>533</v>
      </c>
      <c r="C46" s="1" t="s">
        <v>534</v>
      </c>
      <c r="D46" s="1" t="s">
        <v>535</v>
      </c>
      <c r="E46" s="1">
        <v>5</v>
      </c>
      <c r="F46" s="1">
        <v>153.90700000000001</v>
      </c>
      <c r="G46" s="1">
        <v>11960</v>
      </c>
      <c r="H46" s="1">
        <v>14447</v>
      </c>
      <c r="I46" s="1">
        <v>16701</v>
      </c>
      <c r="J46" s="1">
        <v>151.44900000000001</v>
      </c>
      <c r="K46" s="1">
        <v>1.4410000000000001</v>
      </c>
      <c r="L46" s="1">
        <v>27.221</v>
      </c>
      <c r="M46" s="1" t="s">
        <v>536</v>
      </c>
      <c r="N46" s="1" t="s">
        <v>492</v>
      </c>
      <c r="O46" s="1" t="s">
        <v>537</v>
      </c>
      <c r="P46" s="1" t="s">
        <v>538</v>
      </c>
      <c r="Q46" s="1" t="s">
        <v>217</v>
      </c>
      <c r="R46" s="1" t="s">
        <v>182</v>
      </c>
      <c r="S46" s="1" t="s">
        <v>44</v>
      </c>
    </row>
    <row r="47" spans="1:19" x14ac:dyDescent="0.25">
      <c r="A47" s="1">
        <v>7</v>
      </c>
      <c r="B47" s="1" t="s">
        <v>533</v>
      </c>
      <c r="C47" s="1" t="s">
        <v>534</v>
      </c>
      <c r="D47" s="1" t="s">
        <v>535</v>
      </c>
      <c r="E47" s="1">
        <v>6</v>
      </c>
      <c r="F47" s="1">
        <v>135.65</v>
      </c>
      <c r="G47" s="1">
        <v>10691</v>
      </c>
      <c r="H47" s="1">
        <v>12914</v>
      </c>
      <c r="I47" s="1">
        <v>14936</v>
      </c>
      <c r="J47" s="1">
        <v>133.483</v>
      </c>
      <c r="K47" s="1">
        <v>1.48</v>
      </c>
      <c r="L47" s="1">
        <v>27.395</v>
      </c>
      <c r="M47" s="1" t="s">
        <v>536</v>
      </c>
      <c r="N47" s="1" t="s">
        <v>492</v>
      </c>
      <c r="O47" s="1" t="s">
        <v>537</v>
      </c>
      <c r="P47" s="1" t="s">
        <v>538</v>
      </c>
      <c r="Q47" s="1" t="s">
        <v>104</v>
      </c>
      <c r="R47" s="1" t="s">
        <v>103</v>
      </c>
      <c r="S47" s="1" t="s">
        <v>136</v>
      </c>
    </row>
    <row r="48" spans="1:19" x14ac:dyDescent="0.25">
      <c r="A48" s="1">
        <v>7</v>
      </c>
      <c r="B48" s="1" t="s">
        <v>533</v>
      </c>
      <c r="C48" s="1" t="s">
        <v>534</v>
      </c>
      <c r="D48" s="1" t="s">
        <v>535</v>
      </c>
      <c r="E48" s="1">
        <v>7</v>
      </c>
      <c r="F48" s="1">
        <v>126.367</v>
      </c>
      <c r="G48" s="1">
        <v>9990</v>
      </c>
      <c r="H48" s="1">
        <v>12066</v>
      </c>
      <c r="I48" s="1">
        <v>13957</v>
      </c>
      <c r="J48" s="1">
        <v>124.348</v>
      </c>
      <c r="K48" s="1">
        <v>1.55</v>
      </c>
      <c r="L48" s="1">
        <v>27.417000000000002</v>
      </c>
      <c r="M48" s="1" t="s">
        <v>536</v>
      </c>
      <c r="N48" s="1" t="s">
        <v>492</v>
      </c>
      <c r="O48" s="1" t="s">
        <v>537</v>
      </c>
      <c r="P48" s="1" t="s">
        <v>538</v>
      </c>
      <c r="Q48" s="1" t="s">
        <v>539</v>
      </c>
      <c r="R48" s="1" t="s">
        <v>540</v>
      </c>
      <c r="S48" s="1" t="s">
        <v>541</v>
      </c>
    </row>
    <row r="49" spans="1:19" hidden="1" x14ac:dyDescent="0.25">
      <c r="A49" s="1">
        <v>8</v>
      </c>
      <c r="B49" s="1" t="s">
        <v>542</v>
      </c>
      <c r="C49" s="1" t="s">
        <v>412</v>
      </c>
      <c r="D49" s="1" t="s">
        <v>543</v>
      </c>
      <c r="E49" s="1">
        <v>1</v>
      </c>
      <c r="F49" s="1">
        <v>174.12</v>
      </c>
      <c r="G49" s="1">
        <v>8882</v>
      </c>
      <c r="H49" s="1">
        <v>10626</v>
      </c>
      <c r="I49" s="1">
        <v>12295</v>
      </c>
      <c r="J49" s="1">
        <v>171.358</v>
      </c>
      <c r="K49" s="1">
        <v>-5.39</v>
      </c>
      <c r="L49" s="1">
        <v>19.106999999999999</v>
      </c>
      <c r="M49" s="1" t="s">
        <v>544</v>
      </c>
      <c r="N49" s="1" t="s">
        <v>492</v>
      </c>
      <c r="O49" s="1" t="s">
        <v>545</v>
      </c>
      <c r="P49" s="1" t="s">
        <v>546</v>
      </c>
      <c r="Q49" s="1" t="s">
        <v>83</v>
      </c>
      <c r="R49" s="1" t="s">
        <v>94</v>
      </c>
      <c r="S49" s="1" t="s">
        <v>77</v>
      </c>
    </row>
    <row r="50" spans="1:19" hidden="1" x14ac:dyDescent="0.25">
      <c r="A50" s="1">
        <v>8</v>
      </c>
      <c r="B50" s="1" t="s">
        <v>542</v>
      </c>
      <c r="C50" s="1" t="s">
        <v>412</v>
      </c>
      <c r="D50" s="1" t="s">
        <v>543</v>
      </c>
      <c r="E50" s="1">
        <v>2</v>
      </c>
      <c r="F50" s="1">
        <v>170.59200000000001</v>
      </c>
      <c r="G50" s="1">
        <v>8830</v>
      </c>
      <c r="H50" s="1">
        <v>10564</v>
      </c>
      <c r="I50" s="1">
        <v>12224</v>
      </c>
      <c r="J50" s="1">
        <v>167.88499999999999</v>
      </c>
      <c r="K50" s="1">
        <v>-5.399</v>
      </c>
      <c r="L50" s="1">
        <v>19.097000000000001</v>
      </c>
      <c r="M50" s="1" t="s">
        <v>544</v>
      </c>
      <c r="N50" s="1" t="s">
        <v>492</v>
      </c>
      <c r="O50" s="1" t="s">
        <v>545</v>
      </c>
      <c r="P50" s="1" t="s">
        <v>546</v>
      </c>
      <c r="Q50" s="1" t="s">
        <v>59</v>
      </c>
      <c r="R50" s="1" t="s">
        <v>245</v>
      </c>
      <c r="S50" s="1" t="s">
        <v>177</v>
      </c>
    </row>
    <row r="51" spans="1:19" hidden="1" x14ac:dyDescent="0.25">
      <c r="A51" s="1">
        <v>8</v>
      </c>
      <c r="B51" s="1" t="s">
        <v>542</v>
      </c>
      <c r="C51" s="1" t="s">
        <v>412</v>
      </c>
      <c r="D51" s="1" t="s">
        <v>543</v>
      </c>
      <c r="E51" s="1">
        <v>3</v>
      </c>
      <c r="F51" s="1">
        <v>173.81800000000001</v>
      </c>
      <c r="G51" s="1">
        <v>8973</v>
      </c>
      <c r="H51" s="1">
        <v>10736</v>
      </c>
      <c r="I51" s="1">
        <v>12425</v>
      </c>
      <c r="J51" s="1">
        <v>171.06100000000001</v>
      </c>
      <c r="K51" s="1">
        <v>-5.4009999999999998</v>
      </c>
      <c r="L51" s="1">
        <v>19.074000000000002</v>
      </c>
      <c r="M51" s="1" t="s">
        <v>544</v>
      </c>
      <c r="N51" s="1" t="s">
        <v>492</v>
      </c>
      <c r="O51" s="1" t="s">
        <v>545</v>
      </c>
      <c r="P51" s="1" t="s">
        <v>546</v>
      </c>
      <c r="Q51" s="1" t="s">
        <v>104</v>
      </c>
      <c r="R51" s="1" t="s">
        <v>103</v>
      </c>
      <c r="S51" s="1" t="s">
        <v>178</v>
      </c>
    </row>
    <row r="52" spans="1:19" hidden="1" x14ac:dyDescent="0.25">
      <c r="A52" s="1">
        <v>8</v>
      </c>
      <c r="B52" s="1" t="s">
        <v>542</v>
      </c>
      <c r="C52" s="1" t="s">
        <v>412</v>
      </c>
      <c r="D52" s="1" t="s">
        <v>543</v>
      </c>
      <c r="E52" s="1">
        <v>4</v>
      </c>
      <c r="F52" s="1">
        <v>171.47499999999999</v>
      </c>
      <c r="G52" s="1">
        <v>8817</v>
      </c>
      <c r="H52" s="1">
        <v>10549</v>
      </c>
      <c r="I52" s="1">
        <v>12207</v>
      </c>
      <c r="J52" s="1">
        <v>168.75399999999999</v>
      </c>
      <c r="K52" s="1">
        <v>-5.399</v>
      </c>
      <c r="L52" s="1">
        <v>19.082999999999998</v>
      </c>
      <c r="M52" s="1" t="s">
        <v>544</v>
      </c>
      <c r="N52" s="1" t="s">
        <v>492</v>
      </c>
      <c r="O52" s="1" t="s">
        <v>545</v>
      </c>
      <c r="P52" s="1" t="s">
        <v>546</v>
      </c>
      <c r="Q52" s="1" t="s">
        <v>267</v>
      </c>
      <c r="R52" s="1" t="s">
        <v>101</v>
      </c>
      <c r="S52" s="1" t="s">
        <v>261</v>
      </c>
    </row>
    <row r="53" spans="1:19" hidden="1" x14ac:dyDescent="0.25">
      <c r="A53" s="1">
        <v>8</v>
      </c>
      <c r="B53" s="1" t="s">
        <v>542</v>
      </c>
      <c r="C53" s="1" t="s">
        <v>412</v>
      </c>
      <c r="D53" s="1" t="s">
        <v>543</v>
      </c>
      <c r="E53" s="1">
        <v>5</v>
      </c>
      <c r="F53" s="1">
        <v>200.864</v>
      </c>
      <c r="G53" s="1">
        <v>16399</v>
      </c>
      <c r="H53" s="1">
        <v>19858</v>
      </c>
      <c r="I53" s="1">
        <v>22894</v>
      </c>
      <c r="J53" s="1">
        <v>197.655</v>
      </c>
      <c r="K53" s="1">
        <v>1.4430000000000001</v>
      </c>
      <c r="L53" s="1">
        <v>27.184000000000001</v>
      </c>
      <c r="M53" s="1" t="s">
        <v>544</v>
      </c>
      <c r="N53" s="1" t="s">
        <v>492</v>
      </c>
      <c r="O53" s="1" t="s">
        <v>545</v>
      </c>
      <c r="P53" s="1" t="s">
        <v>546</v>
      </c>
      <c r="Q53" s="1" t="s">
        <v>213</v>
      </c>
      <c r="R53" s="1" t="s">
        <v>205</v>
      </c>
      <c r="S53" s="1" t="s">
        <v>515</v>
      </c>
    </row>
    <row r="54" spans="1:19" x14ac:dyDescent="0.25">
      <c r="A54" s="1">
        <v>8</v>
      </c>
      <c r="B54" s="1" t="s">
        <v>542</v>
      </c>
      <c r="C54" s="1" t="s">
        <v>412</v>
      </c>
      <c r="D54" s="1" t="s">
        <v>543</v>
      </c>
      <c r="E54" s="1">
        <v>6</v>
      </c>
      <c r="F54" s="1">
        <v>179.63399999999999</v>
      </c>
      <c r="G54" s="1">
        <v>14933</v>
      </c>
      <c r="H54" s="1">
        <v>18071</v>
      </c>
      <c r="I54" s="1">
        <v>20845</v>
      </c>
      <c r="J54" s="1">
        <v>176.76400000000001</v>
      </c>
      <c r="K54" s="1">
        <v>1.4850000000000001</v>
      </c>
      <c r="L54" s="1">
        <v>27.305</v>
      </c>
      <c r="M54" s="1" t="s">
        <v>544</v>
      </c>
      <c r="N54" s="1" t="s">
        <v>492</v>
      </c>
      <c r="O54" s="1" t="s">
        <v>545</v>
      </c>
      <c r="P54" s="1" t="s">
        <v>546</v>
      </c>
      <c r="Q54" s="1" t="s">
        <v>141</v>
      </c>
      <c r="R54" s="1" t="s">
        <v>123</v>
      </c>
      <c r="S54" s="1" t="s">
        <v>309</v>
      </c>
    </row>
    <row r="55" spans="1:19" x14ac:dyDescent="0.25">
      <c r="A55" s="1">
        <v>8</v>
      </c>
      <c r="B55" s="1" t="s">
        <v>542</v>
      </c>
      <c r="C55" s="1" t="s">
        <v>412</v>
      </c>
      <c r="D55" s="1" t="s">
        <v>543</v>
      </c>
      <c r="E55" s="1">
        <v>7</v>
      </c>
      <c r="F55" s="1">
        <v>168.773</v>
      </c>
      <c r="G55" s="1">
        <v>14076</v>
      </c>
      <c r="H55" s="1">
        <v>17027</v>
      </c>
      <c r="I55" s="1">
        <v>19653</v>
      </c>
      <c r="J55" s="1">
        <v>166.077</v>
      </c>
      <c r="K55" s="1">
        <v>1.5409999999999999</v>
      </c>
      <c r="L55" s="1">
        <v>27.361999999999998</v>
      </c>
      <c r="M55" s="1" t="s">
        <v>544</v>
      </c>
      <c r="N55" s="1" t="s">
        <v>492</v>
      </c>
      <c r="O55" s="1" t="s">
        <v>545</v>
      </c>
      <c r="P55" s="1" t="s">
        <v>546</v>
      </c>
      <c r="Q55" s="1" t="s">
        <v>547</v>
      </c>
      <c r="R55" s="1" t="s">
        <v>548</v>
      </c>
      <c r="S55" s="1" t="s">
        <v>549</v>
      </c>
    </row>
    <row r="56" spans="1:19" hidden="1" x14ac:dyDescent="0.25">
      <c r="A56" s="1">
        <v>9</v>
      </c>
      <c r="B56" s="1" t="s">
        <v>550</v>
      </c>
      <c r="C56" s="1" t="s">
        <v>496</v>
      </c>
      <c r="D56" s="1" t="s">
        <v>551</v>
      </c>
      <c r="E56" s="1">
        <v>1</v>
      </c>
      <c r="F56" s="1">
        <v>173.53800000000001</v>
      </c>
      <c r="G56" s="1">
        <v>8855</v>
      </c>
      <c r="H56" s="1">
        <v>10593</v>
      </c>
      <c r="I56" s="1">
        <v>12265</v>
      </c>
      <c r="J56" s="1">
        <v>170.785</v>
      </c>
      <c r="K56" s="1">
        <v>-5.3929999999999998</v>
      </c>
      <c r="L56" s="1">
        <v>19.088000000000001</v>
      </c>
      <c r="M56" s="1" t="s">
        <v>552</v>
      </c>
      <c r="N56" s="1" t="s">
        <v>492</v>
      </c>
      <c r="O56" s="1" t="s">
        <v>553</v>
      </c>
      <c r="P56" s="1" t="s">
        <v>554</v>
      </c>
      <c r="Q56" s="1" t="s">
        <v>52</v>
      </c>
      <c r="R56" s="1" t="s">
        <v>75</v>
      </c>
      <c r="S56" s="1" t="s">
        <v>138</v>
      </c>
    </row>
    <row r="57" spans="1:19" hidden="1" x14ac:dyDescent="0.25">
      <c r="A57" s="1">
        <v>9</v>
      </c>
      <c r="B57" s="1" t="s">
        <v>550</v>
      </c>
      <c r="C57" s="1" t="s">
        <v>496</v>
      </c>
      <c r="D57" s="1" t="s">
        <v>551</v>
      </c>
      <c r="E57" s="1">
        <v>2</v>
      </c>
      <c r="F57" s="1">
        <v>173.042</v>
      </c>
      <c r="G57" s="1">
        <v>8941</v>
      </c>
      <c r="H57" s="1">
        <v>10696</v>
      </c>
      <c r="I57" s="1">
        <v>12385</v>
      </c>
      <c r="J57" s="1">
        <v>170.29599999999999</v>
      </c>
      <c r="K57" s="1">
        <v>-5.3979999999999997</v>
      </c>
      <c r="L57" s="1">
        <v>19.100000000000001</v>
      </c>
      <c r="M57" s="1" t="s">
        <v>552</v>
      </c>
      <c r="N57" s="1" t="s">
        <v>492</v>
      </c>
      <c r="O57" s="1" t="s">
        <v>553</v>
      </c>
      <c r="P57" s="1" t="s">
        <v>554</v>
      </c>
      <c r="Q57" s="1" t="s">
        <v>172</v>
      </c>
      <c r="R57" s="1" t="s">
        <v>101</v>
      </c>
      <c r="S57" s="1" t="s">
        <v>341</v>
      </c>
    </row>
    <row r="58" spans="1:19" hidden="1" x14ac:dyDescent="0.25">
      <c r="A58" s="1">
        <v>9</v>
      </c>
      <c r="B58" s="1" t="s">
        <v>550</v>
      </c>
      <c r="C58" s="1" t="s">
        <v>496</v>
      </c>
      <c r="D58" s="1" t="s">
        <v>551</v>
      </c>
      <c r="E58" s="1">
        <v>3</v>
      </c>
      <c r="F58" s="1">
        <v>172.73599999999999</v>
      </c>
      <c r="G58" s="1">
        <v>8940</v>
      </c>
      <c r="H58" s="1">
        <v>10694</v>
      </c>
      <c r="I58" s="1">
        <v>12381</v>
      </c>
      <c r="J58" s="1">
        <v>169.99600000000001</v>
      </c>
      <c r="K58" s="1">
        <v>-5.3929999999999998</v>
      </c>
      <c r="L58" s="1">
        <v>19.087</v>
      </c>
      <c r="M58" s="1" t="s">
        <v>552</v>
      </c>
      <c r="N58" s="1" t="s">
        <v>492</v>
      </c>
      <c r="O58" s="1" t="s">
        <v>553</v>
      </c>
      <c r="P58" s="1" t="s">
        <v>554</v>
      </c>
      <c r="Q58" s="1" t="s">
        <v>276</v>
      </c>
      <c r="R58" s="1" t="s">
        <v>173</v>
      </c>
      <c r="S58" s="1" t="s">
        <v>286</v>
      </c>
    </row>
    <row r="59" spans="1:19" hidden="1" x14ac:dyDescent="0.25">
      <c r="A59" s="1">
        <v>9</v>
      </c>
      <c r="B59" s="1" t="s">
        <v>550</v>
      </c>
      <c r="C59" s="1" t="s">
        <v>496</v>
      </c>
      <c r="D59" s="1" t="s">
        <v>551</v>
      </c>
      <c r="E59" s="1">
        <v>4</v>
      </c>
      <c r="F59" s="1">
        <v>173.96899999999999</v>
      </c>
      <c r="G59" s="1">
        <v>8947</v>
      </c>
      <c r="H59" s="1">
        <v>10704</v>
      </c>
      <c r="I59" s="1">
        <v>12394</v>
      </c>
      <c r="J59" s="1">
        <v>171.209</v>
      </c>
      <c r="K59" s="1">
        <v>-5.399</v>
      </c>
      <c r="L59" s="1">
        <v>19.082999999999998</v>
      </c>
      <c r="M59" s="1" t="s">
        <v>552</v>
      </c>
      <c r="N59" s="1" t="s">
        <v>492</v>
      </c>
      <c r="O59" s="1" t="s">
        <v>553</v>
      </c>
      <c r="P59" s="1" t="s">
        <v>554</v>
      </c>
      <c r="Q59" s="1" t="s">
        <v>68</v>
      </c>
      <c r="R59" s="1" t="s">
        <v>171</v>
      </c>
      <c r="S59" s="1" t="s">
        <v>123</v>
      </c>
    </row>
    <row r="60" spans="1:19" hidden="1" x14ac:dyDescent="0.25">
      <c r="A60" s="1">
        <v>9</v>
      </c>
      <c r="B60" s="1" t="s">
        <v>550</v>
      </c>
      <c r="C60" s="1" t="s">
        <v>496</v>
      </c>
      <c r="D60" s="1" t="s">
        <v>551</v>
      </c>
      <c r="E60" s="1">
        <v>5</v>
      </c>
      <c r="F60" s="1">
        <v>218.727</v>
      </c>
      <c r="G60" s="1">
        <v>17120</v>
      </c>
      <c r="H60" s="1">
        <v>20708</v>
      </c>
      <c r="I60" s="1">
        <v>23909</v>
      </c>
      <c r="J60" s="1">
        <v>215.233</v>
      </c>
      <c r="K60" s="1">
        <v>1.464</v>
      </c>
      <c r="L60" s="1">
        <v>27.175000000000001</v>
      </c>
      <c r="M60" s="1" t="s">
        <v>552</v>
      </c>
      <c r="N60" s="1" t="s">
        <v>492</v>
      </c>
      <c r="O60" s="1" t="s">
        <v>553</v>
      </c>
      <c r="P60" s="1" t="s">
        <v>554</v>
      </c>
      <c r="Q60" s="1" t="s">
        <v>196</v>
      </c>
      <c r="R60" s="1" t="s">
        <v>182</v>
      </c>
      <c r="S60" s="1" t="s">
        <v>111</v>
      </c>
    </row>
    <row r="61" spans="1:19" x14ac:dyDescent="0.25">
      <c r="A61" s="1">
        <v>9</v>
      </c>
      <c r="B61" s="1" t="s">
        <v>550</v>
      </c>
      <c r="C61" s="1" t="s">
        <v>496</v>
      </c>
      <c r="D61" s="1" t="s">
        <v>551</v>
      </c>
      <c r="E61" s="1">
        <v>6</v>
      </c>
      <c r="F61" s="1">
        <v>192.268</v>
      </c>
      <c r="G61" s="1">
        <v>15233</v>
      </c>
      <c r="H61" s="1">
        <v>18422</v>
      </c>
      <c r="I61" s="1">
        <v>21272</v>
      </c>
      <c r="J61" s="1">
        <v>189.197</v>
      </c>
      <c r="K61" s="1">
        <v>1.5149999999999999</v>
      </c>
      <c r="L61" s="1">
        <v>27.309000000000001</v>
      </c>
      <c r="M61" s="1" t="s">
        <v>552</v>
      </c>
      <c r="N61" s="1" t="s">
        <v>492</v>
      </c>
      <c r="O61" s="1" t="s">
        <v>553</v>
      </c>
      <c r="P61" s="1" t="s">
        <v>554</v>
      </c>
      <c r="Q61" s="1" t="s">
        <v>103</v>
      </c>
      <c r="R61" s="1" t="s">
        <v>180</v>
      </c>
      <c r="S61" s="1" t="s">
        <v>314</v>
      </c>
    </row>
    <row r="62" spans="1:19" x14ac:dyDescent="0.25">
      <c r="A62" s="1">
        <v>9</v>
      </c>
      <c r="B62" s="1" t="s">
        <v>550</v>
      </c>
      <c r="C62" s="1" t="s">
        <v>496</v>
      </c>
      <c r="D62" s="1" t="s">
        <v>551</v>
      </c>
      <c r="E62" s="1">
        <v>7</v>
      </c>
      <c r="F62" s="1">
        <v>178.70699999999999</v>
      </c>
      <c r="G62" s="1">
        <v>14202</v>
      </c>
      <c r="H62" s="1">
        <v>17175</v>
      </c>
      <c r="I62" s="1">
        <v>19838</v>
      </c>
      <c r="J62" s="1">
        <v>175.852</v>
      </c>
      <c r="K62" s="1">
        <v>1.5489999999999999</v>
      </c>
      <c r="L62" s="1">
        <v>27.321999999999999</v>
      </c>
      <c r="M62" s="1" t="s">
        <v>552</v>
      </c>
      <c r="N62" s="1" t="s">
        <v>492</v>
      </c>
      <c r="O62" s="1" t="s">
        <v>553</v>
      </c>
      <c r="P62" s="1" t="s">
        <v>554</v>
      </c>
      <c r="Q62" s="1" t="s">
        <v>555</v>
      </c>
      <c r="R62" s="1" t="s">
        <v>556</v>
      </c>
      <c r="S62" s="1" t="s">
        <v>374</v>
      </c>
    </row>
    <row r="63" spans="1:19" hidden="1" x14ac:dyDescent="0.25">
      <c r="A63" s="1">
        <v>10</v>
      </c>
      <c r="B63" s="1" t="s">
        <v>557</v>
      </c>
      <c r="C63" s="1" t="s">
        <v>372</v>
      </c>
      <c r="D63" s="1" t="s">
        <v>558</v>
      </c>
      <c r="E63" s="1">
        <v>1</v>
      </c>
      <c r="F63" s="1">
        <v>174.078</v>
      </c>
      <c r="G63" s="1">
        <v>8888</v>
      </c>
      <c r="H63" s="1">
        <v>10632</v>
      </c>
      <c r="I63" s="1">
        <v>12309</v>
      </c>
      <c r="J63" s="1">
        <v>171.316</v>
      </c>
      <c r="K63" s="1">
        <v>-5.3840000000000003</v>
      </c>
      <c r="L63" s="1">
        <v>19.097999999999999</v>
      </c>
      <c r="M63" s="1" t="s">
        <v>559</v>
      </c>
      <c r="N63" s="1" t="s">
        <v>492</v>
      </c>
      <c r="O63" s="1" t="s">
        <v>560</v>
      </c>
      <c r="P63" s="1" t="s">
        <v>561</v>
      </c>
      <c r="Q63" s="1" t="s">
        <v>91</v>
      </c>
      <c r="R63" s="1" t="s">
        <v>107</v>
      </c>
      <c r="S63" s="1" t="s">
        <v>146</v>
      </c>
    </row>
    <row r="64" spans="1:19" hidden="1" x14ac:dyDescent="0.25">
      <c r="A64" s="1">
        <v>10</v>
      </c>
      <c r="B64" s="1" t="s">
        <v>557</v>
      </c>
      <c r="C64" s="1" t="s">
        <v>372</v>
      </c>
      <c r="D64" s="1" t="s">
        <v>558</v>
      </c>
      <c r="E64" s="1">
        <v>2</v>
      </c>
      <c r="F64" s="1">
        <v>170.613</v>
      </c>
      <c r="G64" s="1">
        <v>8826</v>
      </c>
      <c r="H64" s="1">
        <v>10559</v>
      </c>
      <c r="I64" s="1">
        <v>12225</v>
      </c>
      <c r="J64" s="1">
        <v>167.90600000000001</v>
      </c>
      <c r="K64" s="1">
        <v>-5.3890000000000002</v>
      </c>
      <c r="L64" s="1">
        <v>19.082999999999998</v>
      </c>
      <c r="M64" s="1" t="s">
        <v>559</v>
      </c>
      <c r="N64" s="1" t="s">
        <v>492</v>
      </c>
      <c r="O64" s="1" t="s">
        <v>560</v>
      </c>
      <c r="P64" s="1" t="s">
        <v>561</v>
      </c>
      <c r="Q64" s="1" t="s">
        <v>77</v>
      </c>
      <c r="R64" s="1" t="s">
        <v>154</v>
      </c>
      <c r="S64" s="1" t="s">
        <v>311</v>
      </c>
    </row>
    <row r="65" spans="1:19" hidden="1" x14ac:dyDescent="0.25">
      <c r="A65" s="1">
        <v>10</v>
      </c>
      <c r="B65" s="1" t="s">
        <v>557</v>
      </c>
      <c r="C65" s="1" t="s">
        <v>372</v>
      </c>
      <c r="D65" s="1" t="s">
        <v>558</v>
      </c>
      <c r="E65" s="1">
        <v>3</v>
      </c>
      <c r="F65" s="1">
        <v>173.24100000000001</v>
      </c>
      <c r="G65" s="1">
        <v>8962</v>
      </c>
      <c r="H65" s="1">
        <v>10721</v>
      </c>
      <c r="I65" s="1">
        <v>12416</v>
      </c>
      <c r="J65" s="1">
        <v>170.49199999999999</v>
      </c>
      <c r="K65" s="1">
        <v>-5.3929999999999998</v>
      </c>
      <c r="L65" s="1">
        <v>19.062000000000001</v>
      </c>
      <c r="M65" s="1" t="s">
        <v>559</v>
      </c>
      <c r="N65" s="1" t="s">
        <v>492</v>
      </c>
      <c r="O65" s="1" t="s">
        <v>560</v>
      </c>
      <c r="P65" s="1" t="s">
        <v>561</v>
      </c>
      <c r="Q65" s="1" t="s">
        <v>68</v>
      </c>
      <c r="R65" s="1" t="s">
        <v>171</v>
      </c>
      <c r="S65" s="1" t="s">
        <v>150</v>
      </c>
    </row>
    <row r="66" spans="1:19" hidden="1" x14ac:dyDescent="0.25">
      <c r="A66" s="1">
        <v>10</v>
      </c>
      <c r="B66" s="1" t="s">
        <v>557</v>
      </c>
      <c r="C66" s="1" t="s">
        <v>372</v>
      </c>
      <c r="D66" s="1" t="s">
        <v>558</v>
      </c>
      <c r="E66" s="1">
        <v>4</v>
      </c>
      <c r="F66" s="1">
        <v>171.559</v>
      </c>
      <c r="G66" s="1">
        <v>8822</v>
      </c>
      <c r="H66" s="1">
        <v>10553</v>
      </c>
      <c r="I66" s="1">
        <v>12216</v>
      </c>
      <c r="J66" s="1">
        <v>168.83699999999999</v>
      </c>
      <c r="K66" s="1">
        <v>-5.399</v>
      </c>
      <c r="L66" s="1">
        <v>19.082999999999998</v>
      </c>
      <c r="M66" s="1" t="s">
        <v>559</v>
      </c>
      <c r="N66" s="1" t="s">
        <v>492</v>
      </c>
      <c r="O66" s="1" t="s">
        <v>560</v>
      </c>
      <c r="P66" s="1" t="s">
        <v>561</v>
      </c>
      <c r="Q66" s="1" t="s">
        <v>254</v>
      </c>
      <c r="R66" s="1" t="s">
        <v>262</v>
      </c>
      <c r="S66" s="1" t="s">
        <v>376</v>
      </c>
    </row>
    <row r="67" spans="1:19" hidden="1" x14ac:dyDescent="0.25">
      <c r="A67" s="1">
        <v>10</v>
      </c>
      <c r="B67" s="1" t="s">
        <v>557</v>
      </c>
      <c r="C67" s="1" t="s">
        <v>372</v>
      </c>
      <c r="D67" s="1" t="s">
        <v>558</v>
      </c>
      <c r="E67" s="1">
        <v>5</v>
      </c>
      <c r="F67" s="1">
        <v>234.577</v>
      </c>
      <c r="G67" s="1">
        <v>19410</v>
      </c>
      <c r="H67" s="1">
        <v>23560</v>
      </c>
      <c r="I67" s="1">
        <v>27050</v>
      </c>
      <c r="J67" s="1">
        <v>230.82599999999999</v>
      </c>
      <c r="K67" s="1">
        <v>3.9409999999999998</v>
      </c>
      <c r="L67" s="1">
        <v>25.120999999999999</v>
      </c>
      <c r="M67" s="1" t="s">
        <v>559</v>
      </c>
      <c r="N67" s="1" t="s">
        <v>492</v>
      </c>
      <c r="O67" s="1" t="s">
        <v>560</v>
      </c>
      <c r="P67" s="1" t="s">
        <v>561</v>
      </c>
      <c r="Q67" s="1" t="s">
        <v>196</v>
      </c>
      <c r="R67" s="1" t="s">
        <v>218</v>
      </c>
      <c r="S67" s="1" t="s">
        <v>227</v>
      </c>
    </row>
    <row r="68" spans="1:19" x14ac:dyDescent="0.25">
      <c r="A68" s="1">
        <v>10</v>
      </c>
      <c r="B68" s="1" t="s">
        <v>557</v>
      </c>
      <c r="C68" s="1" t="s">
        <v>372</v>
      </c>
      <c r="D68" s="1" t="s">
        <v>558</v>
      </c>
      <c r="E68" s="1">
        <v>6</v>
      </c>
      <c r="F68" s="1">
        <v>208.04599999999999</v>
      </c>
      <c r="G68" s="1">
        <v>17381</v>
      </c>
      <c r="H68" s="1">
        <v>21082</v>
      </c>
      <c r="I68" s="1">
        <v>24228</v>
      </c>
      <c r="J68" s="1">
        <v>204.71899999999999</v>
      </c>
      <c r="K68" s="1">
        <v>3.9950000000000001</v>
      </c>
      <c r="L68" s="1">
        <v>25.23</v>
      </c>
      <c r="M68" s="1" t="s">
        <v>559</v>
      </c>
      <c r="N68" s="1" t="s">
        <v>492</v>
      </c>
      <c r="O68" s="1" t="s">
        <v>560</v>
      </c>
      <c r="P68" s="1" t="s">
        <v>561</v>
      </c>
      <c r="Q68" s="1" t="s">
        <v>237</v>
      </c>
      <c r="R68" s="1" t="s">
        <v>239</v>
      </c>
      <c r="S68" s="1" t="s">
        <v>248</v>
      </c>
    </row>
    <row r="69" spans="1:19" x14ac:dyDescent="0.25">
      <c r="A69" s="1">
        <v>10</v>
      </c>
      <c r="B69" s="1" t="s">
        <v>557</v>
      </c>
      <c r="C69" s="1" t="s">
        <v>372</v>
      </c>
      <c r="D69" s="1" t="s">
        <v>558</v>
      </c>
      <c r="E69" s="1">
        <v>7</v>
      </c>
      <c r="F69" s="1">
        <v>196.035</v>
      </c>
      <c r="G69" s="1">
        <v>16218</v>
      </c>
      <c r="H69" s="1">
        <v>19663</v>
      </c>
      <c r="I69" s="1">
        <v>22601</v>
      </c>
      <c r="J69" s="1">
        <v>192.9</v>
      </c>
      <c r="K69" s="1">
        <v>3.9630000000000001</v>
      </c>
      <c r="L69" s="1">
        <v>25.280999999999999</v>
      </c>
      <c r="M69" s="1" t="s">
        <v>559</v>
      </c>
      <c r="N69" s="1" t="s">
        <v>492</v>
      </c>
      <c r="O69" s="1" t="s">
        <v>560</v>
      </c>
      <c r="P69" s="1" t="s">
        <v>561</v>
      </c>
      <c r="Q69" s="1" t="s">
        <v>237</v>
      </c>
      <c r="R69" s="1" t="s">
        <v>239</v>
      </c>
      <c r="S69" s="1" t="s">
        <v>248</v>
      </c>
    </row>
    <row r="70" spans="1:19" hidden="1" x14ac:dyDescent="0.25">
      <c r="A70" s="1">
        <v>11</v>
      </c>
      <c r="B70" s="1" t="s">
        <v>562</v>
      </c>
      <c r="C70" s="1" t="s">
        <v>389</v>
      </c>
      <c r="D70" s="1" t="s">
        <v>563</v>
      </c>
      <c r="E70" s="1">
        <v>1</v>
      </c>
      <c r="F70" s="1">
        <v>173.59</v>
      </c>
      <c r="G70" s="1">
        <v>8880</v>
      </c>
      <c r="H70" s="1">
        <v>10624</v>
      </c>
      <c r="I70" s="1">
        <v>12293</v>
      </c>
      <c r="J70" s="1">
        <v>170.83600000000001</v>
      </c>
      <c r="K70" s="1">
        <v>-5.4080000000000004</v>
      </c>
      <c r="L70" s="1">
        <v>19.084</v>
      </c>
      <c r="M70" s="1" t="s">
        <v>564</v>
      </c>
      <c r="N70" s="1" t="s">
        <v>492</v>
      </c>
      <c r="O70" s="1" t="s">
        <v>565</v>
      </c>
      <c r="P70" s="1" t="s">
        <v>566</v>
      </c>
      <c r="Q70" s="1" t="s">
        <v>48</v>
      </c>
      <c r="R70" s="1" t="s">
        <v>283</v>
      </c>
      <c r="S70" s="1" t="s">
        <v>153</v>
      </c>
    </row>
    <row r="71" spans="1:19" hidden="1" x14ac:dyDescent="0.25">
      <c r="A71" s="1">
        <v>11</v>
      </c>
      <c r="B71" s="1" t="s">
        <v>562</v>
      </c>
      <c r="C71" s="1" t="s">
        <v>389</v>
      </c>
      <c r="D71" s="1" t="s">
        <v>563</v>
      </c>
      <c r="E71" s="1">
        <v>2</v>
      </c>
      <c r="F71" s="1">
        <v>173.18100000000001</v>
      </c>
      <c r="G71" s="1">
        <v>8944</v>
      </c>
      <c r="H71" s="1">
        <v>10701</v>
      </c>
      <c r="I71" s="1">
        <v>12380</v>
      </c>
      <c r="J71" s="1">
        <v>170.43299999999999</v>
      </c>
      <c r="K71" s="1">
        <v>-5.3970000000000002</v>
      </c>
      <c r="L71" s="1">
        <v>19.084</v>
      </c>
      <c r="M71" s="1" t="s">
        <v>564</v>
      </c>
      <c r="N71" s="1" t="s">
        <v>492</v>
      </c>
      <c r="O71" s="1" t="s">
        <v>565</v>
      </c>
      <c r="P71" s="1" t="s">
        <v>566</v>
      </c>
      <c r="Q71" s="1" t="s">
        <v>276</v>
      </c>
      <c r="R71" s="1" t="s">
        <v>257</v>
      </c>
      <c r="S71" s="1" t="s">
        <v>286</v>
      </c>
    </row>
    <row r="72" spans="1:19" hidden="1" x14ac:dyDescent="0.25">
      <c r="A72" s="1">
        <v>11</v>
      </c>
      <c r="B72" s="1" t="s">
        <v>562</v>
      </c>
      <c r="C72" s="1" t="s">
        <v>389</v>
      </c>
      <c r="D72" s="1" t="s">
        <v>563</v>
      </c>
      <c r="E72" s="1">
        <v>3</v>
      </c>
      <c r="F72" s="1">
        <v>172.70099999999999</v>
      </c>
      <c r="G72" s="1">
        <v>8941</v>
      </c>
      <c r="H72" s="1">
        <v>10697</v>
      </c>
      <c r="I72" s="1">
        <v>12382</v>
      </c>
      <c r="J72" s="1">
        <v>169.96100000000001</v>
      </c>
      <c r="K72" s="1">
        <v>-5.4059999999999997</v>
      </c>
      <c r="L72" s="1">
        <v>19.074000000000002</v>
      </c>
      <c r="M72" s="1" t="s">
        <v>564</v>
      </c>
      <c r="N72" s="1" t="s">
        <v>492</v>
      </c>
      <c r="O72" s="1" t="s">
        <v>565</v>
      </c>
      <c r="P72" s="1" t="s">
        <v>566</v>
      </c>
      <c r="Q72" s="1" t="s">
        <v>89</v>
      </c>
      <c r="R72" s="1" t="s">
        <v>279</v>
      </c>
      <c r="S72" s="1" t="s">
        <v>295</v>
      </c>
    </row>
    <row r="73" spans="1:19" hidden="1" x14ac:dyDescent="0.25">
      <c r="A73" s="1">
        <v>11</v>
      </c>
      <c r="B73" s="1" t="s">
        <v>562</v>
      </c>
      <c r="C73" s="1" t="s">
        <v>389</v>
      </c>
      <c r="D73" s="1" t="s">
        <v>563</v>
      </c>
      <c r="E73" s="1">
        <v>4</v>
      </c>
      <c r="F73" s="1">
        <v>174.494</v>
      </c>
      <c r="G73" s="1">
        <v>8953</v>
      </c>
      <c r="H73" s="1">
        <v>10711</v>
      </c>
      <c r="I73" s="1">
        <v>12393</v>
      </c>
      <c r="J73" s="1">
        <v>171.726</v>
      </c>
      <c r="K73" s="1">
        <v>-5.399</v>
      </c>
      <c r="L73" s="1">
        <v>19.082999999999998</v>
      </c>
      <c r="M73" s="1" t="s">
        <v>564</v>
      </c>
      <c r="N73" s="1" t="s">
        <v>492</v>
      </c>
      <c r="O73" s="1" t="s">
        <v>565</v>
      </c>
      <c r="P73" s="1" t="s">
        <v>566</v>
      </c>
      <c r="Q73" s="1" t="s">
        <v>147</v>
      </c>
      <c r="R73" s="1" t="s">
        <v>198</v>
      </c>
      <c r="S73" s="1" t="s">
        <v>142</v>
      </c>
    </row>
    <row r="74" spans="1:19" hidden="1" x14ac:dyDescent="0.25">
      <c r="A74" s="1">
        <v>11</v>
      </c>
      <c r="B74" s="1" t="s">
        <v>562</v>
      </c>
      <c r="C74" s="1" t="s">
        <v>389</v>
      </c>
      <c r="D74" s="1" t="s">
        <v>563</v>
      </c>
      <c r="E74" s="1">
        <v>5</v>
      </c>
      <c r="F74" s="1">
        <v>194.28399999999999</v>
      </c>
      <c r="G74" s="1">
        <v>15222</v>
      </c>
      <c r="H74" s="1">
        <v>18454</v>
      </c>
      <c r="I74" s="1">
        <v>21203</v>
      </c>
      <c r="J74" s="1">
        <v>191.17699999999999</v>
      </c>
      <c r="K74" s="1">
        <v>3.915</v>
      </c>
      <c r="L74" s="1">
        <v>25.093</v>
      </c>
      <c r="M74" s="1" t="s">
        <v>564</v>
      </c>
      <c r="N74" s="1" t="s">
        <v>492</v>
      </c>
      <c r="O74" s="1" t="s">
        <v>565</v>
      </c>
      <c r="P74" s="1" t="s">
        <v>566</v>
      </c>
      <c r="Q74" s="1" t="s">
        <v>217</v>
      </c>
      <c r="R74" s="1" t="s">
        <v>182</v>
      </c>
      <c r="S74" s="1" t="s">
        <v>137</v>
      </c>
    </row>
    <row r="75" spans="1:19" x14ac:dyDescent="0.25">
      <c r="A75" s="1">
        <v>11</v>
      </c>
      <c r="B75" s="1" t="s">
        <v>562</v>
      </c>
      <c r="C75" s="1" t="s">
        <v>389</v>
      </c>
      <c r="D75" s="1" t="s">
        <v>563</v>
      </c>
      <c r="E75" s="1">
        <v>6</v>
      </c>
      <c r="F75" s="1">
        <v>170.90700000000001</v>
      </c>
      <c r="G75" s="1">
        <v>13560</v>
      </c>
      <c r="H75" s="1">
        <v>16437</v>
      </c>
      <c r="I75" s="1">
        <v>18893</v>
      </c>
      <c r="J75" s="1">
        <v>168.17400000000001</v>
      </c>
      <c r="K75" s="1">
        <v>3.968</v>
      </c>
      <c r="L75" s="1">
        <v>25.234000000000002</v>
      </c>
      <c r="M75" s="1" t="s">
        <v>564</v>
      </c>
      <c r="N75" s="1" t="s">
        <v>492</v>
      </c>
      <c r="O75" s="1" t="s">
        <v>565</v>
      </c>
      <c r="P75" s="1" t="s">
        <v>566</v>
      </c>
      <c r="Q75" s="1" t="s">
        <v>307</v>
      </c>
      <c r="R75" s="1" t="s">
        <v>354</v>
      </c>
      <c r="S75" s="1" t="s">
        <v>233</v>
      </c>
    </row>
    <row r="76" spans="1:19" x14ac:dyDescent="0.25">
      <c r="A76" s="1">
        <v>11</v>
      </c>
      <c r="B76" s="1" t="s">
        <v>562</v>
      </c>
      <c r="C76" s="1" t="s">
        <v>389</v>
      </c>
      <c r="D76" s="1" t="s">
        <v>563</v>
      </c>
      <c r="E76" s="1">
        <v>7</v>
      </c>
      <c r="F76" s="1">
        <v>158.90700000000001</v>
      </c>
      <c r="G76" s="1">
        <v>12651</v>
      </c>
      <c r="H76" s="1">
        <v>15333</v>
      </c>
      <c r="I76" s="1">
        <v>17626</v>
      </c>
      <c r="J76" s="1">
        <v>156.36500000000001</v>
      </c>
      <c r="K76" s="1">
        <v>4.0030000000000001</v>
      </c>
      <c r="L76" s="1">
        <v>25.280999999999999</v>
      </c>
      <c r="M76" s="1" t="s">
        <v>564</v>
      </c>
      <c r="N76" s="1" t="s">
        <v>492</v>
      </c>
      <c r="O76" s="1" t="s">
        <v>565</v>
      </c>
      <c r="P76" s="1" t="s">
        <v>566</v>
      </c>
      <c r="Q76" s="1" t="s">
        <v>363</v>
      </c>
      <c r="R76" s="1" t="s">
        <v>567</v>
      </c>
      <c r="S76" s="1" t="s">
        <v>568</v>
      </c>
    </row>
    <row r="77" spans="1:19" hidden="1" x14ac:dyDescent="0.25">
      <c r="A77" s="1">
        <v>12</v>
      </c>
      <c r="B77" s="1" t="s">
        <v>569</v>
      </c>
      <c r="C77" s="1" t="s">
        <v>340</v>
      </c>
      <c r="D77" s="1" t="s">
        <v>570</v>
      </c>
      <c r="E77" s="1">
        <v>1</v>
      </c>
      <c r="F77" s="1">
        <v>173.15</v>
      </c>
      <c r="G77" s="1">
        <v>8837</v>
      </c>
      <c r="H77" s="1">
        <v>10572</v>
      </c>
      <c r="I77" s="1">
        <v>12234</v>
      </c>
      <c r="J77" s="1">
        <v>170.404</v>
      </c>
      <c r="K77" s="1">
        <v>-5.3819999999999997</v>
      </c>
      <c r="L77" s="1">
        <v>19.096</v>
      </c>
      <c r="M77" s="1" t="s">
        <v>571</v>
      </c>
      <c r="N77" s="1" t="s">
        <v>492</v>
      </c>
      <c r="O77" s="1" t="s">
        <v>572</v>
      </c>
      <c r="P77" s="1" t="s">
        <v>573</v>
      </c>
      <c r="Q77" s="1" t="s">
        <v>52</v>
      </c>
      <c r="R77" s="1" t="s">
        <v>59</v>
      </c>
      <c r="S77" s="1" t="s">
        <v>138</v>
      </c>
    </row>
    <row r="78" spans="1:19" hidden="1" x14ac:dyDescent="0.25">
      <c r="A78" s="1">
        <v>12</v>
      </c>
      <c r="B78" s="1" t="s">
        <v>569</v>
      </c>
      <c r="C78" s="1" t="s">
        <v>340</v>
      </c>
      <c r="D78" s="1" t="s">
        <v>570</v>
      </c>
      <c r="E78" s="1">
        <v>2</v>
      </c>
      <c r="F78" s="1">
        <v>171.709</v>
      </c>
      <c r="G78" s="1">
        <v>8871</v>
      </c>
      <c r="H78" s="1">
        <v>10613</v>
      </c>
      <c r="I78" s="1">
        <v>12281</v>
      </c>
      <c r="J78" s="1">
        <v>168.98500000000001</v>
      </c>
      <c r="K78" s="1">
        <v>-5.3879999999999999</v>
      </c>
      <c r="L78" s="1">
        <v>19.091999999999999</v>
      </c>
      <c r="M78" s="1" t="s">
        <v>571</v>
      </c>
      <c r="N78" s="1" t="s">
        <v>492</v>
      </c>
      <c r="O78" s="1" t="s">
        <v>572</v>
      </c>
      <c r="P78" s="1" t="s">
        <v>573</v>
      </c>
      <c r="Q78" s="1" t="s">
        <v>77</v>
      </c>
      <c r="R78" s="1" t="s">
        <v>140</v>
      </c>
      <c r="S78" s="1" t="s">
        <v>318</v>
      </c>
    </row>
    <row r="79" spans="1:19" hidden="1" x14ac:dyDescent="0.25">
      <c r="A79" s="1">
        <v>12</v>
      </c>
      <c r="B79" s="1" t="s">
        <v>569</v>
      </c>
      <c r="C79" s="1" t="s">
        <v>340</v>
      </c>
      <c r="D79" s="1" t="s">
        <v>570</v>
      </c>
      <c r="E79" s="1">
        <v>3</v>
      </c>
      <c r="F79" s="1">
        <v>172.66200000000001</v>
      </c>
      <c r="G79" s="1">
        <v>8927</v>
      </c>
      <c r="H79" s="1">
        <v>10680</v>
      </c>
      <c r="I79" s="1">
        <v>12362</v>
      </c>
      <c r="J79" s="1">
        <v>169.922</v>
      </c>
      <c r="K79" s="1">
        <v>-5.3819999999999997</v>
      </c>
      <c r="L79" s="1">
        <v>19.103000000000002</v>
      </c>
      <c r="M79" s="1" t="s">
        <v>571</v>
      </c>
      <c r="N79" s="1" t="s">
        <v>492</v>
      </c>
      <c r="O79" s="1" t="s">
        <v>572</v>
      </c>
      <c r="P79" s="1" t="s">
        <v>573</v>
      </c>
      <c r="Q79" s="1" t="s">
        <v>68</v>
      </c>
      <c r="R79" s="1" t="s">
        <v>171</v>
      </c>
      <c r="S79" s="1" t="s">
        <v>150</v>
      </c>
    </row>
    <row r="80" spans="1:19" hidden="1" x14ac:dyDescent="0.25">
      <c r="A80" s="1">
        <v>12</v>
      </c>
      <c r="B80" s="1" t="s">
        <v>569</v>
      </c>
      <c r="C80" s="1" t="s">
        <v>340</v>
      </c>
      <c r="D80" s="1" t="s">
        <v>570</v>
      </c>
      <c r="E80" s="1">
        <v>4</v>
      </c>
      <c r="F80" s="1">
        <v>172.11500000000001</v>
      </c>
      <c r="G80" s="1">
        <v>8854</v>
      </c>
      <c r="H80" s="1">
        <v>10593</v>
      </c>
      <c r="I80" s="1">
        <v>12256</v>
      </c>
      <c r="J80" s="1">
        <v>169.38499999999999</v>
      </c>
      <c r="K80" s="1">
        <v>-5.399</v>
      </c>
      <c r="L80" s="1">
        <v>19.082999999999998</v>
      </c>
      <c r="M80" s="1" t="s">
        <v>571</v>
      </c>
      <c r="N80" s="1" t="s">
        <v>492</v>
      </c>
      <c r="O80" s="1" t="s">
        <v>572</v>
      </c>
      <c r="P80" s="1" t="s">
        <v>573</v>
      </c>
      <c r="Q80" s="1" t="s">
        <v>254</v>
      </c>
      <c r="R80" s="1" t="s">
        <v>262</v>
      </c>
      <c r="S80" s="1" t="s">
        <v>259</v>
      </c>
    </row>
    <row r="81" spans="1:19" hidden="1" x14ac:dyDescent="0.25">
      <c r="A81" s="1">
        <v>12</v>
      </c>
      <c r="B81" s="1" t="s">
        <v>569</v>
      </c>
      <c r="C81" s="1" t="s">
        <v>340</v>
      </c>
      <c r="D81" s="1" t="s">
        <v>570</v>
      </c>
      <c r="E81" s="1">
        <v>5</v>
      </c>
      <c r="F81" s="1">
        <v>192.55699999999999</v>
      </c>
      <c r="G81" s="1">
        <v>15623</v>
      </c>
      <c r="H81" s="1">
        <v>18934</v>
      </c>
      <c r="I81" s="1">
        <v>21761</v>
      </c>
      <c r="J81" s="1">
        <v>189.47800000000001</v>
      </c>
      <c r="K81" s="1">
        <v>3.9359999999999999</v>
      </c>
      <c r="L81" s="1">
        <v>25.06</v>
      </c>
      <c r="M81" s="1" t="s">
        <v>571</v>
      </c>
      <c r="N81" s="1" t="s">
        <v>492</v>
      </c>
      <c r="O81" s="1" t="s">
        <v>572</v>
      </c>
      <c r="P81" s="1" t="s">
        <v>573</v>
      </c>
      <c r="Q81" s="1" t="s">
        <v>200</v>
      </c>
      <c r="R81" s="1" t="s">
        <v>145</v>
      </c>
      <c r="S81" s="1" t="s">
        <v>130</v>
      </c>
    </row>
    <row r="82" spans="1:19" x14ac:dyDescent="0.25">
      <c r="A82" s="1">
        <v>12</v>
      </c>
      <c r="B82" s="1" t="s">
        <v>569</v>
      </c>
      <c r="C82" s="1" t="s">
        <v>340</v>
      </c>
      <c r="D82" s="1" t="s">
        <v>570</v>
      </c>
      <c r="E82" s="1">
        <v>6</v>
      </c>
      <c r="F82" s="1">
        <v>169.37700000000001</v>
      </c>
      <c r="G82" s="1">
        <v>13750</v>
      </c>
      <c r="H82" s="1">
        <v>16651</v>
      </c>
      <c r="I82" s="1">
        <v>19156</v>
      </c>
      <c r="J82" s="1">
        <v>166.66800000000001</v>
      </c>
      <c r="K82" s="1">
        <v>3.9860000000000002</v>
      </c>
      <c r="L82" s="1">
        <v>25.228000000000002</v>
      </c>
      <c r="M82" s="1" t="s">
        <v>571</v>
      </c>
      <c r="N82" s="1" t="s">
        <v>492</v>
      </c>
      <c r="O82" s="1" t="s">
        <v>572</v>
      </c>
      <c r="P82" s="1" t="s">
        <v>573</v>
      </c>
      <c r="Q82" s="1" t="s">
        <v>245</v>
      </c>
      <c r="R82" s="1" t="s">
        <v>135</v>
      </c>
      <c r="S82" s="1" t="s">
        <v>239</v>
      </c>
    </row>
    <row r="83" spans="1:19" x14ac:dyDescent="0.25">
      <c r="A83" s="1">
        <v>12</v>
      </c>
      <c r="B83" s="1" t="s">
        <v>569</v>
      </c>
      <c r="C83" s="1" t="s">
        <v>340</v>
      </c>
      <c r="D83" s="1" t="s">
        <v>570</v>
      </c>
      <c r="E83" s="1">
        <v>7</v>
      </c>
      <c r="F83" s="1">
        <v>157.44800000000001</v>
      </c>
      <c r="G83" s="1">
        <v>12748</v>
      </c>
      <c r="H83" s="1">
        <v>15439</v>
      </c>
      <c r="I83" s="1">
        <v>17760</v>
      </c>
      <c r="J83" s="1">
        <v>154.93</v>
      </c>
      <c r="K83" s="1">
        <v>4.0270000000000001</v>
      </c>
      <c r="L83" s="1">
        <v>25.286000000000001</v>
      </c>
      <c r="M83" s="1" t="s">
        <v>571</v>
      </c>
      <c r="N83" s="1" t="s">
        <v>492</v>
      </c>
      <c r="O83" s="1" t="s">
        <v>572</v>
      </c>
      <c r="P83" s="1" t="s">
        <v>573</v>
      </c>
      <c r="Q83" s="1" t="s">
        <v>574</v>
      </c>
      <c r="R83" s="1" t="s">
        <v>434</v>
      </c>
      <c r="S83" s="1" t="s">
        <v>475</v>
      </c>
    </row>
    <row r="84" spans="1:19" hidden="1" x14ac:dyDescent="0.25">
      <c r="A84" s="1">
        <v>13</v>
      </c>
      <c r="B84" s="1" t="s">
        <v>575</v>
      </c>
      <c r="C84" s="1" t="s">
        <v>389</v>
      </c>
      <c r="D84" s="1" t="s">
        <v>576</v>
      </c>
      <c r="E84" s="1">
        <v>1</v>
      </c>
      <c r="F84" s="1">
        <v>174.935</v>
      </c>
      <c r="G84" s="1">
        <v>8927</v>
      </c>
      <c r="H84" s="1">
        <v>10680</v>
      </c>
      <c r="I84" s="1">
        <v>12365</v>
      </c>
      <c r="J84" s="1">
        <v>172.15899999999999</v>
      </c>
      <c r="K84" s="1">
        <v>-5.3920000000000003</v>
      </c>
      <c r="L84" s="1">
        <v>19.117999999999999</v>
      </c>
      <c r="M84" s="1" t="s">
        <v>285</v>
      </c>
      <c r="N84" s="1" t="s">
        <v>492</v>
      </c>
      <c r="O84" s="1" t="s">
        <v>577</v>
      </c>
      <c r="P84" s="1" t="s">
        <v>578</v>
      </c>
      <c r="Q84" s="1" t="s">
        <v>98</v>
      </c>
      <c r="R84" s="1" t="s">
        <v>108</v>
      </c>
      <c r="S84" s="1" t="s">
        <v>291</v>
      </c>
    </row>
    <row r="85" spans="1:19" hidden="1" x14ac:dyDescent="0.25">
      <c r="A85" s="1">
        <v>13</v>
      </c>
      <c r="B85" s="1" t="s">
        <v>575</v>
      </c>
      <c r="C85" s="1" t="s">
        <v>389</v>
      </c>
      <c r="D85" s="1" t="s">
        <v>576</v>
      </c>
      <c r="E85" s="1">
        <v>2</v>
      </c>
      <c r="F85" s="1">
        <v>170.83099999999999</v>
      </c>
      <c r="G85" s="1">
        <v>8847</v>
      </c>
      <c r="H85" s="1">
        <v>10585</v>
      </c>
      <c r="I85" s="1">
        <v>12255</v>
      </c>
      <c r="J85" s="1">
        <v>168.12100000000001</v>
      </c>
      <c r="K85" s="1">
        <v>-5.38</v>
      </c>
      <c r="L85" s="1">
        <v>19.11</v>
      </c>
      <c r="M85" s="1" t="s">
        <v>285</v>
      </c>
      <c r="N85" s="1" t="s">
        <v>492</v>
      </c>
      <c r="O85" s="1" t="s">
        <v>577</v>
      </c>
      <c r="P85" s="1" t="s">
        <v>578</v>
      </c>
      <c r="Q85" s="1" t="s">
        <v>267</v>
      </c>
      <c r="R85" s="1" t="s">
        <v>101</v>
      </c>
      <c r="S85" s="1" t="s">
        <v>341</v>
      </c>
    </row>
    <row r="86" spans="1:19" hidden="1" x14ac:dyDescent="0.25">
      <c r="A86" s="1">
        <v>13</v>
      </c>
      <c r="B86" s="1" t="s">
        <v>575</v>
      </c>
      <c r="C86" s="1" t="s">
        <v>389</v>
      </c>
      <c r="D86" s="1" t="s">
        <v>576</v>
      </c>
      <c r="E86" s="1">
        <v>3</v>
      </c>
      <c r="F86" s="1">
        <v>174.233</v>
      </c>
      <c r="G86" s="1">
        <v>9001</v>
      </c>
      <c r="H86" s="1">
        <v>10769</v>
      </c>
      <c r="I86" s="1">
        <v>12471</v>
      </c>
      <c r="J86" s="1">
        <v>171.46899999999999</v>
      </c>
      <c r="K86" s="1">
        <v>-5.3940000000000001</v>
      </c>
      <c r="L86" s="1">
        <v>19.077999999999999</v>
      </c>
      <c r="M86" s="1" t="s">
        <v>285</v>
      </c>
      <c r="N86" s="1" t="s">
        <v>492</v>
      </c>
      <c r="O86" s="1" t="s">
        <v>577</v>
      </c>
      <c r="P86" s="1" t="s">
        <v>578</v>
      </c>
      <c r="Q86" s="1" t="s">
        <v>276</v>
      </c>
      <c r="R86" s="1" t="s">
        <v>257</v>
      </c>
      <c r="S86" s="1" t="s">
        <v>286</v>
      </c>
    </row>
    <row r="87" spans="1:19" hidden="1" x14ac:dyDescent="0.25">
      <c r="A87" s="1">
        <v>13</v>
      </c>
      <c r="B87" s="1" t="s">
        <v>575</v>
      </c>
      <c r="C87" s="1" t="s">
        <v>389</v>
      </c>
      <c r="D87" s="1" t="s">
        <v>576</v>
      </c>
      <c r="E87" s="1">
        <v>4</v>
      </c>
      <c r="F87" s="1">
        <v>172.44</v>
      </c>
      <c r="G87" s="1">
        <v>8867</v>
      </c>
      <c r="H87" s="1">
        <v>10608</v>
      </c>
      <c r="I87" s="1">
        <v>12280</v>
      </c>
      <c r="J87" s="1">
        <v>169.70400000000001</v>
      </c>
      <c r="K87" s="1">
        <v>-5.399</v>
      </c>
      <c r="L87" s="1">
        <v>19.082999999999998</v>
      </c>
      <c r="M87" s="1" t="s">
        <v>285</v>
      </c>
      <c r="N87" s="1" t="s">
        <v>492</v>
      </c>
      <c r="O87" s="1" t="s">
        <v>577</v>
      </c>
      <c r="P87" s="1" t="s">
        <v>578</v>
      </c>
      <c r="Q87" s="1" t="s">
        <v>254</v>
      </c>
      <c r="R87" s="1" t="s">
        <v>149</v>
      </c>
      <c r="S87" s="1" t="s">
        <v>259</v>
      </c>
    </row>
    <row r="88" spans="1:19" hidden="1" x14ac:dyDescent="0.25">
      <c r="A88" s="1">
        <v>13</v>
      </c>
      <c r="B88" s="1" t="s">
        <v>575</v>
      </c>
      <c r="C88" s="1" t="s">
        <v>389</v>
      </c>
      <c r="D88" s="1" t="s">
        <v>576</v>
      </c>
      <c r="E88" s="1">
        <v>5</v>
      </c>
      <c r="F88" s="1">
        <v>197.768</v>
      </c>
      <c r="G88" s="1">
        <v>15589</v>
      </c>
      <c r="H88" s="1">
        <v>18784</v>
      </c>
      <c r="I88" s="1">
        <v>21707</v>
      </c>
      <c r="J88" s="1">
        <v>194.62200000000001</v>
      </c>
      <c r="K88" s="1">
        <v>-3.161</v>
      </c>
      <c r="L88" s="1">
        <v>24.061</v>
      </c>
      <c r="M88" s="1" t="s">
        <v>285</v>
      </c>
      <c r="N88" s="1" t="s">
        <v>492</v>
      </c>
      <c r="O88" s="1" t="s">
        <v>577</v>
      </c>
      <c r="P88" s="1" t="s">
        <v>578</v>
      </c>
      <c r="Q88" s="1" t="s">
        <v>186</v>
      </c>
      <c r="R88" s="1" t="s">
        <v>214</v>
      </c>
      <c r="S88" s="1" t="s">
        <v>133</v>
      </c>
    </row>
    <row r="89" spans="1:19" x14ac:dyDescent="0.25">
      <c r="A89" s="1">
        <v>13</v>
      </c>
      <c r="B89" s="1" t="s">
        <v>575</v>
      </c>
      <c r="C89" s="1" t="s">
        <v>389</v>
      </c>
      <c r="D89" s="1" t="s">
        <v>576</v>
      </c>
      <c r="E89" s="1">
        <v>6</v>
      </c>
      <c r="F89" s="1">
        <v>174.97300000000001</v>
      </c>
      <c r="G89" s="1">
        <v>14003</v>
      </c>
      <c r="H89" s="1">
        <v>16868</v>
      </c>
      <c r="I89" s="1">
        <v>19500</v>
      </c>
      <c r="J89" s="1">
        <v>172.18899999999999</v>
      </c>
      <c r="K89" s="1">
        <v>-3.133</v>
      </c>
      <c r="L89" s="1">
        <v>24.157</v>
      </c>
      <c r="M89" s="1" t="s">
        <v>285</v>
      </c>
      <c r="N89" s="1" t="s">
        <v>492</v>
      </c>
      <c r="O89" s="1" t="s">
        <v>577</v>
      </c>
      <c r="P89" s="1" t="s">
        <v>578</v>
      </c>
      <c r="Q89" s="1" t="s">
        <v>164</v>
      </c>
      <c r="R89" s="1" t="s">
        <v>354</v>
      </c>
      <c r="S89" s="1" t="s">
        <v>287</v>
      </c>
    </row>
    <row r="90" spans="1:19" x14ac:dyDescent="0.25">
      <c r="A90" s="1">
        <v>13</v>
      </c>
      <c r="B90" s="1" t="s">
        <v>575</v>
      </c>
      <c r="C90" s="1" t="s">
        <v>389</v>
      </c>
      <c r="D90" s="1" t="s">
        <v>576</v>
      </c>
      <c r="E90" s="1">
        <v>7</v>
      </c>
      <c r="F90" s="1">
        <v>163.11699999999999</v>
      </c>
      <c r="G90" s="1">
        <v>13165</v>
      </c>
      <c r="H90" s="1">
        <v>15855</v>
      </c>
      <c r="I90" s="1">
        <v>18329</v>
      </c>
      <c r="J90" s="1">
        <v>160.52099999999999</v>
      </c>
      <c r="K90" s="1">
        <v>-3.113</v>
      </c>
      <c r="L90" s="1">
        <v>24.181999999999999</v>
      </c>
      <c r="M90" s="1" t="s">
        <v>285</v>
      </c>
      <c r="N90" s="1" t="s">
        <v>492</v>
      </c>
      <c r="O90" s="1" t="s">
        <v>577</v>
      </c>
      <c r="P90" s="1" t="s">
        <v>578</v>
      </c>
      <c r="Q90" s="1" t="s">
        <v>574</v>
      </c>
      <c r="R90" s="1" t="s">
        <v>384</v>
      </c>
      <c r="S90" s="1" t="s">
        <v>475</v>
      </c>
    </row>
    <row r="91" spans="1:19" hidden="1" x14ac:dyDescent="0.25">
      <c r="A91" s="1">
        <v>14</v>
      </c>
      <c r="B91" s="1" t="s">
        <v>579</v>
      </c>
      <c r="C91" s="1" t="s">
        <v>280</v>
      </c>
      <c r="D91" s="1" t="s">
        <v>580</v>
      </c>
      <c r="E91" s="1">
        <v>1</v>
      </c>
      <c r="F91" s="1">
        <v>173.33500000000001</v>
      </c>
      <c r="G91" s="1">
        <v>8862</v>
      </c>
      <c r="H91" s="1">
        <v>10602</v>
      </c>
      <c r="I91" s="1">
        <v>12269</v>
      </c>
      <c r="J91" s="1">
        <v>170.58500000000001</v>
      </c>
      <c r="K91" s="1">
        <v>-5.4</v>
      </c>
      <c r="L91" s="1">
        <v>19.100000000000001</v>
      </c>
      <c r="M91" s="1" t="s">
        <v>581</v>
      </c>
      <c r="N91" s="1" t="s">
        <v>492</v>
      </c>
      <c r="O91" s="1" t="s">
        <v>582</v>
      </c>
      <c r="P91" s="1" t="s">
        <v>583</v>
      </c>
      <c r="Q91" s="1" t="s">
        <v>71</v>
      </c>
      <c r="R91" s="1" t="s">
        <v>258</v>
      </c>
      <c r="S91" s="1" t="s">
        <v>139</v>
      </c>
    </row>
    <row r="92" spans="1:19" hidden="1" x14ac:dyDescent="0.25">
      <c r="A92" s="1">
        <v>14</v>
      </c>
      <c r="B92" s="1" t="s">
        <v>579</v>
      </c>
      <c r="C92" s="1" t="s">
        <v>280</v>
      </c>
      <c r="D92" s="1" t="s">
        <v>580</v>
      </c>
      <c r="E92" s="1">
        <v>2</v>
      </c>
      <c r="F92" s="1">
        <v>173.11600000000001</v>
      </c>
      <c r="G92" s="1">
        <v>8931</v>
      </c>
      <c r="H92" s="1">
        <v>10685</v>
      </c>
      <c r="I92" s="1">
        <v>12366</v>
      </c>
      <c r="J92" s="1">
        <v>170.37</v>
      </c>
      <c r="K92" s="1">
        <v>-5.399</v>
      </c>
      <c r="L92" s="1">
        <v>19.106000000000002</v>
      </c>
      <c r="M92" s="1" t="s">
        <v>581</v>
      </c>
      <c r="N92" s="1" t="s">
        <v>492</v>
      </c>
      <c r="O92" s="1" t="s">
        <v>582</v>
      </c>
      <c r="P92" s="1" t="s">
        <v>583</v>
      </c>
      <c r="Q92" s="1" t="s">
        <v>223</v>
      </c>
      <c r="R92" s="1" t="s">
        <v>302</v>
      </c>
      <c r="S92" s="1" t="s">
        <v>135</v>
      </c>
    </row>
    <row r="93" spans="1:19" hidden="1" x14ac:dyDescent="0.25">
      <c r="A93" s="1">
        <v>14</v>
      </c>
      <c r="B93" s="1" t="s">
        <v>579</v>
      </c>
      <c r="C93" s="1" t="s">
        <v>280</v>
      </c>
      <c r="D93" s="1" t="s">
        <v>580</v>
      </c>
      <c r="E93" s="1">
        <v>3</v>
      </c>
      <c r="F93" s="1">
        <v>172.76499999999999</v>
      </c>
      <c r="G93" s="1">
        <v>8919</v>
      </c>
      <c r="H93" s="1">
        <v>10671</v>
      </c>
      <c r="I93" s="1">
        <v>12350</v>
      </c>
      <c r="J93" s="1">
        <v>170.02500000000001</v>
      </c>
      <c r="K93" s="1">
        <v>-5.407</v>
      </c>
      <c r="L93" s="1">
        <v>19.082000000000001</v>
      </c>
      <c r="M93" s="1" t="s">
        <v>581</v>
      </c>
      <c r="N93" s="1" t="s">
        <v>492</v>
      </c>
      <c r="O93" s="1" t="s">
        <v>582</v>
      </c>
      <c r="P93" s="1" t="s">
        <v>583</v>
      </c>
      <c r="Q93" s="1" t="s">
        <v>152</v>
      </c>
      <c r="R93" s="1" t="s">
        <v>156</v>
      </c>
      <c r="S93" s="1" t="s">
        <v>376</v>
      </c>
    </row>
    <row r="94" spans="1:19" hidden="1" x14ac:dyDescent="0.25">
      <c r="A94" s="1">
        <v>14</v>
      </c>
      <c r="B94" s="1" t="s">
        <v>579</v>
      </c>
      <c r="C94" s="1" t="s">
        <v>280</v>
      </c>
      <c r="D94" s="1" t="s">
        <v>580</v>
      </c>
      <c r="E94" s="1">
        <v>4</v>
      </c>
      <c r="F94" s="1">
        <v>173.56399999999999</v>
      </c>
      <c r="G94" s="1">
        <v>8924</v>
      </c>
      <c r="H94" s="1">
        <v>10677</v>
      </c>
      <c r="I94" s="1">
        <v>12354</v>
      </c>
      <c r="J94" s="1">
        <v>170.81</v>
      </c>
      <c r="K94" s="1">
        <v>-5.399</v>
      </c>
      <c r="L94" s="1">
        <v>19.082999999999998</v>
      </c>
      <c r="M94" s="1" t="s">
        <v>581</v>
      </c>
      <c r="N94" s="1" t="s">
        <v>492</v>
      </c>
      <c r="O94" s="1" t="s">
        <v>582</v>
      </c>
      <c r="P94" s="1" t="s">
        <v>583</v>
      </c>
      <c r="Q94" s="1" t="s">
        <v>89</v>
      </c>
      <c r="R94" s="1" t="s">
        <v>279</v>
      </c>
      <c r="S94" s="1" t="s">
        <v>295</v>
      </c>
    </row>
    <row r="95" spans="1:19" hidden="1" x14ac:dyDescent="0.25">
      <c r="A95" s="1">
        <v>14</v>
      </c>
      <c r="B95" s="1" t="s">
        <v>579</v>
      </c>
      <c r="C95" s="1" t="s">
        <v>280</v>
      </c>
      <c r="D95" s="1" t="s">
        <v>580</v>
      </c>
      <c r="E95" s="1">
        <v>5</v>
      </c>
      <c r="F95" s="1">
        <v>89.427999999999997</v>
      </c>
      <c r="G95" s="1">
        <v>7045</v>
      </c>
      <c r="H95" s="1">
        <v>8463</v>
      </c>
      <c r="I95" s="1">
        <v>9767</v>
      </c>
      <c r="J95" s="1">
        <v>88.01</v>
      </c>
      <c r="K95" s="1">
        <v>-2.484</v>
      </c>
      <c r="L95" s="1">
        <v>10.077</v>
      </c>
      <c r="M95" s="1" t="s">
        <v>581</v>
      </c>
      <c r="N95" s="1" t="s">
        <v>492</v>
      </c>
      <c r="O95" s="1" t="s">
        <v>582</v>
      </c>
      <c r="P95" s="1" t="s">
        <v>583</v>
      </c>
      <c r="Q95" s="1" t="s">
        <v>58</v>
      </c>
      <c r="R95" s="1" t="s">
        <v>113</v>
      </c>
      <c r="S95" s="1" t="s">
        <v>380</v>
      </c>
    </row>
    <row r="96" spans="1:19" x14ac:dyDescent="0.25">
      <c r="A96" s="1">
        <v>14</v>
      </c>
      <c r="B96" s="1" t="s">
        <v>579</v>
      </c>
      <c r="C96" s="1" t="s">
        <v>280</v>
      </c>
      <c r="D96" s="1" t="s">
        <v>580</v>
      </c>
      <c r="E96" s="1">
        <v>6</v>
      </c>
      <c r="F96" s="1">
        <v>193.136</v>
      </c>
      <c r="G96" s="1">
        <v>15351</v>
      </c>
      <c r="H96" s="1">
        <v>18480</v>
      </c>
      <c r="I96" s="1">
        <v>21358</v>
      </c>
      <c r="J96" s="1">
        <v>190.06299999999999</v>
      </c>
      <c r="K96" s="1">
        <v>-2.7519999999999998</v>
      </c>
      <c r="L96" s="1">
        <v>23.946000000000002</v>
      </c>
      <c r="M96" s="1" t="s">
        <v>581</v>
      </c>
      <c r="N96" s="1" t="s">
        <v>492</v>
      </c>
      <c r="O96" s="1" t="s">
        <v>582</v>
      </c>
      <c r="P96" s="1" t="s">
        <v>583</v>
      </c>
      <c r="Q96" s="1" t="s">
        <v>71</v>
      </c>
      <c r="R96" s="1" t="s">
        <v>97</v>
      </c>
      <c r="S96" s="1" t="s">
        <v>149</v>
      </c>
    </row>
    <row r="97" spans="1:19" x14ac:dyDescent="0.25">
      <c r="A97" s="1">
        <v>14</v>
      </c>
      <c r="B97" s="1" t="s">
        <v>579</v>
      </c>
      <c r="C97" s="1" t="s">
        <v>280</v>
      </c>
      <c r="D97" s="1" t="s">
        <v>580</v>
      </c>
      <c r="E97" s="1">
        <v>7</v>
      </c>
      <c r="F97" s="1">
        <v>178.64099999999999</v>
      </c>
      <c r="G97" s="1">
        <v>14161</v>
      </c>
      <c r="H97" s="1">
        <v>17041</v>
      </c>
      <c r="I97" s="1">
        <v>19704</v>
      </c>
      <c r="J97" s="1">
        <v>175.798</v>
      </c>
      <c r="K97" s="1">
        <v>-2.7080000000000002</v>
      </c>
      <c r="L97" s="1">
        <v>24.004000000000001</v>
      </c>
      <c r="M97" s="1" t="s">
        <v>581</v>
      </c>
      <c r="N97" s="1" t="s">
        <v>492</v>
      </c>
      <c r="O97" s="1" t="s">
        <v>582</v>
      </c>
      <c r="P97" s="1" t="s">
        <v>583</v>
      </c>
      <c r="Q97" s="1" t="s">
        <v>342</v>
      </c>
      <c r="R97" s="1" t="s">
        <v>469</v>
      </c>
      <c r="S97" s="1" t="s">
        <v>584</v>
      </c>
    </row>
    <row r="98" spans="1:19" hidden="1" x14ac:dyDescent="0.25">
      <c r="A98" s="1">
        <v>15</v>
      </c>
      <c r="B98" s="1" t="s">
        <v>585</v>
      </c>
      <c r="C98" s="1" t="s">
        <v>586</v>
      </c>
      <c r="D98" s="1" t="s">
        <v>587</v>
      </c>
      <c r="E98" s="1">
        <v>1</v>
      </c>
      <c r="F98" s="1">
        <v>173.81399999999999</v>
      </c>
      <c r="G98" s="1">
        <v>8895</v>
      </c>
      <c r="H98" s="1">
        <v>10642</v>
      </c>
      <c r="I98" s="1">
        <v>12313</v>
      </c>
      <c r="J98" s="1">
        <v>171.05699999999999</v>
      </c>
      <c r="K98" s="1">
        <v>-5.4109999999999996</v>
      </c>
      <c r="L98" s="1">
        <v>19.082000000000001</v>
      </c>
      <c r="M98" s="1" t="s">
        <v>588</v>
      </c>
      <c r="N98" s="1" t="s">
        <v>492</v>
      </c>
      <c r="O98" s="1" t="s">
        <v>589</v>
      </c>
      <c r="P98" s="1" t="s">
        <v>590</v>
      </c>
      <c r="Q98" s="1" t="s">
        <v>98</v>
      </c>
      <c r="R98" s="1" t="s">
        <v>131</v>
      </c>
      <c r="S98" s="1" t="s">
        <v>161</v>
      </c>
    </row>
    <row r="99" spans="1:19" hidden="1" x14ac:dyDescent="0.25">
      <c r="A99" s="1">
        <v>15</v>
      </c>
      <c r="B99" s="1" t="s">
        <v>585</v>
      </c>
      <c r="C99" s="1" t="s">
        <v>586</v>
      </c>
      <c r="D99" s="1" t="s">
        <v>587</v>
      </c>
      <c r="E99" s="1">
        <v>2</v>
      </c>
      <c r="F99" s="1">
        <v>170.56200000000001</v>
      </c>
      <c r="G99" s="1">
        <v>8820</v>
      </c>
      <c r="H99" s="1">
        <v>10553</v>
      </c>
      <c r="I99" s="1">
        <v>12210</v>
      </c>
      <c r="J99" s="1">
        <v>167.857</v>
      </c>
      <c r="K99" s="1">
        <v>-5.4009999999999998</v>
      </c>
      <c r="L99" s="1">
        <v>19.100000000000001</v>
      </c>
      <c r="M99" s="1" t="s">
        <v>588</v>
      </c>
      <c r="N99" s="1" t="s">
        <v>492</v>
      </c>
      <c r="O99" s="1" t="s">
        <v>589</v>
      </c>
      <c r="P99" s="1" t="s">
        <v>590</v>
      </c>
      <c r="Q99" s="1" t="s">
        <v>172</v>
      </c>
      <c r="R99" s="1" t="s">
        <v>246</v>
      </c>
      <c r="S99" s="1" t="s">
        <v>123</v>
      </c>
    </row>
    <row r="100" spans="1:19" hidden="1" x14ac:dyDescent="0.25">
      <c r="A100" s="1">
        <v>15</v>
      </c>
      <c r="B100" s="1" t="s">
        <v>585</v>
      </c>
      <c r="C100" s="1" t="s">
        <v>586</v>
      </c>
      <c r="D100" s="1" t="s">
        <v>587</v>
      </c>
      <c r="E100" s="1">
        <v>3</v>
      </c>
      <c r="F100" s="1">
        <v>172.69</v>
      </c>
      <c r="G100" s="1">
        <v>8957</v>
      </c>
      <c r="H100" s="1">
        <v>10716</v>
      </c>
      <c r="I100" s="1">
        <v>12402</v>
      </c>
      <c r="J100" s="1">
        <v>169.95099999999999</v>
      </c>
      <c r="K100" s="1">
        <v>-5.39</v>
      </c>
      <c r="L100" s="1">
        <v>19.085999999999999</v>
      </c>
      <c r="M100" s="1" t="s">
        <v>588</v>
      </c>
      <c r="N100" s="1" t="s">
        <v>492</v>
      </c>
      <c r="O100" s="1" t="s">
        <v>589</v>
      </c>
      <c r="P100" s="1" t="s">
        <v>590</v>
      </c>
      <c r="Q100" s="1" t="s">
        <v>68</v>
      </c>
      <c r="R100" s="1" t="s">
        <v>257</v>
      </c>
      <c r="S100" s="1" t="s">
        <v>381</v>
      </c>
    </row>
    <row r="101" spans="1:19" hidden="1" x14ac:dyDescent="0.25">
      <c r="A101" s="1">
        <v>15</v>
      </c>
      <c r="B101" s="1" t="s">
        <v>585</v>
      </c>
      <c r="C101" s="1" t="s">
        <v>586</v>
      </c>
      <c r="D101" s="1" t="s">
        <v>587</v>
      </c>
      <c r="E101" s="1">
        <v>4</v>
      </c>
      <c r="F101" s="1">
        <v>171.47499999999999</v>
      </c>
      <c r="G101" s="1">
        <v>8815</v>
      </c>
      <c r="H101" s="1">
        <v>10547</v>
      </c>
      <c r="I101" s="1">
        <v>12202</v>
      </c>
      <c r="J101" s="1">
        <v>168.755</v>
      </c>
      <c r="K101" s="1">
        <v>-5.399</v>
      </c>
      <c r="L101" s="1">
        <v>19.082999999999998</v>
      </c>
      <c r="M101" s="1" t="s">
        <v>588</v>
      </c>
      <c r="N101" s="1" t="s">
        <v>492</v>
      </c>
      <c r="O101" s="1" t="s">
        <v>589</v>
      </c>
      <c r="P101" s="1" t="s">
        <v>590</v>
      </c>
      <c r="Q101" s="1" t="s">
        <v>152</v>
      </c>
      <c r="R101" s="1" t="s">
        <v>262</v>
      </c>
      <c r="S101" s="1" t="s">
        <v>324</v>
      </c>
    </row>
    <row r="102" spans="1:19" hidden="1" x14ac:dyDescent="0.25">
      <c r="A102" s="1">
        <v>15</v>
      </c>
      <c r="B102" s="1" t="s">
        <v>585</v>
      </c>
      <c r="C102" s="1" t="s">
        <v>586</v>
      </c>
      <c r="D102" s="1" t="s">
        <v>587</v>
      </c>
      <c r="E102" s="1">
        <v>5</v>
      </c>
      <c r="F102" s="1">
        <v>208.62700000000001</v>
      </c>
      <c r="G102" s="1">
        <v>16549</v>
      </c>
      <c r="H102" s="1">
        <v>19965</v>
      </c>
      <c r="I102" s="1">
        <v>23017</v>
      </c>
      <c r="J102" s="1">
        <v>205.30600000000001</v>
      </c>
      <c r="K102" s="1">
        <v>-2.532</v>
      </c>
      <c r="L102" s="1">
        <v>23.747</v>
      </c>
      <c r="M102" s="1" t="s">
        <v>588</v>
      </c>
      <c r="N102" s="1" t="s">
        <v>492</v>
      </c>
      <c r="O102" s="1" t="s">
        <v>589</v>
      </c>
      <c r="P102" s="1" t="s">
        <v>590</v>
      </c>
      <c r="Q102" s="1" t="s">
        <v>210</v>
      </c>
      <c r="R102" s="1" t="s">
        <v>204</v>
      </c>
      <c r="S102" s="1" t="s">
        <v>227</v>
      </c>
    </row>
    <row r="103" spans="1:19" x14ac:dyDescent="0.25">
      <c r="A103" s="1">
        <v>15</v>
      </c>
      <c r="B103" s="1" t="s">
        <v>585</v>
      </c>
      <c r="C103" s="1" t="s">
        <v>586</v>
      </c>
      <c r="D103" s="1" t="s">
        <v>587</v>
      </c>
      <c r="E103" s="1">
        <v>6</v>
      </c>
      <c r="F103" s="1">
        <v>184.68899999999999</v>
      </c>
      <c r="G103" s="1">
        <v>14967</v>
      </c>
      <c r="H103" s="1">
        <v>18047</v>
      </c>
      <c r="I103" s="1">
        <v>20819</v>
      </c>
      <c r="J103" s="1">
        <v>181.75</v>
      </c>
      <c r="K103" s="1">
        <v>-2.4590000000000001</v>
      </c>
      <c r="L103" s="1">
        <v>23.861999999999998</v>
      </c>
      <c r="M103" s="1" t="s">
        <v>588</v>
      </c>
      <c r="N103" s="1" t="s">
        <v>492</v>
      </c>
      <c r="O103" s="1" t="s">
        <v>589</v>
      </c>
      <c r="P103" s="1" t="s">
        <v>590</v>
      </c>
      <c r="Q103" s="1" t="s">
        <v>141</v>
      </c>
      <c r="R103" s="1" t="s">
        <v>150</v>
      </c>
      <c r="S103" s="1" t="s">
        <v>216</v>
      </c>
    </row>
    <row r="104" spans="1:19" x14ac:dyDescent="0.25">
      <c r="A104" s="1">
        <v>15</v>
      </c>
      <c r="B104" s="1" t="s">
        <v>585</v>
      </c>
      <c r="C104" s="1" t="s">
        <v>586</v>
      </c>
      <c r="D104" s="1" t="s">
        <v>587</v>
      </c>
      <c r="E104" s="1">
        <v>7</v>
      </c>
      <c r="F104" s="1">
        <v>172.56299999999999</v>
      </c>
      <c r="G104" s="1">
        <v>14122</v>
      </c>
      <c r="H104" s="1">
        <v>17023</v>
      </c>
      <c r="I104" s="1">
        <v>19646</v>
      </c>
      <c r="J104" s="1">
        <v>169.81700000000001</v>
      </c>
      <c r="K104" s="1">
        <v>-2.4460000000000002</v>
      </c>
      <c r="L104" s="1">
        <v>23.89</v>
      </c>
      <c r="M104" s="1" t="s">
        <v>588</v>
      </c>
      <c r="N104" s="1" t="s">
        <v>492</v>
      </c>
      <c r="O104" s="1" t="s">
        <v>589</v>
      </c>
      <c r="P104" s="1" t="s">
        <v>590</v>
      </c>
      <c r="Q104" s="1" t="s">
        <v>591</v>
      </c>
      <c r="R104" s="1" t="s">
        <v>592</v>
      </c>
      <c r="S104" s="1" t="s">
        <v>439</v>
      </c>
    </row>
    <row r="105" spans="1:19" hidden="1" x14ac:dyDescent="0.25">
      <c r="A105" s="1">
        <v>16</v>
      </c>
      <c r="B105" s="1" t="s">
        <v>593</v>
      </c>
      <c r="C105" s="1" t="s">
        <v>420</v>
      </c>
      <c r="D105" s="1" t="s">
        <v>594</v>
      </c>
      <c r="E105" s="1">
        <v>1</v>
      </c>
      <c r="F105" s="1">
        <v>173.69499999999999</v>
      </c>
      <c r="G105" s="1">
        <v>8854</v>
      </c>
      <c r="H105" s="1">
        <v>10592</v>
      </c>
      <c r="I105" s="1">
        <v>12257</v>
      </c>
      <c r="J105" s="1">
        <v>170.94</v>
      </c>
      <c r="K105" s="1">
        <v>-5.383</v>
      </c>
      <c r="L105" s="1">
        <v>19.088999999999999</v>
      </c>
      <c r="M105" s="1" t="s">
        <v>595</v>
      </c>
      <c r="N105" s="1" t="s">
        <v>492</v>
      </c>
      <c r="O105" s="1" t="s">
        <v>596</v>
      </c>
      <c r="P105" s="1" t="s">
        <v>597</v>
      </c>
      <c r="Q105" s="1" t="s">
        <v>96</v>
      </c>
      <c r="R105" s="1" t="s">
        <v>104</v>
      </c>
      <c r="S105" s="1" t="s">
        <v>164</v>
      </c>
    </row>
    <row r="106" spans="1:19" hidden="1" x14ac:dyDescent="0.25">
      <c r="A106" s="1">
        <v>16</v>
      </c>
      <c r="B106" s="1" t="s">
        <v>593</v>
      </c>
      <c r="C106" s="1" t="s">
        <v>420</v>
      </c>
      <c r="D106" s="1" t="s">
        <v>594</v>
      </c>
      <c r="E106" s="1">
        <v>2</v>
      </c>
      <c r="F106" s="1">
        <v>172.64400000000001</v>
      </c>
      <c r="G106" s="1">
        <v>8948</v>
      </c>
      <c r="H106" s="1">
        <v>10706</v>
      </c>
      <c r="I106" s="1">
        <v>12387</v>
      </c>
      <c r="J106" s="1">
        <v>169.905</v>
      </c>
      <c r="K106" s="1">
        <v>-5.3920000000000003</v>
      </c>
      <c r="L106" s="1">
        <v>19.073</v>
      </c>
      <c r="M106" s="1" t="s">
        <v>595</v>
      </c>
      <c r="N106" s="1" t="s">
        <v>492</v>
      </c>
      <c r="O106" s="1" t="s">
        <v>596</v>
      </c>
      <c r="P106" s="1" t="s">
        <v>597</v>
      </c>
      <c r="Q106" s="1" t="s">
        <v>254</v>
      </c>
      <c r="R106" s="1" t="s">
        <v>171</v>
      </c>
      <c r="S106" s="1" t="s">
        <v>180</v>
      </c>
    </row>
    <row r="107" spans="1:19" hidden="1" x14ac:dyDescent="0.25">
      <c r="A107" s="1">
        <v>16</v>
      </c>
      <c r="B107" s="1" t="s">
        <v>593</v>
      </c>
      <c r="C107" s="1" t="s">
        <v>420</v>
      </c>
      <c r="D107" s="1" t="s">
        <v>594</v>
      </c>
      <c r="E107" s="1">
        <v>3</v>
      </c>
      <c r="F107" s="1">
        <v>172.58099999999999</v>
      </c>
      <c r="G107" s="1">
        <v>8939</v>
      </c>
      <c r="H107" s="1">
        <v>10696</v>
      </c>
      <c r="I107" s="1">
        <v>12379</v>
      </c>
      <c r="J107" s="1">
        <v>169.84299999999999</v>
      </c>
      <c r="K107" s="1">
        <v>-5.4</v>
      </c>
      <c r="L107" s="1">
        <v>19.068999999999999</v>
      </c>
      <c r="M107" s="1" t="s">
        <v>595</v>
      </c>
      <c r="N107" s="1" t="s">
        <v>492</v>
      </c>
      <c r="O107" s="1" t="s">
        <v>596</v>
      </c>
      <c r="P107" s="1" t="s">
        <v>597</v>
      </c>
      <c r="Q107" s="1" t="s">
        <v>253</v>
      </c>
      <c r="R107" s="1" t="s">
        <v>297</v>
      </c>
      <c r="S107" s="1" t="s">
        <v>274</v>
      </c>
    </row>
    <row r="108" spans="1:19" hidden="1" x14ac:dyDescent="0.25">
      <c r="A108" s="1">
        <v>16</v>
      </c>
      <c r="B108" s="1" t="s">
        <v>593</v>
      </c>
      <c r="C108" s="1" t="s">
        <v>420</v>
      </c>
      <c r="D108" s="1" t="s">
        <v>594</v>
      </c>
      <c r="E108" s="1">
        <v>4</v>
      </c>
      <c r="F108" s="1">
        <v>174.251</v>
      </c>
      <c r="G108" s="1">
        <v>8936</v>
      </c>
      <c r="H108" s="1">
        <v>10691</v>
      </c>
      <c r="I108" s="1">
        <v>12371</v>
      </c>
      <c r="J108" s="1">
        <v>171.48599999999999</v>
      </c>
      <c r="K108" s="1">
        <v>-5.399</v>
      </c>
      <c r="L108" s="1">
        <v>19.082999999999998</v>
      </c>
      <c r="M108" s="1" t="s">
        <v>595</v>
      </c>
      <c r="N108" s="1" t="s">
        <v>492</v>
      </c>
      <c r="O108" s="1" t="s">
        <v>596</v>
      </c>
      <c r="P108" s="1" t="s">
        <v>597</v>
      </c>
      <c r="Q108" s="1" t="s">
        <v>253</v>
      </c>
      <c r="R108" s="1" t="s">
        <v>328</v>
      </c>
      <c r="S108" s="1" t="s">
        <v>201</v>
      </c>
    </row>
    <row r="109" spans="1:19" hidden="1" x14ac:dyDescent="0.25">
      <c r="A109" s="1">
        <v>16</v>
      </c>
      <c r="B109" s="1" t="s">
        <v>593</v>
      </c>
      <c r="C109" s="1" t="s">
        <v>420</v>
      </c>
      <c r="D109" s="1" t="s">
        <v>594</v>
      </c>
      <c r="E109" s="1">
        <v>5</v>
      </c>
      <c r="F109" s="1">
        <v>153.10599999999999</v>
      </c>
      <c r="G109" s="1">
        <v>12009</v>
      </c>
      <c r="H109" s="1">
        <v>14448</v>
      </c>
      <c r="I109" s="1">
        <v>16709</v>
      </c>
      <c r="J109" s="1">
        <v>150.66900000000001</v>
      </c>
      <c r="K109" s="1">
        <v>-2.798</v>
      </c>
      <c r="L109" s="1">
        <v>23.864000000000001</v>
      </c>
      <c r="M109" s="1" t="s">
        <v>595</v>
      </c>
      <c r="N109" s="1" t="s">
        <v>492</v>
      </c>
      <c r="O109" s="1" t="s">
        <v>596</v>
      </c>
      <c r="P109" s="1" t="s">
        <v>597</v>
      </c>
      <c r="Q109" s="1" t="s">
        <v>188</v>
      </c>
      <c r="R109" s="1" t="s">
        <v>215</v>
      </c>
      <c r="S109" s="1" t="s">
        <v>118</v>
      </c>
    </row>
    <row r="110" spans="1:19" x14ac:dyDescent="0.25">
      <c r="A110" s="1">
        <v>16</v>
      </c>
      <c r="B110" s="1" t="s">
        <v>593</v>
      </c>
      <c r="C110" s="1" t="s">
        <v>420</v>
      </c>
      <c r="D110" s="1" t="s">
        <v>594</v>
      </c>
      <c r="E110" s="1">
        <v>6</v>
      </c>
      <c r="F110" s="1">
        <v>134.358</v>
      </c>
      <c r="G110" s="1">
        <v>10614</v>
      </c>
      <c r="H110" s="1">
        <v>12767</v>
      </c>
      <c r="I110" s="1">
        <v>14771</v>
      </c>
      <c r="J110" s="1">
        <v>132.22</v>
      </c>
      <c r="K110" s="1">
        <v>-2.7330000000000001</v>
      </c>
      <c r="L110" s="1">
        <v>24.074999999999999</v>
      </c>
      <c r="M110" s="1" t="s">
        <v>595</v>
      </c>
      <c r="N110" s="1" t="s">
        <v>492</v>
      </c>
      <c r="O110" s="1" t="s">
        <v>596</v>
      </c>
      <c r="P110" s="1" t="s">
        <v>597</v>
      </c>
      <c r="Q110" s="1" t="s">
        <v>77</v>
      </c>
      <c r="R110" s="1" t="s">
        <v>140</v>
      </c>
      <c r="S110" s="1" t="s">
        <v>318</v>
      </c>
    </row>
    <row r="111" spans="1:19" x14ac:dyDescent="0.25">
      <c r="A111" s="1">
        <v>16</v>
      </c>
      <c r="B111" s="1" t="s">
        <v>593</v>
      </c>
      <c r="C111" s="1" t="s">
        <v>420</v>
      </c>
      <c r="D111" s="1" t="s">
        <v>594</v>
      </c>
      <c r="E111" s="1">
        <v>7</v>
      </c>
      <c r="F111" s="1">
        <v>124.721</v>
      </c>
      <c r="G111" s="1">
        <v>9853</v>
      </c>
      <c r="H111" s="1">
        <v>11849</v>
      </c>
      <c r="I111" s="1">
        <v>13711</v>
      </c>
      <c r="J111" s="1">
        <v>122.736</v>
      </c>
      <c r="K111" s="1">
        <v>-2.66</v>
      </c>
      <c r="L111" s="1">
        <v>24.120999999999999</v>
      </c>
      <c r="M111" s="1" t="s">
        <v>595</v>
      </c>
      <c r="N111" s="1" t="s">
        <v>492</v>
      </c>
      <c r="O111" s="1" t="s">
        <v>596</v>
      </c>
      <c r="P111" s="1" t="s">
        <v>597</v>
      </c>
      <c r="Q111" s="1" t="s">
        <v>461</v>
      </c>
      <c r="R111" s="1" t="s">
        <v>598</v>
      </c>
      <c r="S111" s="1" t="s">
        <v>599</v>
      </c>
    </row>
    <row r="112" spans="1:19" hidden="1" x14ac:dyDescent="0.25">
      <c r="A112" s="1">
        <v>17</v>
      </c>
      <c r="B112" s="1" t="s">
        <v>600</v>
      </c>
      <c r="C112" s="1" t="s">
        <v>601</v>
      </c>
      <c r="D112" s="1" t="s">
        <v>602</v>
      </c>
      <c r="E112" s="1">
        <v>1</v>
      </c>
      <c r="F112" s="1">
        <v>173.994</v>
      </c>
      <c r="G112" s="1">
        <v>8866</v>
      </c>
      <c r="H112" s="1">
        <v>10606</v>
      </c>
      <c r="I112" s="1">
        <v>12280</v>
      </c>
      <c r="J112" s="1">
        <v>171.23400000000001</v>
      </c>
      <c r="K112" s="1">
        <v>-5.399</v>
      </c>
      <c r="L112" s="1">
        <v>19.09</v>
      </c>
      <c r="M112" s="1" t="s">
        <v>603</v>
      </c>
      <c r="N112" s="1" t="s">
        <v>492</v>
      </c>
      <c r="O112" s="1" t="s">
        <v>604</v>
      </c>
      <c r="P112" s="1" t="s">
        <v>605</v>
      </c>
      <c r="Q112" s="1" t="s">
        <v>62</v>
      </c>
      <c r="R112" s="1" t="s">
        <v>88</v>
      </c>
      <c r="S112" s="1" t="s">
        <v>254</v>
      </c>
    </row>
    <row r="113" spans="1:19" hidden="1" x14ac:dyDescent="0.25">
      <c r="A113" s="1">
        <v>17</v>
      </c>
      <c r="B113" s="1" t="s">
        <v>600</v>
      </c>
      <c r="C113" s="1" t="s">
        <v>601</v>
      </c>
      <c r="D113" s="1" t="s">
        <v>602</v>
      </c>
      <c r="E113" s="1">
        <v>2</v>
      </c>
      <c r="F113" s="1">
        <v>171.39699999999999</v>
      </c>
      <c r="G113" s="1">
        <v>8862</v>
      </c>
      <c r="H113" s="1">
        <v>10601</v>
      </c>
      <c r="I113" s="1">
        <v>12274</v>
      </c>
      <c r="J113" s="1">
        <v>168.678</v>
      </c>
      <c r="K113" s="1">
        <v>-5.4029999999999996</v>
      </c>
      <c r="L113" s="1">
        <v>19.081</v>
      </c>
      <c r="M113" s="1" t="s">
        <v>603</v>
      </c>
      <c r="N113" s="1" t="s">
        <v>492</v>
      </c>
      <c r="O113" s="1" t="s">
        <v>604</v>
      </c>
      <c r="P113" s="1" t="s">
        <v>605</v>
      </c>
      <c r="Q113" s="1" t="s">
        <v>113</v>
      </c>
      <c r="R113" s="1" t="s">
        <v>148</v>
      </c>
      <c r="S113" s="1" t="s">
        <v>354</v>
      </c>
    </row>
    <row r="114" spans="1:19" hidden="1" x14ac:dyDescent="0.25">
      <c r="A114" s="1">
        <v>17</v>
      </c>
      <c r="B114" s="1" t="s">
        <v>600</v>
      </c>
      <c r="C114" s="1" t="s">
        <v>601</v>
      </c>
      <c r="D114" s="1" t="s">
        <v>602</v>
      </c>
      <c r="E114" s="1">
        <v>3</v>
      </c>
      <c r="F114" s="1">
        <v>172.404</v>
      </c>
      <c r="G114" s="1">
        <v>8913</v>
      </c>
      <c r="H114" s="1">
        <v>10662</v>
      </c>
      <c r="I114" s="1">
        <v>12345</v>
      </c>
      <c r="J114" s="1">
        <v>169.66900000000001</v>
      </c>
      <c r="K114" s="1">
        <v>-5.4039999999999999</v>
      </c>
      <c r="L114" s="1">
        <v>19.07</v>
      </c>
      <c r="M114" s="1" t="s">
        <v>603</v>
      </c>
      <c r="N114" s="1" t="s">
        <v>492</v>
      </c>
      <c r="O114" s="1" t="s">
        <v>604</v>
      </c>
      <c r="P114" s="1" t="s">
        <v>605</v>
      </c>
      <c r="Q114" s="1" t="s">
        <v>223</v>
      </c>
      <c r="R114" s="1" t="s">
        <v>154</v>
      </c>
      <c r="S114" s="1" t="s">
        <v>277</v>
      </c>
    </row>
    <row r="115" spans="1:19" hidden="1" x14ac:dyDescent="0.25">
      <c r="A115" s="1">
        <v>17</v>
      </c>
      <c r="B115" s="1" t="s">
        <v>600</v>
      </c>
      <c r="C115" s="1" t="s">
        <v>601</v>
      </c>
      <c r="D115" s="1" t="s">
        <v>602</v>
      </c>
      <c r="E115" s="1">
        <v>4</v>
      </c>
      <c r="F115" s="1">
        <v>172.26300000000001</v>
      </c>
      <c r="G115" s="1">
        <v>8860</v>
      </c>
      <c r="H115" s="1">
        <v>10598</v>
      </c>
      <c r="I115" s="1">
        <v>12273</v>
      </c>
      <c r="J115" s="1">
        <v>169.53</v>
      </c>
      <c r="K115" s="1">
        <v>-5.399</v>
      </c>
      <c r="L115" s="1">
        <v>19.082999999999998</v>
      </c>
      <c r="M115" s="1" t="s">
        <v>603</v>
      </c>
      <c r="N115" s="1" t="s">
        <v>492</v>
      </c>
      <c r="O115" s="1" t="s">
        <v>604</v>
      </c>
      <c r="P115" s="1" t="s">
        <v>605</v>
      </c>
      <c r="Q115" s="1" t="s">
        <v>256</v>
      </c>
      <c r="R115" s="1" t="s">
        <v>173</v>
      </c>
      <c r="S115" s="1" t="s">
        <v>286</v>
      </c>
    </row>
    <row r="116" spans="1:19" hidden="1" x14ac:dyDescent="0.25">
      <c r="A116" s="1">
        <v>17</v>
      </c>
      <c r="B116" s="1" t="s">
        <v>600</v>
      </c>
      <c r="C116" s="1" t="s">
        <v>601</v>
      </c>
      <c r="D116" s="1" t="s">
        <v>602</v>
      </c>
      <c r="E116" s="1">
        <v>5</v>
      </c>
      <c r="F116" s="1">
        <v>201.74</v>
      </c>
      <c r="G116" s="1">
        <v>16283</v>
      </c>
      <c r="H116" s="1">
        <v>19628</v>
      </c>
      <c r="I116" s="1">
        <v>22667</v>
      </c>
      <c r="J116" s="1">
        <v>198.53100000000001</v>
      </c>
      <c r="K116" s="1">
        <v>-3.2130000000000001</v>
      </c>
      <c r="L116" s="1">
        <v>23.920999999999999</v>
      </c>
      <c r="M116" s="1" t="s">
        <v>603</v>
      </c>
      <c r="N116" s="1" t="s">
        <v>492</v>
      </c>
      <c r="O116" s="1" t="s">
        <v>604</v>
      </c>
      <c r="P116" s="1" t="s">
        <v>605</v>
      </c>
      <c r="Q116" s="1" t="s">
        <v>213</v>
      </c>
      <c r="R116" s="1" t="s">
        <v>204</v>
      </c>
      <c r="S116" s="1" t="s">
        <v>184</v>
      </c>
    </row>
    <row r="117" spans="1:19" x14ac:dyDescent="0.25">
      <c r="A117" s="1">
        <v>17</v>
      </c>
      <c r="B117" s="1" t="s">
        <v>600</v>
      </c>
      <c r="C117" s="1" t="s">
        <v>601</v>
      </c>
      <c r="D117" s="1" t="s">
        <v>602</v>
      </c>
      <c r="E117" s="1">
        <v>6</v>
      </c>
      <c r="F117" s="1">
        <v>179.66900000000001</v>
      </c>
      <c r="G117" s="1">
        <v>14799</v>
      </c>
      <c r="H117" s="1">
        <v>17829</v>
      </c>
      <c r="I117" s="1">
        <v>20606</v>
      </c>
      <c r="J117" s="1">
        <v>176.81</v>
      </c>
      <c r="K117" s="1">
        <v>-3.1339999999999999</v>
      </c>
      <c r="L117" s="1">
        <v>23.986000000000001</v>
      </c>
      <c r="M117" s="1" t="s">
        <v>603</v>
      </c>
      <c r="N117" s="1" t="s">
        <v>492</v>
      </c>
      <c r="O117" s="1" t="s">
        <v>604</v>
      </c>
      <c r="P117" s="1" t="s">
        <v>605</v>
      </c>
      <c r="Q117" s="1" t="s">
        <v>151</v>
      </c>
      <c r="R117" s="1" t="s">
        <v>286</v>
      </c>
      <c r="S117" s="1" t="s">
        <v>309</v>
      </c>
    </row>
    <row r="118" spans="1:19" x14ac:dyDescent="0.25">
      <c r="A118" s="1">
        <v>17</v>
      </c>
      <c r="B118" s="1" t="s">
        <v>600</v>
      </c>
      <c r="C118" s="1" t="s">
        <v>601</v>
      </c>
      <c r="D118" s="1" t="s">
        <v>602</v>
      </c>
      <c r="E118" s="1">
        <v>7</v>
      </c>
      <c r="F118" s="1">
        <v>168.369</v>
      </c>
      <c r="G118" s="1">
        <v>13918</v>
      </c>
      <c r="H118" s="1">
        <v>16763</v>
      </c>
      <c r="I118" s="1">
        <v>19378</v>
      </c>
      <c r="J118" s="1">
        <v>165.69</v>
      </c>
      <c r="K118" s="1">
        <v>-3.11</v>
      </c>
      <c r="L118" s="1">
        <v>24.045999999999999</v>
      </c>
      <c r="M118" s="1" t="s">
        <v>603</v>
      </c>
      <c r="N118" s="1" t="s">
        <v>492</v>
      </c>
      <c r="O118" s="1" t="s">
        <v>604</v>
      </c>
      <c r="P118" s="1" t="s">
        <v>605</v>
      </c>
      <c r="Q118" s="1" t="s">
        <v>591</v>
      </c>
      <c r="R118" s="1" t="s">
        <v>463</v>
      </c>
      <c r="S118" s="1" t="s">
        <v>606</v>
      </c>
    </row>
    <row r="119" spans="1:19" hidden="1" x14ac:dyDescent="0.25">
      <c r="A119" s="1">
        <v>18</v>
      </c>
      <c r="B119" s="1" t="s">
        <v>607</v>
      </c>
      <c r="C119" s="1" t="s">
        <v>608</v>
      </c>
      <c r="D119" s="1" t="s">
        <v>609</v>
      </c>
      <c r="E119" s="1">
        <v>1</v>
      </c>
      <c r="F119" s="1">
        <v>174.63300000000001</v>
      </c>
      <c r="G119" s="1">
        <v>8926</v>
      </c>
      <c r="H119" s="1">
        <v>10679</v>
      </c>
      <c r="I119" s="1">
        <v>12359</v>
      </c>
      <c r="J119" s="1">
        <v>171.863</v>
      </c>
      <c r="K119" s="1">
        <v>-5.375</v>
      </c>
      <c r="L119" s="1">
        <v>19.076000000000001</v>
      </c>
      <c r="M119" s="1" t="s">
        <v>610</v>
      </c>
      <c r="N119" s="1" t="s">
        <v>492</v>
      </c>
      <c r="O119" s="1" t="s">
        <v>611</v>
      </c>
      <c r="P119" s="1" t="s">
        <v>612</v>
      </c>
      <c r="Q119" s="1" t="s">
        <v>71</v>
      </c>
      <c r="R119" s="1" t="s">
        <v>97</v>
      </c>
      <c r="S119" s="1" t="s">
        <v>161</v>
      </c>
    </row>
    <row r="120" spans="1:19" hidden="1" x14ac:dyDescent="0.25">
      <c r="A120" s="1">
        <v>18</v>
      </c>
      <c r="B120" s="1" t="s">
        <v>607</v>
      </c>
      <c r="C120" s="1" t="s">
        <v>608</v>
      </c>
      <c r="D120" s="1" t="s">
        <v>609</v>
      </c>
      <c r="E120" s="1">
        <v>2</v>
      </c>
      <c r="F120" s="1">
        <v>171.46299999999999</v>
      </c>
      <c r="G120" s="1">
        <v>8866</v>
      </c>
      <c r="H120" s="1">
        <v>10608</v>
      </c>
      <c r="I120" s="1">
        <v>12277</v>
      </c>
      <c r="J120" s="1">
        <v>168.74299999999999</v>
      </c>
      <c r="K120" s="1">
        <v>-5.391</v>
      </c>
      <c r="L120" s="1">
        <v>19.065999999999999</v>
      </c>
      <c r="M120" s="1" t="s">
        <v>610</v>
      </c>
      <c r="N120" s="1" t="s">
        <v>492</v>
      </c>
      <c r="O120" s="1" t="s">
        <v>611</v>
      </c>
      <c r="P120" s="1" t="s">
        <v>612</v>
      </c>
      <c r="Q120" s="1" t="s">
        <v>256</v>
      </c>
      <c r="R120" s="1" t="s">
        <v>173</v>
      </c>
      <c r="S120" s="1" t="s">
        <v>163</v>
      </c>
    </row>
    <row r="121" spans="1:19" hidden="1" x14ac:dyDescent="0.25">
      <c r="A121" s="1">
        <v>18</v>
      </c>
      <c r="B121" s="1" t="s">
        <v>607</v>
      </c>
      <c r="C121" s="1" t="s">
        <v>608</v>
      </c>
      <c r="D121" s="1" t="s">
        <v>609</v>
      </c>
      <c r="E121" s="1">
        <v>3</v>
      </c>
      <c r="F121" s="1">
        <v>173.90899999999999</v>
      </c>
      <c r="G121" s="1">
        <v>9008</v>
      </c>
      <c r="H121" s="1">
        <v>10777</v>
      </c>
      <c r="I121" s="1">
        <v>12471</v>
      </c>
      <c r="J121" s="1">
        <v>171.15100000000001</v>
      </c>
      <c r="K121" s="1">
        <v>-5.3929999999999998</v>
      </c>
      <c r="L121" s="1">
        <v>19.065999999999999</v>
      </c>
      <c r="M121" s="1" t="s">
        <v>610</v>
      </c>
      <c r="N121" s="1" t="s">
        <v>492</v>
      </c>
      <c r="O121" s="1" t="s">
        <v>611</v>
      </c>
      <c r="P121" s="1" t="s">
        <v>612</v>
      </c>
      <c r="Q121" s="1" t="s">
        <v>152</v>
      </c>
      <c r="R121" s="1" t="s">
        <v>156</v>
      </c>
      <c r="S121" s="1" t="s">
        <v>295</v>
      </c>
    </row>
    <row r="122" spans="1:19" hidden="1" x14ac:dyDescent="0.25">
      <c r="A122" s="1">
        <v>18</v>
      </c>
      <c r="B122" s="1" t="s">
        <v>607</v>
      </c>
      <c r="C122" s="1" t="s">
        <v>608</v>
      </c>
      <c r="D122" s="1" t="s">
        <v>609</v>
      </c>
      <c r="E122" s="1">
        <v>4</v>
      </c>
      <c r="F122" s="1">
        <v>172.05199999999999</v>
      </c>
      <c r="G122" s="1">
        <v>8848</v>
      </c>
      <c r="H122" s="1">
        <v>10587</v>
      </c>
      <c r="I122" s="1">
        <v>12252</v>
      </c>
      <c r="J122" s="1">
        <v>169.32300000000001</v>
      </c>
      <c r="K122" s="1">
        <v>-5.399</v>
      </c>
      <c r="L122" s="1">
        <v>19.082999999999998</v>
      </c>
      <c r="M122" s="1" t="s">
        <v>610</v>
      </c>
      <c r="N122" s="1" t="s">
        <v>492</v>
      </c>
      <c r="O122" s="1" t="s">
        <v>611</v>
      </c>
      <c r="P122" s="1" t="s">
        <v>612</v>
      </c>
      <c r="Q122" s="1" t="s">
        <v>89</v>
      </c>
      <c r="R122" s="1" t="s">
        <v>279</v>
      </c>
      <c r="S122" s="1" t="s">
        <v>381</v>
      </c>
    </row>
    <row r="123" spans="1:19" hidden="1" x14ac:dyDescent="0.25">
      <c r="A123" s="1">
        <v>18</v>
      </c>
      <c r="B123" s="1" t="s">
        <v>607</v>
      </c>
      <c r="C123" s="1" t="s">
        <v>608</v>
      </c>
      <c r="D123" s="1" t="s">
        <v>609</v>
      </c>
      <c r="E123" s="1">
        <v>5</v>
      </c>
      <c r="F123" s="1">
        <v>245.715</v>
      </c>
      <c r="G123" s="1">
        <v>19325</v>
      </c>
      <c r="H123" s="1">
        <v>23276</v>
      </c>
      <c r="I123" s="1">
        <v>26889</v>
      </c>
      <c r="J123" s="1">
        <v>241.80799999999999</v>
      </c>
      <c r="K123" s="1">
        <v>-3.6070000000000002</v>
      </c>
      <c r="L123" s="1">
        <v>23.808</v>
      </c>
      <c r="M123" s="1" t="s">
        <v>610</v>
      </c>
      <c r="N123" s="1" t="s">
        <v>492</v>
      </c>
      <c r="O123" s="1" t="s">
        <v>611</v>
      </c>
      <c r="P123" s="1" t="s">
        <v>612</v>
      </c>
      <c r="Q123" s="1" t="s">
        <v>189</v>
      </c>
      <c r="R123" s="1" t="s">
        <v>222</v>
      </c>
      <c r="S123" s="1" t="s">
        <v>117</v>
      </c>
    </row>
    <row r="124" spans="1:19" x14ac:dyDescent="0.25">
      <c r="A124" s="1">
        <v>18</v>
      </c>
      <c r="B124" s="1" t="s">
        <v>607</v>
      </c>
      <c r="C124" s="1" t="s">
        <v>608</v>
      </c>
      <c r="D124" s="1" t="s">
        <v>609</v>
      </c>
      <c r="E124" s="1">
        <v>6</v>
      </c>
      <c r="F124" s="1">
        <v>216.34299999999999</v>
      </c>
      <c r="G124" s="1">
        <v>17199</v>
      </c>
      <c r="H124" s="1">
        <v>20707</v>
      </c>
      <c r="I124" s="1">
        <v>23931</v>
      </c>
      <c r="J124" s="1">
        <v>212.90199999999999</v>
      </c>
      <c r="K124" s="1">
        <v>-3.5449999999999999</v>
      </c>
      <c r="L124" s="1">
        <v>23.99</v>
      </c>
      <c r="M124" s="1" t="s">
        <v>610</v>
      </c>
      <c r="N124" s="1" t="s">
        <v>492</v>
      </c>
      <c r="O124" s="1" t="s">
        <v>611</v>
      </c>
      <c r="P124" s="1" t="s">
        <v>612</v>
      </c>
      <c r="Q124" s="1" t="s">
        <v>328</v>
      </c>
      <c r="R124" s="1" t="s">
        <v>334</v>
      </c>
      <c r="S124" s="1" t="s">
        <v>229</v>
      </c>
    </row>
    <row r="125" spans="1:19" x14ac:dyDescent="0.25">
      <c r="A125" s="1">
        <v>18</v>
      </c>
      <c r="B125" s="1" t="s">
        <v>607</v>
      </c>
      <c r="C125" s="1" t="s">
        <v>608</v>
      </c>
      <c r="D125" s="1" t="s">
        <v>609</v>
      </c>
      <c r="E125" s="1">
        <v>7</v>
      </c>
      <c r="F125" s="1">
        <v>201.12100000000001</v>
      </c>
      <c r="G125" s="1">
        <v>16023</v>
      </c>
      <c r="H125" s="1">
        <v>19287</v>
      </c>
      <c r="I125" s="1">
        <v>22292</v>
      </c>
      <c r="J125" s="1">
        <v>197.922</v>
      </c>
      <c r="K125" s="1">
        <v>-3.5139999999999998</v>
      </c>
      <c r="L125" s="1">
        <v>23.986999999999998</v>
      </c>
      <c r="M125" s="1" t="s">
        <v>610</v>
      </c>
      <c r="N125" s="1" t="s">
        <v>492</v>
      </c>
      <c r="O125" s="1" t="s">
        <v>611</v>
      </c>
      <c r="P125" s="1" t="s">
        <v>612</v>
      </c>
      <c r="Q125" s="1" t="s">
        <v>613</v>
      </c>
      <c r="R125" s="1" t="s">
        <v>614</v>
      </c>
      <c r="S125" s="1" t="s">
        <v>615</v>
      </c>
    </row>
    <row r="126" spans="1:19" hidden="1" x14ac:dyDescent="0.25">
      <c r="A126" s="1">
        <v>19</v>
      </c>
      <c r="B126" s="1" t="s">
        <v>616</v>
      </c>
      <c r="C126" s="1" t="s">
        <v>617</v>
      </c>
      <c r="D126" s="1" t="s">
        <v>618</v>
      </c>
      <c r="E126" s="1">
        <v>1</v>
      </c>
      <c r="F126" s="1">
        <v>173.32499999999999</v>
      </c>
      <c r="G126" s="1">
        <v>8853</v>
      </c>
      <c r="H126" s="1">
        <v>10591</v>
      </c>
      <c r="I126" s="1">
        <v>12261</v>
      </c>
      <c r="J126" s="1">
        <v>170.57499999999999</v>
      </c>
      <c r="K126" s="1">
        <v>-5.3849999999999998</v>
      </c>
      <c r="L126" s="1">
        <v>19.099</v>
      </c>
      <c r="M126" s="1" t="s">
        <v>619</v>
      </c>
      <c r="N126" s="1" t="s">
        <v>492</v>
      </c>
      <c r="O126" s="1" t="s">
        <v>620</v>
      </c>
      <c r="P126" s="1" t="s">
        <v>621</v>
      </c>
      <c r="Q126" s="1" t="s">
        <v>58</v>
      </c>
      <c r="R126" s="1" t="s">
        <v>172</v>
      </c>
      <c r="S126" s="1" t="s">
        <v>176</v>
      </c>
    </row>
    <row r="127" spans="1:19" hidden="1" x14ac:dyDescent="0.25">
      <c r="A127" s="1">
        <v>19</v>
      </c>
      <c r="B127" s="1" t="s">
        <v>616</v>
      </c>
      <c r="C127" s="1" t="s">
        <v>617</v>
      </c>
      <c r="D127" s="1" t="s">
        <v>618</v>
      </c>
      <c r="E127" s="1">
        <v>2</v>
      </c>
      <c r="F127" s="1">
        <v>172.78299999999999</v>
      </c>
      <c r="G127" s="1">
        <v>8945</v>
      </c>
      <c r="H127" s="1">
        <v>10701</v>
      </c>
      <c r="I127" s="1">
        <v>12388</v>
      </c>
      <c r="J127" s="1">
        <v>170.041</v>
      </c>
      <c r="K127" s="1">
        <v>-5.3849999999999998</v>
      </c>
      <c r="L127" s="1">
        <v>19.093</v>
      </c>
      <c r="M127" s="1" t="s">
        <v>619</v>
      </c>
      <c r="N127" s="1" t="s">
        <v>492</v>
      </c>
      <c r="O127" s="1" t="s">
        <v>620</v>
      </c>
      <c r="P127" s="1" t="s">
        <v>621</v>
      </c>
      <c r="Q127" s="1" t="s">
        <v>152</v>
      </c>
      <c r="R127" s="1" t="s">
        <v>262</v>
      </c>
      <c r="S127" s="1" t="s">
        <v>180</v>
      </c>
    </row>
    <row r="128" spans="1:19" hidden="1" x14ac:dyDescent="0.25">
      <c r="A128" s="1">
        <v>19</v>
      </c>
      <c r="B128" s="1" t="s">
        <v>616</v>
      </c>
      <c r="C128" s="1" t="s">
        <v>617</v>
      </c>
      <c r="D128" s="1" t="s">
        <v>618</v>
      </c>
      <c r="E128" s="1">
        <v>3</v>
      </c>
      <c r="F128" s="1">
        <v>172.23099999999999</v>
      </c>
      <c r="G128" s="1">
        <v>8910</v>
      </c>
      <c r="H128" s="1">
        <v>10660</v>
      </c>
      <c r="I128" s="1">
        <v>12345</v>
      </c>
      <c r="J128" s="1">
        <v>169.499</v>
      </c>
      <c r="K128" s="1">
        <v>-5.3920000000000003</v>
      </c>
      <c r="L128" s="1">
        <v>19.111999999999998</v>
      </c>
      <c r="M128" s="1" t="s">
        <v>619</v>
      </c>
      <c r="N128" s="1" t="s">
        <v>492</v>
      </c>
      <c r="O128" s="1" t="s">
        <v>620</v>
      </c>
      <c r="P128" s="1" t="s">
        <v>621</v>
      </c>
      <c r="Q128" s="1" t="s">
        <v>291</v>
      </c>
      <c r="R128" s="1" t="s">
        <v>328</v>
      </c>
      <c r="S128" s="1" t="s">
        <v>274</v>
      </c>
    </row>
    <row r="129" spans="1:19" hidden="1" x14ac:dyDescent="0.25">
      <c r="A129" s="1">
        <v>19</v>
      </c>
      <c r="B129" s="1" t="s">
        <v>616</v>
      </c>
      <c r="C129" s="1" t="s">
        <v>617</v>
      </c>
      <c r="D129" s="1" t="s">
        <v>618</v>
      </c>
      <c r="E129" s="1">
        <v>4</v>
      </c>
      <c r="F129" s="1">
        <v>173.84</v>
      </c>
      <c r="G129" s="1">
        <v>8929</v>
      </c>
      <c r="H129" s="1">
        <v>10681</v>
      </c>
      <c r="I129" s="1">
        <v>12365</v>
      </c>
      <c r="J129" s="1">
        <v>171.08199999999999</v>
      </c>
      <c r="K129" s="1">
        <v>-5.399</v>
      </c>
      <c r="L129" s="1">
        <v>19.082999999999998</v>
      </c>
      <c r="M129" s="1" t="s">
        <v>619</v>
      </c>
      <c r="N129" s="1" t="s">
        <v>492</v>
      </c>
      <c r="O129" s="1" t="s">
        <v>620</v>
      </c>
      <c r="P129" s="1" t="s">
        <v>621</v>
      </c>
      <c r="Q129" s="1" t="s">
        <v>291</v>
      </c>
      <c r="R129" s="1" t="s">
        <v>234</v>
      </c>
      <c r="S129" s="1" t="s">
        <v>201</v>
      </c>
    </row>
    <row r="130" spans="1:19" hidden="1" x14ac:dyDescent="0.25">
      <c r="A130" s="1">
        <v>19</v>
      </c>
      <c r="B130" s="1" t="s">
        <v>616</v>
      </c>
      <c r="C130" s="1" t="s">
        <v>617</v>
      </c>
      <c r="D130" s="1" t="s">
        <v>618</v>
      </c>
      <c r="E130" s="1">
        <v>5</v>
      </c>
      <c r="F130" s="1">
        <v>245.613</v>
      </c>
      <c r="G130" s="1">
        <v>20351</v>
      </c>
      <c r="H130" s="1">
        <v>24528</v>
      </c>
      <c r="I130" s="1">
        <v>28326</v>
      </c>
      <c r="J130" s="1">
        <v>241.70699999999999</v>
      </c>
      <c r="K130" s="1">
        <v>-3.6819999999999999</v>
      </c>
      <c r="L130" s="1">
        <v>23.986999999999998</v>
      </c>
      <c r="M130" s="1" t="s">
        <v>619</v>
      </c>
      <c r="N130" s="1" t="s">
        <v>492</v>
      </c>
      <c r="O130" s="1" t="s">
        <v>620</v>
      </c>
      <c r="P130" s="1" t="s">
        <v>621</v>
      </c>
      <c r="Q130" s="1" t="s">
        <v>217</v>
      </c>
      <c r="R130" s="1" t="s">
        <v>182</v>
      </c>
      <c r="S130" s="1" t="s">
        <v>137</v>
      </c>
    </row>
    <row r="131" spans="1:19" x14ac:dyDescent="0.25">
      <c r="A131" s="1">
        <v>19</v>
      </c>
      <c r="B131" s="1" t="s">
        <v>616</v>
      </c>
      <c r="C131" s="1" t="s">
        <v>617</v>
      </c>
      <c r="D131" s="1" t="s">
        <v>618</v>
      </c>
      <c r="E131" s="1">
        <v>6</v>
      </c>
      <c r="F131" s="1">
        <v>217.40799999999999</v>
      </c>
      <c r="G131" s="1">
        <v>18169</v>
      </c>
      <c r="H131" s="1">
        <v>21883</v>
      </c>
      <c r="I131" s="1">
        <v>25297</v>
      </c>
      <c r="J131" s="1">
        <v>213.95</v>
      </c>
      <c r="K131" s="1">
        <v>-3.629</v>
      </c>
      <c r="L131" s="1">
        <v>24.109000000000002</v>
      </c>
      <c r="M131" s="1" t="s">
        <v>619</v>
      </c>
      <c r="N131" s="1" t="s">
        <v>492</v>
      </c>
      <c r="O131" s="1" t="s">
        <v>620</v>
      </c>
      <c r="P131" s="1" t="s">
        <v>621</v>
      </c>
      <c r="Q131" s="1" t="s">
        <v>252</v>
      </c>
      <c r="R131" s="1" t="s">
        <v>312</v>
      </c>
      <c r="S131" s="1" t="s">
        <v>243</v>
      </c>
    </row>
    <row r="132" spans="1:19" x14ac:dyDescent="0.25">
      <c r="A132" s="1">
        <v>19</v>
      </c>
      <c r="B132" s="1" t="s">
        <v>616</v>
      </c>
      <c r="C132" s="1" t="s">
        <v>617</v>
      </c>
      <c r="D132" s="1" t="s">
        <v>618</v>
      </c>
      <c r="E132" s="1">
        <v>7</v>
      </c>
      <c r="F132" s="1">
        <v>202.31299999999999</v>
      </c>
      <c r="G132" s="1">
        <v>16894</v>
      </c>
      <c r="H132" s="1">
        <v>20338</v>
      </c>
      <c r="I132" s="1">
        <v>23521</v>
      </c>
      <c r="J132" s="1">
        <v>199.095</v>
      </c>
      <c r="K132" s="1">
        <v>-3.605</v>
      </c>
      <c r="L132" s="1">
        <v>24.126999999999999</v>
      </c>
      <c r="M132" s="1" t="s">
        <v>619</v>
      </c>
      <c r="N132" s="1" t="s">
        <v>492</v>
      </c>
      <c r="O132" s="1" t="s">
        <v>620</v>
      </c>
      <c r="P132" s="1" t="s">
        <v>621</v>
      </c>
      <c r="Q132" s="1" t="s">
        <v>622</v>
      </c>
      <c r="R132" s="1" t="s">
        <v>623</v>
      </c>
      <c r="S132" s="1" t="s">
        <v>624</v>
      </c>
    </row>
    <row r="133" spans="1:19" hidden="1" x14ac:dyDescent="0.25">
      <c r="A133" s="1">
        <v>20</v>
      </c>
      <c r="B133" s="1" t="s">
        <v>625</v>
      </c>
      <c r="C133" s="1" t="s">
        <v>420</v>
      </c>
      <c r="D133" s="1" t="s">
        <v>626</v>
      </c>
      <c r="E133" s="1">
        <v>1</v>
      </c>
      <c r="F133" s="1">
        <v>174.226</v>
      </c>
      <c r="G133" s="1">
        <v>8900</v>
      </c>
      <c r="H133" s="1">
        <v>10647</v>
      </c>
      <c r="I133" s="1">
        <v>12328</v>
      </c>
      <c r="J133" s="1">
        <v>171.46199999999999</v>
      </c>
      <c r="K133" s="1">
        <v>-5.4130000000000003</v>
      </c>
      <c r="L133" s="1">
        <v>19.103000000000002</v>
      </c>
      <c r="M133" s="1" t="s">
        <v>627</v>
      </c>
      <c r="N133" s="1" t="s">
        <v>492</v>
      </c>
      <c r="O133" s="1" t="s">
        <v>628</v>
      </c>
      <c r="P133" s="1" t="s">
        <v>629</v>
      </c>
      <c r="Q133" s="1" t="s">
        <v>76</v>
      </c>
      <c r="R133" s="1" t="s">
        <v>77</v>
      </c>
      <c r="S133" s="1" t="s">
        <v>250</v>
      </c>
    </row>
    <row r="134" spans="1:19" hidden="1" x14ac:dyDescent="0.25">
      <c r="A134" s="1">
        <v>20</v>
      </c>
      <c r="B134" s="1" t="s">
        <v>625</v>
      </c>
      <c r="C134" s="1" t="s">
        <v>420</v>
      </c>
      <c r="D134" s="1" t="s">
        <v>626</v>
      </c>
      <c r="E134" s="1">
        <v>2</v>
      </c>
      <c r="F134" s="1">
        <v>170.46600000000001</v>
      </c>
      <c r="G134" s="1">
        <v>8836</v>
      </c>
      <c r="H134" s="1">
        <v>10571</v>
      </c>
      <c r="I134" s="1">
        <v>12239</v>
      </c>
      <c r="J134" s="1">
        <v>167.762</v>
      </c>
      <c r="K134" s="1">
        <v>-5.4210000000000003</v>
      </c>
      <c r="L134" s="1">
        <v>19.088000000000001</v>
      </c>
      <c r="M134" s="1" t="s">
        <v>627</v>
      </c>
      <c r="N134" s="1" t="s">
        <v>492</v>
      </c>
      <c r="O134" s="1" t="s">
        <v>628</v>
      </c>
      <c r="P134" s="1" t="s">
        <v>629</v>
      </c>
      <c r="Q134" s="1" t="s">
        <v>89</v>
      </c>
      <c r="R134" s="1" t="s">
        <v>279</v>
      </c>
      <c r="S134" s="1" t="s">
        <v>142</v>
      </c>
    </row>
    <row r="135" spans="1:19" hidden="1" x14ac:dyDescent="0.25">
      <c r="A135" s="1">
        <v>20</v>
      </c>
      <c r="B135" s="1" t="s">
        <v>625</v>
      </c>
      <c r="C135" s="1" t="s">
        <v>420</v>
      </c>
      <c r="D135" s="1" t="s">
        <v>626</v>
      </c>
      <c r="E135" s="1">
        <v>3</v>
      </c>
      <c r="F135" s="1">
        <v>173.57400000000001</v>
      </c>
      <c r="G135" s="1">
        <v>8971</v>
      </c>
      <c r="H135" s="1">
        <v>10732</v>
      </c>
      <c r="I135" s="1">
        <v>12426</v>
      </c>
      <c r="J135" s="1">
        <v>170.821</v>
      </c>
      <c r="K135" s="1">
        <v>-5.4059999999999997</v>
      </c>
      <c r="L135" s="1">
        <v>19.077000000000002</v>
      </c>
      <c r="M135" s="1" t="s">
        <v>627</v>
      </c>
      <c r="N135" s="1" t="s">
        <v>492</v>
      </c>
      <c r="O135" s="1" t="s">
        <v>628</v>
      </c>
      <c r="P135" s="1" t="s">
        <v>629</v>
      </c>
      <c r="Q135" s="1" t="s">
        <v>159</v>
      </c>
      <c r="R135" s="1" t="s">
        <v>234</v>
      </c>
      <c r="S135" s="1" t="s">
        <v>201</v>
      </c>
    </row>
    <row r="136" spans="1:19" hidden="1" x14ac:dyDescent="0.25">
      <c r="A136" s="1">
        <v>20</v>
      </c>
      <c r="B136" s="1" t="s">
        <v>625</v>
      </c>
      <c r="C136" s="1" t="s">
        <v>420</v>
      </c>
      <c r="D136" s="1" t="s">
        <v>626</v>
      </c>
      <c r="E136" s="1">
        <v>4</v>
      </c>
      <c r="F136" s="1">
        <v>171.82300000000001</v>
      </c>
      <c r="G136" s="1">
        <v>8840</v>
      </c>
      <c r="H136" s="1">
        <v>10575</v>
      </c>
      <c r="I136" s="1">
        <v>12244</v>
      </c>
      <c r="J136" s="1">
        <v>169.09700000000001</v>
      </c>
      <c r="K136" s="1">
        <v>-5.399</v>
      </c>
      <c r="L136" s="1">
        <v>19.082999999999998</v>
      </c>
      <c r="M136" s="1" t="s">
        <v>627</v>
      </c>
      <c r="N136" s="1" t="s">
        <v>492</v>
      </c>
      <c r="O136" s="1" t="s">
        <v>628</v>
      </c>
      <c r="P136" s="1" t="s">
        <v>629</v>
      </c>
      <c r="Q136" s="1" t="s">
        <v>249</v>
      </c>
      <c r="R136" s="1" t="s">
        <v>179</v>
      </c>
      <c r="S136" s="1" t="s">
        <v>304</v>
      </c>
    </row>
    <row r="137" spans="1:19" hidden="1" x14ac:dyDescent="0.25">
      <c r="A137" s="1">
        <v>20</v>
      </c>
      <c r="B137" s="1" t="s">
        <v>625</v>
      </c>
      <c r="C137" s="1" t="s">
        <v>420</v>
      </c>
      <c r="D137" s="1" t="s">
        <v>626</v>
      </c>
      <c r="E137" s="1">
        <v>5</v>
      </c>
      <c r="F137" s="1">
        <v>135.136</v>
      </c>
      <c r="G137" s="1">
        <v>10550</v>
      </c>
      <c r="H137" s="1">
        <v>12686</v>
      </c>
      <c r="I137" s="1">
        <v>14688</v>
      </c>
      <c r="J137" s="1">
        <v>132.98599999999999</v>
      </c>
      <c r="K137" s="1">
        <v>-3.456</v>
      </c>
      <c r="L137" s="1">
        <v>24.103999999999999</v>
      </c>
      <c r="M137" s="1" t="s">
        <v>627</v>
      </c>
      <c r="N137" s="1" t="s">
        <v>492</v>
      </c>
      <c r="O137" s="1" t="s">
        <v>628</v>
      </c>
      <c r="P137" s="1" t="s">
        <v>629</v>
      </c>
      <c r="Q137" s="1" t="s">
        <v>189</v>
      </c>
      <c r="R137" s="1" t="s">
        <v>222</v>
      </c>
      <c r="S137" s="1" t="s">
        <v>44</v>
      </c>
    </row>
    <row r="138" spans="1:19" x14ac:dyDescent="0.25">
      <c r="A138" s="1">
        <v>20</v>
      </c>
      <c r="B138" s="1" t="s">
        <v>625</v>
      </c>
      <c r="C138" s="1" t="s">
        <v>420</v>
      </c>
      <c r="D138" s="1" t="s">
        <v>626</v>
      </c>
      <c r="E138" s="1">
        <v>6</v>
      </c>
      <c r="F138" s="1">
        <v>119.327</v>
      </c>
      <c r="G138" s="1">
        <v>9436</v>
      </c>
      <c r="H138" s="1">
        <v>11344</v>
      </c>
      <c r="I138" s="1">
        <v>13137</v>
      </c>
      <c r="J138" s="1">
        <v>117.428</v>
      </c>
      <c r="K138" s="1">
        <v>-3.3940000000000001</v>
      </c>
      <c r="L138" s="1">
        <v>24.209</v>
      </c>
      <c r="M138" s="1" t="s">
        <v>627</v>
      </c>
      <c r="N138" s="1" t="s">
        <v>492</v>
      </c>
      <c r="O138" s="1" t="s">
        <v>628</v>
      </c>
      <c r="P138" s="1" t="s">
        <v>629</v>
      </c>
      <c r="Q138" s="1" t="s">
        <v>108</v>
      </c>
      <c r="R138" s="1" t="s">
        <v>157</v>
      </c>
      <c r="S138" s="1" t="s">
        <v>179</v>
      </c>
    </row>
    <row r="139" spans="1:19" x14ac:dyDescent="0.25">
      <c r="A139" s="1">
        <v>20</v>
      </c>
      <c r="B139" s="1" t="s">
        <v>625</v>
      </c>
      <c r="C139" s="1" t="s">
        <v>420</v>
      </c>
      <c r="D139" s="1" t="s">
        <v>626</v>
      </c>
      <c r="E139" s="1">
        <v>7</v>
      </c>
      <c r="F139" s="1">
        <v>111.098</v>
      </c>
      <c r="G139" s="1">
        <v>8817</v>
      </c>
      <c r="H139" s="1">
        <v>10600</v>
      </c>
      <c r="I139" s="1">
        <v>12279</v>
      </c>
      <c r="J139" s="1">
        <v>109.331</v>
      </c>
      <c r="K139" s="1">
        <v>-3.335</v>
      </c>
      <c r="L139" s="1">
        <v>24.219000000000001</v>
      </c>
      <c r="M139" s="1" t="s">
        <v>627</v>
      </c>
      <c r="N139" s="1" t="s">
        <v>492</v>
      </c>
      <c r="O139" s="1" t="s">
        <v>628</v>
      </c>
      <c r="P139" s="1" t="s">
        <v>629</v>
      </c>
      <c r="Q139" s="1" t="s">
        <v>630</v>
      </c>
      <c r="R139" s="1" t="s">
        <v>225</v>
      </c>
      <c r="S139" s="1" t="s">
        <v>555</v>
      </c>
    </row>
    <row r="140" spans="1:19" hidden="1" x14ac:dyDescent="0.25">
      <c r="A140" s="1">
        <v>21</v>
      </c>
      <c r="B140" s="1" t="s">
        <v>631</v>
      </c>
      <c r="C140" s="1" t="s">
        <v>632</v>
      </c>
      <c r="D140" s="1" t="s">
        <v>633</v>
      </c>
      <c r="E140" s="1">
        <v>1</v>
      </c>
      <c r="F140" s="1">
        <v>173.68799999999999</v>
      </c>
      <c r="G140" s="1">
        <v>8874</v>
      </c>
      <c r="H140" s="1">
        <v>10618</v>
      </c>
      <c r="I140" s="1">
        <v>12290</v>
      </c>
      <c r="J140" s="1">
        <v>170.93299999999999</v>
      </c>
      <c r="K140" s="1">
        <v>-5.3890000000000002</v>
      </c>
      <c r="L140" s="1">
        <v>19.074000000000002</v>
      </c>
      <c r="M140" s="1" t="s">
        <v>634</v>
      </c>
      <c r="N140" s="1" t="s">
        <v>492</v>
      </c>
      <c r="O140" s="1" t="s">
        <v>635</v>
      </c>
      <c r="P140" s="1" t="s">
        <v>636</v>
      </c>
      <c r="Q140" s="1" t="s">
        <v>128</v>
      </c>
      <c r="R140" s="1" t="s">
        <v>85</v>
      </c>
      <c r="S140" s="1" t="s">
        <v>276</v>
      </c>
    </row>
    <row r="141" spans="1:19" hidden="1" x14ac:dyDescent="0.25">
      <c r="A141" s="1">
        <v>21</v>
      </c>
      <c r="B141" s="1" t="s">
        <v>631</v>
      </c>
      <c r="C141" s="1" t="s">
        <v>632</v>
      </c>
      <c r="D141" s="1" t="s">
        <v>633</v>
      </c>
      <c r="E141" s="1">
        <v>2</v>
      </c>
      <c r="F141" s="1">
        <v>173.24799999999999</v>
      </c>
      <c r="G141" s="1">
        <v>8956</v>
      </c>
      <c r="H141" s="1">
        <v>10716</v>
      </c>
      <c r="I141" s="1">
        <v>12402</v>
      </c>
      <c r="J141" s="1">
        <v>170.499</v>
      </c>
      <c r="K141" s="1">
        <v>-5.4</v>
      </c>
      <c r="L141" s="1">
        <v>19.103999999999999</v>
      </c>
      <c r="M141" s="1" t="s">
        <v>634</v>
      </c>
      <c r="N141" s="1" t="s">
        <v>492</v>
      </c>
      <c r="O141" s="1" t="s">
        <v>635</v>
      </c>
      <c r="P141" s="1" t="s">
        <v>636</v>
      </c>
      <c r="Q141" s="1" t="s">
        <v>113</v>
      </c>
      <c r="R141" s="1" t="s">
        <v>193</v>
      </c>
      <c r="S141" s="1" t="s">
        <v>136</v>
      </c>
    </row>
    <row r="142" spans="1:19" hidden="1" x14ac:dyDescent="0.25">
      <c r="A142" s="1">
        <v>21</v>
      </c>
      <c r="B142" s="1" t="s">
        <v>631</v>
      </c>
      <c r="C142" s="1" t="s">
        <v>632</v>
      </c>
      <c r="D142" s="1" t="s">
        <v>633</v>
      </c>
      <c r="E142" s="1">
        <v>3</v>
      </c>
      <c r="F142" s="1">
        <v>173.68799999999999</v>
      </c>
      <c r="G142" s="1">
        <v>8985</v>
      </c>
      <c r="H142" s="1">
        <v>10750</v>
      </c>
      <c r="I142" s="1">
        <v>12440</v>
      </c>
      <c r="J142" s="1">
        <v>170.93299999999999</v>
      </c>
      <c r="K142" s="1">
        <v>-5.3979999999999997</v>
      </c>
      <c r="L142" s="1">
        <v>19.097000000000001</v>
      </c>
      <c r="M142" s="1" t="s">
        <v>634</v>
      </c>
      <c r="N142" s="1" t="s">
        <v>492</v>
      </c>
      <c r="O142" s="1" t="s">
        <v>635</v>
      </c>
      <c r="P142" s="1" t="s">
        <v>636</v>
      </c>
      <c r="Q142" s="1" t="s">
        <v>223</v>
      </c>
      <c r="R142" s="1" t="s">
        <v>154</v>
      </c>
      <c r="S142" s="1" t="s">
        <v>135</v>
      </c>
    </row>
    <row r="143" spans="1:19" hidden="1" x14ac:dyDescent="0.25">
      <c r="A143" s="1">
        <v>21</v>
      </c>
      <c r="B143" s="1" t="s">
        <v>631</v>
      </c>
      <c r="C143" s="1" t="s">
        <v>632</v>
      </c>
      <c r="D143" s="1" t="s">
        <v>633</v>
      </c>
      <c r="E143" s="1">
        <v>4</v>
      </c>
      <c r="F143" s="1">
        <v>174.18100000000001</v>
      </c>
      <c r="G143" s="1">
        <v>8935</v>
      </c>
      <c r="H143" s="1">
        <v>10691</v>
      </c>
      <c r="I143" s="1">
        <v>12373</v>
      </c>
      <c r="J143" s="1">
        <v>171.41800000000001</v>
      </c>
      <c r="K143" s="1">
        <v>-5.399</v>
      </c>
      <c r="L143" s="1">
        <v>19.082999999999998</v>
      </c>
      <c r="M143" s="1" t="s">
        <v>634</v>
      </c>
      <c r="N143" s="1" t="s">
        <v>492</v>
      </c>
      <c r="O143" s="1" t="s">
        <v>635</v>
      </c>
      <c r="P143" s="1" t="s">
        <v>636</v>
      </c>
      <c r="Q143" s="1" t="s">
        <v>276</v>
      </c>
      <c r="R143" s="1" t="s">
        <v>257</v>
      </c>
      <c r="S143" s="1" t="s">
        <v>150</v>
      </c>
    </row>
    <row r="144" spans="1:19" hidden="1" x14ac:dyDescent="0.25">
      <c r="A144" s="1">
        <v>21</v>
      </c>
      <c r="B144" s="1" t="s">
        <v>631</v>
      </c>
      <c r="C144" s="1" t="s">
        <v>632</v>
      </c>
      <c r="D144" s="1" t="s">
        <v>633</v>
      </c>
      <c r="E144" s="1">
        <v>5</v>
      </c>
      <c r="F144" s="1">
        <v>186.94800000000001</v>
      </c>
      <c r="G144" s="1">
        <v>15396</v>
      </c>
      <c r="H144" s="1">
        <v>18534</v>
      </c>
      <c r="I144" s="1">
        <v>21420</v>
      </c>
      <c r="J144" s="1">
        <v>183.97399999999999</v>
      </c>
      <c r="K144" s="1">
        <v>-3.5089999999999999</v>
      </c>
      <c r="L144" s="1">
        <v>23.863</v>
      </c>
      <c r="M144" s="1" t="s">
        <v>634</v>
      </c>
      <c r="N144" s="1" t="s">
        <v>492</v>
      </c>
      <c r="O144" s="1" t="s">
        <v>635</v>
      </c>
      <c r="P144" s="1" t="s">
        <v>636</v>
      </c>
      <c r="Q144" s="1" t="s">
        <v>196</v>
      </c>
      <c r="R144" s="1" t="s">
        <v>218</v>
      </c>
      <c r="S144" s="1" t="s">
        <v>111</v>
      </c>
    </row>
    <row r="145" spans="1:19" x14ac:dyDescent="0.25">
      <c r="A145" s="1">
        <v>21</v>
      </c>
      <c r="B145" s="1" t="s">
        <v>631</v>
      </c>
      <c r="C145" s="1" t="s">
        <v>632</v>
      </c>
      <c r="D145" s="1" t="s">
        <v>633</v>
      </c>
      <c r="E145" s="1">
        <v>6</v>
      </c>
      <c r="F145" s="1">
        <v>164.85400000000001</v>
      </c>
      <c r="G145" s="1">
        <v>13636</v>
      </c>
      <c r="H145" s="1">
        <v>16404</v>
      </c>
      <c r="I145" s="1">
        <v>18971</v>
      </c>
      <c r="J145" s="1">
        <v>162.23099999999999</v>
      </c>
      <c r="K145" s="1">
        <v>-3.44</v>
      </c>
      <c r="L145" s="1">
        <v>23.989000000000001</v>
      </c>
      <c r="M145" s="1" t="s">
        <v>634</v>
      </c>
      <c r="N145" s="1" t="s">
        <v>492</v>
      </c>
      <c r="O145" s="1" t="s">
        <v>635</v>
      </c>
      <c r="P145" s="1" t="s">
        <v>636</v>
      </c>
      <c r="Q145" s="1" t="s">
        <v>250</v>
      </c>
      <c r="R145" s="1" t="s">
        <v>318</v>
      </c>
      <c r="S145" s="1" t="s">
        <v>368</v>
      </c>
    </row>
    <row r="146" spans="1:19" x14ac:dyDescent="0.25">
      <c r="A146" s="1">
        <v>21</v>
      </c>
      <c r="B146" s="1" t="s">
        <v>631</v>
      </c>
      <c r="C146" s="1" t="s">
        <v>632</v>
      </c>
      <c r="D146" s="1" t="s">
        <v>633</v>
      </c>
      <c r="E146" s="1">
        <v>7</v>
      </c>
      <c r="F146" s="1">
        <v>152.90199999999999</v>
      </c>
      <c r="G146" s="1">
        <v>12579</v>
      </c>
      <c r="H146" s="1">
        <v>15127</v>
      </c>
      <c r="I146" s="1">
        <v>17503</v>
      </c>
      <c r="J146" s="1">
        <v>150.47</v>
      </c>
      <c r="K146" s="1">
        <v>-3.3889999999999998</v>
      </c>
      <c r="L146" s="1">
        <v>24.029</v>
      </c>
      <c r="M146" s="1" t="s">
        <v>634</v>
      </c>
      <c r="N146" s="1" t="s">
        <v>492</v>
      </c>
      <c r="O146" s="1" t="s">
        <v>635</v>
      </c>
      <c r="P146" s="1" t="s">
        <v>636</v>
      </c>
      <c r="Q146" s="1" t="s">
        <v>383</v>
      </c>
      <c r="R146" s="1" t="s">
        <v>637</v>
      </c>
      <c r="S146" s="1" t="s">
        <v>638</v>
      </c>
    </row>
    <row r="147" spans="1:19" hidden="1" x14ac:dyDescent="0.25">
      <c r="A147" s="1">
        <v>22</v>
      </c>
      <c r="B147" s="1" t="s">
        <v>639</v>
      </c>
      <c r="C147" s="1" t="s">
        <v>414</v>
      </c>
      <c r="D147" s="1" t="s">
        <v>640</v>
      </c>
      <c r="E147" s="1">
        <v>1</v>
      </c>
      <c r="F147" s="1">
        <v>173.02099999999999</v>
      </c>
      <c r="G147" s="1">
        <v>8839</v>
      </c>
      <c r="H147" s="1">
        <v>10575</v>
      </c>
      <c r="I147" s="1">
        <v>12243</v>
      </c>
      <c r="J147" s="1">
        <v>170.27600000000001</v>
      </c>
      <c r="K147" s="1">
        <v>-5.4020000000000001</v>
      </c>
      <c r="L147" s="1">
        <v>19.117999999999999</v>
      </c>
      <c r="M147" s="1" t="s">
        <v>641</v>
      </c>
      <c r="N147" s="1" t="s">
        <v>492</v>
      </c>
      <c r="O147" s="1" t="s">
        <v>642</v>
      </c>
      <c r="P147" s="1" t="s">
        <v>643</v>
      </c>
      <c r="Q147" s="1" t="s">
        <v>98</v>
      </c>
      <c r="R147" s="1" t="s">
        <v>108</v>
      </c>
      <c r="S147" s="1" t="s">
        <v>159</v>
      </c>
    </row>
    <row r="148" spans="1:19" hidden="1" x14ac:dyDescent="0.25">
      <c r="A148" s="1">
        <v>22</v>
      </c>
      <c r="B148" s="1" t="s">
        <v>639</v>
      </c>
      <c r="C148" s="1" t="s">
        <v>414</v>
      </c>
      <c r="D148" s="1" t="s">
        <v>640</v>
      </c>
      <c r="E148" s="1">
        <v>2</v>
      </c>
      <c r="F148" s="1">
        <v>172.99100000000001</v>
      </c>
      <c r="G148" s="1">
        <v>8929</v>
      </c>
      <c r="H148" s="1">
        <v>10682</v>
      </c>
      <c r="I148" s="1">
        <v>12367</v>
      </c>
      <c r="J148" s="1">
        <v>170.24600000000001</v>
      </c>
      <c r="K148" s="1">
        <v>-5.3949999999999996</v>
      </c>
      <c r="L148" s="1">
        <v>19.123999999999999</v>
      </c>
      <c r="M148" s="1" t="s">
        <v>641</v>
      </c>
      <c r="N148" s="1" t="s">
        <v>492</v>
      </c>
      <c r="O148" s="1" t="s">
        <v>642</v>
      </c>
      <c r="P148" s="1" t="s">
        <v>643</v>
      </c>
      <c r="Q148" s="1" t="s">
        <v>172</v>
      </c>
      <c r="R148" s="1" t="s">
        <v>246</v>
      </c>
      <c r="S148" s="1" t="s">
        <v>261</v>
      </c>
    </row>
    <row r="149" spans="1:19" hidden="1" x14ac:dyDescent="0.25">
      <c r="A149" s="1">
        <v>22</v>
      </c>
      <c r="B149" s="1" t="s">
        <v>639</v>
      </c>
      <c r="C149" s="1" t="s">
        <v>414</v>
      </c>
      <c r="D149" s="1" t="s">
        <v>640</v>
      </c>
      <c r="E149" s="1">
        <v>3</v>
      </c>
      <c r="F149" s="1">
        <v>172.27</v>
      </c>
      <c r="G149" s="1">
        <v>8912</v>
      </c>
      <c r="H149" s="1">
        <v>10662</v>
      </c>
      <c r="I149" s="1">
        <v>12348</v>
      </c>
      <c r="J149" s="1">
        <v>169.53700000000001</v>
      </c>
      <c r="K149" s="1">
        <v>-5.4</v>
      </c>
      <c r="L149" s="1">
        <v>19.103000000000002</v>
      </c>
      <c r="M149" s="1" t="s">
        <v>641</v>
      </c>
      <c r="N149" s="1" t="s">
        <v>492</v>
      </c>
      <c r="O149" s="1" t="s">
        <v>642</v>
      </c>
      <c r="P149" s="1" t="s">
        <v>643</v>
      </c>
      <c r="Q149" s="1" t="s">
        <v>68</v>
      </c>
      <c r="R149" s="1" t="s">
        <v>149</v>
      </c>
      <c r="S149" s="1" t="s">
        <v>259</v>
      </c>
    </row>
    <row r="150" spans="1:19" hidden="1" x14ac:dyDescent="0.25">
      <c r="A150" s="1">
        <v>22</v>
      </c>
      <c r="B150" s="1" t="s">
        <v>639</v>
      </c>
      <c r="C150" s="1" t="s">
        <v>414</v>
      </c>
      <c r="D150" s="1" t="s">
        <v>640</v>
      </c>
      <c r="E150" s="1">
        <v>4</v>
      </c>
      <c r="F150" s="1">
        <v>173.506</v>
      </c>
      <c r="G150" s="1">
        <v>8925</v>
      </c>
      <c r="H150" s="1">
        <v>10677</v>
      </c>
      <c r="I150" s="1">
        <v>12359</v>
      </c>
      <c r="J150" s="1">
        <v>170.75399999999999</v>
      </c>
      <c r="K150" s="1">
        <v>-5.399</v>
      </c>
      <c r="L150" s="1">
        <v>19.082999999999998</v>
      </c>
      <c r="M150" s="1" t="s">
        <v>641</v>
      </c>
      <c r="N150" s="1" t="s">
        <v>492</v>
      </c>
      <c r="O150" s="1" t="s">
        <v>642</v>
      </c>
      <c r="P150" s="1" t="s">
        <v>643</v>
      </c>
      <c r="Q150" s="1" t="s">
        <v>152</v>
      </c>
      <c r="R150" s="1" t="s">
        <v>262</v>
      </c>
      <c r="S150" s="1" t="s">
        <v>376</v>
      </c>
    </row>
    <row r="151" spans="1:19" hidden="1" x14ac:dyDescent="0.25">
      <c r="A151" s="1">
        <v>22</v>
      </c>
      <c r="B151" s="1" t="s">
        <v>639</v>
      </c>
      <c r="C151" s="1" t="s">
        <v>414</v>
      </c>
      <c r="D151" s="1" t="s">
        <v>640</v>
      </c>
      <c r="E151" s="1">
        <v>5</v>
      </c>
      <c r="F151" s="1">
        <v>249.589</v>
      </c>
      <c r="G151" s="1">
        <v>19694</v>
      </c>
      <c r="H151" s="1">
        <v>23743</v>
      </c>
      <c r="I151" s="1">
        <v>27411</v>
      </c>
      <c r="J151" s="1">
        <v>245.619</v>
      </c>
      <c r="K151" s="1">
        <v>-3.2490000000000001</v>
      </c>
      <c r="L151" s="1">
        <v>23.74</v>
      </c>
      <c r="M151" s="1" t="s">
        <v>641</v>
      </c>
      <c r="N151" s="1" t="s">
        <v>492</v>
      </c>
      <c r="O151" s="1" t="s">
        <v>642</v>
      </c>
      <c r="P151" s="1" t="s">
        <v>643</v>
      </c>
      <c r="Q151" s="1" t="s">
        <v>186</v>
      </c>
      <c r="R151" s="1" t="s">
        <v>211</v>
      </c>
      <c r="S151" s="1" t="s">
        <v>133</v>
      </c>
    </row>
    <row r="152" spans="1:19" x14ac:dyDescent="0.25">
      <c r="A152" s="1">
        <v>22</v>
      </c>
      <c r="B152" s="1" t="s">
        <v>639</v>
      </c>
      <c r="C152" s="1" t="s">
        <v>414</v>
      </c>
      <c r="D152" s="1" t="s">
        <v>640</v>
      </c>
      <c r="E152" s="1">
        <v>6</v>
      </c>
      <c r="F152" s="1">
        <v>219.77</v>
      </c>
      <c r="G152" s="1">
        <v>17548</v>
      </c>
      <c r="H152" s="1">
        <v>21150</v>
      </c>
      <c r="I152" s="1">
        <v>24424</v>
      </c>
      <c r="J152" s="1">
        <v>216.274</v>
      </c>
      <c r="K152" s="1">
        <v>-3.2109999999999999</v>
      </c>
      <c r="L152" s="1">
        <v>23.832000000000001</v>
      </c>
      <c r="M152" s="1" t="s">
        <v>641</v>
      </c>
      <c r="N152" s="1" t="s">
        <v>492</v>
      </c>
      <c r="O152" s="1" t="s">
        <v>642</v>
      </c>
      <c r="P152" s="1" t="s">
        <v>643</v>
      </c>
      <c r="Q152" s="1" t="s">
        <v>179</v>
      </c>
      <c r="R152" s="1" t="s">
        <v>219</v>
      </c>
      <c r="S152" s="1" t="s">
        <v>321</v>
      </c>
    </row>
    <row r="153" spans="1:19" x14ac:dyDescent="0.25">
      <c r="A153" s="1">
        <v>22</v>
      </c>
      <c r="B153" s="1" t="s">
        <v>639</v>
      </c>
      <c r="C153" s="1" t="s">
        <v>414</v>
      </c>
      <c r="D153" s="1" t="s">
        <v>640</v>
      </c>
      <c r="E153" s="1">
        <v>7</v>
      </c>
      <c r="F153" s="1">
        <v>204.321</v>
      </c>
      <c r="G153" s="1">
        <v>16356</v>
      </c>
      <c r="H153" s="1">
        <v>19712</v>
      </c>
      <c r="I153" s="1">
        <v>22763</v>
      </c>
      <c r="J153" s="1">
        <v>201.07</v>
      </c>
      <c r="K153" s="1">
        <v>-3.1739999999999999</v>
      </c>
      <c r="L153" s="1">
        <v>23.876999999999999</v>
      </c>
      <c r="M153" s="1" t="s">
        <v>641</v>
      </c>
      <c r="N153" s="1" t="s">
        <v>492</v>
      </c>
      <c r="O153" s="1" t="s">
        <v>642</v>
      </c>
      <c r="P153" s="1" t="s">
        <v>643</v>
      </c>
      <c r="Q153" s="1" t="s">
        <v>417</v>
      </c>
      <c r="R153" s="1" t="s">
        <v>644</v>
      </c>
      <c r="S153" s="1" t="s">
        <v>645</v>
      </c>
    </row>
    <row r="154" spans="1:19" hidden="1" x14ac:dyDescent="0.25">
      <c r="A154" s="1">
        <v>23</v>
      </c>
      <c r="B154" s="1" t="s">
        <v>646</v>
      </c>
      <c r="C154" s="1" t="s">
        <v>444</v>
      </c>
      <c r="D154" s="1" t="s">
        <v>647</v>
      </c>
      <c r="E154" s="1">
        <v>1</v>
      </c>
      <c r="F154" s="1">
        <v>175.19900000000001</v>
      </c>
      <c r="G154" s="1">
        <v>8929</v>
      </c>
      <c r="H154" s="1">
        <v>10681</v>
      </c>
      <c r="I154" s="1">
        <v>12366</v>
      </c>
      <c r="J154" s="1">
        <v>172.42</v>
      </c>
      <c r="K154" s="1">
        <v>-5.3970000000000002</v>
      </c>
      <c r="L154" s="1">
        <v>19.091000000000001</v>
      </c>
      <c r="M154" s="1" t="s">
        <v>648</v>
      </c>
      <c r="N154" s="1" t="s">
        <v>492</v>
      </c>
      <c r="O154" s="1" t="s">
        <v>649</v>
      </c>
      <c r="P154" s="1" t="s">
        <v>650</v>
      </c>
      <c r="Q154" s="1" t="s">
        <v>76</v>
      </c>
      <c r="R154" s="1" t="s">
        <v>223</v>
      </c>
      <c r="S154" s="1" t="s">
        <v>162</v>
      </c>
    </row>
    <row r="155" spans="1:19" hidden="1" x14ac:dyDescent="0.25">
      <c r="A155" s="1">
        <v>23</v>
      </c>
      <c r="B155" s="1" t="s">
        <v>646</v>
      </c>
      <c r="C155" s="1" t="s">
        <v>444</v>
      </c>
      <c r="D155" s="1" t="s">
        <v>647</v>
      </c>
      <c r="E155" s="1">
        <v>2</v>
      </c>
      <c r="F155" s="1">
        <v>170.47</v>
      </c>
      <c r="G155" s="1">
        <v>8863</v>
      </c>
      <c r="H155" s="1">
        <v>10603</v>
      </c>
      <c r="I155" s="1">
        <v>12278</v>
      </c>
      <c r="J155" s="1">
        <v>167.76599999999999</v>
      </c>
      <c r="K155" s="1">
        <v>-5.4059999999999997</v>
      </c>
      <c r="L155" s="1">
        <v>19.079000000000001</v>
      </c>
      <c r="M155" s="1" t="s">
        <v>648</v>
      </c>
      <c r="N155" s="1" t="s">
        <v>492</v>
      </c>
      <c r="O155" s="1" t="s">
        <v>649</v>
      </c>
      <c r="P155" s="1" t="s">
        <v>650</v>
      </c>
      <c r="Q155" s="1" t="s">
        <v>147</v>
      </c>
      <c r="R155" s="1" t="s">
        <v>198</v>
      </c>
      <c r="S155" s="1" t="s">
        <v>381</v>
      </c>
    </row>
    <row r="156" spans="1:19" hidden="1" x14ac:dyDescent="0.25">
      <c r="A156" s="1">
        <v>23</v>
      </c>
      <c r="B156" s="1" t="s">
        <v>646</v>
      </c>
      <c r="C156" s="1" t="s">
        <v>444</v>
      </c>
      <c r="D156" s="1" t="s">
        <v>647</v>
      </c>
      <c r="E156" s="1">
        <v>3</v>
      </c>
      <c r="F156" s="1">
        <v>174.047</v>
      </c>
      <c r="G156" s="1">
        <v>8987</v>
      </c>
      <c r="H156" s="1">
        <v>10752</v>
      </c>
      <c r="I156" s="1">
        <v>12452</v>
      </c>
      <c r="J156" s="1">
        <v>171.286</v>
      </c>
      <c r="K156" s="1">
        <v>-5.3929999999999998</v>
      </c>
      <c r="L156" s="1">
        <v>19.093</v>
      </c>
      <c r="M156" s="1" t="s">
        <v>648</v>
      </c>
      <c r="N156" s="1" t="s">
        <v>492</v>
      </c>
      <c r="O156" s="1" t="s">
        <v>649</v>
      </c>
      <c r="P156" s="1" t="s">
        <v>650</v>
      </c>
      <c r="Q156" s="1" t="s">
        <v>249</v>
      </c>
      <c r="R156" s="1" t="s">
        <v>179</v>
      </c>
      <c r="S156" s="1" t="s">
        <v>304</v>
      </c>
    </row>
    <row r="157" spans="1:19" hidden="1" x14ac:dyDescent="0.25">
      <c r="A157" s="1">
        <v>23</v>
      </c>
      <c r="B157" s="1" t="s">
        <v>646</v>
      </c>
      <c r="C157" s="1" t="s">
        <v>444</v>
      </c>
      <c r="D157" s="1" t="s">
        <v>647</v>
      </c>
      <c r="E157" s="1">
        <v>4</v>
      </c>
      <c r="F157" s="1">
        <v>172.40299999999999</v>
      </c>
      <c r="G157" s="1">
        <v>8856</v>
      </c>
      <c r="H157" s="1">
        <v>10594</v>
      </c>
      <c r="I157" s="1">
        <v>12265</v>
      </c>
      <c r="J157" s="1">
        <v>169.66800000000001</v>
      </c>
      <c r="K157" s="1">
        <v>-5.399</v>
      </c>
      <c r="L157" s="1">
        <v>19.082999999999998</v>
      </c>
      <c r="M157" s="1" t="s">
        <v>648</v>
      </c>
      <c r="N157" s="1" t="s">
        <v>492</v>
      </c>
      <c r="O157" s="1" t="s">
        <v>649</v>
      </c>
      <c r="P157" s="1" t="s">
        <v>650</v>
      </c>
      <c r="Q157" s="1" t="s">
        <v>158</v>
      </c>
      <c r="R157" s="1" t="s">
        <v>194</v>
      </c>
      <c r="S157" s="1" t="s">
        <v>206</v>
      </c>
    </row>
    <row r="158" spans="1:19" hidden="1" x14ac:dyDescent="0.25">
      <c r="A158" s="1">
        <v>23</v>
      </c>
      <c r="B158" s="1" t="s">
        <v>646</v>
      </c>
      <c r="C158" s="1" t="s">
        <v>444</v>
      </c>
      <c r="D158" s="1" t="s">
        <v>647</v>
      </c>
      <c r="E158" s="1">
        <v>5</v>
      </c>
      <c r="F158" s="1">
        <v>217.90299999999999</v>
      </c>
      <c r="G158" s="1">
        <v>17740</v>
      </c>
      <c r="H158" s="1">
        <v>21508</v>
      </c>
      <c r="I158" s="1">
        <v>24721</v>
      </c>
      <c r="J158" s="1">
        <v>214.41900000000001</v>
      </c>
      <c r="K158" s="1">
        <v>3.9409999999999998</v>
      </c>
      <c r="L158" s="1">
        <v>25.041</v>
      </c>
      <c r="M158" s="1" t="s">
        <v>648</v>
      </c>
      <c r="N158" s="1" t="s">
        <v>492</v>
      </c>
      <c r="O158" s="1" t="s">
        <v>649</v>
      </c>
      <c r="P158" s="1" t="s">
        <v>650</v>
      </c>
      <c r="Q158" s="1" t="s">
        <v>183</v>
      </c>
      <c r="R158" s="1" t="s">
        <v>515</v>
      </c>
      <c r="S158" s="1" t="s">
        <v>114</v>
      </c>
    </row>
    <row r="159" spans="1:19" x14ac:dyDescent="0.25">
      <c r="A159" s="1">
        <v>23</v>
      </c>
      <c r="B159" s="1" t="s">
        <v>646</v>
      </c>
      <c r="C159" s="1" t="s">
        <v>444</v>
      </c>
      <c r="D159" s="1" t="s">
        <v>647</v>
      </c>
      <c r="E159" s="1">
        <v>6</v>
      </c>
      <c r="F159" s="1">
        <v>191.52099999999999</v>
      </c>
      <c r="G159" s="1">
        <v>15608</v>
      </c>
      <c r="H159" s="1">
        <v>18909</v>
      </c>
      <c r="I159" s="1">
        <v>21754</v>
      </c>
      <c r="J159" s="1">
        <v>188.458</v>
      </c>
      <c r="K159" s="1">
        <v>3.9849999999999999</v>
      </c>
      <c r="L159" s="1">
        <v>25.207000000000001</v>
      </c>
      <c r="M159" s="1" t="s">
        <v>648</v>
      </c>
      <c r="N159" s="1" t="s">
        <v>492</v>
      </c>
      <c r="O159" s="1" t="s">
        <v>649</v>
      </c>
      <c r="P159" s="1" t="s">
        <v>650</v>
      </c>
      <c r="Q159" s="1" t="s">
        <v>171</v>
      </c>
      <c r="R159" s="1" t="s">
        <v>292</v>
      </c>
      <c r="S159" s="1" t="s">
        <v>169</v>
      </c>
    </row>
    <row r="160" spans="1:19" x14ac:dyDescent="0.25">
      <c r="A160" s="1">
        <v>23</v>
      </c>
      <c r="B160" s="1" t="s">
        <v>646</v>
      </c>
      <c r="C160" s="1" t="s">
        <v>444</v>
      </c>
      <c r="D160" s="1" t="s">
        <v>647</v>
      </c>
      <c r="E160" s="1">
        <v>7</v>
      </c>
      <c r="F160" s="1">
        <v>177.90199999999999</v>
      </c>
      <c r="G160" s="1">
        <v>14444</v>
      </c>
      <c r="H160" s="1">
        <v>17496</v>
      </c>
      <c r="I160" s="1">
        <v>20128</v>
      </c>
      <c r="J160" s="1">
        <v>175.05699999999999</v>
      </c>
      <c r="K160" s="1">
        <v>4.0519999999999996</v>
      </c>
      <c r="L160" s="1">
        <v>25.244</v>
      </c>
      <c r="M160" s="1" t="s">
        <v>648</v>
      </c>
      <c r="N160" s="1" t="s">
        <v>492</v>
      </c>
      <c r="O160" s="1" t="s">
        <v>649</v>
      </c>
      <c r="P160" s="1" t="s">
        <v>650</v>
      </c>
      <c r="Q160" s="1" t="s">
        <v>651</v>
      </c>
      <c r="R160" s="1" t="s">
        <v>358</v>
      </c>
      <c r="S160" s="1" t="s">
        <v>652</v>
      </c>
    </row>
    <row r="161" spans="1:19" hidden="1" x14ac:dyDescent="0.25">
      <c r="A161" s="1">
        <v>24</v>
      </c>
      <c r="B161" s="1" t="s">
        <v>653</v>
      </c>
      <c r="C161" s="1" t="s">
        <v>654</v>
      </c>
      <c r="D161" s="1" t="s">
        <v>655</v>
      </c>
      <c r="E161" s="1">
        <v>1</v>
      </c>
      <c r="F161" s="1">
        <v>174.547</v>
      </c>
      <c r="G161" s="1">
        <v>8887</v>
      </c>
      <c r="H161" s="1">
        <v>10631</v>
      </c>
      <c r="I161" s="1">
        <v>12309</v>
      </c>
      <c r="J161" s="1">
        <v>171.77799999999999</v>
      </c>
      <c r="K161" s="1">
        <v>-5.4</v>
      </c>
      <c r="L161" s="1">
        <v>19.077999999999999</v>
      </c>
      <c r="M161" s="1" t="s">
        <v>656</v>
      </c>
      <c r="N161" s="1" t="s">
        <v>492</v>
      </c>
      <c r="O161" s="1" t="s">
        <v>657</v>
      </c>
      <c r="P161" s="1" t="s">
        <v>658</v>
      </c>
      <c r="Q161" s="1" t="s">
        <v>57</v>
      </c>
      <c r="R161" s="1" t="s">
        <v>113</v>
      </c>
      <c r="S161" s="1" t="s">
        <v>165</v>
      </c>
    </row>
    <row r="162" spans="1:19" hidden="1" x14ac:dyDescent="0.25">
      <c r="A162" s="1">
        <v>24</v>
      </c>
      <c r="B162" s="1" t="s">
        <v>653</v>
      </c>
      <c r="C162" s="1" t="s">
        <v>654</v>
      </c>
      <c r="D162" s="1" t="s">
        <v>655</v>
      </c>
      <c r="E162" s="1">
        <v>2</v>
      </c>
      <c r="F162" s="1">
        <v>171.71600000000001</v>
      </c>
      <c r="G162" s="1">
        <v>8886</v>
      </c>
      <c r="H162" s="1">
        <v>10632</v>
      </c>
      <c r="I162" s="1">
        <v>12310</v>
      </c>
      <c r="J162" s="1">
        <v>168.99199999999999</v>
      </c>
      <c r="K162" s="1">
        <v>-5.399</v>
      </c>
      <c r="L162" s="1">
        <v>19.085999999999999</v>
      </c>
      <c r="M162" s="1" t="s">
        <v>656</v>
      </c>
      <c r="N162" s="1" t="s">
        <v>492</v>
      </c>
      <c r="O162" s="1" t="s">
        <v>657</v>
      </c>
      <c r="P162" s="1" t="s">
        <v>658</v>
      </c>
      <c r="Q162" s="1" t="s">
        <v>68</v>
      </c>
      <c r="R162" s="1" t="s">
        <v>149</v>
      </c>
      <c r="S162" s="1" t="s">
        <v>123</v>
      </c>
    </row>
    <row r="163" spans="1:19" hidden="1" x14ac:dyDescent="0.25">
      <c r="A163" s="1">
        <v>24</v>
      </c>
      <c r="B163" s="1" t="s">
        <v>653</v>
      </c>
      <c r="C163" s="1" t="s">
        <v>654</v>
      </c>
      <c r="D163" s="1" t="s">
        <v>655</v>
      </c>
      <c r="E163" s="1">
        <v>3</v>
      </c>
      <c r="F163" s="1">
        <v>173.23099999999999</v>
      </c>
      <c r="G163" s="1">
        <v>8970</v>
      </c>
      <c r="H163" s="1">
        <v>10730</v>
      </c>
      <c r="I163" s="1">
        <v>12424</v>
      </c>
      <c r="J163" s="1">
        <v>170.482</v>
      </c>
      <c r="K163" s="1">
        <v>-5.4</v>
      </c>
      <c r="L163" s="1">
        <v>19.079999999999998</v>
      </c>
      <c r="M163" s="1" t="s">
        <v>656</v>
      </c>
      <c r="N163" s="1" t="s">
        <v>492</v>
      </c>
      <c r="O163" s="1" t="s">
        <v>657</v>
      </c>
      <c r="P163" s="1" t="s">
        <v>658</v>
      </c>
      <c r="Q163" s="1" t="s">
        <v>253</v>
      </c>
      <c r="R163" s="1" t="s">
        <v>198</v>
      </c>
      <c r="S163" s="1" t="s">
        <v>381</v>
      </c>
    </row>
    <row r="164" spans="1:19" hidden="1" x14ac:dyDescent="0.25">
      <c r="A164" s="1">
        <v>24</v>
      </c>
      <c r="B164" s="1" t="s">
        <v>653</v>
      </c>
      <c r="C164" s="1" t="s">
        <v>654</v>
      </c>
      <c r="D164" s="1" t="s">
        <v>655</v>
      </c>
      <c r="E164" s="1">
        <v>4</v>
      </c>
      <c r="F164" s="1">
        <v>173.35</v>
      </c>
      <c r="G164" s="1">
        <v>8911</v>
      </c>
      <c r="H164" s="1">
        <v>10660</v>
      </c>
      <c r="I164" s="1">
        <v>12343</v>
      </c>
      <c r="J164" s="1">
        <v>170.6</v>
      </c>
      <c r="K164" s="1">
        <v>-5.399</v>
      </c>
      <c r="L164" s="1">
        <v>19.082999999999998</v>
      </c>
      <c r="M164" s="1" t="s">
        <v>656</v>
      </c>
      <c r="N164" s="1" t="s">
        <v>492</v>
      </c>
      <c r="O164" s="1" t="s">
        <v>657</v>
      </c>
      <c r="P164" s="1" t="s">
        <v>658</v>
      </c>
      <c r="Q164" s="1" t="s">
        <v>291</v>
      </c>
      <c r="R164" s="1" t="s">
        <v>234</v>
      </c>
      <c r="S164" s="1" t="s">
        <v>168</v>
      </c>
    </row>
    <row r="165" spans="1:19" hidden="1" x14ac:dyDescent="0.25">
      <c r="A165" s="1">
        <v>24</v>
      </c>
      <c r="B165" s="1" t="s">
        <v>653</v>
      </c>
      <c r="C165" s="1" t="s">
        <v>654</v>
      </c>
      <c r="D165" s="1" t="s">
        <v>655</v>
      </c>
      <c r="E165" s="1">
        <v>5</v>
      </c>
      <c r="F165" s="1">
        <v>239.31800000000001</v>
      </c>
      <c r="G165" s="1">
        <v>18940</v>
      </c>
      <c r="H165" s="1">
        <v>22995</v>
      </c>
      <c r="I165" s="1">
        <v>26400</v>
      </c>
      <c r="J165" s="1">
        <v>235.49</v>
      </c>
      <c r="K165" s="1">
        <v>3.988</v>
      </c>
      <c r="L165" s="1">
        <v>25.164999999999999</v>
      </c>
      <c r="M165" s="1" t="s">
        <v>656</v>
      </c>
      <c r="N165" s="1" t="s">
        <v>492</v>
      </c>
      <c r="O165" s="1" t="s">
        <v>657</v>
      </c>
      <c r="P165" s="1" t="s">
        <v>658</v>
      </c>
      <c r="Q165" s="1" t="s">
        <v>196</v>
      </c>
      <c r="R165" s="1" t="s">
        <v>218</v>
      </c>
      <c r="S165" s="1" t="s">
        <v>227</v>
      </c>
    </row>
    <row r="166" spans="1:19" x14ac:dyDescent="0.25">
      <c r="A166" s="1">
        <v>24</v>
      </c>
      <c r="B166" s="1" t="s">
        <v>653</v>
      </c>
      <c r="C166" s="1" t="s">
        <v>654</v>
      </c>
      <c r="D166" s="1" t="s">
        <v>655</v>
      </c>
      <c r="E166" s="1">
        <v>6</v>
      </c>
      <c r="F166" s="1">
        <v>210.143</v>
      </c>
      <c r="G166" s="1">
        <v>16859</v>
      </c>
      <c r="H166" s="1">
        <v>20460</v>
      </c>
      <c r="I166" s="1">
        <v>23495</v>
      </c>
      <c r="J166" s="1">
        <v>206.78200000000001</v>
      </c>
      <c r="K166" s="1">
        <v>4.0049999999999999</v>
      </c>
      <c r="L166" s="1">
        <v>25.263999999999999</v>
      </c>
      <c r="M166" s="1" t="s">
        <v>656</v>
      </c>
      <c r="N166" s="1" t="s">
        <v>492</v>
      </c>
      <c r="O166" s="1" t="s">
        <v>657</v>
      </c>
      <c r="P166" s="1" t="s">
        <v>658</v>
      </c>
      <c r="Q166" s="1" t="s">
        <v>279</v>
      </c>
      <c r="R166" s="1" t="s">
        <v>247</v>
      </c>
      <c r="S166" s="1" t="s">
        <v>181</v>
      </c>
    </row>
    <row r="167" spans="1:19" x14ac:dyDescent="0.25">
      <c r="A167" s="1">
        <v>24</v>
      </c>
      <c r="B167" s="1" t="s">
        <v>653</v>
      </c>
      <c r="C167" s="1" t="s">
        <v>654</v>
      </c>
      <c r="D167" s="1" t="s">
        <v>655</v>
      </c>
      <c r="E167" s="1">
        <v>7</v>
      </c>
      <c r="F167" s="1">
        <v>195.48</v>
      </c>
      <c r="G167" s="1">
        <v>15802</v>
      </c>
      <c r="H167" s="1">
        <v>19173</v>
      </c>
      <c r="I167" s="1">
        <v>22024</v>
      </c>
      <c r="J167" s="1">
        <v>192.35400000000001</v>
      </c>
      <c r="K167" s="1">
        <v>4.0389999999999997</v>
      </c>
      <c r="L167" s="1">
        <v>25.285</v>
      </c>
      <c r="M167" s="1" t="s">
        <v>656</v>
      </c>
      <c r="N167" s="1" t="s">
        <v>492</v>
      </c>
      <c r="O167" s="1" t="s">
        <v>657</v>
      </c>
      <c r="P167" s="1" t="s">
        <v>658</v>
      </c>
      <c r="Q167" s="1" t="s">
        <v>541</v>
      </c>
      <c r="R167" s="1" t="s">
        <v>483</v>
      </c>
      <c r="S167" s="1" t="s">
        <v>446</v>
      </c>
    </row>
    <row r="168" spans="1:19" hidden="1" x14ac:dyDescent="0.25">
      <c r="A168" s="1">
        <v>25</v>
      </c>
      <c r="B168" s="1" t="s">
        <v>659</v>
      </c>
      <c r="C168" s="1" t="s">
        <v>375</v>
      </c>
      <c r="D168" s="1" t="s">
        <v>660</v>
      </c>
      <c r="E168" s="1">
        <v>1</v>
      </c>
      <c r="F168" s="1">
        <v>173.94399999999999</v>
      </c>
      <c r="G168" s="1">
        <v>8893</v>
      </c>
      <c r="H168" s="1">
        <v>10641</v>
      </c>
      <c r="I168" s="1">
        <v>12315</v>
      </c>
      <c r="J168" s="1">
        <v>171.184</v>
      </c>
      <c r="K168" s="1">
        <v>-5.3689999999999998</v>
      </c>
      <c r="L168" s="1">
        <v>19.109000000000002</v>
      </c>
      <c r="M168" s="1" t="s">
        <v>661</v>
      </c>
      <c r="N168" s="1" t="s">
        <v>492</v>
      </c>
      <c r="O168" s="1" t="s">
        <v>662</v>
      </c>
      <c r="P168" s="1" t="s">
        <v>663</v>
      </c>
      <c r="Q168" s="1" t="s">
        <v>86</v>
      </c>
      <c r="R168" s="1" t="s">
        <v>256</v>
      </c>
      <c r="S168" s="1" t="s">
        <v>245</v>
      </c>
    </row>
    <row r="169" spans="1:19" hidden="1" x14ac:dyDescent="0.25">
      <c r="A169" s="1">
        <v>25</v>
      </c>
      <c r="B169" s="1" t="s">
        <v>659</v>
      </c>
      <c r="C169" s="1" t="s">
        <v>375</v>
      </c>
      <c r="D169" s="1" t="s">
        <v>660</v>
      </c>
      <c r="E169" s="1">
        <v>2</v>
      </c>
      <c r="F169" s="1">
        <v>172.416</v>
      </c>
      <c r="G169" s="1">
        <v>8920</v>
      </c>
      <c r="H169" s="1">
        <v>10673</v>
      </c>
      <c r="I169" s="1">
        <v>12350</v>
      </c>
      <c r="J169" s="1">
        <v>169.68</v>
      </c>
      <c r="K169" s="1">
        <v>-5.3840000000000003</v>
      </c>
      <c r="L169" s="1">
        <v>19.085000000000001</v>
      </c>
      <c r="M169" s="1" t="s">
        <v>661</v>
      </c>
      <c r="N169" s="1" t="s">
        <v>492</v>
      </c>
      <c r="O169" s="1" t="s">
        <v>662</v>
      </c>
      <c r="P169" s="1" t="s">
        <v>663</v>
      </c>
      <c r="Q169" s="1" t="s">
        <v>253</v>
      </c>
      <c r="R169" s="1" t="s">
        <v>328</v>
      </c>
      <c r="S169" s="1" t="s">
        <v>168</v>
      </c>
    </row>
    <row r="170" spans="1:19" hidden="1" x14ac:dyDescent="0.25">
      <c r="A170" s="1">
        <v>25</v>
      </c>
      <c r="B170" s="1" t="s">
        <v>659</v>
      </c>
      <c r="C170" s="1" t="s">
        <v>375</v>
      </c>
      <c r="D170" s="1" t="s">
        <v>660</v>
      </c>
      <c r="E170" s="1">
        <v>3</v>
      </c>
      <c r="F170" s="1">
        <v>173.321</v>
      </c>
      <c r="G170" s="1">
        <v>8960</v>
      </c>
      <c r="H170" s="1">
        <v>10721</v>
      </c>
      <c r="I170" s="1">
        <v>12406</v>
      </c>
      <c r="J170" s="1">
        <v>170.572</v>
      </c>
      <c r="K170" s="1">
        <v>-5.3879999999999999</v>
      </c>
      <c r="L170" s="1">
        <v>19.082000000000001</v>
      </c>
      <c r="M170" s="1" t="s">
        <v>661</v>
      </c>
      <c r="N170" s="1" t="s">
        <v>492</v>
      </c>
      <c r="O170" s="1" t="s">
        <v>662</v>
      </c>
      <c r="P170" s="1" t="s">
        <v>663</v>
      </c>
      <c r="Q170" s="1" t="s">
        <v>158</v>
      </c>
      <c r="R170" s="1" t="s">
        <v>166</v>
      </c>
      <c r="S170" s="1" t="s">
        <v>174</v>
      </c>
    </row>
    <row r="171" spans="1:19" hidden="1" x14ac:dyDescent="0.25">
      <c r="A171" s="1">
        <v>25</v>
      </c>
      <c r="B171" s="1" t="s">
        <v>659</v>
      </c>
      <c r="C171" s="1" t="s">
        <v>375</v>
      </c>
      <c r="D171" s="1" t="s">
        <v>660</v>
      </c>
      <c r="E171" s="1">
        <v>4</v>
      </c>
      <c r="F171" s="1">
        <v>173.27199999999999</v>
      </c>
      <c r="G171" s="1">
        <v>8915</v>
      </c>
      <c r="H171" s="1">
        <v>10665</v>
      </c>
      <c r="I171" s="1">
        <v>12343</v>
      </c>
      <c r="J171" s="1">
        <v>170.523</v>
      </c>
      <c r="K171" s="1">
        <v>-5.399</v>
      </c>
      <c r="L171" s="1">
        <v>19.082999999999998</v>
      </c>
      <c r="M171" s="1" t="s">
        <v>661</v>
      </c>
      <c r="N171" s="1" t="s">
        <v>492</v>
      </c>
      <c r="O171" s="1" t="s">
        <v>662</v>
      </c>
      <c r="P171" s="1" t="s">
        <v>663</v>
      </c>
      <c r="Q171" s="1" t="s">
        <v>138</v>
      </c>
      <c r="R171" s="1" t="s">
        <v>170</v>
      </c>
      <c r="S171" s="1" t="s">
        <v>282</v>
      </c>
    </row>
    <row r="172" spans="1:19" hidden="1" x14ac:dyDescent="0.25">
      <c r="A172" s="1">
        <v>25</v>
      </c>
      <c r="B172" s="1" t="s">
        <v>659</v>
      </c>
      <c r="C172" s="1" t="s">
        <v>375</v>
      </c>
      <c r="D172" s="1" t="s">
        <v>660</v>
      </c>
      <c r="E172" s="1">
        <v>5</v>
      </c>
      <c r="F172" s="1">
        <v>234.77099999999999</v>
      </c>
      <c r="G172" s="1">
        <v>18759</v>
      </c>
      <c r="H172" s="1">
        <v>22580</v>
      </c>
      <c r="I172" s="1">
        <v>26090</v>
      </c>
      <c r="J172" s="1">
        <v>231.03800000000001</v>
      </c>
      <c r="K172" s="1">
        <v>-3.508</v>
      </c>
      <c r="L172" s="1">
        <v>23.614000000000001</v>
      </c>
      <c r="M172" s="1" t="s">
        <v>661</v>
      </c>
      <c r="N172" s="1" t="s">
        <v>492</v>
      </c>
      <c r="O172" s="1" t="s">
        <v>662</v>
      </c>
      <c r="P172" s="1" t="s">
        <v>663</v>
      </c>
      <c r="Q172" s="1" t="s">
        <v>202</v>
      </c>
      <c r="R172" s="1" t="s">
        <v>111</v>
      </c>
      <c r="S172" s="1" t="s">
        <v>185</v>
      </c>
    </row>
    <row r="173" spans="1:19" x14ac:dyDescent="0.25">
      <c r="A173" s="1">
        <v>25</v>
      </c>
      <c r="B173" s="1" t="s">
        <v>659</v>
      </c>
      <c r="C173" s="1" t="s">
        <v>375</v>
      </c>
      <c r="D173" s="1" t="s">
        <v>660</v>
      </c>
      <c r="E173" s="1">
        <v>6</v>
      </c>
      <c r="F173" s="1">
        <v>205.392</v>
      </c>
      <c r="G173" s="1">
        <v>16451</v>
      </c>
      <c r="H173" s="1">
        <v>19793</v>
      </c>
      <c r="I173" s="1">
        <v>22886</v>
      </c>
      <c r="J173" s="1">
        <v>202.125</v>
      </c>
      <c r="K173" s="1">
        <v>-3.4660000000000002</v>
      </c>
      <c r="L173" s="1">
        <v>23.835999999999999</v>
      </c>
      <c r="M173" s="1" t="s">
        <v>661</v>
      </c>
      <c r="N173" s="1" t="s">
        <v>492</v>
      </c>
      <c r="O173" s="1" t="s">
        <v>662</v>
      </c>
      <c r="P173" s="1" t="s">
        <v>663</v>
      </c>
      <c r="Q173" s="1" t="s">
        <v>234</v>
      </c>
      <c r="R173" s="1" t="s">
        <v>219</v>
      </c>
      <c r="S173" s="1" t="s">
        <v>321</v>
      </c>
    </row>
    <row r="174" spans="1:19" x14ac:dyDescent="0.25">
      <c r="A174" s="1">
        <v>25</v>
      </c>
      <c r="B174" s="1" t="s">
        <v>659</v>
      </c>
      <c r="C174" s="1" t="s">
        <v>375</v>
      </c>
      <c r="D174" s="1" t="s">
        <v>660</v>
      </c>
      <c r="E174" s="1">
        <v>7</v>
      </c>
      <c r="F174" s="1">
        <v>192.73500000000001</v>
      </c>
      <c r="G174" s="1">
        <v>15280</v>
      </c>
      <c r="H174" s="1">
        <v>18380</v>
      </c>
      <c r="I174" s="1">
        <v>21260</v>
      </c>
      <c r="J174" s="1">
        <v>189.66900000000001</v>
      </c>
      <c r="K174" s="1">
        <v>-3.4980000000000002</v>
      </c>
      <c r="L174" s="1">
        <v>23.869</v>
      </c>
      <c r="M174" s="1" t="s">
        <v>661</v>
      </c>
      <c r="N174" s="1" t="s">
        <v>492</v>
      </c>
      <c r="O174" s="1" t="s">
        <v>662</v>
      </c>
      <c r="P174" s="1" t="s">
        <v>663</v>
      </c>
      <c r="Q174" s="1" t="s">
        <v>234</v>
      </c>
      <c r="R174" s="1" t="s">
        <v>219</v>
      </c>
      <c r="S174" s="1" t="s">
        <v>321</v>
      </c>
    </row>
    <row r="175" spans="1:19" hidden="1" x14ac:dyDescent="0.25">
      <c r="A175" s="1">
        <v>26</v>
      </c>
      <c r="B175" s="1" t="s">
        <v>664</v>
      </c>
      <c r="C175" s="1" t="s">
        <v>420</v>
      </c>
      <c r="D175" s="1" t="s">
        <v>665</v>
      </c>
      <c r="E175" s="1">
        <v>1</v>
      </c>
      <c r="F175" s="1">
        <v>174.874</v>
      </c>
      <c r="G175" s="1">
        <v>8920</v>
      </c>
      <c r="H175" s="1">
        <v>10672</v>
      </c>
      <c r="I175" s="1">
        <v>12356</v>
      </c>
      <c r="J175" s="1">
        <v>172.09899999999999</v>
      </c>
      <c r="K175" s="1">
        <v>-5.3940000000000001</v>
      </c>
      <c r="L175" s="1">
        <v>19.088000000000001</v>
      </c>
      <c r="M175" s="1" t="s">
        <v>666</v>
      </c>
      <c r="N175" s="1" t="s">
        <v>492</v>
      </c>
      <c r="O175" s="1" t="s">
        <v>667</v>
      </c>
      <c r="P175" s="1" t="s">
        <v>668</v>
      </c>
      <c r="Q175" s="1" t="s">
        <v>58</v>
      </c>
      <c r="R175" s="1" t="s">
        <v>267</v>
      </c>
      <c r="S175" s="1" t="s">
        <v>307</v>
      </c>
    </row>
    <row r="176" spans="1:19" hidden="1" x14ac:dyDescent="0.25">
      <c r="A176" s="1">
        <v>26</v>
      </c>
      <c r="B176" s="1" t="s">
        <v>664</v>
      </c>
      <c r="C176" s="1" t="s">
        <v>420</v>
      </c>
      <c r="D176" s="1" t="s">
        <v>665</v>
      </c>
      <c r="E176" s="1">
        <v>2</v>
      </c>
      <c r="F176" s="1">
        <v>171.64</v>
      </c>
      <c r="G176" s="1">
        <v>8861</v>
      </c>
      <c r="H176" s="1">
        <v>10600</v>
      </c>
      <c r="I176" s="1">
        <v>12273</v>
      </c>
      <c r="J176" s="1">
        <v>168.917</v>
      </c>
      <c r="K176" s="1">
        <v>-5.3959999999999999</v>
      </c>
      <c r="L176" s="1">
        <v>19.091999999999999</v>
      </c>
      <c r="M176" s="1" t="s">
        <v>666</v>
      </c>
      <c r="N176" s="1" t="s">
        <v>492</v>
      </c>
      <c r="O176" s="1" t="s">
        <v>667</v>
      </c>
      <c r="P176" s="1" t="s">
        <v>668</v>
      </c>
      <c r="Q176" s="1" t="s">
        <v>89</v>
      </c>
      <c r="R176" s="1" t="s">
        <v>279</v>
      </c>
      <c r="S176" s="1" t="s">
        <v>295</v>
      </c>
    </row>
    <row r="177" spans="1:19" hidden="1" x14ac:dyDescent="0.25">
      <c r="A177" s="1">
        <v>26</v>
      </c>
      <c r="B177" s="1" t="s">
        <v>664</v>
      </c>
      <c r="C177" s="1" t="s">
        <v>420</v>
      </c>
      <c r="D177" s="1" t="s">
        <v>665</v>
      </c>
      <c r="E177" s="1">
        <v>3</v>
      </c>
      <c r="F177" s="1">
        <v>174.10599999999999</v>
      </c>
      <c r="G177" s="1">
        <v>8993</v>
      </c>
      <c r="H177" s="1">
        <v>10758</v>
      </c>
      <c r="I177" s="1">
        <v>12456</v>
      </c>
      <c r="J177" s="1">
        <v>171.34399999999999</v>
      </c>
      <c r="K177" s="1">
        <v>-5.3920000000000003</v>
      </c>
      <c r="L177" s="1">
        <v>19.093</v>
      </c>
      <c r="M177" s="1" t="s">
        <v>666</v>
      </c>
      <c r="N177" s="1" t="s">
        <v>492</v>
      </c>
      <c r="O177" s="1" t="s">
        <v>667</v>
      </c>
      <c r="P177" s="1" t="s">
        <v>668</v>
      </c>
      <c r="Q177" s="1" t="s">
        <v>159</v>
      </c>
      <c r="R177" s="1" t="s">
        <v>179</v>
      </c>
      <c r="S177" s="1" t="s">
        <v>274</v>
      </c>
    </row>
    <row r="178" spans="1:19" hidden="1" x14ac:dyDescent="0.25">
      <c r="A178" s="1">
        <v>26</v>
      </c>
      <c r="B178" s="1" t="s">
        <v>664</v>
      </c>
      <c r="C178" s="1" t="s">
        <v>420</v>
      </c>
      <c r="D178" s="1" t="s">
        <v>665</v>
      </c>
      <c r="E178" s="1">
        <v>4</v>
      </c>
      <c r="F178" s="1">
        <v>172.21199999999999</v>
      </c>
      <c r="G178" s="1">
        <v>8854</v>
      </c>
      <c r="H178" s="1">
        <v>10593</v>
      </c>
      <c r="I178" s="1">
        <v>12264</v>
      </c>
      <c r="J178" s="1">
        <v>169.48</v>
      </c>
      <c r="K178" s="1">
        <v>-5.399</v>
      </c>
      <c r="L178" s="1">
        <v>19.082999999999998</v>
      </c>
      <c r="M178" s="1" t="s">
        <v>666</v>
      </c>
      <c r="N178" s="1" t="s">
        <v>492</v>
      </c>
      <c r="O178" s="1" t="s">
        <v>667</v>
      </c>
      <c r="P178" s="1" t="s">
        <v>668</v>
      </c>
      <c r="Q178" s="1" t="s">
        <v>249</v>
      </c>
      <c r="R178" s="1" t="s">
        <v>194</v>
      </c>
      <c r="S178" s="1" t="s">
        <v>174</v>
      </c>
    </row>
    <row r="179" spans="1:19" hidden="1" x14ac:dyDescent="0.25">
      <c r="A179" s="1">
        <v>26</v>
      </c>
      <c r="B179" s="1" t="s">
        <v>664</v>
      </c>
      <c r="C179" s="1" t="s">
        <v>420</v>
      </c>
      <c r="D179" s="1" t="s">
        <v>665</v>
      </c>
      <c r="E179" s="1">
        <v>5</v>
      </c>
      <c r="F179" s="1">
        <v>140.464</v>
      </c>
      <c r="G179" s="1">
        <v>11071</v>
      </c>
      <c r="H179" s="1">
        <v>13318</v>
      </c>
      <c r="I179" s="1">
        <v>15409</v>
      </c>
      <c r="J179" s="1">
        <v>138.22999999999999</v>
      </c>
      <c r="K179" s="1">
        <v>-3.6840000000000002</v>
      </c>
      <c r="L179" s="1">
        <v>23.87</v>
      </c>
      <c r="M179" s="1" t="s">
        <v>666</v>
      </c>
      <c r="N179" s="1" t="s">
        <v>492</v>
      </c>
      <c r="O179" s="1" t="s">
        <v>667</v>
      </c>
      <c r="P179" s="1" t="s">
        <v>668</v>
      </c>
      <c r="Q179" s="1" t="s">
        <v>217</v>
      </c>
      <c r="R179" s="1" t="s">
        <v>182</v>
      </c>
      <c r="S179" s="1" t="s">
        <v>111</v>
      </c>
    </row>
    <row r="180" spans="1:19" x14ac:dyDescent="0.25">
      <c r="A180" s="1">
        <v>26</v>
      </c>
      <c r="B180" s="1" t="s">
        <v>664</v>
      </c>
      <c r="C180" s="1" t="s">
        <v>420</v>
      </c>
      <c r="D180" s="1" t="s">
        <v>665</v>
      </c>
      <c r="E180" s="1">
        <v>6</v>
      </c>
      <c r="F180" s="1">
        <v>124.34399999999999</v>
      </c>
      <c r="G180" s="1">
        <v>10012</v>
      </c>
      <c r="H180" s="1">
        <v>12041</v>
      </c>
      <c r="I180" s="1">
        <v>13938</v>
      </c>
      <c r="J180" s="1">
        <v>122.366</v>
      </c>
      <c r="K180" s="1">
        <v>-3.625</v>
      </c>
      <c r="L180" s="1">
        <v>23.981999999999999</v>
      </c>
      <c r="M180" s="1" t="s">
        <v>666</v>
      </c>
      <c r="N180" s="1" t="s">
        <v>492</v>
      </c>
      <c r="O180" s="1" t="s">
        <v>667</v>
      </c>
      <c r="P180" s="1" t="s">
        <v>668</v>
      </c>
      <c r="Q180" s="1" t="s">
        <v>97</v>
      </c>
      <c r="R180" s="1" t="s">
        <v>290</v>
      </c>
      <c r="S180" s="1" t="s">
        <v>177</v>
      </c>
    </row>
    <row r="181" spans="1:19" x14ac:dyDescent="0.25">
      <c r="A181" s="1">
        <v>26</v>
      </c>
      <c r="B181" s="1" t="s">
        <v>664</v>
      </c>
      <c r="C181" s="1" t="s">
        <v>420</v>
      </c>
      <c r="D181" s="1" t="s">
        <v>665</v>
      </c>
      <c r="E181" s="1">
        <v>7</v>
      </c>
      <c r="F181" s="1">
        <v>115.98699999999999</v>
      </c>
      <c r="G181" s="1">
        <v>9433</v>
      </c>
      <c r="H181" s="1">
        <v>11343</v>
      </c>
      <c r="I181" s="1">
        <v>13130</v>
      </c>
      <c r="J181" s="1">
        <v>114.142</v>
      </c>
      <c r="K181" s="1">
        <v>-3.6059999999999999</v>
      </c>
      <c r="L181" s="1">
        <v>23.972000000000001</v>
      </c>
      <c r="M181" s="1" t="s">
        <v>666</v>
      </c>
      <c r="N181" s="1" t="s">
        <v>492</v>
      </c>
      <c r="O181" s="1" t="s">
        <v>667</v>
      </c>
      <c r="P181" s="1" t="s">
        <v>668</v>
      </c>
      <c r="Q181" s="1" t="s">
        <v>360</v>
      </c>
      <c r="R181" s="1" t="s">
        <v>669</v>
      </c>
      <c r="S181" s="1" t="s">
        <v>445</v>
      </c>
    </row>
    <row r="182" spans="1:19" hidden="1" x14ac:dyDescent="0.25">
      <c r="A182" s="1">
        <v>27</v>
      </c>
      <c r="B182" s="1" t="s">
        <v>670</v>
      </c>
      <c r="C182" s="1" t="s">
        <v>671</v>
      </c>
      <c r="D182" s="1" t="s">
        <v>672</v>
      </c>
      <c r="E182" s="1">
        <v>1</v>
      </c>
      <c r="F182" s="1">
        <v>173.51400000000001</v>
      </c>
      <c r="G182" s="1">
        <v>8854</v>
      </c>
      <c r="H182" s="1">
        <v>10592</v>
      </c>
      <c r="I182" s="1">
        <v>12265</v>
      </c>
      <c r="J182" s="1">
        <v>170.761</v>
      </c>
      <c r="K182" s="1">
        <v>-5.3920000000000003</v>
      </c>
      <c r="L182" s="1">
        <v>19.088999999999999</v>
      </c>
      <c r="M182" s="1" t="s">
        <v>398</v>
      </c>
      <c r="N182" s="1" t="s">
        <v>492</v>
      </c>
      <c r="O182" s="1" t="s">
        <v>673</v>
      </c>
      <c r="P182" s="1" t="s">
        <v>674</v>
      </c>
      <c r="Q182" s="1" t="s">
        <v>46</v>
      </c>
      <c r="R182" s="1" t="s">
        <v>90</v>
      </c>
      <c r="S182" s="1" t="s">
        <v>89</v>
      </c>
    </row>
    <row r="183" spans="1:19" hidden="1" x14ac:dyDescent="0.25">
      <c r="A183" s="1">
        <v>27</v>
      </c>
      <c r="B183" s="1" t="s">
        <v>670</v>
      </c>
      <c r="C183" s="1" t="s">
        <v>671</v>
      </c>
      <c r="D183" s="1" t="s">
        <v>672</v>
      </c>
      <c r="E183" s="1">
        <v>2</v>
      </c>
      <c r="F183" s="1">
        <v>172.506</v>
      </c>
      <c r="G183" s="1">
        <v>8942</v>
      </c>
      <c r="H183" s="1">
        <v>10698</v>
      </c>
      <c r="I183" s="1">
        <v>12386</v>
      </c>
      <c r="J183" s="1">
        <v>169.77</v>
      </c>
      <c r="K183" s="1">
        <v>-5.3890000000000002</v>
      </c>
      <c r="L183" s="1">
        <v>19.065999999999999</v>
      </c>
      <c r="M183" s="1" t="s">
        <v>398</v>
      </c>
      <c r="N183" s="1" t="s">
        <v>492</v>
      </c>
      <c r="O183" s="1" t="s">
        <v>673</v>
      </c>
      <c r="P183" s="1" t="s">
        <v>674</v>
      </c>
      <c r="Q183" s="1" t="s">
        <v>267</v>
      </c>
      <c r="R183" s="1" t="s">
        <v>366</v>
      </c>
      <c r="S183" s="1" t="s">
        <v>341</v>
      </c>
    </row>
    <row r="184" spans="1:19" hidden="1" x14ac:dyDescent="0.25">
      <c r="A184" s="1">
        <v>27</v>
      </c>
      <c r="B184" s="1" t="s">
        <v>670</v>
      </c>
      <c r="C184" s="1" t="s">
        <v>671</v>
      </c>
      <c r="D184" s="1" t="s">
        <v>672</v>
      </c>
      <c r="E184" s="1">
        <v>3</v>
      </c>
      <c r="F184" s="1">
        <v>173.34100000000001</v>
      </c>
      <c r="G184" s="1">
        <v>8960</v>
      </c>
      <c r="H184" s="1">
        <v>10720</v>
      </c>
      <c r="I184" s="1">
        <v>12414</v>
      </c>
      <c r="J184" s="1">
        <v>170.59100000000001</v>
      </c>
      <c r="K184" s="1">
        <v>-5.3920000000000003</v>
      </c>
      <c r="L184" s="1">
        <v>19.074999999999999</v>
      </c>
      <c r="M184" s="1" t="s">
        <v>398</v>
      </c>
      <c r="N184" s="1" t="s">
        <v>492</v>
      </c>
      <c r="O184" s="1" t="s">
        <v>673</v>
      </c>
      <c r="P184" s="1" t="s">
        <v>674</v>
      </c>
      <c r="Q184" s="1" t="s">
        <v>68</v>
      </c>
      <c r="R184" s="1" t="s">
        <v>257</v>
      </c>
      <c r="S184" s="1" t="s">
        <v>150</v>
      </c>
    </row>
    <row r="185" spans="1:19" hidden="1" x14ac:dyDescent="0.25">
      <c r="A185" s="1">
        <v>27</v>
      </c>
      <c r="B185" s="1" t="s">
        <v>670</v>
      </c>
      <c r="C185" s="1" t="s">
        <v>671</v>
      </c>
      <c r="D185" s="1" t="s">
        <v>672</v>
      </c>
      <c r="E185" s="1">
        <v>4</v>
      </c>
      <c r="F185" s="1">
        <v>173.267</v>
      </c>
      <c r="G185" s="1">
        <v>8909</v>
      </c>
      <c r="H185" s="1">
        <v>10657</v>
      </c>
      <c r="I185" s="1">
        <v>12339</v>
      </c>
      <c r="J185" s="1">
        <v>170.518</v>
      </c>
      <c r="K185" s="1">
        <v>-5.399</v>
      </c>
      <c r="L185" s="1">
        <v>19.082999999999998</v>
      </c>
      <c r="M185" s="1" t="s">
        <v>398</v>
      </c>
      <c r="N185" s="1" t="s">
        <v>492</v>
      </c>
      <c r="O185" s="1" t="s">
        <v>673</v>
      </c>
      <c r="P185" s="1" t="s">
        <v>674</v>
      </c>
      <c r="Q185" s="1" t="s">
        <v>152</v>
      </c>
      <c r="R185" s="1" t="s">
        <v>262</v>
      </c>
      <c r="S185" s="1" t="s">
        <v>259</v>
      </c>
    </row>
    <row r="186" spans="1:19" hidden="1" x14ac:dyDescent="0.25">
      <c r="A186" s="1">
        <v>27</v>
      </c>
      <c r="B186" s="1" t="s">
        <v>670</v>
      </c>
      <c r="C186" s="1" t="s">
        <v>671</v>
      </c>
      <c r="D186" s="1" t="s">
        <v>672</v>
      </c>
      <c r="E186" s="1">
        <v>5</v>
      </c>
      <c r="F186" s="1">
        <v>141.03700000000001</v>
      </c>
      <c r="G186" s="1">
        <v>11055</v>
      </c>
      <c r="H186" s="1">
        <v>13283</v>
      </c>
      <c r="I186" s="1">
        <v>15391</v>
      </c>
      <c r="J186" s="1">
        <v>138.79499999999999</v>
      </c>
      <c r="K186" s="1">
        <v>-3.8969999999999998</v>
      </c>
      <c r="L186" s="1">
        <v>23.863</v>
      </c>
      <c r="M186" s="1" t="s">
        <v>398</v>
      </c>
      <c r="N186" s="1" t="s">
        <v>492</v>
      </c>
      <c r="O186" s="1" t="s">
        <v>673</v>
      </c>
      <c r="P186" s="1" t="s">
        <v>674</v>
      </c>
      <c r="Q186" s="1" t="s">
        <v>183</v>
      </c>
      <c r="R186" s="1" t="s">
        <v>515</v>
      </c>
      <c r="S186" s="1" t="s">
        <v>114</v>
      </c>
    </row>
    <row r="187" spans="1:19" x14ac:dyDescent="0.25">
      <c r="A187" s="1">
        <v>27</v>
      </c>
      <c r="B187" s="1" t="s">
        <v>670</v>
      </c>
      <c r="C187" s="1" t="s">
        <v>671</v>
      </c>
      <c r="D187" s="1" t="s">
        <v>672</v>
      </c>
      <c r="E187" s="1">
        <v>6</v>
      </c>
      <c r="F187" s="1">
        <v>124.08199999999999</v>
      </c>
      <c r="G187" s="1">
        <v>9793</v>
      </c>
      <c r="H187" s="1">
        <v>11765</v>
      </c>
      <c r="I187" s="1">
        <v>13632</v>
      </c>
      <c r="J187" s="1">
        <v>122.108</v>
      </c>
      <c r="K187" s="1">
        <v>-3.8359999999999999</v>
      </c>
      <c r="L187" s="1">
        <v>24.047999999999998</v>
      </c>
      <c r="M187" s="1" t="s">
        <v>398</v>
      </c>
      <c r="N187" s="1" t="s">
        <v>492</v>
      </c>
      <c r="O187" s="1" t="s">
        <v>673</v>
      </c>
      <c r="P187" s="1" t="s">
        <v>674</v>
      </c>
      <c r="Q187" s="1" t="s">
        <v>107</v>
      </c>
      <c r="R187" s="1" t="s">
        <v>245</v>
      </c>
      <c r="S187" s="1" t="s">
        <v>237</v>
      </c>
    </row>
    <row r="188" spans="1:19" x14ac:dyDescent="0.25">
      <c r="A188" s="1">
        <v>27</v>
      </c>
      <c r="B188" s="1" t="s">
        <v>670</v>
      </c>
      <c r="C188" s="1" t="s">
        <v>671</v>
      </c>
      <c r="D188" s="1" t="s">
        <v>672</v>
      </c>
      <c r="E188" s="1">
        <v>7</v>
      </c>
      <c r="F188" s="1">
        <v>115.337</v>
      </c>
      <c r="G188" s="1">
        <v>9115</v>
      </c>
      <c r="H188" s="1">
        <v>10949</v>
      </c>
      <c r="I188" s="1">
        <v>12690</v>
      </c>
      <c r="J188" s="1">
        <v>113.502</v>
      </c>
      <c r="K188" s="1">
        <v>-3.794</v>
      </c>
      <c r="L188" s="1">
        <v>24.082000000000001</v>
      </c>
      <c r="M188" s="1" t="s">
        <v>398</v>
      </c>
      <c r="N188" s="1" t="s">
        <v>492</v>
      </c>
      <c r="O188" s="1" t="s">
        <v>673</v>
      </c>
      <c r="P188" s="1" t="s">
        <v>674</v>
      </c>
      <c r="Q188" s="1" t="s">
        <v>675</v>
      </c>
      <c r="R188" s="1" t="s">
        <v>268</v>
      </c>
      <c r="S188" s="1" t="s">
        <v>676</v>
      </c>
    </row>
    <row r="189" spans="1:19" hidden="1" x14ac:dyDescent="0.25">
      <c r="A189" s="1">
        <v>28</v>
      </c>
      <c r="B189" s="1" t="s">
        <v>677</v>
      </c>
      <c r="C189" s="1" t="s">
        <v>678</v>
      </c>
      <c r="D189" s="1" t="s">
        <v>679</v>
      </c>
      <c r="E189" s="1">
        <v>1</v>
      </c>
      <c r="F189" s="1">
        <v>173.40799999999999</v>
      </c>
      <c r="G189" s="1">
        <v>8872</v>
      </c>
      <c r="H189" s="1">
        <v>10614</v>
      </c>
      <c r="I189" s="1">
        <v>12282</v>
      </c>
      <c r="J189" s="1">
        <v>170.65700000000001</v>
      </c>
      <c r="K189" s="1">
        <v>-5.3760000000000003</v>
      </c>
      <c r="L189" s="1">
        <v>19.091000000000001</v>
      </c>
      <c r="M189" s="1" t="s">
        <v>680</v>
      </c>
      <c r="N189" s="1" t="s">
        <v>492</v>
      </c>
      <c r="O189" s="1" t="s">
        <v>681</v>
      </c>
      <c r="P189" s="1" t="s">
        <v>682</v>
      </c>
      <c r="Q189" s="1" t="s">
        <v>128</v>
      </c>
      <c r="R189" s="1" t="s">
        <v>84</v>
      </c>
      <c r="S189" s="1" t="s">
        <v>256</v>
      </c>
    </row>
    <row r="190" spans="1:19" hidden="1" x14ac:dyDescent="0.25">
      <c r="A190" s="1">
        <v>28</v>
      </c>
      <c r="B190" s="1" t="s">
        <v>677</v>
      </c>
      <c r="C190" s="1" t="s">
        <v>678</v>
      </c>
      <c r="D190" s="1" t="s">
        <v>679</v>
      </c>
      <c r="E190" s="1">
        <v>2</v>
      </c>
      <c r="F190" s="1">
        <v>172.983</v>
      </c>
      <c r="G190" s="1">
        <v>8952</v>
      </c>
      <c r="H190" s="1">
        <v>10711</v>
      </c>
      <c r="I190" s="1">
        <v>12395</v>
      </c>
      <c r="J190" s="1">
        <v>170.238</v>
      </c>
      <c r="K190" s="1">
        <v>-5.3970000000000002</v>
      </c>
      <c r="L190" s="1">
        <v>19.074999999999999</v>
      </c>
      <c r="M190" s="1" t="s">
        <v>680</v>
      </c>
      <c r="N190" s="1" t="s">
        <v>492</v>
      </c>
      <c r="O190" s="1" t="s">
        <v>681</v>
      </c>
      <c r="P190" s="1" t="s">
        <v>682</v>
      </c>
      <c r="Q190" s="1" t="s">
        <v>113</v>
      </c>
      <c r="R190" s="1" t="s">
        <v>193</v>
      </c>
      <c r="S190" s="1" t="s">
        <v>252</v>
      </c>
    </row>
    <row r="191" spans="1:19" hidden="1" x14ac:dyDescent="0.25">
      <c r="A191" s="1">
        <v>28</v>
      </c>
      <c r="B191" s="1" t="s">
        <v>677</v>
      </c>
      <c r="C191" s="1" t="s">
        <v>678</v>
      </c>
      <c r="D191" s="1" t="s">
        <v>679</v>
      </c>
      <c r="E191" s="1">
        <v>3</v>
      </c>
      <c r="F191" s="1">
        <v>173.40100000000001</v>
      </c>
      <c r="G191" s="1">
        <v>8954</v>
      </c>
      <c r="H191" s="1">
        <v>10712</v>
      </c>
      <c r="I191" s="1">
        <v>12397</v>
      </c>
      <c r="J191" s="1">
        <v>170.65</v>
      </c>
      <c r="K191" s="1">
        <v>-5.4</v>
      </c>
      <c r="L191" s="1">
        <v>19.058</v>
      </c>
      <c r="M191" s="1" t="s">
        <v>680</v>
      </c>
      <c r="N191" s="1" t="s">
        <v>492</v>
      </c>
      <c r="O191" s="1" t="s">
        <v>681</v>
      </c>
      <c r="P191" s="1" t="s">
        <v>682</v>
      </c>
      <c r="Q191" s="1" t="s">
        <v>223</v>
      </c>
      <c r="R191" s="1" t="s">
        <v>302</v>
      </c>
      <c r="S191" s="1" t="s">
        <v>277</v>
      </c>
    </row>
    <row r="192" spans="1:19" hidden="1" x14ac:dyDescent="0.25">
      <c r="A192" s="1">
        <v>28</v>
      </c>
      <c r="B192" s="1" t="s">
        <v>677</v>
      </c>
      <c r="C192" s="1" t="s">
        <v>678</v>
      </c>
      <c r="D192" s="1" t="s">
        <v>679</v>
      </c>
      <c r="E192" s="1">
        <v>4</v>
      </c>
      <c r="F192" s="1">
        <v>173.297</v>
      </c>
      <c r="G192" s="1">
        <v>8913</v>
      </c>
      <c r="H192" s="1">
        <v>10664</v>
      </c>
      <c r="I192" s="1">
        <v>12339</v>
      </c>
      <c r="J192" s="1">
        <v>170.548</v>
      </c>
      <c r="K192" s="1">
        <v>-5.399</v>
      </c>
      <c r="L192" s="1">
        <v>19.082999999999998</v>
      </c>
      <c r="M192" s="1" t="s">
        <v>680</v>
      </c>
      <c r="N192" s="1" t="s">
        <v>492</v>
      </c>
      <c r="O192" s="1" t="s">
        <v>681</v>
      </c>
      <c r="P192" s="1" t="s">
        <v>682</v>
      </c>
      <c r="Q192" s="1" t="s">
        <v>68</v>
      </c>
      <c r="R192" s="1" t="s">
        <v>171</v>
      </c>
      <c r="S192" s="1" t="s">
        <v>150</v>
      </c>
    </row>
    <row r="193" spans="1:19" hidden="1" x14ac:dyDescent="0.25">
      <c r="A193" s="1">
        <v>28</v>
      </c>
      <c r="B193" s="1" t="s">
        <v>677</v>
      </c>
      <c r="C193" s="1" t="s">
        <v>678</v>
      </c>
      <c r="D193" s="1" t="s">
        <v>679</v>
      </c>
      <c r="E193" s="1">
        <v>5</v>
      </c>
      <c r="F193" s="1">
        <v>180.74100000000001</v>
      </c>
      <c r="G193" s="1">
        <v>14631</v>
      </c>
      <c r="H193" s="1">
        <v>17617</v>
      </c>
      <c r="I193" s="1">
        <v>20356</v>
      </c>
      <c r="J193" s="1">
        <v>177.86699999999999</v>
      </c>
      <c r="K193" s="1">
        <v>-3.827</v>
      </c>
      <c r="L193" s="1">
        <v>23.975999999999999</v>
      </c>
      <c r="M193" s="1" t="s">
        <v>680</v>
      </c>
      <c r="N193" s="1" t="s">
        <v>492</v>
      </c>
      <c r="O193" s="1" t="s">
        <v>681</v>
      </c>
      <c r="P193" s="1" t="s">
        <v>682</v>
      </c>
      <c r="Q193" s="1" t="s">
        <v>213</v>
      </c>
      <c r="R193" s="1" t="s">
        <v>205</v>
      </c>
      <c r="S193" s="1" t="s">
        <v>145</v>
      </c>
    </row>
    <row r="194" spans="1:19" x14ac:dyDescent="0.25">
      <c r="A194" s="1">
        <v>28</v>
      </c>
      <c r="B194" s="1" t="s">
        <v>677</v>
      </c>
      <c r="C194" s="1" t="s">
        <v>678</v>
      </c>
      <c r="D194" s="1" t="s">
        <v>679</v>
      </c>
      <c r="E194" s="1">
        <v>6</v>
      </c>
      <c r="F194" s="1">
        <v>161.11099999999999</v>
      </c>
      <c r="G194" s="1">
        <v>13299</v>
      </c>
      <c r="H194" s="1">
        <v>16006</v>
      </c>
      <c r="I194" s="1">
        <v>18510</v>
      </c>
      <c r="J194" s="1">
        <v>158.54900000000001</v>
      </c>
      <c r="K194" s="1">
        <v>-3.7570000000000001</v>
      </c>
      <c r="L194" s="1">
        <v>24.132999999999999</v>
      </c>
      <c r="M194" s="1" t="s">
        <v>680</v>
      </c>
      <c r="N194" s="1" t="s">
        <v>492</v>
      </c>
      <c r="O194" s="1" t="s">
        <v>681</v>
      </c>
      <c r="P194" s="1" t="s">
        <v>682</v>
      </c>
      <c r="Q194" s="1" t="s">
        <v>160</v>
      </c>
      <c r="R194" s="1" t="s">
        <v>143</v>
      </c>
      <c r="S194" s="1" t="s">
        <v>238</v>
      </c>
    </row>
    <row r="195" spans="1:19" x14ac:dyDescent="0.25">
      <c r="A195" s="1">
        <v>28</v>
      </c>
      <c r="B195" s="1" t="s">
        <v>677</v>
      </c>
      <c r="C195" s="1" t="s">
        <v>678</v>
      </c>
      <c r="D195" s="1" t="s">
        <v>679</v>
      </c>
      <c r="E195" s="1">
        <v>7</v>
      </c>
      <c r="F195" s="1">
        <v>150.84399999999999</v>
      </c>
      <c r="G195" s="1">
        <v>12495</v>
      </c>
      <c r="H195" s="1">
        <v>15034</v>
      </c>
      <c r="I195" s="1">
        <v>17392</v>
      </c>
      <c r="J195" s="1">
        <v>148.44499999999999</v>
      </c>
      <c r="K195" s="1">
        <v>-3.722</v>
      </c>
      <c r="L195" s="1">
        <v>24.149000000000001</v>
      </c>
      <c r="M195" s="1" t="s">
        <v>680</v>
      </c>
      <c r="N195" s="1" t="s">
        <v>492</v>
      </c>
      <c r="O195" s="1" t="s">
        <v>681</v>
      </c>
      <c r="P195" s="1" t="s">
        <v>682</v>
      </c>
      <c r="Q195" s="1" t="s">
        <v>683</v>
      </c>
      <c r="R195" s="1" t="s">
        <v>465</v>
      </c>
      <c r="S195" s="1" t="s">
        <v>684</v>
      </c>
    </row>
    <row r="196" spans="1:19" hidden="1" x14ac:dyDescent="0.25">
      <c r="A196" s="1">
        <v>29</v>
      </c>
      <c r="B196" s="1" t="s">
        <v>685</v>
      </c>
      <c r="C196" s="1" t="s">
        <v>397</v>
      </c>
      <c r="D196" s="1" t="s">
        <v>686</v>
      </c>
      <c r="E196" s="1">
        <v>1</v>
      </c>
      <c r="F196" s="1">
        <v>173.83199999999999</v>
      </c>
      <c r="G196" s="1">
        <v>8887</v>
      </c>
      <c r="H196" s="1">
        <v>10632</v>
      </c>
      <c r="I196" s="1">
        <v>12306</v>
      </c>
      <c r="J196" s="1">
        <v>171.07499999999999</v>
      </c>
      <c r="K196" s="1">
        <v>-5.3970000000000002</v>
      </c>
      <c r="L196" s="1">
        <v>19.077999999999999</v>
      </c>
      <c r="M196" s="1" t="s">
        <v>687</v>
      </c>
      <c r="N196" s="1" t="s">
        <v>492</v>
      </c>
      <c r="O196" s="1" t="s">
        <v>688</v>
      </c>
      <c r="P196" s="1" t="s">
        <v>689</v>
      </c>
      <c r="Q196" s="1" t="s">
        <v>102</v>
      </c>
      <c r="R196" s="1" t="s">
        <v>75</v>
      </c>
      <c r="S196" s="1" t="s">
        <v>158</v>
      </c>
    </row>
    <row r="197" spans="1:19" hidden="1" x14ac:dyDescent="0.25">
      <c r="A197" s="1">
        <v>29</v>
      </c>
      <c r="B197" s="1" t="s">
        <v>685</v>
      </c>
      <c r="C197" s="1" t="s">
        <v>397</v>
      </c>
      <c r="D197" s="1" t="s">
        <v>686</v>
      </c>
      <c r="E197" s="1">
        <v>2</v>
      </c>
      <c r="F197" s="1">
        <v>170.28800000000001</v>
      </c>
      <c r="G197" s="1">
        <v>8828</v>
      </c>
      <c r="H197" s="1">
        <v>10563</v>
      </c>
      <c r="I197" s="1">
        <v>12227</v>
      </c>
      <c r="J197" s="1">
        <v>167.58699999999999</v>
      </c>
      <c r="K197" s="1">
        <v>-5.383</v>
      </c>
      <c r="L197" s="1">
        <v>19.055</v>
      </c>
      <c r="M197" s="1" t="s">
        <v>687</v>
      </c>
      <c r="N197" s="1" t="s">
        <v>492</v>
      </c>
      <c r="O197" s="1" t="s">
        <v>688</v>
      </c>
      <c r="P197" s="1" t="s">
        <v>689</v>
      </c>
      <c r="Q197" s="1" t="s">
        <v>223</v>
      </c>
      <c r="R197" s="1" t="s">
        <v>154</v>
      </c>
      <c r="S197" s="1" t="s">
        <v>311</v>
      </c>
    </row>
    <row r="198" spans="1:19" hidden="1" x14ac:dyDescent="0.25">
      <c r="A198" s="1">
        <v>29</v>
      </c>
      <c r="B198" s="1" t="s">
        <v>685</v>
      </c>
      <c r="C198" s="1" t="s">
        <v>397</v>
      </c>
      <c r="D198" s="1" t="s">
        <v>686</v>
      </c>
      <c r="E198" s="1">
        <v>3</v>
      </c>
      <c r="F198" s="1">
        <v>173.19800000000001</v>
      </c>
      <c r="G198" s="1">
        <v>8962</v>
      </c>
      <c r="H198" s="1">
        <v>10722</v>
      </c>
      <c r="I198" s="1">
        <v>12408</v>
      </c>
      <c r="J198" s="1">
        <v>170.45099999999999</v>
      </c>
      <c r="K198" s="1">
        <v>-5.3940000000000001</v>
      </c>
      <c r="L198" s="1">
        <v>19.047000000000001</v>
      </c>
      <c r="M198" s="1" t="s">
        <v>687</v>
      </c>
      <c r="N198" s="1" t="s">
        <v>492</v>
      </c>
      <c r="O198" s="1" t="s">
        <v>688</v>
      </c>
      <c r="P198" s="1" t="s">
        <v>689</v>
      </c>
      <c r="Q198" s="1" t="s">
        <v>152</v>
      </c>
      <c r="R198" s="1" t="s">
        <v>262</v>
      </c>
      <c r="S198" s="1" t="s">
        <v>259</v>
      </c>
    </row>
    <row r="199" spans="1:19" hidden="1" x14ac:dyDescent="0.25">
      <c r="A199" s="1">
        <v>29</v>
      </c>
      <c r="B199" s="1" t="s">
        <v>685</v>
      </c>
      <c r="C199" s="1" t="s">
        <v>397</v>
      </c>
      <c r="D199" s="1" t="s">
        <v>686</v>
      </c>
      <c r="E199" s="1">
        <v>4</v>
      </c>
      <c r="F199" s="1">
        <v>171.517</v>
      </c>
      <c r="G199" s="1">
        <v>8817</v>
      </c>
      <c r="H199" s="1">
        <v>10549</v>
      </c>
      <c r="I199" s="1">
        <v>12209</v>
      </c>
      <c r="J199" s="1">
        <v>168.797</v>
      </c>
      <c r="K199" s="1">
        <v>-5.399</v>
      </c>
      <c r="L199" s="1">
        <v>19.082999999999998</v>
      </c>
      <c r="M199" s="1" t="s">
        <v>687</v>
      </c>
      <c r="N199" s="1" t="s">
        <v>492</v>
      </c>
      <c r="O199" s="1" t="s">
        <v>688</v>
      </c>
      <c r="P199" s="1" t="s">
        <v>689</v>
      </c>
      <c r="Q199" s="1" t="s">
        <v>89</v>
      </c>
      <c r="R199" s="1" t="s">
        <v>198</v>
      </c>
      <c r="S199" s="1" t="s">
        <v>295</v>
      </c>
    </row>
    <row r="200" spans="1:19" hidden="1" x14ac:dyDescent="0.25">
      <c r="A200" s="1">
        <v>29</v>
      </c>
      <c r="B200" s="1" t="s">
        <v>685</v>
      </c>
      <c r="C200" s="1" t="s">
        <v>397</v>
      </c>
      <c r="D200" s="1" t="s">
        <v>686</v>
      </c>
      <c r="E200" s="1">
        <v>5</v>
      </c>
      <c r="F200" s="1">
        <v>127.173</v>
      </c>
      <c r="G200" s="1">
        <v>9882</v>
      </c>
      <c r="H200" s="1">
        <v>11877</v>
      </c>
      <c r="I200" s="1">
        <v>13751</v>
      </c>
      <c r="J200" s="1">
        <v>125.15</v>
      </c>
      <c r="K200" s="1">
        <v>-3.5640000000000001</v>
      </c>
      <c r="L200" s="1">
        <v>23.97</v>
      </c>
      <c r="M200" s="1" t="s">
        <v>687</v>
      </c>
      <c r="N200" s="1" t="s">
        <v>492</v>
      </c>
      <c r="O200" s="1" t="s">
        <v>688</v>
      </c>
      <c r="P200" s="1" t="s">
        <v>689</v>
      </c>
      <c r="Q200" s="1" t="s">
        <v>189</v>
      </c>
      <c r="R200" s="1" t="s">
        <v>222</v>
      </c>
      <c r="S200" s="1" t="s">
        <v>137</v>
      </c>
    </row>
    <row r="201" spans="1:19" x14ac:dyDescent="0.25">
      <c r="A201" s="1">
        <v>29</v>
      </c>
      <c r="B201" s="1" t="s">
        <v>685</v>
      </c>
      <c r="C201" s="1" t="s">
        <v>397</v>
      </c>
      <c r="D201" s="1" t="s">
        <v>686</v>
      </c>
      <c r="E201" s="1">
        <v>6</v>
      </c>
      <c r="F201" s="1">
        <v>112.053</v>
      </c>
      <c r="G201" s="1">
        <v>8827</v>
      </c>
      <c r="H201" s="1">
        <v>10608</v>
      </c>
      <c r="I201" s="1">
        <v>12286</v>
      </c>
      <c r="J201" s="1">
        <v>110.271</v>
      </c>
      <c r="K201" s="1">
        <v>-3.4980000000000002</v>
      </c>
      <c r="L201" s="1">
        <v>24.114000000000001</v>
      </c>
      <c r="M201" s="1" t="s">
        <v>687</v>
      </c>
      <c r="N201" s="1" t="s">
        <v>492</v>
      </c>
      <c r="O201" s="1" t="s">
        <v>688</v>
      </c>
      <c r="P201" s="1" t="s">
        <v>689</v>
      </c>
      <c r="Q201" s="1" t="s">
        <v>85</v>
      </c>
      <c r="R201" s="1" t="s">
        <v>146</v>
      </c>
      <c r="S201" s="1" t="s">
        <v>173</v>
      </c>
    </row>
    <row r="202" spans="1:19" x14ac:dyDescent="0.25">
      <c r="A202" s="1">
        <v>29</v>
      </c>
      <c r="B202" s="1" t="s">
        <v>685</v>
      </c>
      <c r="C202" s="1" t="s">
        <v>397</v>
      </c>
      <c r="D202" s="1" t="s">
        <v>686</v>
      </c>
      <c r="E202" s="1">
        <v>7</v>
      </c>
      <c r="F202" s="1">
        <v>104.21599999999999</v>
      </c>
      <c r="G202" s="1">
        <v>8240</v>
      </c>
      <c r="H202" s="1">
        <v>9902</v>
      </c>
      <c r="I202" s="1">
        <v>11470</v>
      </c>
      <c r="J202" s="1">
        <v>102.55800000000001</v>
      </c>
      <c r="K202" s="1">
        <v>-3.4910000000000001</v>
      </c>
      <c r="L202" s="1">
        <v>24.103999999999999</v>
      </c>
      <c r="M202" s="1" t="s">
        <v>687</v>
      </c>
      <c r="N202" s="1" t="s">
        <v>492</v>
      </c>
      <c r="O202" s="1" t="s">
        <v>688</v>
      </c>
      <c r="P202" s="1" t="s">
        <v>689</v>
      </c>
      <c r="Q202" s="1" t="s">
        <v>320</v>
      </c>
      <c r="R202" s="1" t="s">
        <v>690</v>
      </c>
      <c r="S202" s="1" t="s">
        <v>430</v>
      </c>
    </row>
    <row r="203" spans="1:19" hidden="1" x14ac:dyDescent="0.25">
      <c r="A203" s="1">
        <v>30</v>
      </c>
      <c r="B203" s="1" t="s">
        <v>691</v>
      </c>
      <c r="C203" s="1" t="s">
        <v>432</v>
      </c>
      <c r="D203" s="1" t="s">
        <v>692</v>
      </c>
      <c r="E203" s="1">
        <v>1</v>
      </c>
      <c r="F203" s="1">
        <v>173.773</v>
      </c>
      <c r="G203" s="1">
        <v>8866</v>
      </c>
      <c r="H203" s="1">
        <v>10606</v>
      </c>
      <c r="I203" s="1">
        <v>12278</v>
      </c>
      <c r="J203" s="1">
        <v>171.01599999999999</v>
      </c>
      <c r="K203" s="1">
        <v>-5.3929999999999998</v>
      </c>
      <c r="L203" s="1">
        <v>19.093</v>
      </c>
      <c r="M203" s="1" t="s">
        <v>693</v>
      </c>
      <c r="N203" s="1" t="s">
        <v>492</v>
      </c>
      <c r="O203" s="1" t="s">
        <v>694</v>
      </c>
      <c r="P203" s="1" t="s">
        <v>695</v>
      </c>
      <c r="Q203" s="1" t="s">
        <v>50</v>
      </c>
      <c r="R203" s="1" t="s">
        <v>95</v>
      </c>
      <c r="S203" s="1" t="s">
        <v>172</v>
      </c>
    </row>
    <row r="204" spans="1:19" hidden="1" x14ac:dyDescent="0.25">
      <c r="A204" s="1">
        <v>30</v>
      </c>
      <c r="B204" s="1" t="s">
        <v>691</v>
      </c>
      <c r="C204" s="1" t="s">
        <v>432</v>
      </c>
      <c r="D204" s="1" t="s">
        <v>692</v>
      </c>
      <c r="E204" s="1">
        <v>2</v>
      </c>
      <c r="F204" s="1">
        <v>172.00899999999999</v>
      </c>
      <c r="G204" s="1">
        <v>8917</v>
      </c>
      <c r="H204" s="1">
        <v>10668</v>
      </c>
      <c r="I204" s="1">
        <v>12353</v>
      </c>
      <c r="J204" s="1">
        <v>169.28</v>
      </c>
      <c r="K204" s="1">
        <v>-5.3959999999999999</v>
      </c>
      <c r="L204" s="1">
        <v>19.073</v>
      </c>
      <c r="M204" s="1" t="s">
        <v>693</v>
      </c>
      <c r="N204" s="1" t="s">
        <v>492</v>
      </c>
      <c r="O204" s="1" t="s">
        <v>694</v>
      </c>
      <c r="P204" s="1" t="s">
        <v>695</v>
      </c>
      <c r="Q204" s="1" t="s">
        <v>97</v>
      </c>
      <c r="R204" s="1" t="s">
        <v>151</v>
      </c>
      <c r="S204" s="1" t="s">
        <v>143</v>
      </c>
    </row>
    <row r="205" spans="1:19" hidden="1" x14ac:dyDescent="0.25">
      <c r="A205" s="1">
        <v>30</v>
      </c>
      <c r="B205" s="1" t="s">
        <v>691</v>
      </c>
      <c r="C205" s="1" t="s">
        <v>432</v>
      </c>
      <c r="D205" s="1" t="s">
        <v>692</v>
      </c>
      <c r="E205" s="1">
        <v>3</v>
      </c>
      <c r="F205" s="1">
        <v>173.392</v>
      </c>
      <c r="G205" s="1">
        <v>8961</v>
      </c>
      <c r="H205" s="1">
        <v>10721</v>
      </c>
      <c r="I205" s="1">
        <v>12411</v>
      </c>
      <c r="J205" s="1">
        <v>170.642</v>
      </c>
      <c r="K205" s="1">
        <v>-5.3949999999999996</v>
      </c>
      <c r="L205" s="1">
        <v>19.099</v>
      </c>
      <c r="M205" s="1" t="s">
        <v>693</v>
      </c>
      <c r="N205" s="1" t="s">
        <v>492</v>
      </c>
      <c r="O205" s="1" t="s">
        <v>694</v>
      </c>
      <c r="P205" s="1" t="s">
        <v>695</v>
      </c>
      <c r="Q205" s="1" t="s">
        <v>172</v>
      </c>
      <c r="R205" s="1" t="s">
        <v>140</v>
      </c>
      <c r="S205" s="1" t="s">
        <v>261</v>
      </c>
    </row>
    <row r="206" spans="1:19" hidden="1" x14ac:dyDescent="0.25">
      <c r="A206" s="1">
        <v>30</v>
      </c>
      <c r="B206" s="1" t="s">
        <v>691</v>
      </c>
      <c r="C206" s="1" t="s">
        <v>432</v>
      </c>
      <c r="D206" s="1" t="s">
        <v>692</v>
      </c>
      <c r="E206" s="1">
        <v>4</v>
      </c>
      <c r="F206" s="1">
        <v>172.922</v>
      </c>
      <c r="G206" s="1">
        <v>8896</v>
      </c>
      <c r="H206" s="1">
        <v>10642</v>
      </c>
      <c r="I206" s="1">
        <v>12322</v>
      </c>
      <c r="J206" s="1">
        <v>170.179</v>
      </c>
      <c r="K206" s="1">
        <v>-5.399</v>
      </c>
      <c r="L206" s="1">
        <v>19.082999999999998</v>
      </c>
      <c r="M206" s="1" t="s">
        <v>693</v>
      </c>
      <c r="N206" s="1" t="s">
        <v>492</v>
      </c>
      <c r="O206" s="1" t="s">
        <v>694</v>
      </c>
      <c r="P206" s="1" t="s">
        <v>695</v>
      </c>
      <c r="Q206" s="1" t="s">
        <v>256</v>
      </c>
      <c r="R206" s="1" t="s">
        <v>173</v>
      </c>
      <c r="S206" s="1" t="s">
        <v>163</v>
      </c>
    </row>
    <row r="207" spans="1:19" hidden="1" x14ac:dyDescent="0.25">
      <c r="A207" s="1">
        <v>30</v>
      </c>
      <c r="B207" s="1" t="s">
        <v>691</v>
      </c>
      <c r="C207" s="1" t="s">
        <v>432</v>
      </c>
      <c r="D207" s="1" t="s">
        <v>692</v>
      </c>
      <c r="E207" s="1">
        <v>5</v>
      </c>
      <c r="F207" s="1">
        <v>207.732</v>
      </c>
      <c r="G207" s="1">
        <v>17081</v>
      </c>
      <c r="H207" s="1">
        <v>20590</v>
      </c>
      <c r="I207" s="1">
        <v>23770</v>
      </c>
      <c r="J207" s="1">
        <v>204.428</v>
      </c>
      <c r="K207" s="1">
        <v>-3.2909999999999999</v>
      </c>
      <c r="L207" s="1">
        <v>23.744</v>
      </c>
      <c r="M207" s="1" t="s">
        <v>693</v>
      </c>
      <c r="N207" s="1" t="s">
        <v>492</v>
      </c>
      <c r="O207" s="1" t="s">
        <v>694</v>
      </c>
      <c r="P207" s="1" t="s">
        <v>695</v>
      </c>
      <c r="Q207" s="1" t="s">
        <v>213</v>
      </c>
      <c r="R207" s="1" t="s">
        <v>205</v>
      </c>
      <c r="S207" s="1" t="s">
        <v>515</v>
      </c>
    </row>
    <row r="208" spans="1:19" x14ac:dyDescent="0.25">
      <c r="A208" s="1">
        <v>30</v>
      </c>
      <c r="B208" s="1" t="s">
        <v>691</v>
      </c>
      <c r="C208" s="1" t="s">
        <v>432</v>
      </c>
      <c r="D208" s="1" t="s">
        <v>692</v>
      </c>
      <c r="E208" s="1">
        <v>6</v>
      </c>
      <c r="F208" s="1">
        <v>185.55600000000001</v>
      </c>
      <c r="G208" s="1">
        <v>15455</v>
      </c>
      <c r="H208" s="1">
        <v>18615</v>
      </c>
      <c r="I208" s="1">
        <v>21508</v>
      </c>
      <c r="J208" s="1">
        <v>182.60400000000001</v>
      </c>
      <c r="K208" s="1">
        <v>-3.254</v>
      </c>
      <c r="L208" s="1">
        <v>23.863</v>
      </c>
      <c r="M208" s="1" t="s">
        <v>693</v>
      </c>
      <c r="N208" s="1" t="s">
        <v>492</v>
      </c>
      <c r="O208" s="1" t="s">
        <v>694</v>
      </c>
      <c r="P208" s="1" t="s">
        <v>695</v>
      </c>
      <c r="Q208" s="1" t="s">
        <v>246</v>
      </c>
      <c r="R208" s="1" t="s">
        <v>381</v>
      </c>
      <c r="S208" s="1" t="s">
        <v>516</v>
      </c>
    </row>
    <row r="209" spans="1:19" x14ac:dyDescent="0.25">
      <c r="A209" s="1">
        <v>30</v>
      </c>
      <c r="B209" s="1" t="s">
        <v>691</v>
      </c>
      <c r="C209" s="1" t="s">
        <v>432</v>
      </c>
      <c r="D209" s="1" t="s">
        <v>692</v>
      </c>
      <c r="E209" s="1">
        <v>7</v>
      </c>
      <c r="F209" s="1">
        <v>173.245</v>
      </c>
      <c r="G209" s="1">
        <v>14501</v>
      </c>
      <c r="H209" s="1">
        <v>17464</v>
      </c>
      <c r="I209" s="1">
        <v>20185</v>
      </c>
      <c r="J209" s="1">
        <v>170.489</v>
      </c>
      <c r="K209" s="1">
        <v>-3.19</v>
      </c>
      <c r="L209" s="1">
        <v>23.895</v>
      </c>
      <c r="M209" s="1" t="s">
        <v>693</v>
      </c>
      <c r="N209" s="1" t="s">
        <v>492</v>
      </c>
      <c r="O209" s="1" t="s">
        <v>694</v>
      </c>
      <c r="P209" s="1" t="s">
        <v>695</v>
      </c>
      <c r="Q209" s="1" t="s">
        <v>313</v>
      </c>
      <c r="R209" s="1" t="s">
        <v>358</v>
      </c>
      <c r="S209" s="1" t="s">
        <v>696</v>
      </c>
    </row>
    <row r="210" spans="1:19" hidden="1" x14ac:dyDescent="0.25">
      <c r="A210" s="1">
        <v>31</v>
      </c>
      <c r="B210" s="1" t="s">
        <v>697</v>
      </c>
      <c r="C210" s="1" t="s">
        <v>698</v>
      </c>
      <c r="D210" s="1" t="s">
        <v>699</v>
      </c>
      <c r="E210" s="1">
        <v>1</v>
      </c>
      <c r="F210" s="1">
        <v>173.52199999999999</v>
      </c>
      <c r="G210" s="1">
        <v>8871</v>
      </c>
      <c r="H210" s="1">
        <v>10612</v>
      </c>
      <c r="I210" s="1">
        <v>12289</v>
      </c>
      <c r="J210" s="1">
        <v>170.76900000000001</v>
      </c>
      <c r="K210" s="1">
        <v>-5.3929999999999998</v>
      </c>
      <c r="L210" s="1">
        <v>19.111999999999998</v>
      </c>
      <c r="M210" s="1" t="s">
        <v>700</v>
      </c>
      <c r="N210" s="1" t="s">
        <v>492</v>
      </c>
      <c r="O210" s="1" t="s">
        <v>701</v>
      </c>
      <c r="P210" s="1" t="s">
        <v>702</v>
      </c>
      <c r="Q210" s="1" t="s">
        <v>57</v>
      </c>
      <c r="R210" s="1" t="s">
        <v>258</v>
      </c>
      <c r="S210" s="1" t="s">
        <v>139</v>
      </c>
    </row>
    <row r="211" spans="1:19" hidden="1" x14ac:dyDescent="0.25">
      <c r="A211" s="1">
        <v>31</v>
      </c>
      <c r="B211" s="1" t="s">
        <v>697</v>
      </c>
      <c r="C211" s="1" t="s">
        <v>698</v>
      </c>
      <c r="D211" s="1" t="s">
        <v>699</v>
      </c>
      <c r="E211" s="1">
        <v>2</v>
      </c>
      <c r="F211" s="1">
        <v>173.30699999999999</v>
      </c>
      <c r="G211" s="1">
        <v>8965</v>
      </c>
      <c r="H211" s="1">
        <v>10724</v>
      </c>
      <c r="I211" s="1">
        <v>12419</v>
      </c>
      <c r="J211" s="1">
        <v>170.55799999999999</v>
      </c>
      <c r="K211" s="1">
        <v>-5.3920000000000003</v>
      </c>
      <c r="L211" s="1">
        <v>19.071999999999999</v>
      </c>
      <c r="M211" s="1" t="s">
        <v>700</v>
      </c>
      <c r="N211" s="1" t="s">
        <v>492</v>
      </c>
      <c r="O211" s="1" t="s">
        <v>701</v>
      </c>
      <c r="P211" s="1" t="s">
        <v>702</v>
      </c>
      <c r="Q211" s="1" t="s">
        <v>68</v>
      </c>
      <c r="R211" s="1" t="s">
        <v>171</v>
      </c>
      <c r="S211" s="1" t="s">
        <v>286</v>
      </c>
    </row>
    <row r="212" spans="1:19" hidden="1" x14ac:dyDescent="0.25">
      <c r="A212" s="1">
        <v>31</v>
      </c>
      <c r="B212" s="1" t="s">
        <v>697</v>
      </c>
      <c r="C212" s="1" t="s">
        <v>698</v>
      </c>
      <c r="D212" s="1" t="s">
        <v>699</v>
      </c>
      <c r="E212" s="1">
        <v>3</v>
      </c>
      <c r="F212" s="1">
        <v>172.57599999999999</v>
      </c>
      <c r="G212" s="1">
        <v>8928</v>
      </c>
      <c r="H212" s="1">
        <v>10681</v>
      </c>
      <c r="I212" s="1">
        <v>12365</v>
      </c>
      <c r="J212" s="1">
        <v>169.83799999999999</v>
      </c>
      <c r="K212" s="1">
        <v>-5.3920000000000003</v>
      </c>
      <c r="L212" s="1">
        <v>19.091000000000001</v>
      </c>
      <c r="M212" s="1" t="s">
        <v>700</v>
      </c>
      <c r="N212" s="1" t="s">
        <v>492</v>
      </c>
      <c r="O212" s="1" t="s">
        <v>701</v>
      </c>
      <c r="P212" s="1" t="s">
        <v>702</v>
      </c>
      <c r="Q212" s="1" t="s">
        <v>253</v>
      </c>
      <c r="R212" s="1" t="s">
        <v>198</v>
      </c>
      <c r="S212" s="1" t="s">
        <v>142</v>
      </c>
    </row>
    <row r="213" spans="1:19" hidden="1" x14ac:dyDescent="0.25">
      <c r="A213" s="1">
        <v>31</v>
      </c>
      <c r="B213" s="1" t="s">
        <v>697</v>
      </c>
      <c r="C213" s="1" t="s">
        <v>698</v>
      </c>
      <c r="D213" s="1" t="s">
        <v>699</v>
      </c>
      <c r="E213" s="1">
        <v>4</v>
      </c>
      <c r="F213" s="1">
        <v>173.88800000000001</v>
      </c>
      <c r="G213" s="1">
        <v>8937</v>
      </c>
      <c r="H213" s="1">
        <v>10692</v>
      </c>
      <c r="I213" s="1">
        <v>12380</v>
      </c>
      <c r="J213" s="1">
        <v>171.12899999999999</v>
      </c>
      <c r="K213" s="1">
        <v>-5.399</v>
      </c>
      <c r="L213" s="1">
        <v>19.082999999999998</v>
      </c>
      <c r="M213" s="1" t="s">
        <v>700</v>
      </c>
      <c r="N213" s="1" t="s">
        <v>492</v>
      </c>
      <c r="O213" s="1" t="s">
        <v>701</v>
      </c>
      <c r="P213" s="1" t="s">
        <v>702</v>
      </c>
      <c r="Q213" s="1" t="s">
        <v>291</v>
      </c>
      <c r="R213" s="1" t="s">
        <v>328</v>
      </c>
      <c r="S213" s="1" t="s">
        <v>168</v>
      </c>
    </row>
    <row r="214" spans="1:19" hidden="1" x14ac:dyDescent="0.25">
      <c r="A214" s="1">
        <v>31</v>
      </c>
      <c r="B214" s="1" t="s">
        <v>697</v>
      </c>
      <c r="C214" s="1" t="s">
        <v>698</v>
      </c>
      <c r="D214" s="1" t="s">
        <v>699</v>
      </c>
      <c r="E214" s="1">
        <v>5</v>
      </c>
      <c r="F214" s="1">
        <v>130.62</v>
      </c>
      <c r="G214" s="1">
        <v>10147</v>
      </c>
      <c r="H214" s="1">
        <v>12199</v>
      </c>
      <c r="I214" s="1">
        <v>14122</v>
      </c>
      <c r="J214" s="1">
        <v>128.542</v>
      </c>
      <c r="K214" s="1">
        <v>-3.383</v>
      </c>
      <c r="L214" s="1">
        <v>23.701000000000001</v>
      </c>
      <c r="M214" s="1" t="s">
        <v>700</v>
      </c>
      <c r="N214" s="1" t="s">
        <v>492</v>
      </c>
      <c r="O214" s="1" t="s">
        <v>701</v>
      </c>
      <c r="P214" s="1" t="s">
        <v>702</v>
      </c>
      <c r="Q214" s="1" t="s">
        <v>217</v>
      </c>
      <c r="R214" s="1" t="s">
        <v>182</v>
      </c>
      <c r="S214" s="1" t="s">
        <v>137</v>
      </c>
    </row>
    <row r="215" spans="1:19" x14ac:dyDescent="0.25">
      <c r="A215" s="1">
        <v>31</v>
      </c>
      <c r="B215" s="1" t="s">
        <v>697</v>
      </c>
      <c r="C215" s="1" t="s">
        <v>698</v>
      </c>
      <c r="D215" s="1" t="s">
        <v>699</v>
      </c>
      <c r="E215" s="1">
        <v>6</v>
      </c>
      <c r="F215" s="1">
        <v>114.96</v>
      </c>
      <c r="G215" s="1">
        <v>9054</v>
      </c>
      <c r="H215" s="1">
        <v>10883</v>
      </c>
      <c r="I215" s="1">
        <v>12602</v>
      </c>
      <c r="J215" s="1">
        <v>113.131</v>
      </c>
      <c r="K215" s="1">
        <v>-3.3250000000000002</v>
      </c>
      <c r="L215" s="1">
        <v>23.881</v>
      </c>
      <c r="M215" s="1" t="s">
        <v>700</v>
      </c>
      <c r="N215" s="1" t="s">
        <v>492</v>
      </c>
      <c r="O215" s="1" t="s">
        <v>701</v>
      </c>
      <c r="P215" s="1" t="s">
        <v>702</v>
      </c>
      <c r="Q215" s="1" t="s">
        <v>53</v>
      </c>
      <c r="R215" s="1" t="s">
        <v>165</v>
      </c>
      <c r="S215" s="1" t="s">
        <v>262</v>
      </c>
    </row>
    <row r="216" spans="1:19" x14ac:dyDescent="0.25">
      <c r="A216" s="1">
        <v>31</v>
      </c>
      <c r="B216" s="1" t="s">
        <v>697</v>
      </c>
      <c r="C216" s="1" t="s">
        <v>698</v>
      </c>
      <c r="D216" s="1" t="s">
        <v>699</v>
      </c>
      <c r="E216" s="1">
        <v>7</v>
      </c>
      <c r="F216" s="1">
        <v>106.861</v>
      </c>
      <c r="G216" s="1">
        <v>8447</v>
      </c>
      <c r="H216" s="1">
        <v>10153</v>
      </c>
      <c r="I216" s="1">
        <v>11760</v>
      </c>
      <c r="J216" s="1">
        <v>105.161</v>
      </c>
      <c r="K216" s="1">
        <v>-3.2810000000000001</v>
      </c>
      <c r="L216" s="1">
        <v>23.882999999999999</v>
      </c>
      <c r="M216" s="1" t="s">
        <v>700</v>
      </c>
      <c r="N216" s="1" t="s">
        <v>492</v>
      </c>
      <c r="O216" s="1" t="s">
        <v>701</v>
      </c>
      <c r="P216" s="1" t="s">
        <v>702</v>
      </c>
      <c r="Q216" s="1" t="s">
        <v>437</v>
      </c>
      <c r="R216" s="1" t="s">
        <v>703</v>
      </c>
      <c r="S216" s="1" t="s">
        <v>484</v>
      </c>
    </row>
    <row r="217" spans="1:19" hidden="1" x14ac:dyDescent="0.25">
      <c r="A217" s="1">
        <v>32</v>
      </c>
      <c r="B217" s="1" t="s">
        <v>704</v>
      </c>
      <c r="C217" s="1" t="s">
        <v>278</v>
      </c>
      <c r="D217" s="1" t="s">
        <v>705</v>
      </c>
      <c r="E217" s="1">
        <v>1</v>
      </c>
      <c r="F217" s="1">
        <v>174.63200000000001</v>
      </c>
      <c r="G217" s="1">
        <v>8930</v>
      </c>
      <c r="H217" s="1">
        <v>10684</v>
      </c>
      <c r="I217" s="1">
        <v>12369</v>
      </c>
      <c r="J217" s="1">
        <v>171.86099999999999</v>
      </c>
      <c r="K217" s="1">
        <v>-5.39</v>
      </c>
      <c r="L217" s="1">
        <v>19.077999999999999</v>
      </c>
      <c r="M217" s="1" t="s">
        <v>706</v>
      </c>
      <c r="N217" s="1" t="s">
        <v>492</v>
      </c>
      <c r="O217" s="1" t="s">
        <v>707</v>
      </c>
      <c r="P217" s="1" t="s">
        <v>708</v>
      </c>
      <c r="Q217" s="1" t="s">
        <v>83</v>
      </c>
      <c r="R217" s="1" t="s">
        <v>84</v>
      </c>
      <c r="S217" s="1" t="s">
        <v>223</v>
      </c>
    </row>
    <row r="218" spans="1:19" hidden="1" x14ac:dyDescent="0.25">
      <c r="A218" s="1">
        <v>32</v>
      </c>
      <c r="B218" s="1" t="s">
        <v>704</v>
      </c>
      <c r="C218" s="1" t="s">
        <v>278</v>
      </c>
      <c r="D218" s="1" t="s">
        <v>705</v>
      </c>
      <c r="E218" s="1">
        <v>2</v>
      </c>
      <c r="F218" s="1">
        <v>171.24</v>
      </c>
      <c r="G218" s="1">
        <v>8850</v>
      </c>
      <c r="H218" s="1">
        <v>10587</v>
      </c>
      <c r="I218" s="1">
        <v>12258</v>
      </c>
      <c r="J218" s="1">
        <v>168.523</v>
      </c>
      <c r="K218" s="1">
        <v>-5.391</v>
      </c>
      <c r="L218" s="1">
        <v>19.085000000000001</v>
      </c>
      <c r="M218" s="1" t="s">
        <v>706</v>
      </c>
      <c r="N218" s="1" t="s">
        <v>492</v>
      </c>
      <c r="O218" s="1" t="s">
        <v>707</v>
      </c>
      <c r="P218" s="1" t="s">
        <v>708</v>
      </c>
      <c r="Q218" s="1" t="s">
        <v>113</v>
      </c>
      <c r="R218" s="1" t="s">
        <v>193</v>
      </c>
      <c r="S218" s="1" t="s">
        <v>155</v>
      </c>
    </row>
    <row r="219" spans="1:19" hidden="1" x14ac:dyDescent="0.25">
      <c r="A219" s="1">
        <v>32</v>
      </c>
      <c r="B219" s="1" t="s">
        <v>704</v>
      </c>
      <c r="C219" s="1" t="s">
        <v>278</v>
      </c>
      <c r="D219" s="1" t="s">
        <v>705</v>
      </c>
      <c r="E219" s="1">
        <v>3</v>
      </c>
      <c r="F219" s="1">
        <v>173.88200000000001</v>
      </c>
      <c r="G219" s="1">
        <v>8979</v>
      </c>
      <c r="H219" s="1">
        <v>10741</v>
      </c>
      <c r="I219" s="1">
        <v>12435</v>
      </c>
      <c r="J219" s="1">
        <v>171.12299999999999</v>
      </c>
      <c r="K219" s="1">
        <v>-5.4020000000000001</v>
      </c>
      <c r="L219" s="1">
        <v>19.065000000000001</v>
      </c>
      <c r="M219" s="1" t="s">
        <v>706</v>
      </c>
      <c r="N219" s="1" t="s">
        <v>492</v>
      </c>
      <c r="O219" s="1" t="s">
        <v>707</v>
      </c>
      <c r="P219" s="1" t="s">
        <v>708</v>
      </c>
      <c r="Q219" s="1" t="s">
        <v>223</v>
      </c>
      <c r="R219" s="1" t="s">
        <v>154</v>
      </c>
      <c r="S219" s="1" t="s">
        <v>311</v>
      </c>
    </row>
    <row r="220" spans="1:19" hidden="1" x14ac:dyDescent="0.25">
      <c r="A220" s="1">
        <v>32</v>
      </c>
      <c r="B220" s="1" t="s">
        <v>704</v>
      </c>
      <c r="C220" s="1" t="s">
        <v>278</v>
      </c>
      <c r="D220" s="1" t="s">
        <v>705</v>
      </c>
      <c r="E220" s="1">
        <v>4</v>
      </c>
      <c r="F220" s="1">
        <v>171.959</v>
      </c>
      <c r="G220" s="1">
        <v>8849</v>
      </c>
      <c r="H220" s="1">
        <v>10586</v>
      </c>
      <c r="I220" s="1">
        <v>12257</v>
      </c>
      <c r="J220" s="1">
        <v>169.23099999999999</v>
      </c>
      <c r="K220" s="1">
        <v>-5.399</v>
      </c>
      <c r="L220" s="1">
        <v>19.082999999999998</v>
      </c>
      <c r="M220" s="1" t="s">
        <v>706</v>
      </c>
      <c r="N220" s="1" t="s">
        <v>492</v>
      </c>
      <c r="O220" s="1" t="s">
        <v>707</v>
      </c>
      <c r="P220" s="1" t="s">
        <v>708</v>
      </c>
      <c r="Q220" s="1" t="s">
        <v>68</v>
      </c>
      <c r="R220" s="1" t="s">
        <v>171</v>
      </c>
      <c r="S220" s="1" t="s">
        <v>286</v>
      </c>
    </row>
    <row r="221" spans="1:19" hidden="1" x14ac:dyDescent="0.25">
      <c r="A221" s="1">
        <v>32</v>
      </c>
      <c r="B221" s="1" t="s">
        <v>704</v>
      </c>
      <c r="C221" s="1" t="s">
        <v>278</v>
      </c>
      <c r="D221" s="1" t="s">
        <v>705</v>
      </c>
      <c r="E221" s="1">
        <v>5</v>
      </c>
      <c r="F221" s="1">
        <v>154.952</v>
      </c>
      <c r="G221" s="1">
        <v>12734</v>
      </c>
      <c r="H221" s="1">
        <v>15323</v>
      </c>
      <c r="I221" s="1">
        <v>17725</v>
      </c>
      <c r="J221" s="1">
        <v>152.48699999999999</v>
      </c>
      <c r="K221" s="1">
        <v>-3.4860000000000002</v>
      </c>
      <c r="L221" s="1">
        <v>23.722999999999999</v>
      </c>
      <c r="M221" s="1" t="s">
        <v>706</v>
      </c>
      <c r="N221" s="1" t="s">
        <v>492</v>
      </c>
      <c r="O221" s="1" t="s">
        <v>707</v>
      </c>
      <c r="P221" s="1" t="s">
        <v>708</v>
      </c>
      <c r="Q221" s="1" t="s">
        <v>210</v>
      </c>
      <c r="R221" s="1" t="s">
        <v>214</v>
      </c>
      <c r="S221" s="1" t="s">
        <v>215</v>
      </c>
    </row>
    <row r="222" spans="1:19" x14ac:dyDescent="0.25">
      <c r="A222" s="1">
        <v>32</v>
      </c>
      <c r="B222" s="1" t="s">
        <v>704</v>
      </c>
      <c r="C222" s="1" t="s">
        <v>278</v>
      </c>
      <c r="D222" s="1" t="s">
        <v>705</v>
      </c>
      <c r="E222" s="1">
        <v>6</v>
      </c>
      <c r="F222" s="1">
        <v>137.49799999999999</v>
      </c>
      <c r="G222" s="1">
        <v>11395</v>
      </c>
      <c r="H222" s="1">
        <v>13703</v>
      </c>
      <c r="I222" s="1">
        <v>15862</v>
      </c>
      <c r="J222" s="1">
        <v>135.31</v>
      </c>
      <c r="K222" s="1">
        <v>-3.419</v>
      </c>
      <c r="L222" s="1">
        <v>23.831</v>
      </c>
      <c r="M222" s="1" t="s">
        <v>706</v>
      </c>
      <c r="N222" s="1" t="s">
        <v>492</v>
      </c>
      <c r="O222" s="1" t="s">
        <v>707</v>
      </c>
      <c r="P222" s="1" t="s">
        <v>708</v>
      </c>
      <c r="Q222" s="1" t="s">
        <v>152</v>
      </c>
      <c r="R222" s="1" t="s">
        <v>262</v>
      </c>
      <c r="S222" s="1" t="s">
        <v>123</v>
      </c>
    </row>
    <row r="223" spans="1:19" x14ac:dyDescent="0.25">
      <c r="A223" s="1">
        <v>32</v>
      </c>
      <c r="B223" s="1" t="s">
        <v>704</v>
      </c>
      <c r="C223" s="1" t="s">
        <v>278</v>
      </c>
      <c r="D223" s="1" t="s">
        <v>705</v>
      </c>
      <c r="E223" s="1">
        <v>7</v>
      </c>
      <c r="F223" s="1">
        <v>128.072</v>
      </c>
      <c r="G223" s="1">
        <v>10609</v>
      </c>
      <c r="H223" s="1">
        <v>12755</v>
      </c>
      <c r="I223" s="1">
        <v>14770</v>
      </c>
      <c r="J223" s="1">
        <v>126.03400000000001</v>
      </c>
      <c r="K223" s="1">
        <v>-3.3570000000000002</v>
      </c>
      <c r="L223" s="1">
        <v>23.853999999999999</v>
      </c>
      <c r="M223" s="1" t="s">
        <v>706</v>
      </c>
      <c r="N223" s="1" t="s">
        <v>492</v>
      </c>
      <c r="O223" s="1" t="s">
        <v>707</v>
      </c>
      <c r="P223" s="1" t="s">
        <v>708</v>
      </c>
      <c r="Q223" s="1" t="s">
        <v>709</v>
      </c>
      <c r="R223" s="1" t="s">
        <v>547</v>
      </c>
      <c r="S223" s="1" t="s">
        <v>710</v>
      </c>
    </row>
    <row r="224" spans="1:19" hidden="1" x14ac:dyDescent="0.25">
      <c r="A224" s="1">
        <v>33</v>
      </c>
      <c r="B224" s="1" t="s">
        <v>711</v>
      </c>
      <c r="C224" s="1" t="s">
        <v>412</v>
      </c>
      <c r="D224" s="1" t="s">
        <v>712</v>
      </c>
      <c r="E224" s="1">
        <v>1</v>
      </c>
      <c r="F224" s="1">
        <v>172.87899999999999</v>
      </c>
      <c r="G224" s="1">
        <v>8843</v>
      </c>
      <c r="H224" s="1">
        <v>10578</v>
      </c>
      <c r="I224" s="1">
        <v>12249</v>
      </c>
      <c r="J224" s="1">
        <v>170.136</v>
      </c>
      <c r="K224" s="1">
        <v>-5.3979999999999997</v>
      </c>
      <c r="L224" s="1">
        <v>19.100000000000001</v>
      </c>
      <c r="M224" s="1" t="s">
        <v>409</v>
      </c>
      <c r="N224" s="1" t="s">
        <v>492</v>
      </c>
      <c r="O224" s="1" t="s">
        <v>713</v>
      </c>
      <c r="P224" s="1" t="s">
        <v>714</v>
      </c>
      <c r="Q224" s="1" t="s">
        <v>62</v>
      </c>
      <c r="R224" s="1" t="s">
        <v>92</v>
      </c>
      <c r="S224" s="1" t="s">
        <v>68</v>
      </c>
    </row>
    <row r="225" spans="1:19" hidden="1" x14ac:dyDescent="0.25">
      <c r="A225" s="1">
        <v>33</v>
      </c>
      <c r="B225" s="1" t="s">
        <v>711</v>
      </c>
      <c r="C225" s="1" t="s">
        <v>412</v>
      </c>
      <c r="D225" s="1" t="s">
        <v>712</v>
      </c>
      <c r="E225" s="1">
        <v>2</v>
      </c>
      <c r="F225" s="1">
        <v>171.809</v>
      </c>
      <c r="G225" s="1">
        <v>8882</v>
      </c>
      <c r="H225" s="1">
        <v>10626</v>
      </c>
      <c r="I225" s="1">
        <v>12303</v>
      </c>
      <c r="J225" s="1">
        <v>169.083</v>
      </c>
      <c r="K225" s="1">
        <v>-5.3840000000000003</v>
      </c>
      <c r="L225" s="1">
        <v>19.085999999999999</v>
      </c>
      <c r="M225" s="1" t="s">
        <v>409</v>
      </c>
      <c r="N225" s="1" t="s">
        <v>492</v>
      </c>
      <c r="O225" s="1" t="s">
        <v>713</v>
      </c>
      <c r="P225" s="1" t="s">
        <v>714</v>
      </c>
      <c r="Q225" s="1" t="s">
        <v>283</v>
      </c>
      <c r="R225" s="1" t="s">
        <v>103</v>
      </c>
      <c r="S225" s="1" t="s">
        <v>354</v>
      </c>
    </row>
    <row r="226" spans="1:19" hidden="1" x14ac:dyDescent="0.25">
      <c r="A226" s="1">
        <v>33</v>
      </c>
      <c r="B226" s="1" t="s">
        <v>711</v>
      </c>
      <c r="C226" s="1" t="s">
        <v>412</v>
      </c>
      <c r="D226" s="1" t="s">
        <v>712</v>
      </c>
      <c r="E226" s="1">
        <v>3</v>
      </c>
      <c r="F226" s="1">
        <v>173.17599999999999</v>
      </c>
      <c r="G226" s="1">
        <v>8943</v>
      </c>
      <c r="H226" s="1">
        <v>10698</v>
      </c>
      <c r="I226" s="1">
        <v>12388</v>
      </c>
      <c r="J226" s="1">
        <v>170.429</v>
      </c>
      <c r="K226" s="1">
        <v>-5.399</v>
      </c>
      <c r="L226" s="1">
        <v>19.111000000000001</v>
      </c>
      <c r="M226" s="1" t="s">
        <v>409</v>
      </c>
      <c r="N226" s="1" t="s">
        <v>492</v>
      </c>
      <c r="O226" s="1" t="s">
        <v>713</v>
      </c>
      <c r="P226" s="1" t="s">
        <v>714</v>
      </c>
      <c r="Q226" s="1" t="s">
        <v>276</v>
      </c>
      <c r="R226" s="1" t="s">
        <v>173</v>
      </c>
      <c r="S226" s="1" t="s">
        <v>277</v>
      </c>
    </row>
    <row r="227" spans="1:19" hidden="1" x14ac:dyDescent="0.25">
      <c r="A227" s="1">
        <v>33</v>
      </c>
      <c r="B227" s="1" t="s">
        <v>711</v>
      </c>
      <c r="C227" s="1" t="s">
        <v>412</v>
      </c>
      <c r="D227" s="1" t="s">
        <v>712</v>
      </c>
      <c r="E227" s="1">
        <v>4</v>
      </c>
      <c r="F227" s="1">
        <v>173.185</v>
      </c>
      <c r="G227" s="1">
        <v>8908</v>
      </c>
      <c r="H227" s="1">
        <v>10657</v>
      </c>
      <c r="I227" s="1">
        <v>12338</v>
      </c>
      <c r="J227" s="1">
        <v>170.43799999999999</v>
      </c>
      <c r="K227" s="1">
        <v>-5.399</v>
      </c>
      <c r="L227" s="1">
        <v>19.082999999999998</v>
      </c>
      <c r="M227" s="1" t="s">
        <v>409</v>
      </c>
      <c r="N227" s="1" t="s">
        <v>492</v>
      </c>
      <c r="O227" s="1" t="s">
        <v>713</v>
      </c>
      <c r="P227" s="1" t="s">
        <v>714</v>
      </c>
      <c r="Q227" s="1" t="s">
        <v>254</v>
      </c>
      <c r="R227" s="1" t="s">
        <v>262</v>
      </c>
      <c r="S227" s="1" t="s">
        <v>123</v>
      </c>
    </row>
    <row r="228" spans="1:19" hidden="1" x14ac:dyDescent="0.25">
      <c r="A228" s="1">
        <v>33</v>
      </c>
      <c r="B228" s="1" t="s">
        <v>711</v>
      </c>
      <c r="C228" s="1" t="s">
        <v>412</v>
      </c>
      <c r="D228" s="1" t="s">
        <v>712</v>
      </c>
      <c r="E228" s="1">
        <v>5</v>
      </c>
      <c r="F228" s="1">
        <v>189.83099999999999</v>
      </c>
      <c r="G228" s="1">
        <v>14887</v>
      </c>
      <c r="H228" s="1">
        <v>17921</v>
      </c>
      <c r="I228" s="1">
        <v>20717</v>
      </c>
      <c r="J228" s="1">
        <v>186.81200000000001</v>
      </c>
      <c r="K228" s="1">
        <v>-3.5329999999999999</v>
      </c>
      <c r="L228" s="1">
        <v>23.661999999999999</v>
      </c>
      <c r="M228" s="1" t="s">
        <v>409</v>
      </c>
      <c r="N228" s="1" t="s">
        <v>492</v>
      </c>
      <c r="O228" s="1" t="s">
        <v>713</v>
      </c>
      <c r="P228" s="1" t="s">
        <v>714</v>
      </c>
      <c r="Q228" s="1" t="s">
        <v>210</v>
      </c>
      <c r="R228" s="1" t="s">
        <v>214</v>
      </c>
      <c r="S228" s="1" t="s">
        <v>184</v>
      </c>
    </row>
    <row r="229" spans="1:19" x14ac:dyDescent="0.25">
      <c r="A229" s="1">
        <v>33</v>
      </c>
      <c r="B229" s="1" t="s">
        <v>711</v>
      </c>
      <c r="C229" s="1" t="s">
        <v>412</v>
      </c>
      <c r="D229" s="1" t="s">
        <v>712</v>
      </c>
      <c r="E229" s="1">
        <v>6</v>
      </c>
      <c r="F229" s="1">
        <v>167.04400000000001</v>
      </c>
      <c r="G229" s="1">
        <v>13273</v>
      </c>
      <c r="H229" s="1">
        <v>15976</v>
      </c>
      <c r="I229" s="1">
        <v>18472</v>
      </c>
      <c r="J229" s="1">
        <v>164.387</v>
      </c>
      <c r="K229" s="1">
        <v>-3.4460000000000002</v>
      </c>
      <c r="L229" s="1">
        <v>23.771999999999998</v>
      </c>
      <c r="M229" s="1" t="s">
        <v>409</v>
      </c>
      <c r="N229" s="1" t="s">
        <v>492</v>
      </c>
      <c r="O229" s="1" t="s">
        <v>713</v>
      </c>
      <c r="P229" s="1" t="s">
        <v>714</v>
      </c>
      <c r="Q229" s="1" t="s">
        <v>161</v>
      </c>
      <c r="R229" s="1" t="s">
        <v>266</v>
      </c>
      <c r="S229" s="1" t="s">
        <v>305</v>
      </c>
    </row>
    <row r="230" spans="1:19" x14ac:dyDescent="0.25">
      <c r="A230" s="1">
        <v>33</v>
      </c>
      <c r="B230" s="1" t="s">
        <v>711</v>
      </c>
      <c r="C230" s="1" t="s">
        <v>412</v>
      </c>
      <c r="D230" s="1" t="s">
        <v>712</v>
      </c>
      <c r="E230" s="1">
        <v>7</v>
      </c>
      <c r="F230" s="1">
        <v>155.358</v>
      </c>
      <c r="G230" s="1">
        <v>12377</v>
      </c>
      <c r="H230" s="1">
        <v>14893</v>
      </c>
      <c r="I230" s="1">
        <v>17228</v>
      </c>
      <c r="J230" s="1">
        <v>152.886</v>
      </c>
      <c r="K230" s="1">
        <v>-3.4359999999999999</v>
      </c>
      <c r="L230" s="1">
        <v>23.795999999999999</v>
      </c>
      <c r="M230" s="1" t="s">
        <v>409</v>
      </c>
      <c r="N230" s="1" t="s">
        <v>492</v>
      </c>
      <c r="O230" s="1" t="s">
        <v>713</v>
      </c>
      <c r="P230" s="1" t="s">
        <v>714</v>
      </c>
      <c r="Q230" s="1" t="s">
        <v>715</v>
      </c>
      <c r="R230" s="1" t="s">
        <v>599</v>
      </c>
      <c r="S230" s="1" t="s">
        <v>358</v>
      </c>
    </row>
    <row r="231" spans="1:19" hidden="1" x14ac:dyDescent="0.25">
      <c r="A231" s="1">
        <v>34</v>
      </c>
      <c r="B231" s="1" t="s">
        <v>716</v>
      </c>
      <c r="C231" s="1" t="s">
        <v>476</v>
      </c>
      <c r="D231" s="1" t="s">
        <v>717</v>
      </c>
      <c r="E231" s="1">
        <v>1</v>
      </c>
      <c r="F231" s="1">
        <v>175.19499999999999</v>
      </c>
      <c r="G231" s="1">
        <v>8928</v>
      </c>
      <c r="H231" s="1">
        <v>10681</v>
      </c>
      <c r="I231" s="1">
        <v>12360</v>
      </c>
      <c r="J231" s="1">
        <v>172.416</v>
      </c>
      <c r="K231" s="1">
        <v>-5.3730000000000002</v>
      </c>
      <c r="L231" s="1">
        <v>19.09</v>
      </c>
      <c r="M231" s="1" t="s">
        <v>718</v>
      </c>
      <c r="N231" s="1" t="s">
        <v>492</v>
      </c>
      <c r="O231" s="1" t="s">
        <v>719</v>
      </c>
      <c r="P231" s="1" t="s">
        <v>720</v>
      </c>
      <c r="Q231" s="1" t="s">
        <v>52</v>
      </c>
      <c r="R231" s="1" t="s">
        <v>59</v>
      </c>
      <c r="S231" s="1" t="s">
        <v>138</v>
      </c>
    </row>
    <row r="232" spans="1:19" hidden="1" x14ac:dyDescent="0.25">
      <c r="A232" s="1">
        <v>34</v>
      </c>
      <c r="B232" s="1" t="s">
        <v>716</v>
      </c>
      <c r="C232" s="1" t="s">
        <v>476</v>
      </c>
      <c r="D232" s="1" t="s">
        <v>717</v>
      </c>
      <c r="E232" s="1">
        <v>2</v>
      </c>
      <c r="F232" s="1">
        <v>173.517</v>
      </c>
      <c r="G232" s="1">
        <v>8963</v>
      </c>
      <c r="H232" s="1">
        <v>10724</v>
      </c>
      <c r="I232" s="1">
        <v>12409</v>
      </c>
      <c r="J232" s="1">
        <v>170.76400000000001</v>
      </c>
      <c r="K232" s="1">
        <v>-5.375</v>
      </c>
      <c r="L232" s="1">
        <v>19.065000000000001</v>
      </c>
      <c r="M232" s="1" t="s">
        <v>718</v>
      </c>
      <c r="N232" s="1" t="s">
        <v>492</v>
      </c>
      <c r="O232" s="1" t="s">
        <v>719</v>
      </c>
      <c r="P232" s="1" t="s">
        <v>720</v>
      </c>
      <c r="Q232" s="1" t="s">
        <v>276</v>
      </c>
      <c r="R232" s="1" t="s">
        <v>257</v>
      </c>
      <c r="S232" s="1" t="s">
        <v>163</v>
      </c>
    </row>
    <row r="233" spans="1:19" hidden="1" x14ac:dyDescent="0.25">
      <c r="A233" s="1">
        <v>34</v>
      </c>
      <c r="B233" s="1" t="s">
        <v>716</v>
      </c>
      <c r="C233" s="1" t="s">
        <v>476</v>
      </c>
      <c r="D233" s="1" t="s">
        <v>717</v>
      </c>
      <c r="E233" s="1">
        <v>3</v>
      </c>
      <c r="F233" s="1">
        <v>174.02099999999999</v>
      </c>
      <c r="G233" s="1">
        <v>8997</v>
      </c>
      <c r="H233" s="1">
        <v>10765</v>
      </c>
      <c r="I233" s="1">
        <v>12456</v>
      </c>
      <c r="J233" s="1">
        <v>171.26</v>
      </c>
      <c r="K233" s="1">
        <v>-5.3879999999999999</v>
      </c>
      <c r="L233" s="1">
        <v>19.084</v>
      </c>
      <c r="M233" s="1" t="s">
        <v>718</v>
      </c>
      <c r="N233" s="1" t="s">
        <v>492</v>
      </c>
      <c r="O233" s="1" t="s">
        <v>719</v>
      </c>
      <c r="P233" s="1" t="s">
        <v>720</v>
      </c>
      <c r="Q233" s="1" t="s">
        <v>147</v>
      </c>
      <c r="R233" s="1" t="s">
        <v>198</v>
      </c>
      <c r="S233" s="1" t="s">
        <v>295</v>
      </c>
    </row>
    <row r="234" spans="1:19" hidden="1" x14ac:dyDescent="0.25">
      <c r="A234" s="1">
        <v>34</v>
      </c>
      <c r="B234" s="1" t="s">
        <v>716</v>
      </c>
      <c r="C234" s="1" t="s">
        <v>476</v>
      </c>
      <c r="D234" s="1" t="s">
        <v>717</v>
      </c>
      <c r="E234" s="1">
        <v>4</v>
      </c>
      <c r="F234" s="1">
        <v>173.822</v>
      </c>
      <c r="G234" s="1">
        <v>8946</v>
      </c>
      <c r="H234" s="1">
        <v>10703</v>
      </c>
      <c r="I234" s="1">
        <v>12385</v>
      </c>
      <c r="J234" s="1">
        <v>171.06399999999999</v>
      </c>
      <c r="K234" s="1">
        <v>-5.399</v>
      </c>
      <c r="L234" s="1">
        <v>19.082999999999998</v>
      </c>
      <c r="M234" s="1" t="s">
        <v>718</v>
      </c>
      <c r="N234" s="1" t="s">
        <v>492</v>
      </c>
      <c r="O234" s="1" t="s">
        <v>719</v>
      </c>
      <c r="P234" s="1" t="s">
        <v>720</v>
      </c>
      <c r="Q234" s="1" t="s">
        <v>291</v>
      </c>
      <c r="R234" s="1" t="s">
        <v>328</v>
      </c>
      <c r="S234" s="1" t="s">
        <v>168</v>
      </c>
    </row>
    <row r="235" spans="1:19" hidden="1" x14ac:dyDescent="0.25">
      <c r="A235" s="1">
        <v>34</v>
      </c>
      <c r="B235" s="1" t="s">
        <v>716</v>
      </c>
      <c r="C235" s="1" t="s">
        <v>476</v>
      </c>
      <c r="D235" s="1" t="s">
        <v>717</v>
      </c>
      <c r="E235" s="1">
        <v>5</v>
      </c>
      <c r="F235" s="1">
        <v>149.03</v>
      </c>
      <c r="G235" s="1">
        <v>12132</v>
      </c>
      <c r="H235" s="1">
        <v>14583</v>
      </c>
      <c r="I235" s="1">
        <v>16881</v>
      </c>
      <c r="J235" s="1">
        <v>146.661</v>
      </c>
      <c r="K235" s="1">
        <v>-4.0949999999999998</v>
      </c>
      <c r="L235" s="1">
        <v>23.77</v>
      </c>
      <c r="M235" s="1" t="s">
        <v>718</v>
      </c>
      <c r="N235" s="1" t="s">
        <v>492</v>
      </c>
      <c r="O235" s="1" t="s">
        <v>719</v>
      </c>
      <c r="P235" s="1" t="s">
        <v>720</v>
      </c>
      <c r="Q235" s="1" t="s">
        <v>200</v>
      </c>
      <c r="R235" s="1" t="s">
        <v>145</v>
      </c>
      <c r="S235" s="1" t="s">
        <v>117</v>
      </c>
    </row>
    <row r="236" spans="1:19" x14ac:dyDescent="0.25">
      <c r="A236" s="1">
        <v>34</v>
      </c>
      <c r="B236" s="1" t="s">
        <v>716</v>
      </c>
      <c r="C236" s="1" t="s">
        <v>476</v>
      </c>
      <c r="D236" s="1" t="s">
        <v>717</v>
      </c>
      <c r="E236" s="1">
        <v>6</v>
      </c>
      <c r="F236" s="1">
        <v>131.36000000000001</v>
      </c>
      <c r="G236" s="1">
        <v>10693</v>
      </c>
      <c r="H236" s="1">
        <v>12845</v>
      </c>
      <c r="I236" s="1">
        <v>14878</v>
      </c>
      <c r="J236" s="1">
        <v>129.27099999999999</v>
      </c>
      <c r="K236" s="1">
        <v>-4.0330000000000004</v>
      </c>
      <c r="L236" s="1">
        <v>23.922999999999998</v>
      </c>
      <c r="M236" s="1" t="s">
        <v>718</v>
      </c>
      <c r="N236" s="1" t="s">
        <v>492</v>
      </c>
      <c r="O236" s="1" t="s">
        <v>719</v>
      </c>
      <c r="P236" s="1" t="s">
        <v>720</v>
      </c>
      <c r="Q236" s="1" t="s">
        <v>256</v>
      </c>
      <c r="R236" s="1" t="s">
        <v>302</v>
      </c>
      <c r="S236" s="1" t="s">
        <v>135</v>
      </c>
    </row>
    <row r="237" spans="1:19" x14ac:dyDescent="0.25">
      <c r="A237" s="1">
        <v>34</v>
      </c>
      <c r="B237" s="1" t="s">
        <v>716</v>
      </c>
      <c r="C237" s="1" t="s">
        <v>476</v>
      </c>
      <c r="D237" s="1" t="s">
        <v>717</v>
      </c>
      <c r="E237" s="1">
        <v>7</v>
      </c>
      <c r="F237" s="1">
        <v>122.139</v>
      </c>
      <c r="G237" s="1">
        <v>9897</v>
      </c>
      <c r="H237" s="1">
        <v>11889</v>
      </c>
      <c r="I237" s="1">
        <v>13775</v>
      </c>
      <c r="J237" s="1">
        <v>120.197</v>
      </c>
      <c r="K237" s="1">
        <v>-3.964</v>
      </c>
      <c r="L237" s="1">
        <v>24.004999999999999</v>
      </c>
      <c r="M237" s="1" t="s">
        <v>718</v>
      </c>
      <c r="N237" s="1" t="s">
        <v>492</v>
      </c>
      <c r="O237" s="1" t="s">
        <v>719</v>
      </c>
      <c r="P237" s="1" t="s">
        <v>720</v>
      </c>
      <c r="Q237" s="1" t="s">
        <v>500</v>
      </c>
      <c r="R237" s="1" t="s">
        <v>501</v>
      </c>
      <c r="S237" s="1" t="s">
        <v>417</v>
      </c>
    </row>
    <row r="238" spans="1:19" hidden="1" x14ac:dyDescent="0.25">
      <c r="A238" s="1">
        <v>35</v>
      </c>
      <c r="B238" s="1" t="s">
        <v>721</v>
      </c>
      <c r="C238" s="1" t="s">
        <v>722</v>
      </c>
      <c r="D238" s="1" t="s">
        <v>723</v>
      </c>
      <c r="E238" s="1">
        <v>1</v>
      </c>
      <c r="F238" s="1">
        <v>173.541</v>
      </c>
      <c r="G238" s="1">
        <v>8857</v>
      </c>
      <c r="H238" s="1">
        <v>10598</v>
      </c>
      <c r="I238" s="1">
        <v>12264</v>
      </c>
      <c r="J238" s="1">
        <v>170.78800000000001</v>
      </c>
      <c r="K238" s="1">
        <v>-5.4020000000000001</v>
      </c>
      <c r="L238" s="1">
        <v>19.100000000000001</v>
      </c>
      <c r="M238" s="1" t="s">
        <v>724</v>
      </c>
      <c r="N238" s="1" t="s">
        <v>725</v>
      </c>
      <c r="O238" s="1" t="s">
        <v>726</v>
      </c>
      <c r="P238" s="1" t="s">
        <v>727</v>
      </c>
      <c r="Q238" s="1" t="s">
        <v>62</v>
      </c>
      <c r="R238" s="1" t="s">
        <v>88</v>
      </c>
      <c r="S238" s="1" t="s">
        <v>276</v>
      </c>
    </row>
    <row r="239" spans="1:19" hidden="1" x14ac:dyDescent="0.25">
      <c r="A239" s="1">
        <v>35</v>
      </c>
      <c r="B239" s="1" t="s">
        <v>721</v>
      </c>
      <c r="C239" s="1" t="s">
        <v>722</v>
      </c>
      <c r="D239" s="1" t="s">
        <v>723</v>
      </c>
      <c r="E239" s="1">
        <v>2</v>
      </c>
      <c r="F239" s="1">
        <v>171.76900000000001</v>
      </c>
      <c r="G239" s="1">
        <v>8890</v>
      </c>
      <c r="H239" s="1">
        <v>10637</v>
      </c>
      <c r="I239" s="1">
        <v>12309</v>
      </c>
      <c r="J239" s="1">
        <v>169.04400000000001</v>
      </c>
      <c r="K239" s="1">
        <v>-5.3890000000000002</v>
      </c>
      <c r="L239" s="1">
        <v>19.059000000000001</v>
      </c>
      <c r="M239" s="1" t="s">
        <v>724</v>
      </c>
      <c r="N239" s="1" t="s">
        <v>725</v>
      </c>
      <c r="O239" s="1" t="s">
        <v>726</v>
      </c>
      <c r="P239" s="1" t="s">
        <v>727</v>
      </c>
      <c r="Q239" s="1" t="s">
        <v>283</v>
      </c>
      <c r="R239" s="1" t="s">
        <v>103</v>
      </c>
      <c r="S239" s="1" t="s">
        <v>178</v>
      </c>
    </row>
    <row r="240" spans="1:19" hidden="1" x14ac:dyDescent="0.25">
      <c r="A240" s="1">
        <v>35</v>
      </c>
      <c r="B240" s="1" t="s">
        <v>721</v>
      </c>
      <c r="C240" s="1" t="s">
        <v>722</v>
      </c>
      <c r="D240" s="1" t="s">
        <v>723</v>
      </c>
      <c r="E240" s="1">
        <v>3</v>
      </c>
      <c r="F240" s="1">
        <v>172.864</v>
      </c>
      <c r="G240" s="1">
        <v>8936</v>
      </c>
      <c r="H240" s="1">
        <v>10691</v>
      </c>
      <c r="I240" s="1">
        <v>12373</v>
      </c>
      <c r="J240" s="1">
        <v>170.12200000000001</v>
      </c>
      <c r="K240" s="1">
        <v>-5.399</v>
      </c>
      <c r="L240" s="1">
        <v>19.071999999999999</v>
      </c>
      <c r="M240" s="1" t="s">
        <v>724</v>
      </c>
      <c r="N240" s="1" t="s">
        <v>725</v>
      </c>
      <c r="O240" s="1" t="s">
        <v>726</v>
      </c>
      <c r="P240" s="1" t="s">
        <v>727</v>
      </c>
      <c r="Q240" s="1" t="s">
        <v>276</v>
      </c>
      <c r="R240" s="1" t="s">
        <v>257</v>
      </c>
      <c r="S240" s="1" t="s">
        <v>163</v>
      </c>
    </row>
    <row r="241" spans="1:19" hidden="1" x14ac:dyDescent="0.25">
      <c r="A241" s="1">
        <v>35</v>
      </c>
      <c r="B241" s="1" t="s">
        <v>721</v>
      </c>
      <c r="C241" s="1" t="s">
        <v>722</v>
      </c>
      <c r="D241" s="1" t="s">
        <v>723</v>
      </c>
      <c r="E241" s="1">
        <v>4</v>
      </c>
      <c r="F241" s="1">
        <v>172.602</v>
      </c>
      <c r="G241" s="1">
        <v>8882</v>
      </c>
      <c r="H241" s="1">
        <v>10626</v>
      </c>
      <c r="I241" s="1">
        <v>12296</v>
      </c>
      <c r="J241" s="1">
        <v>169.864</v>
      </c>
      <c r="K241" s="1">
        <v>-5.399</v>
      </c>
      <c r="L241" s="1">
        <v>19.082999999999998</v>
      </c>
      <c r="M241" s="1" t="s">
        <v>724</v>
      </c>
      <c r="N241" s="1" t="s">
        <v>725</v>
      </c>
      <c r="O241" s="1" t="s">
        <v>726</v>
      </c>
      <c r="P241" s="1" t="s">
        <v>727</v>
      </c>
      <c r="Q241" s="1" t="s">
        <v>152</v>
      </c>
      <c r="R241" s="1" t="s">
        <v>262</v>
      </c>
      <c r="S241" s="1" t="s">
        <v>259</v>
      </c>
    </row>
    <row r="242" spans="1:19" hidden="1" x14ac:dyDescent="0.25">
      <c r="A242" s="1">
        <v>35</v>
      </c>
      <c r="B242" s="1" t="s">
        <v>721</v>
      </c>
      <c r="C242" s="1" t="s">
        <v>722</v>
      </c>
      <c r="D242" s="1" t="s">
        <v>723</v>
      </c>
      <c r="E242" s="1">
        <v>5</v>
      </c>
      <c r="F242" s="1">
        <v>224.78</v>
      </c>
      <c r="G242" s="1">
        <v>17736</v>
      </c>
      <c r="H242" s="1">
        <v>21523</v>
      </c>
      <c r="I242" s="1">
        <v>24704</v>
      </c>
      <c r="J242" s="1">
        <v>221.18600000000001</v>
      </c>
      <c r="K242" s="1">
        <v>3.9740000000000002</v>
      </c>
      <c r="L242" s="1">
        <v>25.024999999999999</v>
      </c>
      <c r="M242" s="1" t="s">
        <v>724</v>
      </c>
      <c r="N242" s="1" t="s">
        <v>725</v>
      </c>
      <c r="O242" s="1" t="s">
        <v>726</v>
      </c>
      <c r="P242" s="1" t="s">
        <v>727</v>
      </c>
      <c r="Q242" s="1" t="s">
        <v>210</v>
      </c>
      <c r="R242" s="1" t="s">
        <v>204</v>
      </c>
      <c r="S242" s="1" t="s">
        <v>215</v>
      </c>
    </row>
    <row r="243" spans="1:19" x14ac:dyDescent="0.25">
      <c r="A243" s="1">
        <v>35</v>
      </c>
      <c r="B243" s="1" t="s">
        <v>721</v>
      </c>
      <c r="C243" s="1" t="s">
        <v>722</v>
      </c>
      <c r="D243" s="1" t="s">
        <v>723</v>
      </c>
      <c r="E243" s="1">
        <v>6</v>
      </c>
      <c r="F243" s="1">
        <v>197.584</v>
      </c>
      <c r="G243" s="1">
        <v>15784</v>
      </c>
      <c r="H243" s="1">
        <v>19148</v>
      </c>
      <c r="I243" s="1">
        <v>21982</v>
      </c>
      <c r="J243" s="1">
        <v>194.42400000000001</v>
      </c>
      <c r="K243" s="1">
        <v>4.01</v>
      </c>
      <c r="L243" s="1">
        <v>25.12</v>
      </c>
      <c r="M243" s="1" t="s">
        <v>724</v>
      </c>
      <c r="N243" s="1" t="s">
        <v>725</v>
      </c>
      <c r="O243" s="1" t="s">
        <v>726</v>
      </c>
      <c r="P243" s="1" t="s">
        <v>727</v>
      </c>
      <c r="Q243" s="1" t="s">
        <v>246</v>
      </c>
      <c r="R243" s="1" t="s">
        <v>324</v>
      </c>
      <c r="S243" s="1" t="s">
        <v>294</v>
      </c>
    </row>
    <row r="244" spans="1:19" x14ac:dyDescent="0.25">
      <c r="A244" s="1">
        <v>35</v>
      </c>
      <c r="B244" s="1" t="s">
        <v>721</v>
      </c>
      <c r="C244" s="1" t="s">
        <v>722</v>
      </c>
      <c r="D244" s="1" t="s">
        <v>723</v>
      </c>
      <c r="E244" s="1">
        <v>7</v>
      </c>
      <c r="F244" s="1">
        <v>183.529</v>
      </c>
      <c r="G244" s="1">
        <v>14717</v>
      </c>
      <c r="H244" s="1">
        <v>17854</v>
      </c>
      <c r="I244" s="1">
        <v>20500</v>
      </c>
      <c r="J244" s="1">
        <v>180.59399999999999</v>
      </c>
      <c r="K244" s="1">
        <v>4.0410000000000004</v>
      </c>
      <c r="L244" s="1">
        <v>25.209</v>
      </c>
      <c r="M244" s="1" t="s">
        <v>724</v>
      </c>
      <c r="N244" s="1" t="s">
        <v>725</v>
      </c>
      <c r="O244" s="1" t="s">
        <v>726</v>
      </c>
      <c r="P244" s="1" t="s">
        <v>727</v>
      </c>
      <c r="Q244" s="1" t="s">
        <v>728</v>
      </c>
      <c r="R244" s="1" t="s">
        <v>729</v>
      </c>
      <c r="S244" s="1" t="s">
        <v>730</v>
      </c>
    </row>
    <row r="245" spans="1:19" hidden="1" x14ac:dyDescent="0.25">
      <c r="A245" s="1">
        <v>36</v>
      </c>
      <c r="B245" s="1" t="s">
        <v>731</v>
      </c>
      <c r="C245" s="1" t="s">
        <v>732</v>
      </c>
      <c r="D245" s="1" t="s">
        <v>733</v>
      </c>
      <c r="E245" s="1">
        <v>1</v>
      </c>
      <c r="F245" s="1">
        <v>174.87100000000001</v>
      </c>
      <c r="G245" s="1">
        <v>8939</v>
      </c>
      <c r="H245" s="1">
        <v>10694</v>
      </c>
      <c r="I245" s="1">
        <v>12376</v>
      </c>
      <c r="J245" s="1">
        <v>172.096</v>
      </c>
      <c r="K245" s="1">
        <v>-5.4160000000000004</v>
      </c>
      <c r="L245" s="1">
        <v>19.079000000000001</v>
      </c>
      <c r="M245" s="1" t="s">
        <v>734</v>
      </c>
      <c r="N245" s="1" t="s">
        <v>725</v>
      </c>
      <c r="O245" s="1" t="s">
        <v>735</v>
      </c>
      <c r="P245" s="1" t="s">
        <v>736</v>
      </c>
      <c r="Q245" s="1" t="s">
        <v>58</v>
      </c>
      <c r="R245" s="1" t="s">
        <v>172</v>
      </c>
      <c r="S245" s="1" t="s">
        <v>307</v>
      </c>
    </row>
    <row r="246" spans="1:19" hidden="1" x14ac:dyDescent="0.25">
      <c r="A246" s="1">
        <v>36</v>
      </c>
      <c r="B246" s="1" t="s">
        <v>731</v>
      </c>
      <c r="C246" s="1" t="s">
        <v>732</v>
      </c>
      <c r="D246" s="1" t="s">
        <v>733</v>
      </c>
      <c r="E246" s="1">
        <v>2</v>
      </c>
      <c r="F246" s="1">
        <v>171.39500000000001</v>
      </c>
      <c r="G246" s="1">
        <v>8861</v>
      </c>
      <c r="H246" s="1">
        <v>10601</v>
      </c>
      <c r="I246" s="1">
        <v>12268</v>
      </c>
      <c r="J246" s="1">
        <v>168.67599999999999</v>
      </c>
      <c r="K246" s="1">
        <v>-5.4109999999999996</v>
      </c>
      <c r="L246" s="1">
        <v>19.059999999999999</v>
      </c>
      <c r="M246" s="1" t="s">
        <v>734</v>
      </c>
      <c r="N246" s="1" t="s">
        <v>725</v>
      </c>
      <c r="O246" s="1" t="s">
        <v>735</v>
      </c>
      <c r="P246" s="1" t="s">
        <v>736</v>
      </c>
      <c r="Q246" s="1" t="s">
        <v>89</v>
      </c>
      <c r="R246" s="1" t="s">
        <v>279</v>
      </c>
      <c r="S246" s="1" t="s">
        <v>180</v>
      </c>
    </row>
    <row r="247" spans="1:19" hidden="1" x14ac:dyDescent="0.25">
      <c r="A247" s="1">
        <v>36</v>
      </c>
      <c r="B247" s="1" t="s">
        <v>731</v>
      </c>
      <c r="C247" s="1" t="s">
        <v>732</v>
      </c>
      <c r="D247" s="1" t="s">
        <v>733</v>
      </c>
      <c r="E247" s="1">
        <v>3</v>
      </c>
      <c r="F247" s="1">
        <v>174.19399999999999</v>
      </c>
      <c r="G247" s="1">
        <v>9012</v>
      </c>
      <c r="H247" s="1">
        <v>10782</v>
      </c>
      <c r="I247" s="1">
        <v>12478</v>
      </c>
      <c r="J247" s="1">
        <v>171.43100000000001</v>
      </c>
      <c r="K247" s="1">
        <v>-5.4109999999999996</v>
      </c>
      <c r="L247" s="1">
        <v>19.050999999999998</v>
      </c>
      <c r="M247" s="1" t="s">
        <v>734</v>
      </c>
      <c r="N247" s="1" t="s">
        <v>725</v>
      </c>
      <c r="O247" s="1" t="s">
        <v>735</v>
      </c>
      <c r="P247" s="1" t="s">
        <v>736</v>
      </c>
      <c r="Q247" s="1" t="s">
        <v>159</v>
      </c>
      <c r="R247" s="1" t="s">
        <v>179</v>
      </c>
      <c r="S247" s="1" t="s">
        <v>274</v>
      </c>
    </row>
    <row r="248" spans="1:19" hidden="1" x14ac:dyDescent="0.25">
      <c r="A248" s="1">
        <v>36</v>
      </c>
      <c r="B248" s="1" t="s">
        <v>731</v>
      </c>
      <c r="C248" s="1" t="s">
        <v>732</v>
      </c>
      <c r="D248" s="1" t="s">
        <v>733</v>
      </c>
      <c r="E248" s="1">
        <v>4</v>
      </c>
      <c r="F248" s="1">
        <v>173.102</v>
      </c>
      <c r="G248" s="1">
        <v>8901</v>
      </c>
      <c r="H248" s="1">
        <v>10650</v>
      </c>
      <c r="I248" s="1">
        <v>12324</v>
      </c>
      <c r="J248" s="1">
        <v>170.35599999999999</v>
      </c>
      <c r="K248" s="1">
        <v>-5.399</v>
      </c>
      <c r="L248" s="1">
        <v>19.082999999999998</v>
      </c>
      <c r="M248" s="1" t="s">
        <v>734</v>
      </c>
      <c r="N248" s="1" t="s">
        <v>725</v>
      </c>
      <c r="O248" s="1" t="s">
        <v>735</v>
      </c>
      <c r="P248" s="1" t="s">
        <v>736</v>
      </c>
      <c r="Q248" s="1" t="s">
        <v>158</v>
      </c>
      <c r="R248" s="1" t="s">
        <v>194</v>
      </c>
      <c r="S248" s="1" t="s">
        <v>304</v>
      </c>
    </row>
    <row r="249" spans="1:19" hidden="1" x14ac:dyDescent="0.25">
      <c r="A249" s="1">
        <v>36</v>
      </c>
      <c r="B249" s="1" t="s">
        <v>731</v>
      </c>
      <c r="C249" s="1" t="s">
        <v>732</v>
      </c>
      <c r="D249" s="1" t="s">
        <v>733</v>
      </c>
      <c r="E249" s="1">
        <v>5</v>
      </c>
      <c r="F249" s="1">
        <v>254.17</v>
      </c>
      <c r="G249" s="1">
        <v>20641</v>
      </c>
      <c r="H249" s="1">
        <v>25039</v>
      </c>
      <c r="I249" s="1">
        <v>28746</v>
      </c>
      <c r="J249" s="1">
        <v>250.10599999999999</v>
      </c>
      <c r="K249" s="1">
        <v>3.9630000000000001</v>
      </c>
      <c r="L249" s="1">
        <v>24.997</v>
      </c>
      <c r="M249" s="1" t="s">
        <v>734</v>
      </c>
      <c r="N249" s="1" t="s">
        <v>725</v>
      </c>
      <c r="O249" s="1" t="s">
        <v>735</v>
      </c>
      <c r="P249" s="1" t="s">
        <v>736</v>
      </c>
      <c r="Q249" s="1" t="s">
        <v>199</v>
      </c>
      <c r="R249" s="1" t="s">
        <v>184</v>
      </c>
      <c r="S249" s="1" t="s">
        <v>47</v>
      </c>
    </row>
    <row r="250" spans="1:19" x14ac:dyDescent="0.25">
      <c r="A250" s="1">
        <v>36</v>
      </c>
      <c r="B250" s="1" t="s">
        <v>731</v>
      </c>
      <c r="C250" s="1" t="s">
        <v>732</v>
      </c>
      <c r="D250" s="1" t="s">
        <v>733</v>
      </c>
      <c r="E250" s="1">
        <v>6</v>
      </c>
      <c r="F250" s="1">
        <v>222.929</v>
      </c>
      <c r="G250" s="1">
        <v>18112</v>
      </c>
      <c r="H250" s="1">
        <v>21959</v>
      </c>
      <c r="I250" s="1">
        <v>25238</v>
      </c>
      <c r="J250" s="1">
        <v>219.363</v>
      </c>
      <c r="K250" s="1">
        <v>3.9860000000000002</v>
      </c>
      <c r="L250" s="1">
        <v>25.18</v>
      </c>
      <c r="M250" s="1" t="s">
        <v>734</v>
      </c>
      <c r="N250" s="1" t="s">
        <v>725</v>
      </c>
      <c r="O250" s="1" t="s">
        <v>735</v>
      </c>
      <c r="P250" s="1" t="s">
        <v>736</v>
      </c>
      <c r="Q250" s="1" t="s">
        <v>155</v>
      </c>
      <c r="R250" s="1" t="s">
        <v>312</v>
      </c>
      <c r="S250" s="1" t="s">
        <v>479</v>
      </c>
    </row>
    <row r="251" spans="1:19" x14ac:dyDescent="0.25">
      <c r="A251" s="1">
        <v>36</v>
      </c>
      <c r="B251" s="1" t="s">
        <v>731</v>
      </c>
      <c r="C251" s="1" t="s">
        <v>732</v>
      </c>
      <c r="D251" s="1" t="s">
        <v>733</v>
      </c>
      <c r="E251" s="1">
        <v>7</v>
      </c>
      <c r="F251" s="1">
        <v>206.98</v>
      </c>
      <c r="G251" s="1">
        <v>16750</v>
      </c>
      <c r="H251" s="1">
        <v>20305</v>
      </c>
      <c r="I251" s="1">
        <v>23336</v>
      </c>
      <c r="J251" s="1">
        <v>203.67</v>
      </c>
      <c r="K251" s="1">
        <v>4.0419999999999998</v>
      </c>
      <c r="L251" s="1">
        <v>25.251999999999999</v>
      </c>
      <c r="M251" s="1" t="s">
        <v>734</v>
      </c>
      <c r="N251" s="1" t="s">
        <v>725</v>
      </c>
      <c r="O251" s="1" t="s">
        <v>735</v>
      </c>
      <c r="P251" s="1" t="s">
        <v>736</v>
      </c>
      <c r="Q251" s="1" t="s">
        <v>737</v>
      </c>
      <c r="R251" s="1" t="s">
        <v>738</v>
      </c>
      <c r="S251" s="1" t="s">
        <v>739</v>
      </c>
    </row>
    <row r="252" spans="1:19" hidden="1" x14ac:dyDescent="0.25">
      <c r="A252" s="1">
        <v>37</v>
      </c>
      <c r="B252" s="1" t="s">
        <v>740</v>
      </c>
      <c r="C252" s="1" t="s">
        <v>741</v>
      </c>
      <c r="D252" s="1" t="s">
        <v>742</v>
      </c>
      <c r="E252" s="1">
        <v>1</v>
      </c>
      <c r="F252" s="1">
        <v>173.95599999999999</v>
      </c>
      <c r="G252" s="1">
        <v>8877</v>
      </c>
      <c r="H252" s="1">
        <v>10620</v>
      </c>
      <c r="I252" s="1">
        <v>12296</v>
      </c>
      <c r="J252" s="1">
        <v>171.196</v>
      </c>
      <c r="K252" s="1">
        <v>-5.3769999999999998</v>
      </c>
      <c r="L252" s="1">
        <v>19.09</v>
      </c>
      <c r="M252" s="1" t="s">
        <v>743</v>
      </c>
      <c r="N252" s="1" t="s">
        <v>725</v>
      </c>
      <c r="O252" s="1" t="s">
        <v>744</v>
      </c>
      <c r="P252" s="1" t="s">
        <v>745</v>
      </c>
      <c r="Q252" s="1" t="s">
        <v>86</v>
      </c>
      <c r="R252" s="1" t="s">
        <v>256</v>
      </c>
      <c r="S252" s="1" t="s">
        <v>162</v>
      </c>
    </row>
    <row r="253" spans="1:19" hidden="1" x14ac:dyDescent="0.25">
      <c r="A253" s="1">
        <v>37</v>
      </c>
      <c r="B253" s="1" t="s">
        <v>740</v>
      </c>
      <c r="C253" s="1" t="s">
        <v>741</v>
      </c>
      <c r="D253" s="1" t="s">
        <v>742</v>
      </c>
      <c r="E253" s="1">
        <v>2</v>
      </c>
      <c r="F253" s="1">
        <v>173.286</v>
      </c>
      <c r="G253" s="1">
        <v>8961</v>
      </c>
      <c r="H253" s="1">
        <v>10721</v>
      </c>
      <c r="I253" s="1">
        <v>12414</v>
      </c>
      <c r="J253" s="1">
        <v>170.53700000000001</v>
      </c>
      <c r="K253" s="1">
        <v>-5.3949999999999996</v>
      </c>
      <c r="L253" s="1">
        <v>19.059000000000001</v>
      </c>
      <c r="M253" s="1" t="s">
        <v>743</v>
      </c>
      <c r="N253" s="1" t="s">
        <v>725</v>
      </c>
      <c r="O253" s="1" t="s">
        <v>744</v>
      </c>
      <c r="P253" s="1" t="s">
        <v>745</v>
      </c>
      <c r="Q253" s="1" t="s">
        <v>291</v>
      </c>
      <c r="R253" s="1" t="s">
        <v>234</v>
      </c>
      <c r="S253" s="1" t="s">
        <v>168</v>
      </c>
    </row>
    <row r="254" spans="1:19" hidden="1" x14ac:dyDescent="0.25">
      <c r="A254" s="1">
        <v>37</v>
      </c>
      <c r="B254" s="1" t="s">
        <v>740</v>
      </c>
      <c r="C254" s="1" t="s">
        <v>741</v>
      </c>
      <c r="D254" s="1" t="s">
        <v>742</v>
      </c>
      <c r="E254" s="1">
        <v>3</v>
      </c>
      <c r="F254" s="1">
        <v>172.91</v>
      </c>
      <c r="G254" s="1">
        <v>8956</v>
      </c>
      <c r="H254" s="1">
        <v>10714</v>
      </c>
      <c r="I254" s="1">
        <v>12403</v>
      </c>
      <c r="J254" s="1">
        <v>170.167</v>
      </c>
      <c r="K254" s="1">
        <v>-5.3959999999999999</v>
      </c>
      <c r="L254" s="1">
        <v>19.07</v>
      </c>
      <c r="M254" s="1" t="s">
        <v>743</v>
      </c>
      <c r="N254" s="1" t="s">
        <v>725</v>
      </c>
      <c r="O254" s="1" t="s">
        <v>744</v>
      </c>
      <c r="P254" s="1" t="s">
        <v>745</v>
      </c>
      <c r="Q254" s="1" t="s">
        <v>167</v>
      </c>
      <c r="R254" s="1" t="s">
        <v>237</v>
      </c>
      <c r="S254" s="1" t="s">
        <v>282</v>
      </c>
    </row>
    <row r="255" spans="1:19" hidden="1" x14ac:dyDescent="0.25">
      <c r="A255" s="1">
        <v>37</v>
      </c>
      <c r="B255" s="1" t="s">
        <v>740</v>
      </c>
      <c r="C255" s="1" t="s">
        <v>741</v>
      </c>
      <c r="D255" s="1" t="s">
        <v>742</v>
      </c>
      <c r="E255" s="1">
        <v>4</v>
      </c>
      <c r="F255" s="1">
        <v>174.226</v>
      </c>
      <c r="G255" s="1">
        <v>8962</v>
      </c>
      <c r="H255" s="1">
        <v>10722</v>
      </c>
      <c r="I255" s="1">
        <v>12414</v>
      </c>
      <c r="J255" s="1">
        <v>171.46199999999999</v>
      </c>
      <c r="K255" s="1">
        <v>-5.399</v>
      </c>
      <c r="L255" s="1">
        <v>19.082999999999998</v>
      </c>
      <c r="M255" s="1" t="s">
        <v>743</v>
      </c>
      <c r="N255" s="1" t="s">
        <v>725</v>
      </c>
      <c r="O255" s="1" t="s">
        <v>744</v>
      </c>
      <c r="P255" s="1" t="s">
        <v>745</v>
      </c>
      <c r="Q255" s="1" t="s">
        <v>167</v>
      </c>
      <c r="R255" s="1" t="s">
        <v>237</v>
      </c>
      <c r="S255" s="1" t="s">
        <v>292</v>
      </c>
    </row>
    <row r="256" spans="1:19" hidden="1" x14ac:dyDescent="0.25">
      <c r="A256" s="1">
        <v>37</v>
      </c>
      <c r="B256" s="1" t="s">
        <v>740</v>
      </c>
      <c r="C256" s="1" t="s">
        <v>741</v>
      </c>
      <c r="D256" s="1" t="s">
        <v>742</v>
      </c>
      <c r="E256" s="1">
        <v>5</v>
      </c>
      <c r="F256" s="1">
        <v>229.25399999999999</v>
      </c>
      <c r="G256" s="1">
        <v>18366</v>
      </c>
      <c r="H256" s="1">
        <v>22123</v>
      </c>
      <c r="I256" s="1">
        <v>25567</v>
      </c>
      <c r="J256" s="1">
        <v>225.61</v>
      </c>
      <c r="K256" s="1">
        <v>-4.3499999999999996</v>
      </c>
      <c r="L256" s="1">
        <v>23.864999999999998</v>
      </c>
      <c r="M256" s="1" t="s">
        <v>743</v>
      </c>
      <c r="N256" s="1" t="s">
        <v>725</v>
      </c>
      <c r="O256" s="1" t="s">
        <v>744</v>
      </c>
      <c r="P256" s="1" t="s">
        <v>745</v>
      </c>
      <c r="Q256" s="1" t="s">
        <v>189</v>
      </c>
      <c r="R256" s="1" t="s">
        <v>222</v>
      </c>
      <c r="S256" s="1" t="s">
        <v>111</v>
      </c>
    </row>
    <row r="257" spans="1:19" x14ac:dyDescent="0.25">
      <c r="A257" s="1">
        <v>37</v>
      </c>
      <c r="B257" s="1" t="s">
        <v>740</v>
      </c>
      <c r="C257" s="1" t="s">
        <v>741</v>
      </c>
      <c r="D257" s="1" t="s">
        <v>742</v>
      </c>
      <c r="E257" s="1">
        <v>6</v>
      </c>
      <c r="F257" s="1">
        <v>203.476</v>
      </c>
      <c r="G257" s="1">
        <v>16591</v>
      </c>
      <c r="H257" s="1">
        <v>19974</v>
      </c>
      <c r="I257" s="1">
        <v>23099</v>
      </c>
      <c r="J257" s="1">
        <v>200.24199999999999</v>
      </c>
      <c r="K257" s="1">
        <v>-4.3040000000000003</v>
      </c>
      <c r="L257" s="1">
        <v>23.96</v>
      </c>
      <c r="M257" s="1" t="s">
        <v>743</v>
      </c>
      <c r="N257" s="1" t="s">
        <v>725</v>
      </c>
      <c r="O257" s="1" t="s">
        <v>744</v>
      </c>
      <c r="P257" s="1" t="s">
        <v>745</v>
      </c>
      <c r="Q257" s="1" t="s">
        <v>279</v>
      </c>
      <c r="R257" s="1" t="s">
        <v>370</v>
      </c>
      <c r="S257" s="1" t="s">
        <v>181</v>
      </c>
    </row>
    <row r="258" spans="1:19" x14ac:dyDescent="0.25">
      <c r="A258" s="1">
        <v>37</v>
      </c>
      <c r="B258" s="1" t="s">
        <v>740</v>
      </c>
      <c r="C258" s="1" t="s">
        <v>741</v>
      </c>
      <c r="D258" s="1" t="s">
        <v>742</v>
      </c>
      <c r="E258" s="1">
        <v>7</v>
      </c>
      <c r="F258" s="1">
        <v>190.27199999999999</v>
      </c>
      <c r="G258" s="1">
        <v>15634</v>
      </c>
      <c r="H258" s="1">
        <v>18815</v>
      </c>
      <c r="I258" s="1">
        <v>21762</v>
      </c>
      <c r="J258" s="1">
        <v>187.24700000000001</v>
      </c>
      <c r="K258" s="1">
        <v>-4.3</v>
      </c>
      <c r="L258" s="1">
        <v>23.995000000000001</v>
      </c>
      <c r="M258" s="1" t="s">
        <v>743</v>
      </c>
      <c r="N258" s="1" t="s">
        <v>725</v>
      </c>
      <c r="O258" s="1" t="s">
        <v>744</v>
      </c>
      <c r="P258" s="1" t="s">
        <v>745</v>
      </c>
      <c r="Q258" s="1" t="s">
        <v>379</v>
      </c>
      <c r="R258" s="1" t="s">
        <v>365</v>
      </c>
      <c r="S258" s="1" t="s">
        <v>746</v>
      </c>
    </row>
    <row r="259" spans="1:19" hidden="1" x14ac:dyDescent="0.25">
      <c r="A259" s="1">
        <v>38</v>
      </c>
      <c r="B259" s="1" t="s">
        <v>747</v>
      </c>
      <c r="C259" s="1" t="s">
        <v>503</v>
      </c>
      <c r="D259" s="1" t="s">
        <v>748</v>
      </c>
      <c r="E259" s="1">
        <v>1</v>
      </c>
      <c r="F259" s="1">
        <v>175.02799999999999</v>
      </c>
      <c r="G259" s="1">
        <v>8935</v>
      </c>
      <c r="H259" s="1">
        <v>10690</v>
      </c>
      <c r="I259" s="1">
        <v>12379</v>
      </c>
      <c r="J259" s="1">
        <v>172.25200000000001</v>
      </c>
      <c r="K259" s="1">
        <v>-5.4020000000000001</v>
      </c>
      <c r="L259" s="1">
        <v>19.079000000000001</v>
      </c>
      <c r="M259" s="1" t="s">
        <v>749</v>
      </c>
      <c r="N259" s="1" t="s">
        <v>725</v>
      </c>
      <c r="O259" s="1" t="s">
        <v>750</v>
      </c>
      <c r="P259" s="1" t="s">
        <v>751</v>
      </c>
      <c r="Q259" s="1" t="s">
        <v>65</v>
      </c>
      <c r="R259" s="1" t="s">
        <v>68</v>
      </c>
      <c r="S259" s="1" t="s">
        <v>289</v>
      </c>
    </row>
    <row r="260" spans="1:19" hidden="1" x14ac:dyDescent="0.25">
      <c r="A260" s="1">
        <v>38</v>
      </c>
      <c r="B260" s="1" t="s">
        <v>747</v>
      </c>
      <c r="C260" s="1" t="s">
        <v>503</v>
      </c>
      <c r="D260" s="1" t="s">
        <v>748</v>
      </c>
      <c r="E260" s="1">
        <v>2</v>
      </c>
      <c r="F260" s="1">
        <v>171.678</v>
      </c>
      <c r="G260" s="1">
        <v>8875</v>
      </c>
      <c r="H260" s="1">
        <v>10618</v>
      </c>
      <c r="I260" s="1">
        <v>12296</v>
      </c>
      <c r="J260" s="1">
        <v>168.95400000000001</v>
      </c>
      <c r="K260" s="1">
        <v>-5.4029999999999996</v>
      </c>
      <c r="L260" s="1">
        <v>19.085000000000001</v>
      </c>
      <c r="M260" s="1" t="s">
        <v>749</v>
      </c>
      <c r="N260" s="1" t="s">
        <v>725</v>
      </c>
      <c r="O260" s="1" t="s">
        <v>750</v>
      </c>
      <c r="P260" s="1" t="s">
        <v>751</v>
      </c>
      <c r="Q260" s="1" t="s">
        <v>249</v>
      </c>
      <c r="R260" s="1" t="s">
        <v>179</v>
      </c>
      <c r="S260" s="1" t="s">
        <v>274</v>
      </c>
    </row>
    <row r="261" spans="1:19" hidden="1" x14ac:dyDescent="0.25">
      <c r="A261" s="1">
        <v>38</v>
      </c>
      <c r="B261" s="1" t="s">
        <v>747</v>
      </c>
      <c r="C261" s="1" t="s">
        <v>503</v>
      </c>
      <c r="D261" s="1" t="s">
        <v>748</v>
      </c>
      <c r="E261" s="1">
        <v>3</v>
      </c>
      <c r="F261" s="1">
        <v>173.39</v>
      </c>
      <c r="G261" s="1">
        <v>8973</v>
      </c>
      <c r="H261" s="1">
        <v>10734</v>
      </c>
      <c r="I261" s="1">
        <v>12427</v>
      </c>
      <c r="J261" s="1">
        <v>170.64</v>
      </c>
      <c r="K261" s="1">
        <v>-5.4020000000000001</v>
      </c>
      <c r="L261" s="1">
        <v>19.056999999999999</v>
      </c>
      <c r="M261" s="1" t="s">
        <v>749</v>
      </c>
      <c r="N261" s="1" t="s">
        <v>725</v>
      </c>
      <c r="O261" s="1" t="s">
        <v>750</v>
      </c>
      <c r="P261" s="1" t="s">
        <v>751</v>
      </c>
      <c r="Q261" s="1" t="s">
        <v>167</v>
      </c>
      <c r="R261" s="1" t="s">
        <v>237</v>
      </c>
      <c r="S261" s="1" t="s">
        <v>292</v>
      </c>
    </row>
    <row r="262" spans="1:19" hidden="1" x14ac:dyDescent="0.25">
      <c r="A262" s="1">
        <v>38</v>
      </c>
      <c r="B262" s="1" t="s">
        <v>747</v>
      </c>
      <c r="C262" s="1" t="s">
        <v>503</v>
      </c>
      <c r="D262" s="1" t="s">
        <v>748</v>
      </c>
      <c r="E262" s="1">
        <v>4</v>
      </c>
      <c r="F262" s="1">
        <v>171.82599999999999</v>
      </c>
      <c r="G262" s="1">
        <v>8832</v>
      </c>
      <c r="H262" s="1">
        <v>10565</v>
      </c>
      <c r="I262" s="1">
        <v>12232</v>
      </c>
      <c r="J262" s="1">
        <v>169.1</v>
      </c>
      <c r="K262" s="1">
        <v>-5.399</v>
      </c>
      <c r="L262" s="1">
        <v>19.082999999999998</v>
      </c>
      <c r="M262" s="1" t="s">
        <v>749</v>
      </c>
      <c r="N262" s="1" t="s">
        <v>725</v>
      </c>
      <c r="O262" s="1" t="s">
        <v>750</v>
      </c>
      <c r="P262" s="1" t="s">
        <v>751</v>
      </c>
      <c r="Q262" s="1" t="s">
        <v>146</v>
      </c>
      <c r="R262" s="1" t="s">
        <v>299</v>
      </c>
      <c r="S262" s="1" t="s">
        <v>292</v>
      </c>
    </row>
    <row r="263" spans="1:19" hidden="1" x14ac:dyDescent="0.25">
      <c r="A263" s="1">
        <v>38</v>
      </c>
      <c r="B263" s="1" t="s">
        <v>747</v>
      </c>
      <c r="C263" s="1" t="s">
        <v>503</v>
      </c>
      <c r="D263" s="1" t="s">
        <v>748</v>
      </c>
      <c r="E263" s="1">
        <v>5</v>
      </c>
      <c r="F263" s="1">
        <v>231.602</v>
      </c>
      <c r="G263" s="1">
        <v>18207</v>
      </c>
      <c r="H263" s="1">
        <v>21918</v>
      </c>
      <c r="I263" s="1">
        <v>25352</v>
      </c>
      <c r="J263" s="1">
        <v>227.91800000000001</v>
      </c>
      <c r="K263" s="1">
        <v>-3.6549999999999998</v>
      </c>
      <c r="L263" s="1">
        <v>24.033999999999999</v>
      </c>
      <c r="M263" s="1" t="s">
        <v>749</v>
      </c>
      <c r="N263" s="1" t="s">
        <v>725</v>
      </c>
      <c r="O263" s="1" t="s">
        <v>750</v>
      </c>
      <c r="P263" s="1" t="s">
        <v>751</v>
      </c>
      <c r="Q263" s="1" t="s">
        <v>192</v>
      </c>
      <c r="R263" s="1" t="s">
        <v>133</v>
      </c>
      <c r="S263" s="1" t="s">
        <v>47</v>
      </c>
    </row>
    <row r="264" spans="1:19" x14ac:dyDescent="0.25">
      <c r="A264" s="1">
        <v>38</v>
      </c>
      <c r="B264" s="1" t="s">
        <v>747</v>
      </c>
      <c r="C264" s="1" t="s">
        <v>503</v>
      </c>
      <c r="D264" s="1" t="s">
        <v>748</v>
      </c>
      <c r="E264" s="1">
        <v>6</v>
      </c>
      <c r="F264" s="1">
        <v>203.82</v>
      </c>
      <c r="G264" s="1">
        <v>16190</v>
      </c>
      <c r="H264" s="1">
        <v>19482</v>
      </c>
      <c r="I264" s="1">
        <v>22539</v>
      </c>
      <c r="J264" s="1">
        <v>200.578</v>
      </c>
      <c r="K264" s="1">
        <v>-3.5710000000000002</v>
      </c>
      <c r="L264" s="1">
        <v>24.233000000000001</v>
      </c>
      <c r="M264" s="1" t="s">
        <v>749</v>
      </c>
      <c r="N264" s="1" t="s">
        <v>725</v>
      </c>
      <c r="O264" s="1" t="s">
        <v>750</v>
      </c>
      <c r="P264" s="1" t="s">
        <v>751</v>
      </c>
      <c r="Q264" s="1" t="s">
        <v>156</v>
      </c>
      <c r="R264" s="1" t="s">
        <v>413</v>
      </c>
      <c r="S264" s="1" t="s">
        <v>752</v>
      </c>
    </row>
    <row r="265" spans="1:19" x14ac:dyDescent="0.25">
      <c r="A265" s="1">
        <v>38</v>
      </c>
      <c r="B265" s="1" t="s">
        <v>747</v>
      </c>
      <c r="C265" s="1" t="s">
        <v>503</v>
      </c>
      <c r="D265" s="1" t="s">
        <v>748</v>
      </c>
      <c r="E265" s="1">
        <v>7</v>
      </c>
      <c r="F265" s="1">
        <v>190.43600000000001</v>
      </c>
      <c r="G265" s="1">
        <v>15144</v>
      </c>
      <c r="H265" s="1">
        <v>18221</v>
      </c>
      <c r="I265" s="1">
        <v>21087</v>
      </c>
      <c r="J265" s="1">
        <v>187.40700000000001</v>
      </c>
      <c r="K265" s="1">
        <v>-3.5379999999999998</v>
      </c>
      <c r="L265" s="1">
        <v>24.277000000000001</v>
      </c>
      <c r="M265" s="1" t="s">
        <v>749</v>
      </c>
      <c r="N265" s="1" t="s">
        <v>725</v>
      </c>
      <c r="O265" s="1" t="s">
        <v>750</v>
      </c>
      <c r="P265" s="1" t="s">
        <v>751</v>
      </c>
      <c r="Q265" s="1" t="s">
        <v>753</v>
      </c>
      <c r="R265" s="1" t="s">
        <v>356</v>
      </c>
      <c r="S265" s="1" t="s">
        <v>754</v>
      </c>
    </row>
    <row r="266" spans="1:19" hidden="1" x14ac:dyDescent="0.25">
      <c r="A266" s="1">
        <v>39</v>
      </c>
      <c r="B266" s="1" t="s">
        <v>755</v>
      </c>
      <c r="C266" s="1" t="s">
        <v>756</v>
      </c>
      <c r="D266" s="1" t="s">
        <v>757</v>
      </c>
      <c r="E266" s="1">
        <v>1</v>
      </c>
      <c r="F266" s="1">
        <v>173.67699999999999</v>
      </c>
      <c r="G266" s="1">
        <v>8875</v>
      </c>
      <c r="H266" s="1">
        <v>10619</v>
      </c>
      <c r="I266" s="1">
        <v>12291</v>
      </c>
      <c r="J266" s="1">
        <v>170.922</v>
      </c>
      <c r="K266" s="1">
        <v>-5.41</v>
      </c>
      <c r="L266" s="1">
        <v>19.094000000000001</v>
      </c>
      <c r="M266" s="1" t="s">
        <v>758</v>
      </c>
      <c r="N266" s="1" t="s">
        <v>725</v>
      </c>
      <c r="O266" s="1" t="s">
        <v>759</v>
      </c>
      <c r="P266" s="1" t="s">
        <v>760</v>
      </c>
      <c r="Q266" s="1" t="s">
        <v>60</v>
      </c>
      <c r="R266" s="1" t="s">
        <v>77</v>
      </c>
      <c r="S266" s="1" t="s">
        <v>176</v>
      </c>
    </row>
    <row r="267" spans="1:19" hidden="1" x14ac:dyDescent="0.25">
      <c r="A267" s="1">
        <v>39</v>
      </c>
      <c r="B267" s="1" t="s">
        <v>755</v>
      </c>
      <c r="C267" s="1" t="s">
        <v>756</v>
      </c>
      <c r="D267" s="1" t="s">
        <v>757</v>
      </c>
      <c r="E267" s="1">
        <v>2</v>
      </c>
      <c r="F267" s="1">
        <v>171.90799999999999</v>
      </c>
      <c r="G267" s="1">
        <v>8902</v>
      </c>
      <c r="H267" s="1">
        <v>10650</v>
      </c>
      <c r="I267" s="1">
        <v>12328</v>
      </c>
      <c r="J267" s="1">
        <v>169.18100000000001</v>
      </c>
      <c r="K267" s="1">
        <v>-5.4089999999999998</v>
      </c>
      <c r="L267" s="1">
        <v>19.097000000000001</v>
      </c>
      <c r="M267" s="1" t="s">
        <v>758</v>
      </c>
      <c r="N267" s="1" t="s">
        <v>725</v>
      </c>
      <c r="O267" s="1" t="s">
        <v>759</v>
      </c>
      <c r="P267" s="1" t="s">
        <v>760</v>
      </c>
      <c r="Q267" s="1" t="s">
        <v>253</v>
      </c>
      <c r="R267" s="1" t="s">
        <v>297</v>
      </c>
      <c r="S267" s="1" t="s">
        <v>142</v>
      </c>
    </row>
    <row r="268" spans="1:19" hidden="1" x14ac:dyDescent="0.25">
      <c r="A268" s="1">
        <v>39</v>
      </c>
      <c r="B268" s="1" t="s">
        <v>755</v>
      </c>
      <c r="C268" s="1" t="s">
        <v>756</v>
      </c>
      <c r="D268" s="1" t="s">
        <v>757</v>
      </c>
      <c r="E268" s="1">
        <v>3</v>
      </c>
      <c r="F268" s="1">
        <v>172.88399999999999</v>
      </c>
      <c r="G268" s="1">
        <v>8942</v>
      </c>
      <c r="H268" s="1">
        <v>10697</v>
      </c>
      <c r="I268" s="1">
        <v>12380</v>
      </c>
      <c r="J268" s="1">
        <v>170.142</v>
      </c>
      <c r="K268" s="1">
        <v>-5.4109999999999996</v>
      </c>
      <c r="L268" s="1">
        <v>19.097999999999999</v>
      </c>
      <c r="M268" s="1" t="s">
        <v>758</v>
      </c>
      <c r="N268" s="1" t="s">
        <v>725</v>
      </c>
      <c r="O268" s="1" t="s">
        <v>759</v>
      </c>
      <c r="P268" s="1" t="s">
        <v>760</v>
      </c>
      <c r="Q268" s="1" t="s">
        <v>158</v>
      </c>
      <c r="R268" s="1" t="s">
        <v>166</v>
      </c>
      <c r="S268" s="1" t="s">
        <v>304</v>
      </c>
    </row>
    <row r="269" spans="1:19" hidden="1" x14ac:dyDescent="0.25">
      <c r="A269" s="1">
        <v>39</v>
      </c>
      <c r="B269" s="1" t="s">
        <v>755</v>
      </c>
      <c r="C269" s="1" t="s">
        <v>756</v>
      </c>
      <c r="D269" s="1" t="s">
        <v>757</v>
      </c>
      <c r="E269" s="1">
        <v>4</v>
      </c>
      <c r="F269" s="1">
        <v>172.761</v>
      </c>
      <c r="G269" s="1">
        <v>8880</v>
      </c>
      <c r="H269" s="1">
        <v>10624</v>
      </c>
      <c r="I269" s="1">
        <v>12296</v>
      </c>
      <c r="J269" s="1">
        <v>170.02</v>
      </c>
      <c r="K269" s="1">
        <v>-5.399</v>
      </c>
      <c r="L269" s="1">
        <v>19.082999999999998</v>
      </c>
      <c r="M269" s="1" t="s">
        <v>758</v>
      </c>
      <c r="N269" s="1" t="s">
        <v>725</v>
      </c>
      <c r="O269" s="1" t="s">
        <v>759</v>
      </c>
      <c r="P269" s="1" t="s">
        <v>760</v>
      </c>
      <c r="Q269" s="1" t="s">
        <v>138</v>
      </c>
      <c r="R269" s="1" t="s">
        <v>170</v>
      </c>
      <c r="S269" s="1" t="s">
        <v>282</v>
      </c>
    </row>
    <row r="270" spans="1:19" hidden="1" x14ac:dyDescent="0.25">
      <c r="A270" s="1">
        <v>39</v>
      </c>
      <c r="B270" s="1" t="s">
        <v>755</v>
      </c>
      <c r="C270" s="1" t="s">
        <v>756</v>
      </c>
      <c r="D270" s="1" t="s">
        <v>757</v>
      </c>
      <c r="E270" s="1">
        <v>5</v>
      </c>
      <c r="F270" s="1">
        <v>204.179</v>
      </c>
      <c r="G270" s="1">
        <v>16909</v>
      </c>
      <c r="H270" s="1">
        <v>20389</v>
      </c>
      <c r="I270" s="1">
        <v>23521</v>
      </c>
      <c r="J270" s="1">
        <v>200.93100000000001</v>
      </c>
      <c r="K270" s="1">
        <v>-3.266</v>
      </c>
      <c r="L270" s="1">
        <v>23.966000000000001</v>
      </c>
      <c r="M270" s="1" t="s">
        <v>758</v>
      </c>
      <c r="N270" s="1" t="s">
        <v>725</v>
      </c>
      <c r="O270" s="1" t="s">
        <v>759</v>
      </c>
      <c r="P270" s="1" t="s">
        <v>760</v>
      </c>
      <c r="Q270" s="1" t="s">
        <v>189</v>
      </c>
      <c r="R270" s="1" t="s">
        <v>222</v>
      </c>
      <c r="S270" s="1" t="s">
        <v>111</v>
      </c>
    </row>
    <row r="271" spans="1:19" x14ac:dyDescent="0.25">
      <c r="A271" s="1">
        <v>39</v>
      </c>
      <c r="B271" s="1" t="s">
        <v>755</v>
      </c>
      <c r="C271" s="1" t="s">
        <v>756</v>
      </c>
      <c r="D271" s="1" t="s">
        <v>757</v>
      </c>
      <c r="E271" s="1">
        <v>6</v>
      </c>
      <c r="F271" s="1">
        <v>188.28399999999999</v>
      </c>
      <c r="G271" s="1">
        <v>15635</v>
      </c>
      <c r="H271" s="1">
        <v>18840</v>
      </c>
      <c r="I271" s="1">
        <v>21760</v>
      </c>
      <c r="J271" s="1">
        <v>185.28899999999999</v>
      </c>
      <c r="K271" s="1">
        <v>-3.129</v>
      </c>
      <c r="L271" s="1">
        <v>24.088000000000001</v>
      </c>
      <c r="M271" s="1" t="s">
        <v>758</v>
      </c>
      <c r="N271" s="1" t="s">
        <v>725</v>
      </c>
      <c r="O271" s="1" t="s">
        <v>759</v>
      </c>
      <c r="P271" s="1" t="s">
        <v>760</v>
      </c>
      <c r="Q271" s="1" t="s">
        <v>246</v>
      </c>
      <c r="R271" s="1" t="s">
        <v>381</v>
      </c>
      <c r="S271" s="1" t="s">
        <v>232</v>
      </c>
    </row>
    <row r="272" spans="1:19" x14ac:dyDescent="0.25">
      <c r="A272" s="1">
        <v>39</v>
      </c>
      <c r="B272" s="1" t="s">
        <v>755</v>
      </c>
      <c r="C272" s="1" t="s">
        <v>756</v>
      </c>
      <c r="D272" s="1" t="s">
        <v>757</v>
      </c>
      <c r="E272" s="1">
        <v>7</v>
      </c>
      <c r="F272" s="1">
        <v>178.977</v>
      </c>
      <c r="G272" s="1">
        <v>14782</v>
      </c>
      <c r="H272" s="1">
        <v>17806</v>
      </c>
      <c r="I272" s="1">
        <v>20570</v>
      </c>
      <c r="J272" s="1">
        <v>176.13</v>
      </c>
      <c r="K272" s="1">
        <v>-3.1579999999999999</v>
      </c>
      <c r="L272" s="1">
        <v>24.126000000000001</v>
      </c>
      <c r="M272" s="1" t="s">
        <v>758</v>
      </c>
      <c r="N272" s="1" t="s">
        <v>725</v>
      </c>
      <c r="O272" s="1" t="s">
        <v>759</v>
      </c>
      <c r="P272" s="1" t="s">
        <v>760</v>
      </c>
      <c r="Q272" s="1" t="s">
        <v>246</v>
      </c>
      <c r="R272" s="1" t="s">
        <v>381</v>
      </c>
      <c r="S272" s="1" t="s">
        <v>232</v>
      </c>
    </row>
    <row r="273" spans="1:19" hidden="1" x14ac:dyDescent="0.25">
      <c r="A273" s="1">
        <v>40</v>
      </c>
      <c r="B273" s="1" t="s">
        <v>761</v>
      </c>
      <c r="C273" s="1" t="s">
        <v>762</v>
      </c>
      <c r="D273" s="1" t="s">
        <v>763</v>
      </c>
      <c r="E273" s="1">
        <v>1</v>
      </c>
      <c r="F273" s="1">
        <v>173.68100000000001</v>
      </c>
      <c r="G273" s="1">
        <v>8877</v>
      </c>
      <c r="H273" s="1">
        <v>10620</v>
      </c>
      <c r="I273" s="1">
        <v>12294</v>
      </c>
      <c r="J273" s="1">
        <v>170.92599999999999</v>
      </c>
      <c r="K273" s="1">
        <v>-5.3979999999999997</v>
      </c>
      <c r="L273" s="1">
        <v>19.109000000000002</v>
      </c>
      <c r="M273" s="1" t="s">
        <v>764</v>
      </c>
      <c r="N273" s="1" t="s">
        <v>725</v>
      </c>
      <c r="O273" s="1" t="s">
        <v>765</v>
      </c>
      <c r="P273" s="1" t="s">
        <v>766</v>
      </c>
      <c r="Q273" s="1" t="s">
        <v>60</v>
      </c>
      <c r="R273" s="1" t="s">
        <v>172</v>
      </c>
      <c r="S273" s="1" t="s">
        <v>164</v>
      </c>
    </row>
    <row r="274" spans="1:19" hidden="1" x14ac:dyDescent="0.25">
      <c r="A274" s="1">
        <v>40</v>
      </c>
      <c r="B274" s="1" t="s">
        <v>761</v>
      </c>
      <c r="C274" s="1" t="s">
        <v>762</v>
      </c>
      <c r="D274" s="1" t="s">
        <v>763</v>
      </c>
      <c r="E274" s="1">
        <v>2</v>
      </c>
      <c r="F274" s="1">
        <v>172.9</v>
      </c>
      <c r="G274" s="1">
        <v>8952</v>
      </c>
      <c r="H274" s="1">
        <v>10710</v>
      </c>
      <c r="I274" s="1">
        <v>12399</v>
      </c>
      <c r="J274" s="1">
        <v>170.15700000000001</v>
      </c>
      <c r="K274" s="1">
        <v>-5.407</v>
      </c>
      <c r="L274" s="1">
        <v>19.116</v>
      </c>
      <c r="M274" s="1" t="s">
        <v>764</v>
      </c>
      <c r="N274" s="1" t="s">
        <v>725</v>
      </c>
      <c r="O274" s="1" t="s">
        <v>765</v>
      </c>
      <c r="P274" s="1" t="s">
        <v>766</v>
      </c>
      <c r="Q274" s="1" t="s">
        <v>253</v>
      </c>
      <c r="R274" s="1" t="s">
        <v>297</v>
      </c>
      <c r="S274" s="1" t="s">
        <v>142</v>
      </c>
    </row>
    <row r="275" spans="1:19" hidden="1" x14ac:dyDescent="0.25">
      <c r="A275" s="1">
        <v>40</v>
      </c>
      <c r="B275" s="1" t="s">
        <v>761</v>
      </c>
      <c r="C275" s="1" t="s">
        <v>762</v>
      </c>
      <c r="D275" s="1" t="s">
        <v>763</v>
      </c>
      <c r="E275" s="1">
        <v>3</v>
      </c>
      <c r="F275" s="1">
        <v>173.83199999999999</v>
      </c>
      <c r="G275" s="1">
        <v>8983</v>
      </c>
      <c r="H275" s="1">
        <v>10746</v>
      </c>
      <c r="I275" s="1">
        <v>12441</v>
      </c>
      <c r="J275" s="1">
        <v>171.07400000000001</v>
      </c>
      <c r="K275" s="1">
        <v>-5.4059999999999997</v>
      </c>
      <c r="L275" s="1">
        <v>19.106999999999999</v>
      </c>
      <c r="M275" s="1" t="s">
        <v>764</v>
      </c>
      <c r="N275" s="1" t="s">
        <v>725</v>
      </c>
      <c r="O275" s="1" t="s">
        <v>765</v>
      </c>
      <c r="P275" s="1" t="s">
        <v>766</v>
      </c>
      <c r="Q275" s="1" t="s">
        <v>138</v>
      </c>
      <c r="R275" s="1" t="s">
        <v>166</v>
      </c>
      <c r="S275" s="1" t="s">
        <v>174</v>
      </c>
    </row>
    <row r="276" spans="1:19" hidden="1" x14ac:dyDescent="0.25">
      <c r="A276" s="1">
        <v>40</v>
      </c>
      <c r="B276" s="1" t="s">
        <v>761</v>
      </c>
      <c r="C276" s="1" t="s">
        <v>762</v>
      </c>
      <c r="D276" s="1" t="s">
        <v>763</v>
      </c>
      <c r="E276" s="1">
        <v>4</v>
      </c>
      <c r="F276" s="1">
        <v>174.024</v>
      </c>
      <c r="G276" s="1">
        <v>8935</v>
      </c>
      <c r="H276" s="1">
        <v>10691</v>
      </c>
      <c r="I276" s="1">
        <v>12378</v>
      </c>
      <c r="J276" s="1">
        <v>171.26300000000001</v>
      </c>
      <c r="K276" s="1">
        <v>-5.399</v>
      </c>
      <c r="L276" s="1">
        <v>19.082999999999998</v>
      </c>
      <c r="M276" s="1" t="s">
        <v>764</v>
      </c>
      <c r="N276" s="1" t="s">
        <v>725</v>
      </c>
      <c r="O276" s="1" t="s">
        <v>765</v>
      </c>
      <c r="P276" s="1" t="s">
        <v>766</v>
      </c>
      <c r="Q276" s="1" t="s">
        <v>138</v>
      </c>
      <c r="R276" s="1" t="s">
        <v>237</v>
      </c>
      <c r="S276" s="1" t="s">
        <v>282</v>
      </c>
    </row>
    <row r="277" spans="1:19" hidden="1" x14ac:dyDescent="0.25">
      <c r="A277" s="1">
        <v>40</v>
      </c>
      <c r="B277" s="1" t="s">
        <v>761</v>
      </c>
      <c r="C277" s="1" t="s">
        <v>762</v>
      </c>
      <c r="D277" s="1" t="s">
        <v>763</v>
      </c>
      <c r="E277" s="1">
        <v>5</v>
      </c>
      <c r="F277" s="1">
        <v>244.98500000000001</v>
      </c>
      <c r="G277" s="1">
        <v>19220</v>
      </c>
      <c r="H277" s="1">
        <v>23162</v>
      </c>
      <c r="I277" s="1">
        <v>26753</v>
      </c>
      <c r="J277" s="1">
        <v>241.08600000000001</v>
      </c>
      <c r="K277" s="1">
        <v>-2.8359999999999999</v>
      </c>
      <c r="L277" s="1">
        <v>23.789000000000001</v>
      </c>
      <c r="M277" s="1" t="s">
        <v>764</v>
      </c>
      <c r="N277" s="1" t="s">
        <v>725</v>
      </c>
      <c r="O277" s="1" t="s">
        <v>765</v>
      </c>
      <c r="P277" s="1" t="s">
        <v>766</v>
      </c>
      <c r="Q277" s="1" t="s">
        <v>183</v>
      </c>
      <c r="R277" s="1" t="s">
        <v>515</v>
      </c>
      <c r="S277" s="1" t="s">
        <v>130</v>
      </c>
    </row>
    <row r="278" spans="1:19" x14ac:dyDescent="0.25">
      <c r="A278" s="1">
        <v>40</v>
      </c>
      <c r="B278" s="1" t="s">
        <v>761</v>
      </c>
      <c r="C278" s="1" t="s">
        <v>762</v>
      </c>
      <c r="D278" s="1" t="s">
        <v>763</v>
      </c>
      <c r="E278" s="1">
        <v>6</v>
      </c>
      <c r="F278" s="1">
        <v>215.17099999999999</v>
      </c>
      <c r="G278" s="1">
        <v>17096</v>
      </c>
      <c r="H278" s="1">
        <v>20599</v>
      </c>
      <c r="I278" s="1">
        <v>23796</v>
      </c>
      <c r="J278" s="1">
        <v>211.74700000000001</v>
      </c>
      <c r="K278" s="1">
        <v>-2.7650000000000001</v>
      </c>
      <c r="L278" s="1">
        <v>23.927</v>
      </c>
      <c r="M278" s="1" t="s">
        <v>764</v>
      </c>
      <c r="N278" s="1" t="s">
        <v>725</v>
      </c>
      <c r="O278" s="1" t="s">
        <v>765</v>
      </c>
      <c r="P278" s="1" t="s">
        <v>766</v>
      </c>
      <c r="Q278" s="1" t="s">
        <v>179</v>
      </c>
      <c r="R278" s="1" t="s">
        <v>219</v>
      </c>
      <c r="S278" s="1" t="s">
        <v>321</v>
      </c>
    </row>
    <row r="279" spans="1:19" x14ac:dyDescent="0.25">
      <c r="A279" s="1">
        <v>40</v>
      </c>
      <c r="B279" s="1" t="s">
        <v>761</v>
      </c>
      <c r="C279" s="1" t="s">
        <v>762</v>
      </c>
      <c r="D279" s="1" t="s">
        <v>763</v>
      </c>
      <c r="E279" s="1">
        <v>7</v>
      </c>
      <c r="F279" s="1">
        <v>200.80600000000001</v>
      </c>
      <c r="G279" s="1">
        <v>16004</v>
      </c>
      <c r="H279" s="1">
        <v>19280</v>
      </c>
      <c r="I279" s="1">
        <v>22278</v>
      </c>
      <c r="J279" s="1">
        <v>197.61</v>
      </c>
      <c r="K279" s="1">
        <v>-2.7189999999999999</v>
      </c>
      <c r="L279" s="1">
        <v>23.966000000000001</v>
      </c>
      <c r="M279" s="1" t="s">
        <v>764</v>
      </c>
      <c r="N279" s="1" t="s">
        <v>725</v>
      </c>
      <c r="O279" s="1" t="s">
        <v>765</v>
      </c>
      <c r="P279" s="1" t="s">
        <v>766</v>
      </c>
      <c r="Q279" s="1" t="s">
        <v>767</v>
      </c>
      <c r="R279" s="1" t="s">
        <v>365</v>
      </c>
      <c r="S279" s="1" t="s">
        <v>768</v>
      </c>
    </row>
    <row r="280" spans="1:19" hidden="1" x14ac:dyDescent="0.25">
      <c r="A280" s="1">
        <v>41</v>
      </c>
      <c r="B280" s="1" t="s">
        <v>769</v>
      </c>
      <c r="C280" s="1" t="s">
        <v>732</v>
      </c>
      <c r="D280" s="1" t="s">
        <v>770</v>
      </c>
      <c r="E280" s="1">
        <v>1</v>
      </c>
      <c r="F280" s="1">
        <v>173.375</v>
      </c>
      <c r="G280" s="1">
        <v>8851</v>
      </c>
      <c r="H280" s="1">
        <v>10589</v>
      </c>
      <c r="I280" s="1">
        <v>12261</v>
      </c>
      <c r="J280" s="1">
        <v>170.624</v>
      </c>
      <c r="K280" s="1">
        <v>-5.3970000000000002</v>
      </c>
      <c r="L280" s="1">
        <v>19.102</v>
      </c>
      <c r="M280" s="1" t="s">
        <v>426</v>
      </c>
      <c r="N280" s="1" t="s">
        <v>725</v>
      </c>
      <c r="O280" s="1" t="s">
        <v>771</v>
      </c>
      <c r="P280" s="1" t="s">
        <v>772</v>
      </c>
      <c r="Q280" s="1" t="s">
        <v>51</v>
      </c>
      <c r="R280" s="1" t="s">
        <v>68</v>
      </c>
      <c r="S280" s="1" t="s">
        <v>245</v>
      </c>
    </row>
    <row r="281" spans="1:19" hidden="1" x14ac:dyDescent="0.25">
      <c r="A281" s="1">
        <v>41</v>
      </c>
      <c r="B281" s="1" t="s">
        <v>769</v>
      </c>
      <c r="C281" s="1" t="s">
        <v>732</v>
      </c>
      <c r="D281" s="1" t="s">
        <v>770</v>
      </c>
      <c r="E281" s="1">
        <v>2</v>
      </c>
      <c r="F281" s="1">
        <v>171.27699999999999</v>
      </c>
      <c r="G281" s="1">
        <v>8859</v>
      </c>
      <c r="H281" s="1">
        <v>10598</v>
      </c>
      <c r="I281" s="1">
        <v>12272</v>
      </c>
      <c r="J281" s="1">
        <v>168.56</v>
      </c>
      <c r="K281" s="1">
        <v>-5.3940000000000001</v>
      </c>
      <c r="L281" s="1">
        <v>19.084</v>
      </c>
      <c r="M281" s="1" t="s">
        <v>426</v>
      </c>
      <c r="N281" s="1" t="s">
        <v>725</v>
      </c>
      <c r="O281" s="1" t="s">
        <v>771</v>
      </c>
      <c r="P281" s="1" t="s">
        <v>772</v>
      </c>
      <c r="Q281" s="1" t="s">
        <v>159</v>
      </c>
      <c r="R281" s="1" t="s">
        <v>179</v>
      </c>
      <c r="S281" s="1" t="s">
        <v>274</v>
      </c>
    </row>
    <row r="282" spans="1:19" hidden="1" x14ac:dyDescent="0.25">
      <c r="A282" s="1">
        <v>41</v>
      </c>
      <c r="B282" s="1" t="s">
        <v>769</v>
      </c>
      <c r="C282" s="1" t="s">
        <v>732</v>
      </c>
      <c r="D282" s="1" t="s">
        <v>770</v>
      </c>
      <c r="E282" s="1">
        <v>3</v>
      </c>
      <c r="F282" s="1">
        <v>172.172</v>
      </c>
      <c r="G282" s="1">
        <v>8901</v>
      </c>
      <c r="H282" s="1">
        <v>10649</v>
      </c>
      <c r="I282" s="1">
        <v>12330</v>
      </c>
      <c r="J282" s="1">
        <v>169.44</v>
      </c>
      <c r="K282" s="1">
        <v>-5.4050000000000002</v>
      </c>
      <c r="L282" s="1">
        <v>19.094999999999999</v>
      </c>
      <c r="M282" s="1" t="s">
        <v>426</v>
      </c>
      <c r="N282" s="1" t="s">
        <v>725</v>
      </c>
      <c r="O282" s="1" t="s">
        <v>771</v>
      </c>
      <c r="P282" s="1" t="s">
        <v>772</v>
      </c>
      <c r="Q282" s="1" t="s">
        <v>167</v>
      </c>
      <c r="R282" s="1" t="s">
        <v>299</v>
      </c>
      <c r="S282" s="1" t="s">
        <v>282</v>
      </c>
    </row>
    <row r="283" spans="1:19" hidden="1" x14ac:dyDescent="0.25">
      <c r="A283" s="1">
        <v>41</v>
      </c>
      <c r="B283" s="1" t="s">
        <v>769</v>
      </c>
      <c r="C283" s="1" t="s">
        <v>732</v>
      </c>
      <c r="D283" s="1" t="s">
        <v>770</v>
      </c>
      <c r="E283" s="1">
        <v>4</v>
      </c>
      <c r="F283" s="1">
        <v>172.27600000000001</v>
      </c>
      <c r="G283" s="1">
        <v>8846</v>
      </c>
      <c r="H283" s="1">
        <v>10583</v>
      </c>
      <c r="I283" s="1">
        <v>12254</v>
      </c>
      <c r="J283" s="1">
        <v>169.54300000000001</v>
      </c>
      <c r="K283" s="1">
        <v>-5.399</v>
      </c>
      <c r="L283" s="1">
        <v>19.082999999999998</v>
      </c>
      <c r="M283" s="1" t="s">
        <v>426</v>
      </c>
      <c r="N283" s="1" t="s">
        <v>725</v>
      </c>
      <c r="O283" s="1" t="s">
        <v>771</v>
      </c>
      <c r="P283" s="1" t="s">
        <v>772</v>
      </c>
      <c r="Q283" s="1" t="s">
        <v>146</v>
      </c>
      <c r="R283" s="1" t="s">
        <v>177</v>
      </c>
      <c r="S283" s="1" t="s">
        <v>305</v>
      </c>
    </row>
    <row r="284" spans="1:19" hidden="1" x14ac:dyDescent="0.25">
      <c r="A284" s="1">
        <v>41</v>
      </c>
      <c r="B284" s="1" t="s">
        <v>769</v>
      </c>
      <c r="C284" s="1" t="s">
        <v>732</v>
      </c>
      <c r="D284" s="1" t="s">
        <v>770</v>
      </c>
      <c r="E284" s="1">
        <v>5</v>
      </c>
      <c r="F284" s="1">
        <v>242.82300000000001</v>
      </c>
      <c r="G284" s="1">
        <v>20090</v>
      </c>
      <c r="H284" s="1">
        <v>24225</v>
      </c>
      <c r="I284" s="1">
        <v>27958</v>
      </c>
      <c r="J284" s="1">
        <v>238.959</v>
      </c>
      <c r="K284" s="1">
        <v>-2.9769999999999999</v>
      </c>
      <c r="L284" s="1">
        <v>23.716000000000001</v>
      </c>
      <c r="M284" s="1" t="s">
        <v>426</v>
      </c>
      <c r="N284" s="1" t="s">
        <v>725</v>
      </c>
      <c r="O284" s="1" t="s">
        <v>771</v>
      </c>
      <c r="P284" s="1" t="s">
        <v>772</v>
      </c>
      <c r="Q284" s="1" t="s">
        <v>183</v>
      </c>
      <c r="R284" s="1" t="s">
        <v>515</v>
      </c>
      <c r="S284" s="1" t="s">
        <v>106</v>
      </c>
    </row>
    <row r="285" spans="1:19" x14ac:dyDescent="0.25">
      <c r="A285" s="1">
        <v>41</v>
      </c>
      <c r="B285" s="1" t="s">
        <v>769</v>
      </c>
      <c r="C285" s="1" t="s">
        <v>732</v>
      </c>
      <c r="D285" s="1" t="s">
        <v>770</v>
      </c>
      <c r="E285" s="1">
        <v>6</v>
      </c>
      <c r="F285" s="1">
        <v>214.405</v>
      </c>
      <c r="G285" s="1">
        <v>17855</v>
      </c>
      <c r="H285" s="1">
        <v>21515</v>
      </c>
      <c r="I285" s="1">
        <v>24852</v>
      </c>
      <c r="J285" s="1">
        <v>210.99299999999999</v>
      </c>
      <c r="K285" s="1">
        <v>-2.9039999999999999</v>
      </c>
      <c r="L285" s="1">
        <v>23.866</v>
      </c>
      <c r="M285" s="1" t="s">
        <v>426</v>
      </c>
      <c r="N285" s="1" t="s">
        <v>725</v>
      </c>
      <c r="O285" s="1" t="s">
        <v>771</v>
      </c>
      <c r="P285" s="1" t="s">
        <v>772</v>
      </c>
      <c r="Q285" s="1" t="s">
        <v>252</v>
      </c>
      <c r="R285" s="1" t="s">
        <v>312</v>
      </c>
      <c r="S285" s="1" t="s">
        <v>224</v>
      </c>
    </row>
    <row r="286" spans="1:19" x14ac:dyDescent="0.25">
      <c r="A286" s="1">
        <v>41</v>
      </c>
      <c r="B286" s="1" t="s">
        <v>769</v>
      </c>
      <c r="C286" s="1" t="s">
        <v>732</v>
      </c>
      <c r="D286" s="1" t="s">
        <v>770</v>
      </c>
      <c r="E286" s="1">
        <v>7</v>
      </c>
      <c r="F286" s="1">
        <v>202.578</v>
      </c>
      <c r="G286" s="1">
        <v>16700</v>
      </c>
      <c r="H286" s="1">
        <v>20115</v>
      </c>
      <c r="I286" s="1">
        <v>23242</v>
      </c>
      <c r="J286" s="1">
        <v>199.35499999999999</v>
      </c>
      <c r="K286" s="1">
        <v>-2.9350000000000001</v>
      </c>
      <c r="L286" s="1">
        <v>23.91</v>
      </c>
      <c r="M286" s="1" t="s">
        <v>426</v>
      </c>
      <c r="N286" s="1" t="s">
        <v>725</v>
      </c>
      <c r="O286" s="1" t="s">
        <v>771</v>
      </c>
      <c r="P286" s="1" t="s">
        <v>772</v>
      </c>
      <c r="Q286" s="1" t="s">
        <v>252</v>
      </c>
      <c r="R286" s="1" t="s">
        <v>312</v>
      </c>
      <c r="S286" s="1" t="s">
        <v>224</v>
      </c>
    </row>
    <row r="287" spans="1:19" hidden="1" x14ac:dyDescent="0.25">
      <c r="A287" s="1">
        <v>42</v>
      </c>
      <c r="B287" s="1" t="s">
        <v>773</v>
      </c>
      <c r="C287" s="1" t="s">
        <v>534</v>
      </c>
      <c r="D287" s="1" t="s">
        <v>774</v>
      </c>
      <c r="E287" s="1">
        <v>1</v>
      </c>
      <c r="F287" s="1">
        <v>174.02799999999999</v>
      </c>
      <c r="G287" s="1">
        <v>8896</v>
      </c>
      <c r="H287" s="1">
        <v>10641</v>
      </c>
      <c r="I287" s="1">
        <v>12321</v>
      </c>
      <c r="J287" s="1">
        <v>171.267</v>
      </c>
      <c r="K287" s="1">
        <v>-5.3849999999999998</v>
      </c>
      <c r="L287" s="1">
        <v>19.082000000000001</v>
      </c>
      <c r="M287" s="1" t="s">
        <v>775</v>
      </c>
      <c r="N287" s="1" t="s">
        <v>725</v>
      </c>
      <c r="O287" s="1" t="s">
        <v>776</v>
      </c>
      <c r="P287" s="1" t="s">
        <v>777</v>
      </c>
      <c r="Q287" s="1" t="s">
        <v>51</v>
      </c>
      <c r="R287" s="1" t="s">
        <v>276</v>
      </c>
      <c r="S287" s="1" t="s">
        <v>245</v>
      </c>
    </row>
    <row r="288" spans="1:19" hidden="1" x14ac:dyDescent="0.25">
      <c r="A288" s="1">
        <v>42</v>
      </c>
      <c r="B288" s="1" t="s">
        <v>773</v>
      </c>
      <c r="C288" s="1" t="s">
        <v>534</v>
      </c>
      <c r="D288" s="1" t="s">
        <v>774</v>
      </c>
      <c r="E288" s="1">
        <v>2</v>
      </c>
      <c r="F288" s="1">
        <v>170.27099999999999</v>
      </c>
      <c r="G288" s="1">
        <v>8807</v>
      </c>
      <c r="H288" s="1">
        <v>10537</v>
      </c>
      <c r="I288" s="1">
        <v>12198</v>
      </c>
      <c r="J288" s="1">
        <v>167.57</v>
      </c>
      <c r="K288" s="1">
        <v>-5.3810000000000002</v>
      </c>
      <c r="L288" s="1">
        <v>19.053000000000001</v>
      </c>
      <c r="M288" s="1" t="s">
        <v>775</v>
      </c>
      <c r="N288" s="1" t="s">
        <v>725</v>
      </c>
      <c r="O288" s="1" t="s">
        <v>776</v>
      </c>
      <c r="P288" s="1" t="s">
        <v>777</v>
      </c>
      <c r="Q288" s="1" t="s">
        <v>159</v>
      </c>
      <c r="R288" s="1" t="s">
        <v>179</v>
      </c>
      <c r="S288" s="1" t="s">
        <v>274</v>
      </c>
    </row>
    <row r="289" spans="1:19" hidden="1" x14ac:dyDescent="0.25">
      <c r="A289" s="1">
        <v>42</v>
      </c>
      <c r="B289" s="1" t="s">
        <v>773</v>
      </c>
      <c r="C289" s="1" t="s">
        <v>534</v>
      </c>
      <c r="D289" s="1" t="s">
        <v>774</v>
      </c>
      <c r="E289" s="1">
        <v>3</v>
      </c>
      <c r="F289" s="1">
        <v>173.571</v>
      </c>
      <c r="G289" s="1">
        <v>8955</v>
      </c>
      <c r="H289" s="1">
        <v>10712</v>
      </c>
      <c r="I289" s="1">
        <v>12405</v>
      </c>
      <c r="J289" s="1">
        <v>170.81800000000001</v>
      </c>
      <c r="K289" s="1">
        <v>-5.39</v>
      </c>
      <c r="L289" s="1">
        <v>19.065999999999999</v>
      </c>
      <c r="M289" s="1" t="s">
        <v>775</v>
      </c>
      <c r="N289" s="1" t="s">
        <v>725</v>
      </c>
      <c r="O289" s="1" t="s">
        <v>776</v>
      </c>
      <c r="P289" s="1" t="s">
        <v>777</v>
      </c>
      <c r="Q289" s="1" t="s">
        <v>167</v>
      </c>
      <c r="R289" s="1" t="s">
        <v>237</v>
      </c>
      <c r="S289" s="1" t="s">
        <v>282</v>
      </c>
    </row>
    <row r="290" spans="1:19" hidden="1" x14ac:dyDescent="0.25">
      <c r="A290" s="1">
        <v>42</v>
      </c>
      <c r="B290" s="1" t="s">
        <v>773</v>
      </c>
      <c r="C290" s="1" t="s">
        <v>534</v>
      </c>
      <c r="D290" s="1" t="s">
        <v>774</v>
      </c>
      <c r="E290" s="1">
        <v>4</v>
      </c>
      <c r="F290" s="1">
        <v>171.47200000000001</v>
      </c>
      <c r="G290" s="1">
        <v>8825</v>
      </c>
      <c r="H290" s="1">
        <v>10557</v>
      </c>
      <c r="I290" s="1">
        <v>12222</v>
      </c>
      <c r="J290" s="1">
        <v>168.751</v>
      </c>
      <c r="K290" s="1">
        <v>-5.399</v>
      </c>
      <c r="L290" s="1">
        <v>19.082999999999998</v>
      </c>
      <c r="M290" s="1" t="s">
        <v>775</v>
      </c>
      <c r="N290" s="1" t="s">
        <v>725</v>
      </c>
      <c r="O290" s="1" t="s">
        <v>776</v>
      </c>
      <c r="P290" s="1" t="s">
        <v>777</v>
      </c>
      <c r="Q290" s="1" t="s">
        <v>146</v>
      </c>
      <c r="R290" s="1" t="s">
        <v>177</v>
      </c>
      <c r="S290" s="1" t="s">
        <v>305</v>
      </c>
    </row>
    <row r="291" spans="1:19" hidden="1" x14ac:dyDescent="0.25">
      <c r="A291" s="1">
        <v>42</v>
      </c>
      <c r="B291" s="1" t="s">
        <v>773</v>
      </c>
      <c r="C291" s="1" t="s">
        <v>534</v>
      </c>
      <c r="D291" s="1" t="s">
        <v>774</v>
      </c>
      <c r="E291" s="1">
        <v>5</v>
      </c>
      <c r="F291" s="1">
        <v>171.10499999999999</v>
      </c>
      <c r="G291" s="1">
        <v>13429</v>
      </c>
      <c r="H291" s="1">
        <v>16169</v>
      </c>
      <c r="I291" s="1">
        <v>18694</v>
      </c>
      <c r="J291" s="1">
        <v>168.38200000000001</v>
      </c>
      <c r="K291" s="1">
        <v>-3.0289999999999999</v>
      </c>
      <c r="L291" s="1">
        <v>23.79</v>
      </c>
      <c r="M291" s="1" t="s">
        <v>775</v>
      </c>
      <c r="N291" s="1" t="s">
        <v>725</v>
      </c>
      <c r="O291" s="1" t="s">
        <v>776</v>
      </c>
      <c r="P291" s="1" t="s">
        <v>777</v>
      </c>
      <c r="Q291" s="1" t="s">
        <v>200</v>
      </c>
      <c r="R291" s="1" t="s">
        <v>145</v>
      </c>
      <c r="S291" s="1" t="s">
        <v>44</v>
      </c>
    </row>
    <row r="292" spans="1:19" x14ac:dyDescent="0.25">
      <c r="A292" s="1">
        <v>42</v>
      </c>
      <c r="B292" s="1" t="s">
        <v>773</v>
      </c>
      <c r="C292" s="1" t="s">
        <v>534</v>
      </c>
      <c r="D292" s="1" t="s">
        <v>774</v>
      </c>
      <c r="E292" s="1">
        <v>6</v>
      </c>
      <c r="F292" s="1">
        <v>151.38499999999999</v>
      </c>
      <c r="G292" s="1">
        <v>12035</v>
      </c>
      <c r="H292" s="1">
        <v>14486</v>
      </c>
      <c r="I292" s="1">
        <v>16754</v>
      </c>
      <c r="J292" s="1">
        <v>148.977</v>
      </c>
      <c r="K292" s="1">
        <v>-2.99</v>
      </c>
      <c r="L292" s="1">
        <v>23.895</v>
      </c>
      <c r="M292" s="1" t="s">
        <v>775</v>
      </c>
      <c r="N292" s="1" t="s">
        <v>725</v>
      </c>
      <c r="O292" s="1" t="s">
        <v>776</v>
      </c>
      <c r="P292" s="1" t="s">
        <v>777</v>
      </c>
      <c r="Q292" s="1" t="s">
        <v>159</v>
      </c>
      <c r="R292" s="1" t="s">
        <v>179</v>
      </c>
      <c r="S292" s="1" t="s">
        <v>168</v>
      </c>
    </row>
    <row r="293" spans="1:19" x14ac:dyDescent="0.25">
      <c r="A293" s="1">
        <v>42</v>
      </c>
      <c r="B293" s="1" t="s">
        <v>773</v>
      </c>
      <c r="C293" s="1" t="s">
        <v>534</v>
      </c>
      <c r="D293" s="1" t="s">
        <v>774</v>
      </c>
      <c r="E293" s="1">
        <v>7</v>
      </c>
      <c r="F293" s="1">
        <v>141.208</v>
      </c>
      <c r="G293" s="1">
        <v>11262</v>
      </c>
      <c r="H293" s="1">
        <v>13555</v>
      </c>
      <c r="I293" s="1">
        <v>15676</v>
      </c>
      <c r="J293" s="1">
        <v>138.96100000000001</v>
      </c>
      <c r="K293" s="1">
        <v>-2.907</v>
      </c>
      <c r="L293" s="1">
        <v>23.905000000000001</v>
      </c>
      <c r="M293" s="1" t="s">
        <v>775</v>
      </c>
      <c r="N293" s="1" t="s">
        <v>725</v>
      </c>
      <c r="O293" s="1" t="s">
        <v>776</v>
      </c>
      <c r="P293" s="1" t="s">
        <v>777</v>
      </c>
      <c r="Q293" s="1" t="s">
        <v>778</v>
      </c>
      <c r="R293" s="1" t="s">
        <v>779</v>
      </c>
      <c r="S293" s="1" t="s">
        <v>422</v>
      </c>
    </row>
    <row r="294" spans="1:19" hidden="1" x14ac:dyDescent="0.25">
      <c r="A294" s="1">
        <v>43</v>
      </c>
      <c r="B294" s="1" t="s">
        <v>780</v>
      </c>
      <c r="C294" s="1" t="s">
        <v>281</v>
      </c>
      <c r="D294" s="1" t="s">
        <v>781</v>
      </c>
      <c r="E294" s="1">
        <v>1</v>
      </c>
      <c r="F294" s="1">
        <v>174.35400000000001</v>
      </c>
      <c r="G294" s="1">
        <v>8900</v>
      </c>
      <c r="H294" s="1">
        <v>10648</v>
      </c>
      <c r="I294" s="1">
        <v>12326</v>
      </c>
      <c r="J294" s="1">
        <v>171.58799999999999</v>
      </c>
      <c r="K294" s="1">
        <v>-5.391</v>
      </c>
      <c r="L294" s="1">
        <v>19.11</v>
      </c>
      <c r="M294" s="1" t="s">
        <v>782</v>
      </c>
      <c r="N294" s="1" t="s">
        <v>725</v>
      </c>
      <c r="O294" s="1" t="s">
        <v>783</v>
      </c>
      <c r="P294" s="1" t="s">
        <v>784</v>
      </c>
      <c r="Q294" s="1" t="s">
        <v>91</v>
      </c>
      <c r="R294" s="1" t="s">
        <v>97</v>
      </c>
      <c r="S294" s="1" t="s">
        <v>167</v>
      </c>
    </row>
    <row r="295" spans="1:19" hidden="1" x14ac:dyDescent="0.25">
      <c r="A295" s="1">
        <v>43</v>
      </c>
      <c r="B295" s="1" t="s">
        <v>780</v>
      </c>
      <c r="C295" s="1" t="s">
        <v>281</v>
      </c>
      <c r="D295" s="1" t="s">
        <v>781</v>
      </c>
      <c r="E295" s="1">
        <v>2</v>
      </c>
      <c r="F295" s="1">
        <v>173.524</v>
      </c>
      <c r="G295" s="1">
        <v>8967</v>
      </c>
      <c r="H295" s="1">
        <v>10728</v>
      </c>
      <c r="I295" s="1">
        <v>12418</v>
      </c>
      <c r="J295" s="1">
        <v>170.77199999999999</v>
      </c>
      <c r="K295" s="1">
        <v>-5.3860000000000001</v>
      </c>
      <c r="L295" s="1">
        <v>19.094000000000001</v>
      </c>
      <c r="M295" s="1" t="s">
        <v>782</v>
      </c>
      <c r="N295" s="1" t="s">
        <v>725</v>
      </c>
      <c r="O295" s="1" t="s">
        <v>783</v>
      </c>
      <c r="P295" s="1" t="s">
        <v>784</v>
      </c>
      <c r="Q295" s="1" t="s">
        <v>254</v>
      </c>
      <c r="R295" s="1" t="s">
        <v>149</v>
      </c>
      <c r="S295" s="1" t="s">
        <v>150</v>
      </c>
    </row>
    <row r="296" spans="1:19" hidden="1" x14ac:dyDescent="0.25">
      <c r="A296" s="1">
        <v>43</v>
      </c>
      <c r="B296" s="1" t="s">
        <v>780</v>
      </c>
      <c r="C296" s="1" t="s">
        <v>281</v>
      </c>
      <c r="D296" s="1" t="s">
        <v>781</v>
      </c>
      <c r="E296" s="1">
        <v>3</v>
      </c>
      <c r="F296" s="1">
        <v>173.78800000000001</v>
      </c>
      <c r="G296" s="1">
        <v>8982</v>
      </c>
      <c r="H296" s="1">
        <v>10747</v>
      </c>
      <c r="I296" s="1">
        <v>12436</v>
      </c>
      <c r="J296" s="1">
        <v>171.03100000000001</v>
      </c>
      <c r="K296" s="1">
        <v>-5.3959999999999999</v>
      </c>
      <c r="L296" s="1">
        <v>19.076000000000001</v>
      </c>
      <c r="M296" s="1" t="s">
        <v>782</v>
      </c>
      <c r="N296" s="1" t="s">
        <v>725</v>
      </c>
      <c r="O296" s="1" t="s">
        <v>783</v>
      </c>
      <c r="P296" s="1" t="s">
        <v>784</v>
      </c>
      <c r="Q296" s="1" t="s">
        <v>291</v>
      </c>
      <c r="R296" s="1" t="s">
        <v>328</v>
      </c>
      <c r="S296" s="1" t="s">
        <v>324</v>
      </c>
    </row>
    <row r="297" spans="1:19" hidden="1" x14ac:dyDescent="0.25">
      <c r="A297" s="1">
        <v>43</v>
      </c>
      <c r="B297" s="1" t="s">
        <v>780</v>
      </c>
      <c r="C297" s="1" t="s">
        <v>281</v>
      </c>
      <c r="D297" s="1" t="s">
        <v>781</v>
      </c>
      <c r="E297" s="1">
        <v>4</v>
      </c>
      <c r="F297" s="1">
        <v>174.119</v>
      </c>
      <c r="G297" s="1">
        <v>8958</v>
      </c>
      <c r="H297" s="1">
        <v>10718</v>
      </c>
      <c r="I297" s="1">
        <v>12405</v>
      </c>
      <c r="J297" s="1">
        <v>171.357</v>
      </c>
      <c r="K297" s="1">
        <v>-5.399</v>
      </c>
      <c r="L297" s="1">
        <v>19.082999999999998</v>
      </c>
      <c r="M297" s="1" t="s">
        <v>782</v>
      </c>
      <c r="N297" s="1" t="s">
        <v>725</v>
      </c>
      <c r="O297" s="1" t="s">
        <v>783</v>
      </c>
      <c r="P297" s="1" t="s">
        <v>784</v>
      </c>
      <c r="Q297" s="1" t="s">
        <v>249</v>
      </c>
      <c r="R297" s="1" t="s">
        <v>194</v>
      </c>
      <c r="S297" s="1" t="s">
        <v>201</v>
      </c>
    </row>
    <row r="298" spans="1:19" hidden="1" x14ac:dyDescent="0.25">
      <c r="A298" s="1">
        <v>43</v>
      </c>
      <c r="B298" s="1" t="s">
        <v>780</v>
      </c>
      <c r="C298" s="1" t="s">
        <v>281</v>
      </c>
      <c r="D298" s="1" t="s">
        <v>781</v>
      </c>
      <c r="E298" s="1">
        <v>5</v>
      </c>
      <c r="F298" s="1">
        <v>175.51900000000001</v>
      </c>
      <c r="G298" s="1">
        <v>14239</v>
      </c>
      <c r="H298" s="1">
        <v>17132</v>
      </c>
      <c r="I298" s="1">
        <v>19815</v>
      </c>
      <c r="J298" s="1">
        <v>172.72800000000001</v>
      </c>
      <c r="K298" s="1">
        <v>-3.47</v>
      </c>
      <c r="L298" s="1">
        <v>23.748000000000001</v>
      </c>
      <c r="M298" s="1" t="s">
        <v>782</v>
      </c>
      <c r="N298" s="1" t="s">
        <v>725</v>
      </c>
      <c r="O298" s="1" t="s">
        <v>783</v>
      </c>
      <c r="P298" s="1" t="s">
        <v>784</v>
      </c>
      <c r="Q298" s="1" t="s">
        <v>192</v>
      </c>
      <c r="R298" s="1" t="s">
        <v>195</v>
      </c>
      <c r="S298" s="1" t="s">
        <v>110</v>
      </c>
    </row>
    <row r="299" spans="1:19" x14ac:dyDescent="0.25">
      <c r="A299" s="1">
        <v>43</v>
      </c>
      <c r="B299" s="1" t="s">
        <v>780</v>
      </c>
      <c r="C299" s="1" t="s">
        <v>281</v>
      </c>
      <c r="D299" s="1" t="s">
        <v>781</v>
      </c>
      <c r="E299" s="1">
        <v>6</v>
      </c>
      <c r="F299" s="1">
        <v>153.65799999999999</v>
      </c>
      <c r="G299" s="1">
        <v>12439</v>
      </c>
      <c r="H299" s="1">
        <v>14959</v>
      </c>
      <c r="I299" s="1">
        <v>17314</v>
      </c>
      <c r="J299" s="1">
        <v>151.214</v>
      </c>
      <c r="K299" s="1">
        <v>-3.395</v>
      </c>
      <c r="L299" s="1">
        <v>23.981999999999999</v>
      </c>
      <c r="M299" s="1" t="s">
        <v>782</v>
      </c>
      <c r="N299" s="1" t="s">
        <v>725</v>
      </c>
      <c r="O299" s="1" t="s">
        <v>783</v>
      </c>
      <c r="P299" s="1" t="s">
        <v>784</v>
      </c>
      <c r="Q299" s="1" t="s">
        <v>165</v>
      </c>
      <c r="R299" s="1" t="s">
        <v>143</v>
      </c>
      <c r="S299" s="1" t="s">
        <v>238</v>
      </c>
    </row>
    <row r="300" spans="1:19" x14ac:dyDescent="0.25">
      <c r="A300" s="1">
        <v>43</v>
      </c>
      <c r="B300" s="1" t="s">
        <v>780</v>
      </c>
      <c r="C300" s="1" t="s">
        <v>281</v>
      </c>
      <c r="D300" s="1" t="s">
        <v>781</v>
      </c>
      <c r="E300" s="1">
        <v>7</v>
      </c>
      <c r="F300" s="1">
        <v>142.941</v>
      </c>
      <c r="G300" s="1">
        <v>11526</v>
      </c>
      <c r="H300" s="1">
        <v>13855</v>
      </c>
      <c r="I300" s="1">
        <v>16038</v>
      </c>
      <c r="J300" s="1">
        <v>140.66800000000001</v>
      </c>
      <c r="K300" s="1">
        <v>-3.3330000000000002</v>
      </c>
      <c r="L300" s="1">
        <v>24.001000000000001</v>
      </c>
      <c r="M300" s="1" t="s">
        <v>782</v>
      </c>
      <c r="N300" s="1" t="s">
        <v>725</v>
      </c>
      <c r="O300" s="1" t="s">
        <v>783</v>
      </c>
      <c r="P300" s="1" t="s">
        <v>784</v>
      </c>
      <c r="Q300" s="1" t="s">
        <v>450</v>
      </c>
      <c r="R300" s="1" t="s">
        <v>785</v>
      </c>
      <c r="S300" s="1" t="s">
        <v>786</v>
      </c>
    </row>
    <row r="301" spans="1:19" hidden="1" x14ac:dyDescent="0.25">
      <c r="A301" s="1">
        <v>44</v>
      </c>
      <c r="B301" s="1" t="s">
        <v>787</v>
      </c>
      <c r="C301" s="1" t="s">
        <v>788</v>
      </c>
      <c r="D301" s="1" t="s">
        <v>789</v>
      </c>
      <c r="E301" s="1">
        <v>1</v>
      </c>
      <c r="F301" s="1">
        <v>173.791</v>
      </c>
      <c r="G301" s="1">
        <v>8874</v>
      </c>
      <c r="H301" s="1">
        <v>10617</v>
      </c>
      <c r="I301" s="1">
        <v>12287</v>
      </c>
      <c r="J301" s="1">
        <v>171.03399999999999</v>
      </c>
      <c r="K301" s="1">
        <v>-5.375</v>
      </c>
      <c r="L301" s="1">
        <v>19.010000000000002</v>
      </c>
      <c r="M301" s="1" t="s">
        <v>790</v>
      </c>
      <c r="N301" s="1" t="s">
        <v>725</v>
      </c>
      <c r="O301" s="1" t="s">
        <v>791</v>
      </c>
      <c r="P301" s="1" t="s">
        <v>792</v>
      </c>
      <c r="Q301" s="1" t="s">
        <v>102</v>
      </c>
      <c r="R301" s="1" t="s">
        <v>75</v>
      </c>
      <c r="S301" s="1" t="s">
        <v>249</v>
      </c>
    </row>
    <row r="302" spans="1:19" hidden="1" x14ac:dyDescent="0.25">
      <c r="A302" s="1">
        <v>44</v>
      </c>
      <c r="B302" s="1" t="s">
        <v>787</v>
      </c>
      <c r="C302" s="1" t="s">
        <v>788</v>
      </c>
      <c r="D302" s="1" t="s">
        <v>789</v>
      </c>
      <c r="E302" s="1">
        <v>2</v>
      </c>
      <c r="F302" s="1">
        <v>171.655</v>
      </c>
      <c r="G302" s="1">
        <v>8873</v>
      </c>
      <c r="H302" s="1">
        <v>10616</v>
      </c>
      <c r="I302" s="1">
        <v>12289</v>
      </c>
      <c r="J302" s="1">
        <v>168.93199999999999</v>
      </c>
      <c r="K302" s="1">
        <v>-5.383</v>
      </c>
      <c r="L302" s="1">
        <v>19.048999999999999</v>
      </c>
      <c r="M302" s="1" t="s">
        <v>790</v>
      </c>
      <c r="N302" s="1" t="s">
        <v>725</v>
      </c>
      <c r="O302" s="1" t="s">
        <v>791</v>
      </c>
      <c r="P302" s="1" t="s">
        <v>792</v>
      </c>
      <c r="Q302" s="1" t="s">
        <v>276</v>
      </c>
      <c r="R302" s="1" t="s">
        <v>173</v>
      </c>
      <c r="S302" s="1" t="s">
        <v>163</v>
      </c>
    </row>
    <row r="303" spans="1:19" hidden="1" x14ac:dyDescent="0.25">
      <c r="A303" s="1">
        <v>44</v>
      </c>
      <c r="B303" s="1" t="s">
        <v>787</v>
      </c>
      <c r="C303" s="1" t="s">
        <v>788</v>
      </c>
      <c r="D303" s="1" t="s">
        <v>789</v>
      </c>
      <c r="E303" s="1">
        <v>3</v>
      </c>
      <c r="F303" s="1">
        <v>172.803</v>
      </c>
      <c r="G303" s="1">
        <v>8940</v>
      </c>
      <c r="H303" s="1">
        <v>10696</v>
      </c>
      <c r="I303" s="1">
        <v>12378</v>
      </c>
      <c r="J303" s="1">
        <v>170.06200000000001</v>
      </c>
      <c r="K303" s="1">
        <v>-5.3860000000000001</v>
      </c>
      <c r="L303" s="1">
        <v>19.05</v>
      </c>
      <c r="M303" s="1" t="s">
        <v>790</v>
      </c>
      <c r="N303" s="1" t="s">
        <v>725</v>
      </c>
      <c r="O303" s="1" t="s">
        <v>791</v>
      </c>
      <c r="P303" s="1" t="s">
        <v>792</v>
      </c>
      <c r="Q303" s="1" t="s">
        <v>147</v>
      </c>
      <c r="R303" s="1" t="s">
        <v>198</v>
      </c>
      <c r="S303" s="1" t="s">
        <v>142</v>
      </c>
    </row>
    <row r="304" spans="1:19" hidden="1" x14ac:dyDescent="0.25">
      <c r="A304" s="1">
        <v>44</v>
      </c>
      <c r="B304" s="1" t="s">
        <v>787</v>
      </c>
      <c r="C304" s="1" t="s">
        <v>788</v>
      </c>
      <c r="D304" s="1" t="s">
        <v>789</v>
      </c>
      <c r="E304" s="1">
        <v>4</v>
      </c>
      <c r="F304" s="1">
        <v>172.63</v>
      </c>
      <c r="G304" s="1">
        <v>8874</v>
      </c>
      <c r="H304" s="1">
        <v>10617</v>
      </c>
      <c r="I304" s="1">
        <v>12289</v>
      </c>
      <c r="J304" s="1">
        <v>169.892</v>
      </c>
      <c r="K304" s="1">
        <v>-5.399</v>
      </c>
      <c r="L304" s="1">
        <v>19.082999999999998</v>
      </c>
      <c r="M304" s="1" t="s">
        <v>790</v>
      </c>
      <c r="N304" s="1" t="s">
        <v>725</v>
      </c>
      <c r="O304" s="1" t="s">
        <v>791</v>
      </c>
      <c r="P304" s="1" t="s">
        <v>792</v>
      </c>
      <c r="Q304" s="1" t="s">
        <v>291</v>
      </c>
      <c r="R304" s="1" t="s">
        <v>234</v>
      </c>
      <c r="S304" s="1" t="s">
        <v>168</v>
      </c>
    </row>
    <row r="305" spans="1:19" hidden="1" x14ac:dyDescent="0.25">
      <c r="A305" s="1">
        <v>44</v>
      </c>
      <c r="B305" s="1" t="s">
        <v>787</v>
      </c>
      <c r="C305" s="1" t="s">
        <v>788</v>
      </c>
      <c r="D305" s="1" t="s">
        <v>789</v>
      </c>
      <c r="E305" s="1">
        <v>5</v>
      </c>
      <c r="F305" s="1">
        <v>142.28200000000001</v>
      </c>
      <c r="G305" s="1">
        <v>11154</v>
      </c>
      <c r="H305" s="1">
        <v>13422</v>
      </c>
      <c r="I305" s="1">
        <v>15515</v>
      </c>
      <c r="J305" s="1">
        <v>140.018</v>
      </c>
      <c r="K305" s="1">
        <v>-3.2069999999999999</v>
      </c>
      <c r="L305" s="1">
        <v>23.629000000000001</v>
      </c>
      <c r="M305" s="1" t="s">
        <v>790</v>
      </c>
      <c r="N305" s="1" t="s">
        <v>725</v>
      </c>
      <c r="O305" s="1" t="s">
        <v>791</v>
      </c>
      <c r="P305" s="1" t="s">
        <v>792</v>
      </c>
      <c r="Q305" s="1" t="s">
        <v>217</v>
      </c>
      <c r="R305" s="1" t="s">
        <v>218</v>
      </c>
      <c r="S305" s="1" t="s">
        <v>195</v>
      </c>
    </row>
    <row r="306" spans="1:19" x14ac:dyDescent="0.25">
      <c r="A306" s="1">
        <v>44</v>
      </c>
      <c r="B306" s="1" t="s">
        <v>787</v>
      </c>
      <c r="C306" s="1" t="s">
        <v>788</v>
      </c>
      <c r="D306" s="1" t="s">
        <v>789</v>
      </c>
      <c r="E306" s="1">
        <v>6</v>
      </c>
      <c r="F306" s="1">
        <v>125.53100000000001</v>
      </c>
      <c r="G306" s="1">
        <v>9980</v>
      </c>
      <c r="H306" s="1">
        <v>12007</v>
      </c>
      <c r="I306" s="1">
        <v>13883</v>
      </c>
      <c r="J306" s="1">
        <v>123.53400000000001</v>
      </c>
      <c r="K306" s="1">
        <v>-3.109</v>
      </c>
      <c r="L306" s="1">
        <v>23.789000000000001</v>
      </c>
      <c r="M306" s="1" t="s">
        <v>790</v>
      </c>
      <c r="N306" s="1" t="s">
        <v>725</v>
      </c>
      <c r="O306" s="1" t="s">
        <v>791</v>
      </c>
      <c r="P306" s="1" t="s">
        <v>792</v>
      </c>
      <c r="Q306" s="1" t="s">
        <v>107</v>
      </c>
      <c r="R306" s="1" t="s">
        <v>290</v>
      </c>
      <c r="S306" s="1" t="s">
        <v>237</v>
      </c>
    </row>
    <row r="307" spans="1:19" x14ac:dyDescent="0.25">
      <c r="A307" s="1">
        <v>44</v>
      </c>
      <c r="B307" s="1" t="s">
        <v>787</v>
      </c>
      <c r="C307" s="1" t="s">
        <v>788</v>
      </c>
      <c r="D307" s="1" t="s">
        <v>789</v>
      </c>
      <c r="E307" s="1">
        <v>7</v>
      </c>
      <c r="F307" s="1">
        <v>117.142</v>
      </c>
      <c r="G307" s="1">
        <v>9374</v>
      </c>
      <c r="H307" s="1">
        <v>11278</v>
      </c>
      <c r="I307" s="1">
        <v>13043</v>
      </c>
      <c r="J307" s="1">
        <v>115.27800000000001</v>
      </c>
      <c r="K307" s="1">
        <v>-3.1150000000000002</v>
      </c>
      <c r="L307" s="1">
        <v>23.762</v>
      </c>
      <c r="M307" s="1" t="s">
        <v>790</v>
      </c>
      <c r="N307" s="1" t="s">
        <v>725</v>
      </c>
      <c r="O307" s="1" t="s">
        <v>791</v>
      </c>
      <c r="P307" s="1" t="s">
        <v>792</v>
      </c>
      <c r="Q307" s="1" t="s">
        <v>793</v>
      </c>
      <c r="R307" s="1" t="s">
        <v>794</v>
      </c>
      <c r="S307" s="1" t="s">
        <v>651</v>
      </c>
    </row>
    <row r="308" spans="1:19" hidden="1" x14ac:dyDescent="0.25">
      <c r="A308" s="1">
        <v>45</v>
      </c>
      <c r="B308" s="1" t="s">
        <v>795</v>
      </c>
      <c r="C308" s="1" t="s">
        <v>476</v>
      </c>
      <c r="D308" s="1" t="s">
        <v>796</v>
      </c>
      <c r="E308" s="1">
        <v>1</v>
      </c>
      <c r="F308" s="1">
        <v>174.541</v>
      </c>
      <c r="G308" s="1">
        <v>8913</v>
      </c>
      <c r="H308" s="1">
        <v>10663</v>
      </c>
      <c r="I308" s="1">
        <v>12340</v>
      </c>
      <c r="J308" s="1">
        <v>171.77199999999999</v>
      </c>
      <c r="K308" s="1">
        <v>-5.3959999999999999</v>
      </c>
      <c r="L308" s="1">
        <v>19.03</v>
      </c>
      <c r="M308" s="1" t="s">
        <v>797</v>
      </c>
      <c r="N308" s="1" t="s">
        <v>725</v>
      </c>
      <c r="O308" s="1" t="s">
        <v>798</v>
      </c>
      <c r="P308" s="1" t="s">
        <v>799</v>
      </c>
      <c r="Q308" s="1" t="s">
        <v>46</v>
      </c>
      <c r="R308" s="1" t="s">
        <v>90</v>
      </c>
      <c r="S308" s="1" t="s">
        <v>89</v>
      </c>
    </row>
    <row r="309" spans="1:19" hidden="1" x14ac:dyDescent="0.25">
      <c r="A309" s="1">
        <v>45</v>
      </c>
      <c r="B309" s="1" t="s">
        <v>795</v>
      </c>
      <c r="C309" s="1" t="s">
        <v>476</v>
      </c>
      <c r="D309" s="1" t="s">
        <v>796</v>
      </c>
      <c r="E309" s="1">
        <v>2</v>
      </c>
      <c r="F309" s="1">
        <v>170.51499999999999</v>
      </c>
      <c r="G309" s="1">
        <v>8829</v>
      </c>
      <c r="H309" s="1">
        <v>10564</v>
      </c>
      <c r="I309" s="1">
        <v>12225</v>
      </c>
      <c r="J309" s="1">
        <v>167.81</v>
      </c>
      <c r="K309" s="1">
        <v>-5.3970000000000002</v>
      </c>
      <c r="L309" s="1">
        <v>19.036000000000001</v>
      </c>
      <c r="M309" s="1" t="s">
        <v>797</v>
      </c>
      <c r="N309" s="1" t="s">
        <v>725</v>
      </c>
      <c r="O309" s="1" t="s">
        <v>798</v>
      </c>
      <c r="P309" s="1" t="s">
        <v>799</v>
      </c>
      <c r="Q309" s="1" t="s">
        <v>77</v>
      </c>
      <c r="R309" s="1" t="s">
        <v>140</v>
      </c>
      <c r="S309" s="1" t="s">
        <v>261</v>
      </c>
    </row>
    <row r="310" spans="1:19" hidden="1" x14ac:dyDescent="0.25">
      <c r="A310" s="1">
        <v>45</v>
      </c>
      <c r="B310" s="1" t="s">
        <v>795</v>
      </c>
      <c r="C310" s="1" t="s">
        <v>476</v>
      </c>
      <c r="D310" s="1" t="s">
        <v>796</v>
      </c>
      <c r="E310" s="1">
        <v>3</v>
      </c>
      <c r="F310" s="1">
        <v>173.69</v>
      </c>
      <c r="G310" s="1">
        <v>8966</v>
      </c>
      <c r="H310" s="1">
        <v>10727</v>
      </c>
      <c r="I310" s="1">
        <v>12414</v>
      </c>
      <c r="J310" s="1">
        <v>170.934</v>
      </c>
      <c r="K310" s="1">
        <v>-5.4059999999999997</v>
      </c>
      <c r="L310" s="1">
        <v>19.074999999999999</v>
      </c>
      <c r="M310" s="1" t="s">
        <v>797</v>
      </c>
      <c r="N310" s="1" t="s">
        <v>725</v>
      </c>
      <c r="O310" s="1" t="s">
        <v>798</v>
      </c>
      <c r="P310" s="1" t="s">
        <v>799</v>
      </c>
      <c r="Q310" s="1" t="s">
        <v>254</v>
      </c>
      <c r="R310" s="1" t="s">
        <v>262</v>
      </c>
      <c r="S310" s="1" t="s">
        <v>123</v>
      </c>
    </row>
    <row r="311" spans="1:19" hidden="1" x14ac:dyDescent="0.25">
      <c r="A311" s="1">
        <v>45</v>
      </c>
      <c r="B311" s="1" t="s">
        <v>795</v>
      </c>
      <c r="C311" s="1" t="s">
        <v>476</v>
      </c>
      <c r="D311" s="1" t="s">
        <v>796</v>
      </c>
      <c r="E311" s="1">
        <v>4</v>
      </c>
      <c r="F311" s="1">
        <v>171.54300000000001</v>
      </c>
      <c r="G311" s="1">
        <v>8821</v>
      </c>
      <c r="H311" s="1">
        <v>10554</v>
      </c>
      <c r="I311" s="1">
        <v>12213</v>
      </c>
      <c r="J311" s="1">
        <v>168.821</v>
      </c>
      <c r="K311" s="1">
        <v>-5.399</v>
      </c>
      <c r="L311" s="1">
        <v>19.082999999999998</v>
      </c>
      <c r="M311" s="1" t="s">
        <v>797</v>
      </c>
      <c r="N311" s="1" t="s">
        <v>725</v>
      </c>
      <c r="O311" s="1" t="s">
        <v>798</v>
      </c>
      <c r="P311" s="1" t="s">
        <v>799</v>
      </c>
      <c r="Q311" s="1" t="s">
        <v>147</v>
      </c>
      <c r="R311" s="1" t="s">
        <v>198</v>
      </c>
      <c r="S311" s="1" t="s">
        <v>295</v>
      </c>
    </row>
    <row r="312" spans="1:19" hidden="1" x14ac:dyDescent="0.25">
      <c r="A312" s="1">
        <v>45</v>
      </c>
      <c r="B312" s="1" t="s">
        <v>795</v>
      </c>
      <c r="C312" s="1" t="s">
        <v>476</v>
      </c>
      <c r="D312" s="1" t="s">
        <v>796</v>
      </c>
      <c r="E312" s="1">
        <v>5</v>
      </c>
      <c r="F312" s="1">
        <v>179.13900000000001</v>
      </c>
      <c r="G312" s="1">
        <v>14319</v>
      </c>
      <c r="H312" s="1">
        <v>17221</v>
      </c>
      <c r="I312" s="1">
        <v>19922</v>
      </c>
      <c r="J312" s="1">
        <v>176.29</v>
      </c>
      <c r="K312" s="1">
        <v>-3.7959999999999998</v>
      </c>
      <c r="L312" s="1">
        <v>23.713999999999999</v>
      </c>
      <c r="M312" s="1" t="s">
        <v>797</v>
      </c>
      <c r="N312" s="1" t="s">
        <v>725</v>
      </c>
      <c r="O312" s="1" t="s">
        <v>798</v>
      </c>
      <c r="P312" s="1" t="s">
        <v>799</v>
      </c>
      <c r="Q312" s="1" t="s">
        <v>199</v>
      </c>
      <c r="R312" s="1" t="s">
        <v>215</v>
      </c>
      <c r="S312" s="1" t="s">
        <v>114</v>
      </c>
    </row>
    <row r="313" spans="1:19" x14ac:dyDescent="0.25">
      <c r="A313" s="1">
        <v>45</v>
      </c>
      <c r="B313" s="1" t="s">
        <v>795</v>
      </c>
      <c r="C313" s="1" t="s">
        <v>476</v>
      </c>
      <c r="D313" s="1" t="s">
        <v>796</v>
      </c>
      <c r="E313" s="1">
        <v>6</v>
      </c>
      <c r="F313" s="1">
        <v>157.251</v>
      </c>
      <c r="G313" s="1">
        <v>12587</v>
      </c>
      <c r="H313" s="1">
        <v>15131</v>
      </c>
      <c r="I313" s="1">
        <v>17512</v>
      </c>
      <c r="J313" s="1">
        <v>154.75</v>
      </c>
      <c r="K313" s="1">
        <v>-3.694</v>
      </c>
      <c r="L313" s="1">
        <v>23.917999999999999</v>
      </c>
      <c r="M313" s="1" t="s">
        <v>797</v>
      </c>
      <c r="N313" s="1" t="s">
        <v>725</v>
      </c>
      <c r="O313" s="1" t="s">
        <v>798</v>
      </c>
      <c r="P313" s="1" t="s">
        <v>799</v>
      </c>
      <c r="Q313" s="1" t="s">
        <v>139</v>
      </c>
      <c r="R313" s="1" t="s">
        <v>266</v>
      </c>
      <c r="S313" s="1" t="s">
        <v>292</v>
      </c>
    </row>
    <row r="314" spans="1:19" x14ac:dyDescent="0.25">
      <c r="A314" s="1">
        <v>45</v>
      </c>
      <c r="B314" s="1" t="s">
        <v>795</v>
      </c>
      <c r="C314" s="1" t="s">
        <v>476</v>
      </c>
      <c r="D314" s="1" t="s">
        <v>796</v>
      </c>
      <c r="E314" s="1">
        <v>7</v>
      </c>
      <c r="F314" s="1">
        <v>146.66499999999999</v>
      </c>
      <c r="G314" s="1">
        <v>11731</v>
      </c>
      <c r="H314" s="1">
        <v>14101</v>
      </c>
      <c r="I314" s="1">
        <v>16320</v>
      </c>
      <c r="J314" s="1">
        <v>144.333</v>
      </c>
      <c r="K314" s="1">
        <v>-3.657</v>
      </c>
      <c r="L314" s="1">
        <v>23.93</v>
      </c>
      <c r="M314" s="1" t="s">
        <v>797</v>
      </c>
      <c r="N314" s="1" t="s">
        <v>725</v>
      </c>
      <c r="O314" s="1" t="s">
        <v>798</v>
      </c>
      <c r="P314" s="1" t="s">
        <v>799</v>
      </c>
      <c r="Q314" s="1" t="s">
        <v>268</v>
      </c>
      <c r="R314" s="1" t="s">
        <v>800</v>
      </c>
      <c r="S314" s="1" t="s">
        <v>801</v>
      </c>
    </row>
    <row r="315" spans="1:19" hidden="1" x14ac:dyDescent="0.25">
      <c r="A315" s="1">
        <v>46</v>
      </c>
      <c r="B315" s="1" t="s">
        <v>802</v>
      </c>
      <c r="C315" s="1" t="s">
        <v>803</v>
      </c>
      <c r="D315" s="1" t="s">
        <v>804</v>
      </c>
      <c r="E315" s="1">
        <v>1</v>
      </c>
      <c r="F315" s="1">
        <v>174.018</v>
      </c>
      <c r="G315" s="1">
        <v>8870</v>
      </c>
      <c r="H315" s="1">
        <v>10611</v>
      </c>
      <c r="I315" s="1">
        <v>12284</v>
      </c>
      <c r="J315" s="1">
        <v>171.25800000000001</v>
      </c>
      <c r="K315" s="1">
        <v>-5.3789999999999996</v>
      </c>
      <c r="L315" s="1">
        <v>19.093</v>
      </c>
      <c r="M315" s="1" t="s">
        <v>805</v>
      </c>
      <c r="N315" s="1" t="s">
        <v>725</v>
      </c>
      <c r="O315" s="1" t="s">
        <v>806</v>
      </c>
      <c r="P315" s="1" t="s">
        <v>807</v>
      </c>
      <c r="Q315" s="1" t="s">
        <v>102</v>
      </c>
      <c r="R315" s="1" t="s">
        <v>75</v>
      </c>
      <c r="S315" s="1" t="s">
        <v>159</v>
      </c>
    </row>
    <row r="316" spans="1:19" hidden="1" x14ac:dyDescent="0.25">
      <c r="A316" s="1">
        <v>46</v>
      </c>
      <c r="B316" s="1" t="s">
        <v>802</v>
      </c>
      <c r="C316" s="1" t="s">
        <v>803</v>
      </c>
      <c r="D316" s="1" t="s">
        <v>804</v>
      </c>
      <c r="E316" s="1">
        <v>2</v>
      </c>
      <c r="F316" s="1">
        <v>172.99299999999999</v>
      </c>
      <c r="G316" s="1">
        <v>8972</v>
      </c>
      <c r="H316" s="1">
        <v>10733</v>
      </c>
      <c r="I316" s="1">
        <v>12426</v>
      </c>
      <c r="J316" s="1">
        <v>170.249</v>
      </c>
      <c r="K316" s="1">
        <v>-5.3879999999999999</v>
      </c>
      <c r="L316" s="1">
        <v>19.077000000000002</v>
      </c>
      <c r="M316" s="1" t="s">
        <v>805</v>
      </c>
      <c r="N316" s="1" t="s">
        <v>725</v>
      </c>
      <c r="O316" s="1" t="s">
        <v>806</v>
      </c>
      <c r="P316" s="1" t="s">
        <v>807</v>
      </c>
      <c r="Q316" s="1" t="s">
        <v>276</v>
      </c>
      <c r="R316" s="1" t="s">
        <v>173</v>
      </c>
      <c r="S316" s="1" t="s">
        <v>163</v>
      </c>
    </row>
    <row r="317" spans="1:19" hidden="1" x14ac:dyDescent="0.25">
      <c r="A317" s="1">
        <v>46</v>
      </c>
      <c r="B317" s="1" t="s">
        <v>802</v>
      </c>
      <c r="C317" s="1" t="s">
        <v>803</v>
      </c>
      <c r="D317" s="1" t="s">
        <v>804</v>
      </c>
      <c r="E317" s="1">
        <v>3</v>
      </c>
      <c r="F317" s="1">
        <v>172.92500000000001</v>
      </c>
      <c r="G317" s="1">
        <v>8949</v>
      </c>
      <c r="H317" s="1">
        <v>10705</v>
      </c>
      <c r="I317" s="1">
        <v>12398</v>
      </c>
      <c r="J317" s="1">
        <v>170.18100000000001</v>
      </c>
      <c r="K317" s="1">
        <v>-5.3959999999999999</v>
      </c>
      <c r="L317" s="1">
        <v>19.077000000000002</v>
      </c>
      <c r="M317" s="1" t="s">
        <v>805</v>
      </c>
      <c r="N317" s="1" t="s">
        <v>725</v>
      </c>
      <c r="O317" s="1" t="s">
        <v>806</v>
      </c>
      <c r="P317" s="1" t="s">
        <v>807</v>
      </c>
      <c r="Q317" s="1" t="s">
        <v>147</v>
      </c>
      <c r="R317" s="1" t="s">
        <v>198</v>
      </c>
      <c r="S317" s="1" t="s">
        <v>295</v>
      </c>
    </row>
    <row r="318" spans="1:19" hidden="1" x14ac:dyDescent="0.25">
      <c r="A318" s="1">
        <v>46</v>
      </c>
      <c r="B318" s="1" t="s">
        <v>802</v>
      </c>
      <c r="C318" s="1" t="s">
        <v>803</v>
      </c>
      <c r="D318" s="1" t="s">
        <v>804</v>
      </c>
      <c r="E318" s="1">
        <v>4</v>
      </c>
      <c r="F318" s="1">
        <v>174.36099999999999</v>
      </c>
      <c r="G318" s="1">
        <v>8969</v>
      </c>
      <c r="H318" s="1">
        <v>10730</v>
      </c>
      <c r="I318" s="1">
        <v>12423</v>
      </c>
      <c r="J318" s="1">
        <v>171.595</v>
      </c>
      <c r="K318" s="1">
        <v>-5.399</v>
      </c>
      <c r="L318" s="1">
        <v>19.082999999999998</v>
      </c>
      <c r="M318" s="1" t="s">
        <v>805</v>
      </c>
      <c r="N318" s="1" t="s">
        <v>725</v>
      </c>
      <c r="O318" s="1" t="s">
        <v>806</v>
      </c>
      <c r="P318" s="1" t="s">
        <v>807</v>
      </c>
      <c r="Q318" s="1" t="s">
        <v>291</v>
      </c>
      <c r="R318" s="1" t="s">
        <v>328</v>
      </c>
      <c r="S318" s="1" t="s">
        <v>168</v>
      </c>
    </row>
    <row r="319" spans="1:19" hidden="1" x14ac:dyDescent="0.25">
      <c r="A319" s="1">
        <v>46</v>
      </c>
      <c r="B319" s="1" t="s">
        <v>802</v>
      </c>
      <c r="C319" s="1" t="s">
        <v>803</v>
      </c>
      <c r="D319" s="1" t="s">
        <v>804</v>
      </c>
      <c r="E319" s="1">
        <v>5</v>
      </c>
      <c r="F319" s="1">
        <v>195.07400000000001</v>
      </c>
      <c r="G319" s="1">
        <v>15618</v>
      </c>
      <c r="H319" s="1">
        <v>18812</v>
      </c>
      <c r="I319" s="1">
        <v>21737</v>
      </c>
      <c r="J319" s="1">
        <v>191.97200000000001</v>
      </c>
      <c r="K319" s="1">
        <v>-3.8559999999999999</v>
      </c>
      <c r="L319" s="1">
        <v>24.004999999999999</v>
      </c>
      <c r="M319" s="1" t="s">
        <v>805</v>
      </c>
      <c r="N319" s="1" t="s">
        <v>725</v>
      </c>
      <c r="O319" s="1" t="s">
        <v>806</v>
      </c>
      <c r="P319" s="1" t="s">
        <v>807</v>
      </c>
      <c r="Q319" s="1" t="s">
        <v>196</v>
      </c>
      <c r="R319" s="1" t="s">
        <v>211</v>
      </c>
      <c r="S319" s="1" t="s">
        <v>133</v>
      </c>
    </row>
    <row r="320" spans="1:19" x14ac:dyDescent="0.25">
      <c r="A320" s="1">
        <v>46</v>
      </c>
      <c r="B320" s="1" t="s">
        <v>802</v>
      </c>
      <c r="C320" s="1" t="s">
        <v>803</v>
      </c>
      <c r="D320" s="1" t="s">
        <v>804</v>
      </c>
      <c r="E320" s="1">
        <v>6</v>
      </c>
      <c r="F320" s="1">
        <v>173.73699999999999</v>
      </c>
      <c r="G320" s="1">
        <v>14198</v>
      </c>
      <c r="H320" s="1">
        <v>17092</v>
      </c>
      <c r="I320" s="1">
        <v>19765</v>
      </c>
      <c r="J320" s="1">
        <v>170.97399999999999</v>
      </c>
      <c r="K320" s="1">
        <v>-3.7549999999999999</v>
      </c>
      <c r="L320" s="1">
        <v>24.132999999999999</v>
      </c>
      <c r="M320" s="1" t="s">
        <v>805</v>
      </c>
      <c r="N320" s="1" t="s">
        <v>725</v>
      </c>
      <c r="O320" s="1" t="s">
        <v>806</v>
      </c>
      <c r="P320" s="1" t="s">
        <v>807</v>
      </c>
      <c r="Q320" s="1" t="s">
        <v>245</v>
      </c>
      <c r="R320" s="1" t="s">
        <v>311</v>
      </c>
      <c r="S320" s="1" t="s">
        <v>260</v>
      </c>
    </row>
    <row r="321" spans="1:19" x14ac:dyDescent="0.25">
      <c r="A321" s="1">
        <v>46</v>
      </c>
      <c r="B321" s="1" t="s">
        <v>802</v>
      </c>
      <c r="C321" s="1" t="s">
        <v>803</v>
      </c>
      <c r="D321" s="1" t="s">
        <v>804</v>
      </c>
      <c r="E321" s="1">
        <v>7</v>
      </c>
      <c r="F321" s="1">
        <v>162.892</v>
      </c>
      <c r="G321" s="1">
        <v>13396</v>
      </c>
      <c r="H321" s="1">
        <v>16124</v>
      </c>
      <c r="I321" s="1">
        <v>18653</v>
      </c>
      <c r="J321" s="1">
        <v>160.30199999999999</v>
      </c>
      <c r="K321" s="1">
        <v>-3.7530000000000001</v>
      </c>
      <c r="L321" s="1">
        <v>24.154</v>
      </c>
      <c r="M321" s="1" t="s">
        <v>805</v>
      </c>
      <c r="N321" s="1" t="s">
        <v>725</v>
      </c>
      <c r="O321" s="1" t="s">
        <v>806</v>
      </c>
      <c r="P321" s="1" t="s">
        <v>807</v>
      </c>
      <c r="Q321" s="1" t="s">
        <v>348</v>
      </c>
      <c r="R321" s="1" t="s">
        <v>808</v>
      </c>
      <c r="S321" s="1" t="s">
        <v>418</v>
      </c>
    </row>
    <row r="322" spans="1:19" hidden="1" x14ac:dyDescent="0.25">
      <c r="A322" s="1">
        <v>47</v>
      </c>
      <c r="B322" s="1" t="s">
        <v>809</v>
      </c>
      <c r="C322" s="1" t="s">
        <v>678</v>
      </c>
      <c r="D322" s="1" t="s">
        <v>810</v>
      </c>
      <c r="E322" s="1">
        <v>1</v>
      </c>
      <c r="F322" s="1">
        <v>173.84800000000001</v>
      </c>
      <c r="G322" s="1">
        <v>8883</v>
      </c>
      <c r="H322" s="1">
        <v>10627</v>
      </c>
      <c r="I322" s="1">
        <v>12304</v>
      </c>
      <c r="J322" s="1">
        <v>171.09</v>
      </c>
      <c r="K322" s="1">
        <v>-5.3869999999999996</v>
      </c>
      <c r="L322" s="1">
        <v>19.059000000000001</v>
      </c>
      <c r="M322" s="1" t="s">
        <v>811</v>
      </c>
      <c r="N322" s="1" t="s">
        <v>725</v>
      </c>
      <c r="O322" s="1" t="s">
        <v>812</v>
      </c>
      <c r="P322" s="1" t="s">
        <v>813</v>
      </c>
      <c r="Q322" s="1" t="s">
        <v>96</v>
      </c>
      <c r="R322" s="1" t="s">
        <v>104</v>
      </c>
      <c r="S322" s="1" t="s">
        <v>165</v>
      </c>
    </row>
    <row r="323" spans="1:19" hidden="1" x14ac:dyDescent="0.25">
      <c r="A323" s="1">
        <v>47</v>
      </c>
      <c r="B323" s="1" t="s">
        <v>809</v>
      </c>
      <c r="C323" s="1" t="s">
        <v>678</v>
      </c>
      <c r="D323" s="1" t="s">
        <v>810</v>
      </c>
      <c r="E323" s="1">
        <v>2</v>
      </c>
      <c r="F323" s="1">
        <v>170.291</v>
      </c>
      <c r="G323" s="1">
        <v>8807</v>
      </c>
      <c r="H323" s="1">
        <v>10536</v>
      </c>
      <c r="I323" s="1">
        <v>12199</v>
      </c>
      <c r="J323" s="1">
        <v>167.589</v>
      </c>
      <c r="K323" s="1">
        <v>-5.3940000000000001</v>
      </c>
      <c r="L323" s="1">
        <v>19.050999999999998</v>
      </c>
      <c r="M323" s="1" t="s">
        <v>811</v>
      </c>
      <c r="N323" s="1" t="s">
        <v>725</v>
      </c>
      <c r="O323" s="1" t="s">
        <v>812</v>
      </c>
      <c r="P323" s="1" t="s">
        <v>813</v>
      </c>
      <c r="Q323" s="1" t="s">
        <v>89</v>
      </c>
      <c r="R323" s="1" t="s">
        <v>156</v>
      </c>
      <c r="S323" s="1" t="s">
        <v>376</v>
      </c>
    </row>
    <row r="324" spans="1:19" hidden="1" x14ac:dyDescent="0.25">
      <c r="A324" s="1">
        <v>47</v>
      </c>
      <c r="B324" s="1" t="s">
        <v>809</v>
      </c>
      <c r="C324" s="1" t="s">
        <v>678</v>
      </c>
      <c r="D324" s="1" t="s">
        <v>810</v>
      </c>
      <c r="E324" s="1">
        <v>3</v>
      </c>
      <c r="F324" s="1">
        <v>173.32</v>
      </c>
      <c r="G324" s="1">
        <v>8949</v>
      </c>
      <c r="H324" s="1">
        <v>10705</v>
      </c>
      <c r="I324" s="1">
        <v>12395</v>
      </c>
      <c r="J324" s="1">
        <v>170.57</v>
      </c>
      <c r="K324" s="1">
        <v>-5.4029999999999996</v>
      </c>
      <c r="L324" s="1">
        <v>19.048999999999999</v>
      </c>
      <c r="M324" s="1" t="s">
        <v>811</v>
      </c>
      <c r="N324" s="1" t="s">
        <v>725</v>
      </c>
      <c r="O324" s="1" t="s">
        <v>812</v>
      </c>
      <c r="P324" s="1" t="s">
        <v>813</v>
      </c>
      <c r="Q324" s="1" t="s">
        <v>159</v>
      </c>
      <c r="R324" s="1" t="s">
        <v>179</v>
      </c>
      <c r="S324" s="1" t="s">
        <v>274</v>
      </c>
    </row>
    <row r="325" spans="1:19" hidden="1" x14ac:dyDescent="0.25">
      <c r="A325" s="1">
        <v>47</v>
      </c>
      <c r="B325" s="1" t="s">
        <v>809</v>
      </c>
      <c r="C325" s="1" t="s">
        <v>678</v>
      </c>
      <c r="D325" s="1" t="s">
        <v>810</v>
      </c>
      <c r="E325" s="1">
        <v>4</v>
      </c>
      <c r="F325" s="1">
        <v>171.42</v>
      </c>
      <c r="G325" s="1">
        <v>8823</v>
      </c>
      <c r="H325" s="1">
        <v>10555</v>
      </c>
      <c r="I325" s="1">
        <v>12221</v>
      </c>
      <c r="J325" s="1">
        <v>168.7</v>
      </c>
      <c r="K325" s="1">
        <v>-5.399</v>
      </c>
      <c r="L325" s="1">
        <v>19.082999999999998</v>
      </c>
      <c r="M325" s="1" t="s">
        <v>811</v>
      </c>
      <c r="N325" s="1" t="s">
        <v>725</v>
      </c>
      <c r="O325" s="1" t="s">
        <v>812</v>
      </c>
      <c r="P325" s="1" t="s">
        <v>813</v>
      </c>
      <c r="Q325" s="1" t="s">
        <v>158</v>
      </c>
      <c r="R325" s="1" t="s">
        <v>166</v>
      </c>
      <c r="S325" s="1" t="s">
        <v>304</v>
      </c>
    </row>
    <row r="326" spans="1:19" hidden="1" x14ac:dyDescent="0.25">
      <c r="A326" s="1">
        <v>47</v>
      </c>
      <c r="B326" s="1" t="s">
        <v>809</v>
      </c>
      <c r="C326" s="1" t="s">
        <v>678</v>
      </c>
      <c r="D326" s="1" t="s">
        <v>810</v>
      </c>
      <c r="E326" s="1">
        <v>5</v>
      </c>
      <c r="F326" s="1">
        <v>251.697</v>
      </c>
      <c r="G326" s="1">
        <v>19805</v>
      </c>
      <c r="H326" s="1">
        <v>24012</v>
      </c>
      <c r="I326" s="1">
        <v>27599</v>
      </c>
      <c r="J326" s="1">
        <v>247.672</v>
      </c>
      <c r="K326" s="1">
        <v>3.98</v>
      </c>
      <c r="L326" s="1">
        <v>24.916</v>
      </c>
      <c r="M326" s="1" t="s">
        <v>811</v>
      </c>
      <c r="N326" s="1" t="s">
        <v>725</v>
      </c>
      <c r="O326" s="1" t="s">
        <v>812</v>
      </c>
      <c r="P326" s="1" t="s">
        <v>813</v>
      </c>
      <c r="Q326" s="1" t="s">
        <v>188</v>
      </c>
      <c r="R326" s="1" t="s">
        <v>133</v>
      </c>
      <c r="S326" s="1" t="s">
        <v>47</v>
      </c>
    </row>
    <row r="327" spans="1:19" x14ac:dyDescent="0.25">
      <c r="A327" s="1">
        <v>47</v>
      </c>
      <c r="B327" s="1" t="s">
        <v>809</v>
      </c>
      <c r="C327" s="1" t="s">
        <v>678</v>
      </c>
      <c r="D327" s="1" t="s">
        <v>810</v>
      </c>
      <c r="E327" s="1">
        <v>6</v>
      </c>
      <c r="F327" s="1">
        <v>220.899</v>
      </c>
      <c r="G327" s="1">
        <v>17557</v>
      </c>
      <c r="H327" s="1">
        <v>21284</v>
      </c>
      <c r="I327" s="1">
        <v>24471</v>
      </c>
      <c r="J327" s="1">
        <v>217.36699999999999</v>
      </c>
      <c r="K327" s="1">
        <v>4.0549999999999997</v>
      </c>
      <c r="L327" s="1">
        <v>25.09</v>
      </c>
      <c r="M327" s="1" t="s">
        <v>811</v>
      </c>
      <c r="N327" s="1" t="s">
        <v>725</v>
      </c>
      <c r="O327" s="1" t="s">
        <v>812</v>
      </c>
      <c r="P327" s="1" t="s">
        <v>813</v>
      </c>
      <c r="Q327" s="1" t="s">
        <v>237</v>
      </c>
      <c r="R327" s="1" t="s">
        <v>240</v>
      </c>
      <c r="S327" s="1" t="s">
        <v>331</v>
      </c>
    </row>
    <row r="328" spans="1:19" x14ac:dyDescent="0.25">
      <c r="A328" s="1">
        <v>47</v>
      </c>
      <c r="B328" s="1" t="s">
        <v>809</v>
      </c>
      <c r="C328" s="1" t="s">
        <v>678</v>
      </c>
      <c r="D328" s="1" t="s">
        <v>810</v>
      </c>
      <c r="E328" s="1">
        <v>7</v>
      </c>
      <c r="F328" s="1">
        <v>205.60499999999999</v>
      </c>
      <c r="G328" s="1">
        <v>16373</v>
      </c>
      <c r="H328" s="1">
        <v>19841</v>
      </c>
      <c r="I328" s="1">
        <v>22813</v>
      </c>
      <c r="J328" s="1">
        <v>202.316</v>
      </c>
      <c r="K328" s="1">
        <v>4.0679999999999996</v>
      </c>
      <c r="L328" s="1">
        <v>25.097999999999999</v>
      </c>
      <c r="M328" s="1" t="s">
        <v>811</v>
      </c>
      <c r="N328" s="1" t="s">
        <v>725</v>
      </c>
      <c r="O328" s="1" t="s">
        <v>812</v>
      </c>
      <c r="P328" s="1" t="s">
        <v>813</v>
      </c>
      <c r="Q328" s="1" t="s">
        <v>814</v>
      </c>
      <c r="R328" s="1" t="s">
        <v>815</v>
      </c>
      <c r="S328" s="1" t="s">
        <v>816</v>
      </c>
    </row>
    <row r="329" spans="1:19" hidden="1" x14ac:dyDescent="0.25">
      <c r="A329" s="1">
        <v>48</v>
      </c>
      <c r="B329" s="1" t="s">
        <v>817</v>
      </c>
      <c r="C329" s="1" t="s">
        <v>278</v>
      </c>
      <c r="D329" s="1" t="s">
        <v>818</v>
      </c>
      <c r="E329" s="1">
        <v>1</v>
      </c>
      <c r="F329" s="1">
        <v>173.48500000000001</v>
      </c>
      <c r="G329" s="1">
        <v>8855</v>
      </c>
      <c r="H329" s="1">
        <v>10594</v>
      </c>
      <c r="I329" s="1">
        <v>12259</v>
      </c>
      <c r="J329" s="1">
        <v>170.733</v>
      </c>
      <c r="K329" s="1">
        <v>-5.38</v>
      </c>
      <c r="L329" s="1">
        <v>19.085000000000001</v>
      </c>
      <c r="M329" s="1" t="s">
        <v>819</v>
      </c>
      <c r="N329" s="1" t="s">
        <v>725</v>
      </c>
      <c r="O329" s="1" t="s">
        <v>820</v>
      </c>
      <c r="P329" s="1" t="s">
        <v>821</v>
      </c>
      <c r="Q329" s="1" t="s">
        <v>51</v>
      </c>
      <c r="R329" s="1" t="s">
        <v>276</v>
      </c>
      <c r="S329" s="1" t="s">
        <v>162</v>
      </c>
    </row>
    <row r="330" spans="1:19" hidden="1" x14ac:dyDescent="0.25">
      <c r="A330" s="1">
        <v>48</v>
      </c>
      <c r="B330" s="1" t="s">
        <v>817</v>
      </c>
      <c r="C330" s="1" t="s">
        <v>278</v>
      </c>
      <c r="D330" s="1" t="s">
        <v>818</v>
      </c>
      <c r="E330" s="1">
        <v>2</v>
      </c>
      <c r="F330" s="1">
        <v>171.376</v>
      </c>
      <c r="G330" s="1">
        <v>8852</v>
      </c>
      <c r="H330" s="1">
        <v>10591</v>
      </c>
      <c r="I330" s="1">
        <v>12256</v>
      </c>
      <c r="J330" s="1">
        <v>168.65799999999999</v>
      </c>
      <c r="K330" s="1">
        <v>-5.39</v>
      </c>
      <c r="L330" s="1">
        <v>19.085999999999999</v>
      </c>
      <c r="M330" s="1" t="s">
        <v>819</v>
      </c>
      <c r="N330" s="1" t="s">
        <v>725</v>
      </c>
      <c r="O330" s="1" t="s">
        <v>820</v>
      </c>
      <c r="P330" s="1" t="s">
        <v>821</v>
      </c>
      <c r="Q330" s="1" t="s">
        <v>159</v>
      </c>
      <c r="R330" s="1" t="s">
        <v>179</v>
      </c>
      <c r="S330" s="1" t="s">
        <v>324</v>
      </c>
    </row>
    <row r="331" spans="1:19" hidden="1" x14ac:dyDescent="0.25">
      <c r="A331" s="1">
        <v>48</v>
      </c>
      <c r="B331" s="1" t="s">
        <v>817</v>
      </c>
      <c r="C331" s="1" t="s">
        <v>278</v>
      </c>
      <c r="D331" s="1" t="s">
        <v>818</v>
      </c>
      <c r="E331" s="1">
        <v>3</v>
      </c>
      <c r="F331" s="1">
        <v>172.517</v>
      </c>
      <c r="G331" s="1">
        <v>8904</v>
      </c>
      <c r="H331" s="1">
        <v>10653</v>
      </c>
      <c r="I331" s="1">
        <v>12332</v>
      </c>
      <c r="J331" s="1">
        <v>169.78100000000001</v>
      </c>
      <c r="K331" s="1">
        <v>-5.39</v>
      </c>
      <c r="L331" s="1">
        <v>19.085999999999999</v>
      </c>
      <c r="M331" s="1" t="s">
        <v>819</v>
      </c>
      <c r="N331" s="1" t="s">
        <v>725</v>
      </c>
      <c r="O331" s="1" t="s">
        <v>820</v>
      </c>
      <c r="P331" s="1" t="s">
        <v>821</v>
      </c>
      <c r="Q331" s="1" t="s">
        <v>167</v>
      </c>
      <c r="R331" s="1" t="s">
        <v>299</v>
      </c>
      <c r="S331" s="1" t="s">
        <v>282</v>
      </c>
    </row>
    <row r="332" spans="1:19" hidden="1" x14ac:dyDescent="0.25">
      <c r="A332" s="1">
        <v>48</v>
      </c>
      <c r="B332" s="1" t="s">
        <v>817</v>
      </c>
      <c r="C332" s="1" t="s">
        <v>278</v>
      </c>
      <c r="D332" s="1" t="s">
        <v>818</v>
      </c>
      <c r="E332" s="1">
        <v>4</v>
      </c>
      <c r="F332" s="1">
        <v>172.32900000000001</v>
      </c>
      <c r="G332" s="1">
        <v>8857</v>
      </c>
      <c r="H332" s="1">
        <v>10596</v>
      </c>
      <c r="I332" s="1">
        <v>12261</v>
      </c>
      <c r="J332" s="1">
        <v>169.595</v>
      </c>
      <c r="K332" s="1">
        <v>-5.399</v>
      </c>
      <c r="L332" s="1">
        <v>19.082999999999998</v>
      </c>
      <c r="M332" s="1" t="s">
        <v>819</v>
      </c>
      <c r="N332" s="1" t="s">
        <v>725</v>
      </c>
      <c r="O332" s="1" t="s">
        <v>820</v>
      </c>
      <c r="P332" s="1" t="s">
        <v>821</v>
      </c>
      <c r="Q332" s="1" t="s">
        <v>146</v>
      </c>
      <c r="R332" s="1" t="s">
        <v>177</v>
      </c>
      <c r="S332" s="1" t="s">
        <v>305</v>
      </c>
    </row>
    <row r="333" spans="1:19" hidden="1" x14ac:dyDescent="0.25">
      <c r="A333" s="1">
        <v>48</v>
      </c>
      <c r="B333" s="1" t="s">
        <v>817</v>
      </c>
      <c r="C333" s="1" t="s">
        <v>278</v>
      </c>
      <c r="D333" s="1" t="s">
        <v>818</v>
      </c>
      <c r="E333" s="1">
        <v>5</v>
      </c>
      <c r="F333" s="1">
        <v>164.68700000000001</v>
      </c>
      <c r="G333" s="1">
        <v>13313</v>
      </c>
      <c r="H333" s="1">
        <v>16143</v>
      </c>
      <c r="I333" s="1">
        <v>18547</v>
      </c>
      <c r="J333" s="1">
        <v>162.054</v>
      </c>
      <c r="K333" s="1">
        <v>3.91</v>
      </c>
      <c r="L333" s="1">
        <v>25.202000000000002</v>
      </c>
      <c r="M333" s="1" t="s">
        <v>819</v>
      </c>
      <c r="N333" s="1" t="s">
        <v>725</v>
      </c>
      <c r="O333" s="1" t="s">
        <v>820</v>
      </c>
      <c r="P333" s="1" t="s">
        <v>821</v>
      </c>
      <c r="Q333" s="1" t="s">
        <v>189</v>
      </c>
      <c r="R333" s="1" t="s">
        <v>222</v>
      </c>
      <c r="S333" s="1" t="s">
        <v>227</v>
      </c>
    </row>
    <row r="334" spans="1:19" x14ac:dyDescent="0.25">
      <c r="A334" s="1">
        <v>48</v>
      </c>
      <c r="B334" s="1" t="s">
        <v>817</v>
      </c>
      <c r="C334" s="1" t="s">
        <v>278</v>
      </c>
      <c r="D334" s="1" t="s">
        <v>818</v>
      </c>
      <c r="E334" s="1">
        <v>6</v>
      </c>
      <c r="F334" s="1">
        <v>146.78299999999999</v>
      </c>
      <c r="G334" s="1">
        <v>12102</v>
      </c>
      <c r="H334" s="1">
        <v>14668</v>
      </c>
      <c r="I334" s="1">
        <v>16865</v>
      </c>
      <c r="J334" s="1">
        <v>144.43600000000001</v>
      </c>
      <c r="K334" s="1">
        <v>3.9460000000000002</v>
      </c>
      <c r="L334" s="1">
        <v>25.338999999999999</v>
      </c>
      <c r="M334" s="1" t="s">
        <v>819</v>
      </c>
      <c r="N334" s="1" t="s">
        <v>725</v>
      </c>
      <c r="O334" s="1" t="s">
        <v>820</v>
      </c>
      <c r="P334" s="1" t="s">
        <v>821</v>
      </c>
      <c r="Q334" s="1" t="s">
        <v>158</v>
      </c>
      <c r="R334" s="1" t="s">
        <v>170</v>
      </c>
      <c r="S334" s="1" t="s">
        <v>274</v>
      </c>
    </row>
    <row r="335" spans="1:19" x14ac:dyDescent="0.25">
      <c r="A335" s="1">
        <v>48</v>
      </c>
      <c r="B335" s="1" t="s">
        <v>817</v>
      </c>
      <c r="C335" s="1" t="s">
        <v>278</v>
      </c>
      <c r="D335" s="1" t="s">
        <v>818</v>
      </c>
      <c r="E335" s="1">
        <v>7</v>
      </c>
      <c r="F335" s="1">
        <v>137.80600000000001</v>
      </c>
      <c r="G335" s="1">
        <v>11444</v>
      </c>
      <c r="H335" s="1">
        <v>13869</v>
      </c>
      <c r="I335" s="1">
        <v>15945</v>
      </c>
      <c r="J335" s="1">
        <v>135.602</v>
      </c>
      <c r="K335" s="1">
        <v>4</v>
      </c>
      <c r="L335" s="1">
        <v>25.331</v>
      </c>
      <c r="M335" s="1" t="s">
        <v>819</v>
      </c>
      <c r="N335" s="1" t="s">
        <v>725</v>
      </c>
      <c r="O335" s="1" t="s">
        <v>820</v>
      </c>
      <c r="P335" s="1" t="s">
        <v>821</v>
      </c>
      <c r="Q335" s="1" t="s">
        <v>822</v>
      </c>
      <c r="R335" s="1" t="s">
        <v>517</v>
      </c>
      <c r="S335" s="1" t="s">
        <v>823</v>
      </c>
    </row>
    <row r="336" spans="1:19" hidden="1" x14ac:dyDescent="0.25">
      <c r="A336" s="1">
        <v>49</v>
      </c>
      <c r="B336" s="1" t="s">
        <v>824</v>
      </c>
      <c r="C336" s="1" t="s">
        <v>357</v>
      </c>
      <c r="D336" s="1" t="s">
        <v>825</v>
      </c>
      <c r="E336" s="1">
        <v>1</v>
      </c>
      <c r="F336" s="1">
        <v>175.01499999999999</v>
      </c>
      <c r="G336" s="1">
        <v>8928</v>
      </c>
      <c r="H336" s="1">
        <v>10681</v>
      </c>
      <c r="I336" s="1">
        <v>12359</v>
      </c>
      <c r="J336" s="1">
        <v>172.238</v>
      </c>
      <c r="K336" s="1">
        <v>-5.4039999999999999</v>
      </c>
      <c r="L336" s="1">
        <v>19.076000000000001</v>
      </c>
      <c r="M336" s="1" t="s">
        <v>826</v>
      </c>
      <c r="N336" s="1" t="s">
        <v>725</v>
      </c>
      <c r="O336" s="1" t="s">
        <v>827</v>
      </c>
      <c r="P336" s="1" t="s">
        <v>828</v>
      </c>
      <c r="Q336" s="1" t="s">
        <v>91</v>
      </c>
      <c r="R336" s="1" t="s">
        <v>97</v>
      </c>
      <c r="S336" s="1" t="s">
        <v>138</v>
      </c>
    </row>
    <row r="337" spans="1:19" hidden="1" x14ac:dyDescent="0.25">
      <c r="A337" s="1">
        <v>49</v>
      </c>
      <c r="B337" s="1" t="s">
        <v>824</v>
      </c>
      <c r="C337" s="1" t="s">
        <v>357</v>
      </c>
      <c r="D337" s="1" t="s">
        <v>825</v>
      </c>
      <c r="E337" s="1">
        <v>2</v>
      </c>
      <c r="F337" s="1">
        <v>173.02799999999999</v>
      </c>
      <c r="G337" s="1">
        <v>8943</v>
      </c>
      <c r="H337" s="1">
        <v>10699</v>
      </c>
      <c r="I337" s="1">
        <v>12383</v>
      </c>
      <c r="J337" s="1">
        <v>170.28299999999999</v>
      </c>
      <c r="K337" s="1">
        <v>-5.4089999999999998</v>
      </c>
      <c r="L337" s="1">
        <v>19.039000000000001</v>
      </c>
      <c r="M337" s="1" t="s">
        <v>826</v>
      </c>
      <c r="N337" s="1" t="s">
        <v>725</v>
      </c>
      <c r="O337" s="1" t="s">
        <v>827</v>
      </c>
      <c r="P337" s="1" t="s">
        <v>828</v>
      </c>
      <c r="Q337" s="1" t="s">
        <v>254</v>
      </c>
      <c r="R337" s="1" t="s">
        <v>149</v>
      </c>
      <c r="S337" s="1" t="s">
        <v>150</v>
      </c>
    </row>
    <row r="338" spans="1:19" hidden="1" x14ac:dyDescent="0.25">
      <c r="A338" s="1">
        <v>49</v>
      </c>
      <c r="B338" s="1" t="s">
        <v>824</v>
      </c>
      <c r="C338" s="1" t="s">
        <v>357</v>
      </c>
      <c r="D338" s="1" t="s">
        <v>825</v>
      </c>
      <c r="E338" s="1">
        <v>3</v>
      </c>
      <c r="F338" s="1">
        <v>174.05600000000001</v>
      </c>
      <c r="G338" s="1">
        <v>8995</v>
      </c>
      <c r="H338" s="1">
        <v>10762</v>
      </c>
      <c r="I338" s="1">
        <v>12453</v>
      </c>
      <c r="J338" s="1">
        <v>171.29499999999999</v>
      </c>
      <c r="K338" s="1">
        <v>-5.3940000000000001</v>
      </c>
      <c r="L338" s="1">
        <v>19.044</v>
      </c>
      <c r="M338" s="1" t="s">
        <v>826</v>
      </c>
      <c r="N338" s="1" t="s">
        <v>725</v>
      </c>
      <c r="O338" s="1" t="s">
        <v>827</v>
      </c>
      <c r="P338" s="1" t="s">
        <v>828</v>
      </c>
      <c r="Q338" s="1" t="s">
        <v>291</v>
      </c>
      <c r="R338" s="1" t="s">
        <v>328</v>
      </c>
      <c r="S338" s="1" t="s">
        <v>168</v>
      </c>
    </row>
    <row r="339" spans="1:19" hidden="1" x14ac:dyDescent="0.25">
      <c r="A339" s="1">
        <v>49</v>
      </c>
      <c r="B339" s="1" t="s">
        <v>824</v>
      </c>
      <c r="C339" s="1" t="s">
        <v>357</v>
      </c>
      <c r="D339" s="1" t="s">
        <v>825</v>
      </c>
      <c r="E339" s="1">
        <v>4</v>
      </c>
      <c r="F339" s="1">
        <v>174.10400000000001</v>
      </c>
      <c r="G339" s="1">
        <v>8955</v>
      </c>
      <c r="H339" s="1">
        <v>10713</v>
      </c>
      <c r="I339" s="1">
        <v>12398</v>
      </c>
      <c r="J339" s="1">
        <v>171.34200000000001</v>
      </c>
      <c r="K339" s="1">
        <v>-5.399</v>
      </c>
      <c r="L339" s="1">
        <v>19.082999999999998</v>
      </c>
      <c r="M339" s="1" t="s">
        <v>826</v>
      </c>
      <c r="N339" s="1" t="s">
        <v>725</v>
      </c>
      <c r="O339" s="1" t="s">
        <v>827</v>
      </c>
      <c r="P339" s="1" t="s">
        <v>828</v>
      </c>
      <c r="Q339" s="1" t="s">
        <v>249</v>
      </c>
      <c r="R339" s="1" t="s">
        <v>194</v>
      </c>
      <c r="S339" s="1" t="s">
        <v>274</v>
      </c>
    </row>
    <row r="340" spans="1:19" hidden="1" x14ac:dyDescent="0.25">
      <c r="A340" s="1">
        <v>49</v>
      </c>
      <c r="B340" s="1" t="s">
        <v>824</v>
      </c>
      <c r="C340" s="1" t="s">
        <v>357</v>
      </c>
      <c r="D340" s="1" t="s">
        <v>825</v>
      </c>
      <c r="E340" s="1">
        <v>5</v>
      </c>
      <c r="F340" s="1">
        <v>198.42699999999999</v>
      </c>
      <c r="G340" s="1">
        <v>15491</v>
      </c>
      <c r="H340" s="1">
        <v>18643</v>
      </c>
      <c r="I340" s="1">
        <v>21555</v>
      </c>
      <c r="J340" s="1">
        <v>195.27099999999999</v>
      </c>
      <c r="K340" s="1">
        <v>-3.3460000000000001</v>
      </c>
      <c r="L340" s="1">
        <v>24.064</v>
      </c>
      <c r="M340" s="1" t="s">
        <v>826</v>
      </c>
      <c r="N340" s="1" t="s">
        <v>725</v>
      </c>
      <c r="O340" s="1" t="s">
        <v>827</v>
      </c>
      <c r="P340" s="1" t="s">
        <v>828</v>
      </c>
      <c r="Q340" s="1" t="s">
        <v>199</v>
      </c>
      <c r="R340" s="1" t="s">
        <v>184</v>
      </c>
      <c r="S340" s="1" t="s">
        <v>114</v>
      </c>
    </row>
    <row r="341" spans="1:19" x14ac:dyDescent="0.25">
      <c r="A341" s="1">
        <v>49</v>
      </c>
      <c r="B341" s="1" t="s">
        <v>824</v>
      </c>
      <c r="C341" s="1" t="s">
        <v>357</v>
      </c>
      <c r="D341" s="1" t="s">
        <v>825</v>
      </c>
      <c r="E341" s="1">
        <v>6</v>
      </c>
      <c r="F341" s="1">
        <v>174.471</v>
      </c>
      <c r="G341" s="1">
        <v>13791</v>
      </c>
      <c r="H341" s="1">
        <v>16593</v>
      </c>
      <c r="I341" s="1">
        <v>19192</v>
      </c>
      <c r="J341" s="1">
        <v>171.69499999999999</v>
      </c>
      <c r="K341" s="1">
        <v>-3.3079999999999998</v>
      </c>
      <c r="L341" s="1">
        <v>24.262</v>
      </c>
      <c r="M341" s="1" t="s">
        <v>826</v>
      </c>
      <c r="N341" s="1" t="s">
        <v>725</v>
      </c>
      <c r="O341" s="1" t="s">
        <v>827</v>
      </c>
      <c r="P341" s="1" t="s">
        <v>828</v>
      </c>
      <c r="Q341" s="1" t="s">
        <v>250</v>
      </c>
      <c r="R341" s="1" t="s">
        <v>261</v>
      </c>
      <c r="S341" s="1" t="s">
        <v>329</v>
      </c>
    </row>
    <row r="342" spans="1:19" x14ac:dyDescent="0.25">
      <c r="A342" s="1">
        <v>49</v>
      </c>
      <c r="B342" s="1" t="s">
        <v>824</v>
      </c>
      <c r="C342" s="1" t="s">
        <v>357</v>
      </c>
      <c r="D342" s="1" t="s">
        <v>825</v>
      </c>
      <c r="E342" s="1">
        <v>7</v>
      </c>
      <c r="F342" s="1">
        <v>162.512</v>
      </c>
      <c r="G342" s="1">
        <v>12882</v>
      </c>
      <c r="H342" s="1">
        <v>15500</v>
      </c>
      <c r="I342" s="1">
        <v>17934</v>
      </c>
      <c r="J342" s="1">
        <v>159.92699999999999</v>
      </c>
      <c r="K342" s="1">
        <v>-3.254</v>
      </c>
      <c r="L342" s="1">
        <v>24.286999999999999</v>
      </c>
      <c r="M342" s="1" t="s">
        <v>826</v>
      </c>
      <c r="N342" s="1" t="s">
        <v>725</v>
      </c>
      <c r="O342" s="1" t="s">
        <v>827</v>
      </c>
      <c r="P342" s="1" t="s">
        <v>828</v>
      </c>
      <c r="Q342" s="1" t="s">
        <v>683</v>
      </c>
      <c r="R342" s="1" t="s">
        <v>465</v>
      </c>
      <c r="S342" s="1" t="s">
        <v>829</v>
      </c>
    </row>
    <row r="343" spans="1:19" hidden="1" x14ac:dyDescent="0.25">
      <c r="A343" s="1">
        <v>50</v>
      </c>
      <c r="B343" s="1" t="s">
        <v>830</v>
      </c>
      <c r="C343" s="1" t="s">
        <v>336</v>
      </c>
      <c r="D343" s="1" t="s">
        <v>831</v>
      </c>
      <c r="E343" s="1">
        <v>1</v>
      </c>
      <c r="F343" s="1">
        <v>174.017</v>
      </c>
      <c r="G343" s="1">
        <v>8891</v>
      </c>
      <c r="H343" s="1">
        <v>10639</v>
      </c>
      <c r="I343" s="1">
        <v>12292</v>
      </c>
      <c r="J343" s="1">
        <v>171.25700000000001</v>
      </c>
      <c r="K343" s="1">
        <v>-5.3929999999999998</v>
      </c>
      <c r="L343" s="1">
        <v>19.064</v>
      </c>
      <c r="M343" s="1" t="s">
        <v>832</v>
      </c>
      <c r="N343" s="1" t="s">
        <v>725</v>
      </c>
      <c r="O343" s="1" t="s">
        <v>833</v>
      </c>
      <c r="P343" s="1" t="s">
        <v>834</v>
      </c>
      <c r="Q343" s="1" t="s">
        <v>57</v>
      </c>
      <c r="R343" s="1" t="s">
        <v>113</v>
      </c>
      <c r="S343" s="1" t="s">
        <v>161</v>
      </c>
    </row>
    <row r="344" spans="1:19" hidden="1" x14ac:dyDescent="0.25">
      <c r="A344" s="1">
        <v>50</v>
      </c>
      <c r="B344" s="1" t="s">
        <v>830</v>
      </c>
      <c r="C344" s="1" t="s">
        <v>336</v>
      </c>
      <c r="D344" s="1" t="s">
        <v>831</v>
      </c>
      <c r="E344" s="1">
        <v>2</v>
      </c>
      <c r="F344" s="1">
        <v>172.017</v>
      </c>
      <c r="G344" s="1">
        <v>8902</v>
      </c>
      <c r="H344" s="1">
        <v>10651</v>
      </c>
      <c r="I344" s="1">
        <v>12307</v>
      </c>
      <c r="J344" s="1">
        <v>169.28899999999999</v>
      </c>
      <c r="K344" s="1">
        <v>-5.3840000000000003</v>
      </c>
      <c r="L344" s="1">
        <v>19.033999999999999</v>
      </c>
      <c r="M344" s="1" t="s">
        <v>832</v>
      </c>
      <c r="N344" s="1" t="s">
        <v>725</v>
      </c>
      <c r="O344" s="1" t="s">
        <v>833</v>
      </c>
      <c r="P344" s="1" t="s">
        <v>834</v>
      </c>
      <c r="Q344" s="1" t="s">
        <v>152</v>
      </c>
      <c r="R344" s="1" t="s">
        <v>262</v>
      </c>
      <c r="S344" s="1" t="s">
        <v>259</v>
      </c>
    </row>
    <row r="345" spans="1:19" hidden="1" x14ac:dyDescent="0.25">
      <c r="A345" s="1">
        <v>50</v>
      </c>
      <c r="B345" s="1" t="s">
        <v>830</v>
      </c>
      <c r="C345" s="1" t="s">
        <v>336</v>
      </c>
      <c r="D345" s="1" t="s">
        <v>831</v>
      </c>
      <c r="E345" s="1">
        <v>3</v>
      </c>
      <c r="F345" s="1">
        <v>173.173</v>
      </c>
      <c r="G345" s="1">
        <v>8950</v>
      </c>
      <c r="H345" s="1">
        <v>10708</v>
      </c>
      <c r="I345" s="1">
        <v>12372</v>
      </c>
      <c r="J345" s="1">
        <v>170.42699999999999</v>
      </c>
      <c r="K345" s="1">
        <v>-5.3949999999999996</v>
      </c>
      <c r="L345" s="1">
        <v>19.058</v>
      </c>
      <c r="M345" s="1" t="s">
        <v>832</v>
      </c>
      <c r="N345" s="1" t="s">
        <v>725</v>
      </c>
      <c r="O345" s="1" t="s">
        <v>833</v>
      </c>
      <c r="P345" s="1" t="s">
        <v>834</v>
      </c>
      <c r="Q345" s="1" t="s">
        <v>159</v>
      </c>
      <c r="R345" s="1" t="s">
        <v>179</v>
      </c>
      <c r="S345" s="1" t="s">
        <v>324</v>
      </c>
    </row>
    <row r="346" spans="1:19" hidden="1" x14ac:dyDescent="0.25">
      <c r="A346" s="1">
        <v>50</v>
      </c>
      <c r="B346" s="1" t="s">
        <v>830</v>
      </c>
      <c r="C346" s="1" t="s">
        <v>336</v>
      </c>
      <c r="D346" s="1" t="s">
        <v>831</v>
      </c>
      <c r="E346" s="1">
        <v>4</v>
      </c>
      <c r="F346" s="1">
        <v>172.94499999999999</v>
      </c>
      <c r="G346" s="1">
        <v>8893</v>
      </c>
      <c r="H346" s="1">
        <v>10640</v>
      </c>
      <c r="I346" s="1">
        <v>12293</v>
      </c>
      <c r="J346" s="1">
        <v>170.202</v>
      </c>
      <c r="K346" s="1">
        <v>-5.399</v>
      </c>
      <c r="L346" s="1">
        <v>19.082999999999998</v>
      </c>
      <c r="M346" s="1" t="s">
        <v>832</v>
      </c>
      <c r="N346" s="1" t="s">
        <v>725</v>
      </c>
      <c r="O346" s="1" t="s">
        <v>833</v>
      </c>
      <c r="P346" s="1" t="s">
        <v>834</v>
      </c>
      <c r="Q346" s="1" t="s">
        <v>158</v>
      </c>
      <c r="R346" s="1" t="s">
        <v>166</v>
      </c>
      <c r="S346" s="1" t="s">
        <v>201</v>
      </c>
    </row>
    <row r="347" spans="1:19" hidden="1" x14ac:dyDescent="0.25">
      <c r="A347" s="1">
        <v>50</v>
      </c>
      <c r="B347" s="1" t="s">
        <v>830</v>
      </c>
      <c r="C347" s="1" t="s">
        <v>336</v>
      </c>
      <c r="D347" s="1" t="s">
        <v>831</v>
      </c>
      <c r="E347" s="1">
        <v>5</v>
      </c>
      <c r="F347" s="1">
        <v>249.738</v>
      </c>
      <c r="G347" s="1">
        <v>20635</v>
      </c>
      <c r="H347" s="1">
        <v>24885</v>
      </c>
      <c r="I347" s="1">
        <v>28651</v>
      </c>
      <c r="J347" s="1">
        <v>245.767</v>
      </c>
      <c r="K347" s="1">
        <v>-3.4159999999999999</v>
      </c>
      <c r="L347" s="1">
        <v>23.795999999999999</v>
      </c>
      <c r="M347" s="1" t="s">
        <v>832</v>
      </c>
      <c r="N347" s="1" t="s">
        <v>725</v>
      </c>
      <c r="O347" s="1" t="s">
        <v>833</v>
      </c>
      <c r="P347" s="1" t="s">
        <v>834</v>
      </c>
      <c r="Q347" s="1" t="s">
        <v>189</v>
      </c>
      <c r="R347" s="1" t="s">
        <v>222</v>
      </c>
      <c r="S347" s="1" t="s">
        <v>111</v>
      </c>
    </row>
    <row r="348" spans="1:19" x14ac:dyDescent="0.25">
      <c r="A348" s="1">
        <v>50</v>
      </c>
      <c r="B348" s="1" t="s">
        <v>830</v>
      </c>
      <c r="C348" s="1" t="s">
        <v>336</v>
      </c>
      <c r="D348" s="1" t="s">
        <v>831</v>
      </c>
      <c r="E348" s="1">
        <v>6</v>
      </c>
      <c r="F348" s="1">
        <v>221.34299999999999</v>
      </c>
      <c r="G348" s="1">
        <v>18496</v>
      </c>
      <c r="H348" s="1">
        <v>22288</v>
      </c>
      <c r="I348" s="1">
        <v>25692</v>
      </c>
      <c r="J348" s="1">
        <v>217.82300000000001</v>
      </c>
      <c r="K348" s="1">
        <v>-3.3780000000000001</v>
      </c>
      <c r="L348" s="1">
        <v>23.925999999999998</v>
      </c>
      <c r="M348" s="1" t="s">
        <v>832</v>
      </c>
      <c r="N348" s="1" t="s">
        <v>725</v>
      </c>
      <c r="O348" s="1" t="s">
        <v>833</v>
      </c>
      <c r="P348" s="1" t="s">
        <v>834</v>
      </c>
      <c r="Q348" s="1" t="s">
        <v>359</v>
      </c>
      <c r="R348" s="1" t="s">
        <v>231</v>
      </c>
      <c r="S348" s="1" t="s">
        <v>835</v>
      </c>
    </row>
    <row r="349" spans="1:19" x14ac:dyDescent="0.25">
      <c r="A349" s="1">
        <v>50</v>
      </c>
      <c r="B349" s="1" t="s">
        <v>830</v>
      </c>
      <c r="C349" s="1" t="s">
        <v>336</v>
      </c>
      <c r="D349" s="1" t="s">
        <v>831</v>
      </c>
      <c r="E349" s="1">
        <v>7</v>
      </c>
      <c r="F349" s="1">
        <v>206.584</v>
      </c>
      <c r="G349" s="1">
        <v>17276</v>
      </c>
      <c r="H349" s="1">
        <v>20810</v>
      </c>
      <c r="I349" s="1">
        <v>23997</v>
      </c>
      <c r="J349" s="1">
        <v>203.298</v>
      </c>
      <c r="K349" s="1">
        <v>-3.3490000000000002</v>
      </c>
      <c r="L349" s="1">
        <v>24.061</v>
      </c>
      <c r="M349" s="1" t="s">
        <v>832</v>
      </c>
      <c r="N349" s="1" t="s">
        <v>725</v>
      </c>
      <c r="O349" s="1" t="s">
        <v>833</v>
      </c>
      <c r="P349" s="1" t="s">
        <v>834</v>
      </c>
      <c r="Q349" s="1" t="s">
        <v>836</v>
      </c>
      <c r="R349" s="1" t="s">
        <v>837</v>
      </c>
      <c r="S349" s="1" t="s">
        <v>838</v>
      </c>
    </row>
    <row r="350" spans="1:19" hidden="1" x14ac:dyDescent="0.25">
      <c r="A350" s="1">
        <v>51</v>
      </c>
      <c r="B350" s="1" t="s">
        <v>839</v>
      </c>
      <c r="C350" s="1" t="s">
        <v>840</v>
      </c>
      <c r="D350" s="1" t="s">
        <v>841</v>
      </c>
      <c r="E350" s="1">
        <v>1</v>
      </c>
      <c r="F350" s="1">
        <v>174.04</v>
      </c>
      <c r="G350" s="1">
        <v>8891</v>
      </c>
      <c r="H350" s="1">
        <v>10637</v>
      </c>
      <c r="I350" s="1">
        <v>12315</v>
      </c>
      <c r="J350" s="1">
        <v>171.279</v>
      </c>
      <c r="K350" s="1">
        <v>-5.3929999999999998</v>
      </c>
      <c r="L350" s="1">
        <v>19.093</v>
      </c>
      <c r="M350" s="1" t="s">
        <v>842</v>
      </c>
      <c r="N350" s="1" t="s">
        <v>725</v>
      </c>
      <c r="O350" s="1" t="s">
        <v>843</v>
      </c>
      <c r="P350" s="1" t="s">
        <v>844</v>
      </c>
      <c r="Q350" s="1" t="s">
        <v>69</v>
      </c>
      <c r="R350" s="1" t="s">
        <v>254</v>
      </c>
      <c r="S350" s="1" t="s">
        <v>290</v>
      </c>
    </row>
    <row r="351" spans="1:19" hidden="1" x14ac:dyDescent="0.25">
      <c r="A351" s="1">
        <v>51</v>
      </c>
      <c r="B351" s="1" t="s">
        <v>839</v>
      </c>
      <c r="C351" s="1" t="s">
        <v>840</v>
      </c>
      <c r="D351" s="1" t="s">
        <v>841</v>
      </c>
      <c r="E351" s="1">
        <v>2</v>
      </c>
      <c r="F351" s="1">
        <v>172.32400000000001</v>
      </c>
      <c r="G351" s="1">
        <v>8897</v>
      </c>
      <c r="H351" s="1">
        <v>10644</v>
      </c>
      <c r="I351" s="1">
        <v>12325</v>
      </c>
      <c r="J351" s="1">
        <v>169.59</v>
      </c>
      <c r="K351" s="1">
        <v>-5.3929999999999998</v>
      </c>
      <c r="L351" s="1">
        <v>19.091000000000001</v>
      </c>
      <c r="M351" s="1" t="s">
        <v>842</v>
      </c>
      <c r="N351" s="1" t="s">
        <v>725</v>
      </c>
      <c r="O351" s="1" t="s">
        <v>843</v>
      </c>
      <c r="P351" s="1" t="s">
        <v>844</v>
      </c>
      <c r="Q351" s="1" t="s">
        <v>158</v>
      </c>
      <c r="R351" s="1" t="s">
        <v>166</v>
      </c>
      <c r="S351" s="1" t="s">
        <v>304</v>
      </c>
    </row>
    <row r="352" spans="1:19" hidden="1" x14ac:dyDescent="0.25">
      <c r="A352" s="1">
        <v>51</v>
      </c>
      <c r="B352" s="1" t="s">
        <v>839</v>
      </c>
      <c r="C352" s="1" t="s">
        <v>840</v>
      </c>
      <c r="D352" s="1" t="s">
        <v>841</v>
      </c>
      <c r="E352" s="1">
        <v>3</v>
      </c>
      <c r="F352" s="1">
        <v>173.29400000000001</v>
      </c>
      <c r="G352" s="1">
        <v>8964</v>
      </c>
      <c r="H352" s="1">
        <v>10723</v>
      </c>
      <c r="I352" s="1">
        <v>12414</v>
      </c>
      <c r="J352" s="1">
        <v>170.54400000000001</v>
      </c>
      <c r="K352" s="1">
        <v>-5.391</v>
      </c>
      <c r="L352" s="1">
        <v>19.088999999999999</v>
      </c>
      <c r="M352" s="1" t="s">
        <v>842</v>
      </c>
      <c r="N352" s="1" t="s">
        <v>725</v>
      </c>
      <c r="O352" s="1" t="s">
        <v>843</v>
      </c>
      <c r="P352" s="1" t="s">
        <v>844</v>
      </c>
      <c r="Q352" s="1" t="s">
        <v>139</v>
      </c>
      <c r="R352" s="1" t="s">
        <v>177</v>
      </c>
      <c r="S352" s="1" t="s">
        <v>305</v>
      </c>
    </row>
    <row r="353" spans="1:19" hidden="1" x14ac:dyDescent="0.25">
      <c r="A353" s="1">
        <v>51</v>
      </c>
      <c r="B353" s="1" t="s">
        <v>839</v>
      </c>
      <c r="C353" s="1" t="s">
        <v>840</v>
      </c>
      <c r="D353" s="1" t="s">
        <v>841</v>
      </c>
      <c r="E353" s="1">
        <v>4</v>
      </c>
      <c r="F353" s="1">
        <v>173.143</v>
      </c>
      <c r="G353" s="1">
        <v>8908</v>
      </c>
      <c r="H353" s="1">
        <v>10656</v>
      </c>
      <c r="I353" s="1">
        <v>12338</v>
      </c>
      <c r="J353" s="1">
        <v>170.39699999999999</v>
      </c>
      <c r="K353" s="1">
        <v>-5.399</v>
      </c>
      <c r="L353" s="1">
        <v>19.082999999999998</v>
      </c>
      <c r="M353" s="1" t="s">
        <v>842</v>
      </c>
      <c r="N353" s="1" t="s">
        <v>725</v>
      </c>
      <c r="O353" s="1" t="s">
        <v>843</v>
      </c>
      <c r="P353" s="1" t="s">
        <v>844</v>
      </c>
      <c r="Q353" s="1" t="s">
        <v>161</v>
      </c>
      <c r="R353" s="1" t="s">
        <v>266</v>
      </c>
      <c r="S353" s="1" t="s">
        <v>370</v>
      </c>
    </row>
    <row r="354" spans="1:19" hidden="1" x14ac:dyDescent="0.25">
      <c r="A354" s="1">
        <v>51</v>
      </c>
      <c r="B354" s="1" t="s">
        <v>839</v>
      </c>
      <c r="C354" s="1" t="s">
        <v>840</v>
      </c>
      <c r="D354" s="1" t="s">
        <v>841</v>
      </c>
      <c r="E354" s="1">
        <v>5</v>
      </c>
      <c r="F354" s="1">
        <v>261.3</v>
      </c>
      <c r="G354" s="1">
        <v>20604</v>
      </c>
      <c r="H354" s="1">
        <v>24856</v>
      </c>
      <c r="I354" s="1">
        <v>28682</v>
      </c>
      <c r="J354" s="1">
        <v>257.142</v>
      </c>
      <c r="K354" s="1">
        <v>-2.6269999999999998</v>
      </c>
      <c r="L354" s="1">
        <v>23.827000000000002</v>
      </c>
      <c r="M354" s="1" t="s">
        <v>842</v>
      </c>
      <c r="N354" s="1" t="s">
        <v>725</v>
      </c>
      <c r="O354" s="1" t="s">
        <v>843</v>
      </c>
      <c r="P354" s="1" t="s">
        <v>844</v>
      </c>
      <c r="Q354" s="1" t="s">
        <v>183</v>
      </c>
      <c r="R354" s="1" t="s">
        <v>145</v>
      </c>
      <c r="S354" s="1" t="s">
        <v>106</v>
      </c>
    </row>
    <row r="355" spans="1:19" x14ac:dyDescent="0.25">
      <c r="A355" s="1">
        <v>51</v>
      </c>
      <c r="B355" s="1" t="s">
        <v>839</v>
      </c>
      <c r="C355" s="1" t="s">
        <v>840</v>
      </c>
      <c r="D355" s="1" t="s">
        <v>841</v>
      </c>
      <c r="E355" s="1">
        <v>6</v>
      </c>
      <c r="F355" s="1">
        <v>229.33799999999999</v>
      </c>
      <c r="G355" s="1">
        <v>18307</v>
      </c>
      <c r="H355" s="1">
        <v>22078</v>
      </c>
      <c r="I355" s="1">
        <v>25485</v>
      </c>
      <c r="J355" s="1">
        <v>225.68799999999999</v>
      </c>
      <c r="K355" s="1">
        <v>-2.556</v>
      </c>
      <c r="L355" s="1">
        <v>23.925999999999998</v>
      </c>
      <c r="M355" s="1" t="s">
        <v>842</v>
      </c>
      <c r="N355" s="1" t="s">
        <v>725</v>
      </c>
      <c r="O355" s="1" t="s">
        <v>843</v>
      </c>
      <c r="P355" s="1" t="s">
        <v>844</v>
      </c>
      <c r="Q355" s="1" t="s">
        <v>155</v>
      </c>
      <c r="R355" s="1" t="s">
        <v>309</v>
      </c>
      <c r="S355" s="1" t="s">
        <v>845</v>
      </c>
    </row>
    <row r="356" spans="1:19" x14ac:dyDescent="0.25">
      <c r="A356" s="1">
        <v>51</v>
      </c>
      <c r="B356" s="1" t="s">
        <v>839</v>
      </c>
      <c r="C356" s="1" t="s">
        <v>840</v>
      </c>
      <c r="D356" s="1" t="s">
        <v>841</v>
      </c>
      <c r="E356" s="1">
        <v>7</v>
      </c>
      <c r="F356" s="1">
        <v>215.47800000000001</v>
      </c>
      <c r="G356" s="1">
        <v>17111</v>
      </c>
      <c r="H356" s="1">
        <v>20632</v>
      </c>
      <c r="I356" s="1">
        <v>23815</v>
      </c>
      <c r="J356" s="1">
        <v>212.048</v>
      </c>
      <c r="K356" s="1">
        <v>-2.6040000000000001</v>
      </c>
      <c r="L356" s="1">
        <v>23.977</v>
      </c>
      <c r="M356" s="1" t="s">
        <v>842</v>
      </c>
      <c r="N356" s="1" t="s">
        <v>725</v>
      </c>
      <c r="O356" s="1" t="s">
        <v>843</v>
      </c>
      <c r="P356" s="1" t="s">
        <v>844</v>
      </c>
      <c r="Q356" s="1" t="s">
        <v>155</v>
      </c>
      <c r="R356" s="1" t="s">
        <v>309</v>
      </c>
      <c r="S356" s="1" t="s">
        <v>845</v>
      </c>
    </row>
    <row r="357" spans="1:19" hidden="1" x14ac:dyDescent="0.25">
      <c r="A357" s="1">
        <v>52</v>
      </c>
      <c r="B357" s="1" t="s">
        <v>846</v>
      </c>
      <c r="C357" s="1" t="s">
        <v>220</v>
      </c>
      <c r="D357" s="1" t="s">
        <v>847</v>
      </c>
      <c r="E357" s="1">
        <v>1</v>
      </c>
      <c r="F357" s="1">
        <v>173.291</v>
      </c>
      <c r="G357" s="1">
        <v>8847</v>
      </c>
      <c r="H357" s="1">
        <v>10583</v>
      </c>
      <c r="I357" s="1">
        <v>12256</v>
      </c>
      <c r="J357" s="1">
        <v>170.542</v>
      </c>
      <c r="K357" s="1">
        <v>-5.3860000000000001</v>
      </c>
      <c r="L357" s="1">
        <v>19.116</v>
      </c>
      <c r="M357" s="1" t="s">
        <v>848</v>
      </c>
      <c r="N357" s="1" t="s">
        <v>725</v>
      </c>
      <c r="O357" s="1" t="s">
        <v>849</v>
      </c>
      <c r="P357" s="1" t="s">
        <v>850</v>
      </c>
      <c r="Q357" s="1" t="s">
        <v>82</v>
      </c>
      <c r="R357" s="1" t="s">
        <v>147</v>
      </c>
      <c r="S357" s="1" t="s">
        <v>193</v>
      </c>
    </row>
    <row r="358" spans="1:19" hidden="1" x14ac:dyDescent="0.25">
      <c r="A358" s="1">
        <v>52</v>
      </c>
      <c r="B358" s="1" t="s">
        <v>846</v>
      </c>
      <c r="C358" s="1" t="s">
        <v>220</v>
      </c>
      <c r="D358" s="1" t="s">
        <v>847</v>
      </c>
      <c r="E358" s="1">
        <v>2</v>
      </c>
      <c r="F358" s="1">
        <v>171.29499999999999</v>
      </c>
      <c r="G358" s="1">
        <v>8864</v>
      </c>
      <c r="H358" s="1">
        <v>10605</v>
      </c>
      <c r="I358" s="1">
        <v>12279</v>
      </c>
      <c r="J358" s="1">
        <v>168.578</v>
      </c>
      <c r="K358" s="1">
        <v>-5.4</v>
      </c>
      <c r="L358" s="1">
        <v>19.094999999999999</v>
      </c>
      <c r="M358" s="1" t="s">
        <v>848</v>
      </c>
      <c r="N358" s="1" t="s">
        <v>725</v>
      </c>
      <c r="O358" s="1" t="s">
        <v>849</v>
      </c>
      <c r="P358" s="1" t="s">
        <v>850</v>
      </c>
      <c r="Q358" s="1" t="s">
        <v>167</v>
      </c>
      <c r="R358" s="1" t="s">
        <v>237</v>
      </c>
      <c r="S358" s="1" t="s">
        <v>282</v>
      </c>
    </row>
    <row r="359" spans="1:19" hidden="1" x14ac:dyDescent="0.25">
      <c r="A359" s="1">
        <v>52</v>
      </c>
      <c r="B359" s="1" t="s">
        <v>846</v>
      </c>
      <c r="C359" s="1" t="s">
        <v>220</v>
      </c>
      <c r="D359" s="1" t="s">
        <v>847</v>
      </c>
      <c r="E359" s="1">
        <v>3</v>
      </c>
      <c r="F359" s="1">
        <v>172.24</v>
      </c>
      <c r="G359" s="1">
        <v>8907</v>
      </c>
      <c r="H359" s="1">
        <v>10656</v>
      </c>
      <c r="I359" s="1">
        <v>12336</v>
      </c>
      <c r="J359" s="1">
        <v>169.50800000000001</v>
      </c>
      <c r="K359" s="1">
        <v>-5.3890000000000002</v>
      </c>
      <c r="L359" s="1">
        <v>19.093</v>
      </c>
      <c r="M359" s="1" t="s">
        <v>848</v>
      </c>
      <c r="N359" s="1" t="s">
        <v>725</v>
      </c>
      <c r="O359" s="1" t="s">
        <v>849</v>
      </c>
      <c r="P359" s="1" t="s">
        <v>850</v>
      </c>
      <c r="Q359" s="1" t="s">
        <v>165</v>
      </c>
      <c r="R359" s="1" t="s">
        <v>143</v>
      </c>
      <c r="S359" s="1" t="s">
        <v>370</v>
      </c>
    </row>
    <row r="360" spans="1:19" hidden="1" x14ac:dyDescent="0.25">
      <c r="A360" s="1">
        <v>52</v>
      </c>
      <c r="B360" s="1" t="s">
        <v>846</v>
      </c>
      <c r="C360" s="1" t="s">
        <v>220</v>
      </c>
      <c r="D360" s="1" t="s">
        <v>847</v>
      </c>
      <c r="E360" s="1">
        <v>4</v>
      </c>
      <c r="F360" s="1">
        <v>171.97200000000001</v>
      </c>
      <c r="G360" s="1">
        <v>8837</v>
      </c>
      <c r="H360" s="1">
        <v>10571</v>
      </c>
      <c r="I360" s="1">
        <v>12241</v>
      </c>
      <c r="J360" s="1">
        <v>169.244</v>
      </c>
      <c r="K360" s="1">
        <v>-5.399</v>
      </c>
      <c r="L360" s="1">
        <v>19.082999999999998</v>
      </c>
      <c r="M360" s="1" t="s">
        <v>848</v>
      </c>
      <c r="N360" s="1" t="s">
        <v>725</v>
      </c>
      <c r="O360" s="1" t="s">
        <v>849</v>
      </c>
      <c r="P360" s="1" t="s">
        <v>850</v>
      </c>
      <c r="Q360" s="1" t="s">
        <v>165</v>
      </c>
      <c r="R360" s="1" t="s">
        <v>143</v>
      </c>
      <c r="S360" s="1" t="s">
        <v>247</v>
      </c>
    </row>
    <row r="361" spans="1:19" hidden="1" x14ac:dyDescent="0.25">
      <c r="A361" s="1">
        <v>52</v>
      </c>
      <c r="B361" s="1" t="s">
        <v>846</v>
      </c>
      <c r="C361" s="1" t="s">
        <v>220</v>
      </c>
      <c r="D361" s="1" t="s">
        <v>847</v>
      </c>
      <c r="E361" s="1">
        <v>5</v>
      </c>
      <c r="F361" s="1">
        <v>169.196</v>
      </c>
      <c r="G361" s="1">
        <v>13793</v>
      </c>
      <c r="H361" s="1">
        <v>16598</v>
      </c>
      <c r="I361" s="1">
        <v>19201</v>
      </c>
      <c r="J361" s="1">
        <v>166.50399999999999</v>
      </c>
      <c r="K361" s="1">
        <v>-3.2080000000000002</v>
      </c>
      <c r="L361" s="1">
        <v>23.945</v>
      </c>
      <c r="M361" s="1" t="s">
        <v>848</v>
      </c>
      <c r="N361" s="1" t="s">
        <v>725</v>
      </c>
      <c r="O361" s="1" t="s">
        <v>849</v>
      </c>
      <c r="P361" s="1" t="s">
        <v>850</v>
      </c>
      <c r="Q361" s="1" t="s">
        <v>192</v>
      </c>
      <c r="R361" s="1" t="s">
        <v>195</v>
      </c>
      <c r="S361" s="1" t="s">
        <v>47</v>
      </c>
    </row>
    <row r="362" spans="1:19" x14ac:dyDescent="0.25">
      <c r="A362" s="1">
        <v>52</v>
      </c>
      <c r="B362" s="1" t="s">
        <v>846</v>
      </c>
      <c r="C362" s="1" t="s">
        <v>220</v>
      </c>
      <c r="D362" s="1" t="s">
        <v>847</v>
      </c>
      <c r="E362" s="1">
        <v>6</v>
      </c>
      <c r="F362" s="1">
        <v>149.095</v>
      </c>
      <c r="G362" s="1">
        <v>12157</v>
      </c>
      <c r="H362" s="1">
        <v>14621</v>
      </c>
      <c r="I362" s="1">
        <v>16923</v>
      </c>
      <c r="J362" s="1">
        <v>146.72300000000001</v>
      </c>
      <c r="K362" s="1">
        <v>-3.129</v>
      </c>
      <c r="L362" s="1">
        <v>24.11</v>
      </c>
      <c r="M362" s="1" t="s">
        <v>848</v>
      </c>
      <c r="N362" s="1" t="s">
        <v>725</v>
      </c>
      <c r="O362" s="1" t="s">
        <v>849</v>
      </c>
      <c r="P362" s="1" t="s">
        <v>850</v>
      </c>
      <c r="Q362" s="1" t="s">
        <v>161</v>
      </c>
      <c r="R362" s="1" t="s">
        <v>236</v>
      </c>
      <c r="S362" s="1" t="s">
        <v>305</v>
      </c>
    </row>
    <row r="363" spans="1:19" x14ac:dyDescent="0.25">
      <c r="A363" s="1">
        <v>52</v>
      </c>
      <c r="B363" s="1" t="s">
        <v>846</v>
      </c>
      <c r="C363" s="1" t="s">
        <v>220</v>
      </c>
      <c r="D363" s="1" t="s">
        <v>847</v>
      </c>
      <c r="E363" s="1">
        <v>7</v>
      </c>
      <c r="F363" s="1">
        <v>138.72999999999999</v>
      </c>
      <c r="G363" s="1">
        <v>11279</v>
      </c>
      <c r="H363" s="1">
        <v>13564</v>
      </c>
      <c r="I363" s="1">
        <v>15702</v>
      </c>
      <c r="J363" s="1">
        <v>136.523</v>
      </c>
      <c r="K363" s="1">
        <v>-3.085</v>
      </c>
      <c r="L363" s="1">
        <v>24.103999999999999</v>
      </c>
      <c r="M363" s="1" t="s">
        <v>848</v>
      </c>
      <c r="N363" s="1" t="s">
        <v>725</v>
      </c>
      <c r="O363" s="1" t="s">
        <v>849</v>
      </c>
      <c r="P363" s="1" t="s">
        <v>850</v>
      </c>
      <c r="Q363" s="1" t="s">
        <v>851</v>
      </c>
      <c r="R363" s="1" t="s">
        <v>852</v>
      </c>
      <c r="S363" s="1" t="s">
        <v>548</v>
      </c>
    </row>
    <row r="364" spans="1:19" hidden="1" x14ac:dyDescent="0.25">
      <c r="A364" s="1">
        <v>53</v>
      </c>
      <c r="B364" s="1" t="s">
        <v>853</v>
      </c>
      <c r="C364" s="1" t="s">
        <v>284</v>
      </c>
      <c r="D364" s="1" t="s">
        <v>854</v>
      </c>
      <c r="E364" s="1">
        <v>1</v>
      </c>
      <c r="F364" s="1">
        <v>174.363</v>
      </c>
      <c r="G364" s="1">
        <v>8920</v>
      </c>
      <c r="H364" s="1">
        <v>10671</v>
      </c>
      <c r="I364" s="1">
        <v>12355</v>
      </c>
      <c r="J364" s="1">
        <v>171.59700000000001</v>
      </c>
      <c r="K364" s="1">
        <v>-5.39</v>
      </c>
      <c r="L364" s="1">
        <v>19.094999999999999</v>
      </c>
      <c r="M364" s="1" t="s">
        <v>855</v>
      </c>
      <c r="N364" s="1" t="s">
        <v>725</v>
      </c>
      <c r="O364" s="1" t="s">
        <v>856</v>
      </c>
      <c r="P364" s="1" t="s">
        <v>857</v>
      </c>
      <c r="Q364" s="1" t="s">
        <v>52</v>
      </c>
      <c r="R364" s="1" t="s">
        <v>59</v>
      </c>
      <c r="S364" s="1" t="s">
        <v>158</v>
      </c>
    </row>
    <row r="365" spans="1:19" hidden="1" x14ac:dyDescent="0.25">
      <c r="A365" s="1">
        <v>53</v>
      </c>
      <c r="B365" s="1" t="s">
        <v>853</v>
      </c>
      <c r="C365" s="1" t="s">
        <v>284</v>
      </c>
      <c r="D365" s="1" t="s">
        <v>854</v>
      </c>
      <c r="E365" s="1">
        <v>2</v>
      </c>
      <c r="F365" s="1">
        <v>172.40799999999999</v>
      </c>
      <c r="G365" s="1">
        <v>8933</v>
      </c>
      <c r="H365" s="1">
        <v>10686</v>
      </c>
      <c r="I365" s="1">
        <v>12372</v>
      </c>
      <c r="J365" s="1">
        <v>169.673</v>
      </c>
      <c r="K365" s="1">
        <v>-5.4009999999999998</v>
      </c>
      <c r="L365" s="1">
        <v>19.07</v>
      </c>
      <c r="M365" s="1" t="s">
        <v>855</v>
      </c>
      <c r="N365" s="1" t="s">
        <v>725</v>
      </c>
      <c r="O365" s="1" t="s">
        <v>856</v>
      </c>
      <c r="P365" s="1" t="s">
        <v>857</v>
      </c>
      <c r="Q365" s="1" t="s">
        <v>68</v>
      </c>
      <c r="R365" s="1" t="s">
        <v>171</v>
      </c>
      <c r="S365" s="1" t="s">
        <v>286</v>
      </c>
    </row>
    <row r="366" spans="1:19" hidden="1" x14ac:dyDescent="0.25">
      <c r="A366" s="1">
        <v>53</v>
      </c>
      <c r="B366" s="1" t="s">
        <v>853</v>
      </c>
      <c r="C366" s="1" t="s">
        <v>284</v>
      </c>
      <c r="D366" s="1" t="s">
        <v>854</v>
      </c>
      <c r="E366" s="1">
        <v>3</v>
      </c>
      <c r="F366" s="1">
        <v>173.87799999999999</v>
      </c>
      <c r="G366" s="1">
        <v>8995</v>
      </c>
      <c r="H366" s="1">
        <v>10761</v>
      </c>
      <c r="I366" s="1">
        <v>12459</v>
      </c>
      <c r="J366" s="1">
        <v>171.119</v>
      </c>
      <c r="K366" s="1">
        <v>-5.3819999999999997</v>
      </c>
      <c r="L366" s="1">
        <v>19.074000000000002</v>
      </c>
      <c r="M366" s="1" t="s">
        <v>855</v>
      </c>
      <c r="N366" s="1" t="s">
        <v>725</v>
      </c>
      <c r="O366" s="1" t="s">
        <v>856</v>
      </c>
      <c r="P366" s="1" t="s">
        <v>857</v>
      </c>
      <c r="Q366" s="1" t="s">
        <v>291</v>
      </c>
      <c r="R366" s="1" t="s">
        <v>328</v>
      </c>
      <c r="S366" s="1" t="s">
        <v>324</v>
      </c>
    </row>
    <row r="367" spans="1:19" hidden="1" x14ac:dyDescent="0.25">
      <c r="A367" s="1">
        <v>53</v>
      </c>
      <c r="B367" s="1" t="s">
        <v>853</v>
      </c>
      <c r="C367" s="1" t="s">
        <v>284</v>
      </c>
      <c r="D367" s="1" t="s">
        <v>854</v>
      </c>
      <c r="E367" s="1">
        <v>4</v>
      </c>
      <c r="F367" s="1">
        <v>173.69800000000001</v>
      </c>
      <c r="G367" s="1">
        <v>8932</v>
      </c>
      <c r="H367" s="1">
        <v>10685</v>
      </c>
      <c r="I367" s="1">
        <v>12373</v>
      </c>
      <c r="J367" s="1">
        <v>170.94200000000001</v>
      </c>
      <c r="K367" s="1">
        <v>-5.399</v>
      </c>
      <c r="L367" s="1">
        <v>19.082999999999998</v>
      </c>
      <c r="M367" s="1" t="s">
        <v>855</v>
      </c>
      <c r="N367" s="1" t="s">
        <v>725</v>
      </c>
      <c r="O367" s="1" t="s">
        <v>856</v>
      </c>
      <c r="P367" s="1" t="s">
        <v>857</v>
      </c>
      <c r="Q367" s="1" t="s">
        <v>249</v>
      </c>
      <c r="R367" s="1" t="s">
        <v>194</v>
      </c>
      <c r="S367" s="1" t="s">
        <v>201</v>
      </c>
    </row>
    <row r="368" spans="1:19" hidden="1" x14ac:dyDescent="0.25">
      <c r="A368" s="1">
        <v>53</v>
      </c>
      <c r="B368" s="1" t="s">
        <v>853</v>
      </c>
      <c r="C368" s="1" t="s">
        <v>284</v>
      </c>
      <c r="D368" s="1" t="s">
        <v>854</v>
      </c>
      <c r="E368" s="1">
        <v>5</v>
      </c>
      <c r="F368" s="1">
        <v>180.53200000000001</v>
      </c>
      <c r="G368" s="1">
        <v>14198</v>
      </c>
      <c r="H368" s="1">
        <v>17099</v>
      </c>
      <c r="I368" s="1">
        <v>19763</v>
      </c>
      <c r="J368" s="1">
        <v>177.66</v>
      </c>
      <c r="K368" s="1">
        <v>-3.3580000000000001</v>
      </c>
      <c r="L368" s="1">
        <v>23.89</v>
      </c>
      <c r="M368" s="1" t="s">
        <v>855</v>
      </c>
      <c r="N368" s="1" t="s">
        <v>725</v>
      </c>
      <c r="O368" s="1" t="s">
        <v>856</v>
      </c>
      <c r="P368" s="1" t="s">
        <v>857</v>
      </c>
      <c r="Q368" s="1" t="s">
        <v>217</v>
      </c>
      <c r="R368" s="1" t="s">
        <v>182</v>
      </c>
      <c r="S368" s="1" t="s">
        <v>195</v>
      </c>
    </row>
    <row r="369" spans="1:19" x14ac:dyDescent="0.25">
      <c r="A369" s="1">
        <v>53</v>
      </c>
      <c r="B369" s="1" t="s">
        <v>853</v>
      </c>
      <c r="C369" s="1" t="s">
        <v>284</v>
      </c>
      <c r="D369" s="1" t="s">
        <v>854</v>
      </c>
      <c r="E369" s="1">
        <v>6</v>
      </c>
      <c r="F369" s="1">
        <v>158.97300000000001</v>
      </c>
      <c r="G369" s="1">
        <v>12749</v>
      </c>
      <c r="H369" s="1">
        <v>15350</v>
      </c>
      <c r="I369" s="1">
        <v>17752</v>
      </c>
      <c r="J369" s="1">
        <v>156.44399999999999</v>
      </c>
      <c r="K369" s="1">
        <v>-3.298</v>
      </c>
      <c r="L369" s="1">
        <v>24.024000000000001</v>
      </c>
      <c r="M369" s="1" t="s">
        <v>855</v>
      </c>
      <c r="N369" s="1" t="s">
        <v>725</v>
      </c>
      <c r="O369" s="1" t="s">
        <v>856</v>
      </c>
      <c r="P369" s="1" t="s">
        <v>857</v>
      </c>
      <c r="Q369" s="1" t="s">
        <v>146</v>
      </c>
      <c r="R369" s="1" t="s">
        <v>177</v>
      </c>
      <c r="S369" s="1" t="s">
        <v>206</v>
      </c>
    </row>
    <row r="370" spans="1:19" x14ac:dyDescent="0.25">
      <c r="A370" s="1">
        <v>53</v>
      </c>
      <c r="B370" s="1" t="s">
        <v>853</v>
      </c>
      <c r="C370" s="1" t="s">
        <v>284</v>
      </c>
      <c r="D370" s="1" t="s">
        <v>854</v>
      </c>
      <c r="E370" s="1">
        <v>7</v>
      </c>
      <c r="F370" s="1">
        <v>148.416</v>
      </c>
      <c r="G370" s="1">
        <v>12016</v>
      </c>
      <c r="H370" s="1">
        <v>14464</v>
      </c>
      <c r="I370" s="1">
        <v>16727</v>
      </c>
      <c r="J370" s="1">
        <v>146.054</v>
      </c>
      <c r="K370" s="1">
        <v>-3.2679999999999998</v>
      </c>
      <c r="L370" s="1">
        <v>24.016999999999999</v>
      </c>
      <c r="M370" s="1" t="s">
        <v>855</v>
      </c>
      <c r="N370" s="1" t="s">
        <v>725</v>
      </c>
      <c r="O370" s="1" t="s">
        <v>856</v>
      </c>
      <c r="P370" s="1" t="s">
        <v>857</v>
      </c>
      <c r="Q370" s="1" t="s">
        <v>481</v>
      </c>
      <c r="R370" s="1" t="s">
        <v>858</v>
      </c>
      <c r="S370" s="1" t="s">
        <v>859</v>
      </c>
    </row>
    <row r="371" spans="1:19" hidden="1" x14ac:dyDescent="0.25">
      <c r="A371" s="1">
        <v>54</v>
      </c>
      <c r="B371" s="1" t="s">
        <v>860</v>
      </c>
      <c r="C371" s="1" t="s">
        <v>788</v>
      </c>
      <c r="D371" s="1" t="s">
        <v>861</v>
      </c>
      <c r="E371" s="1">
        <v>1</v>
      </c>
      <c r="F371" s="1">
        <v>173.459</v>
      </c>
      <c r="G371" s="1">
        <v>8853</v>
      </c>
      <c r="H371" s="1">
        <v>10591</v>
      </c>
      <c r="I371" s="1">
        <v>12262</v>
      </c>
      <c r="J371" s="1">
        <v>170.708</v>
      </c>
      <c r="K371" s="1">
        <v>-5.3840000000000003</v>
      </c>
      <c r="L371" s="1">
        <v>19.077999999999999</v>
      </c>
      <c r="M371" s="1" t="s">
        <v>862</v>
      </c>
      <c r="N371" s="1" t="s">
        <v>725</v>
      </c>
      <c r="O371" s="1" t="s">
        <v>863</v>
      </c>
      <c r="P371" s="1" t="s">
        <v>864</v>
      </c>
      <c r="Q371" s="1" t="s">
        <v>57</v>
      </c>
      <c r="R371" s="1" t="s">
        <v>113</v>
      </c>
      <c r="S371" s="1" t="s">
        <v>161</v>
      </c>
    </row>
    <row r="372" spans="1:19" hidden="1" x14ac:dyDescent="0.25">
      <c r="A372" s="1">
        <v>54</v>
      </c>
      <c r="B372" s="1" t="s">
        <v>860</v>
      </c>
      <c r="C372" s="1" t="s">
        <v>788</v>
      </c>
      <c r="D372" s="1" t="s">
        <v>861</v>
      </c>
      <c r="E372" s="1">
        <v>2</v>
      </c>
      <c r="F372" s="1">
        <v>171.755</v>
      </c>
      <c r="G372" s="1">
        <v>8877</v>
      </c>
      <c r="H372" s="1">
        <v>10619</v>
      </c>
      <c r="I372" s="1">
        <v>12297</v>
      </c>
      <c r="J372" s="1">
        <v>169.03</v>
      </c>
      <c r="K372" s="1">
        <v>-5.399</v>
      </c>
      <c r="L372" s="1">
        <v>19.084</v>
      </c>
      <c r="M372" s="1" t="s">
        <v>862</v>
      </c>
      <c r="N372" s="1" t="s">
        <v>725</v>
      </c>
      <c r="O372" s="1" t="s">
        <v>863</v>
      </c>
      <c r="P372" s="1" t="s">
        <v>864</v>
      </c>
      <c r="Q372" s="1" t="s">
        <v>89</v>
      </c>
      <c r="R372" s="1" t="s">
        <v>156</v>
      </c>
      <c r="S372" s="1" t="s">
        <v>259</v>
      </c>
    </row>
    <row r="373" spans="1:19" hidden="1" x14ac:dyDescent="0.25">
      <c r="A373" s="1">
        <v>54</v>
      </c>
      <c r="B373" s="1" t="s">
        <v>860</v>
      </c>
      <c r="C373" s="1" t="s">
        <v>788</v>
      </c>
      <c r="D373" s="1" t="s">
        <v>861</v>
      </c>
      <c r="E373" s="1">
        <v>3</v>
      </c>
      <c r="F373" s="1">
        <v>172.58199999999999</v>
      </c>
      <c r="G373" s="1">
        <v>8926</v>
      </c>
      <c r="H373" s="1">
        <v>10679</v>
      </c>
      <c r="I373" s="1">
        <v>12363</v>
      </c>
      <c r="J373" s="1">
        <v>169.84399999999999</v>
      </c>
      <c r="K373" s="1">
        <v>-5.3970000000000002</v>
      </c>
      <c r="L373" s="1">
        <v>19.085000000000001</v>
      </c>
      <c r="M373" s="1" t="s">
        <v>862</v>
      </c>
      <c r="N373" s="1" t="s">
        <v>725</v>
      </c>
      <c r="O373" s="1" t="s">
        <v>863</v>
      </c>
      <c r="P373" s="1" t="s">
        <v>864</v>
      </c>
      <c r="Q373" s="1" t="s">
        <v>159</v>
      </c>
      <c r="R373" s="1" t="s">
        <v>179</v>
      </c>
      <c r="S373" s="1" t="s">
        <v>324</v>
      </c>
    </row>
    <row r="374" spans="1:19" hidden="1" x14ac:dyDescent="0.25">
      <c r="A374" s="1">
        <v>54</v>
      </c>
      <c r="B374" s="1" t="s">
        <v>860</v>
      </c>
      <c r="C374" s="1" t="s">
        <v>788</v>
      </c>
      <c r="D374" s="1" t="s">
        <v>861</v>
      </c>
      <c r="E374" s="1">
        <v>4</v>
      </c>
      <c r="F374" s="1">
        <v>172.785</v>
      </c>
      <c r="G374" s="1">
        <v>8889</v>
      </c>
      <c r="H374" s="1">
        <v>10634</v>
      </c>
      <c r="I374" s="1">
        <v>12312</v>
      </c>
      <c r="J374" s="1">
        <v>170.04400000000001</v>
      </c>
      <c r="K374" s="1">
        <v>-5.399</v>
      </c>
      <c r="L374" s="1">
        <v>19.082999999999998</v>
      </c>
      <c r="M374" s="1" t="s">
        <v>862</v>
      </c>
      <c r="N374" s="1" t="s">
        <v>725</v>
      </c>
      <c r="O374" s="1" t="s">
        <v>863</v>
      </c>
      <c r="P374" s="1" t="s">
        <v>864</v>
      </c>
      <c r="Q374" s="1" t="s">
        <v>158</v>
      </c>
      <c r="R374" s="1" t="s">
        <v>166</v>
      </c>
      <c r="S374" s="1" t="s">
        <v>304</v>
      </c>
    </row>
    <row r="375" spans="1:19" hidden="1" x14ac:dyDescent="0.25">
      <c r="A375" s="1">
        <v>54</v>
      </c>
      <c r="B375" s="1" t="s">
        <v>860</v>
      </c>
      <c r="C375" s="1" t="s">
        <v>788</v>
      </c>
      <c r="D375" s="1" t="s">
        <v>861</v>
      </c>
      <c r="E375" s="1">
        <v>5</v>
      </c>
      <c r="F375" s="1">
        <v>152.148</v>
      </c>
      <c r="G375" s="1">
        <v>12000</v>
      </c>
      <c r="H375" s="1">
        <v>14428</v>
      </c>
      <c r="I375" s="1">
        <v>16708</v>
      </c>
      <c r="J375" s="1">
        <v>149.72800000000001</v>
      </c>
      <c r="K375" s="1">
        <v>-3.3679999999999999</v>
      </c>
      <c r="L375" s="1">
        <v>23.949000000000002</v>
      </c>
      <c r="M375" s="1" t="s">
        <v>862</v>
      </c>
      <c r="N375" s="1" t="s">
        <v>725</v>
      </c>
      <c r="O375" s="1" t="s">
        <v>863</v>
      </c>
      <c r="P375" s="1" t="s">
        <v>864</v>
      </c>
      <c r="Q375" s="1" t="s">
        <v>190</v>
      </c>
      <c r="R375" s="1" t="s">
        <v>227</v>
      </c>
      <c r="S375" s="1" t="s">
        <v>118</v>
      </c>
    </row>
    <row r="376" spans="1:19" x14ac:dyDescent="0.25">
      <c r="A376" s="1">
        <v>54</v>
      </c>
      <c r="B376" s="1" t="s">
        <v>860</v>
      </c>
      <c r="C376" s="1" t="s">
        <v>788</v>
      </c>
      <c r="D376" s="1" t="s">
        <v>861</v>
      </c>
      <c r="E376" s="1">
        <v>6</v>
      </c>
      <c r="F376" s="1">
        <v>133.54300000000001</v>
      </c>
      <c r="G376" s="1">
        <v>10583</v>
      </c>
      <c r="H376" s="1">
        <v>12721</v>
      </c>
      <c r="I376" s="1">
        <v>14734</v>
      </c>
      <c r="J376" s="1">
        <v>131.41800000000001</v>
      </c>
      <c r="K376" s="1">
        <v>-3.3079999999999998</v>
      </c>
      <c r="L376" s="1">
        <v>24.187999999999999</v>
      </c>
      <c r="M376" s="1" t="s">
        <v>862</v>
      </c>
      <c r="N376" s="1" t="s">
        <v>725</v>
      </c>
      <c r="O376" s="1" t="s">
        <v>863</v>
      </c>
      <c r="P376" s="1" t="s">
        <v>864</v>
      </c>
      <c r="Q376" s="1" t="s">
        <v>256</v>
      </c>
      <c r="R376" s="1" t="s">
        <v>302</v>
      </c>
      <c r="S376" s="1" t="s">
        <v>318</v>
      </c>
    </row>
    <row r="377" spans="1:19" x14ac:dyDescent="0.25">
      <c r="A377" s="1">
        <v>54</v>
      </c>
      <c r="B377" s="1" t="s">
        <v>860</v>
      </c>
      <c r="C377" s="1" t="s">
        <v>788</v>
      </c>
      <c r="D377" s="1" t="s">
        <v>861</v>
      </c>
      <c r="E377" s="1">
        <v>7</v>
      </c>
      <c r="F377" s="1">
        <v>124.294</v>
      </c>
      <c r="G377" s="1">
        <v>9851</v>
      </c>
      <c r="H377" s="1">
        <v>11841</v>
      </c>
      <c r="I377" s="1">
        <v>13719</v>
      </c>
      <c r="J377" s="1">
        <v>122.31699999999999</v>
      </c>
      <c r="K377" s="1">
        <v>-3.246</v>
      </c>
      <c r="L377" s="1">
        <v>24.222000000000001</v>
      </c>
      <c r="M377" s="1" t="s">
        <v>862</v>
      </c>
      <c r="N377" s="1" t="s">
        <v>725</v>
      </c>
      <c r="O377" s="1" t="s">
        <v>863</v>
      </c>
      <c r="P377" s="1" t="s">
        <v>864</v>
      </c>
      <c r="Q377" s="1" t="s">
        <v>865</v>
      </c>
      <c r="R377" s="1" t="s">
        <v>866</v>
      </c>
      <c r="S377" s="1" t="s">
        <v>379</v>
      </c>
    </row>
    <row r="378" spans="1:19" hidden="1" x14ac:dyDescent="0.25">
      <c r="A378" s="1">
        <v>55</v>
      </c>
      <c r="B378" s="1" t="s">
        <v>867</v>
      </c>
      <c r="C378" s="1" t="s">
        <v>428</v>
      </c>
      <c r="D378" s="1" t="s">
        <v>868</v>
      </c>
      <c r="E378" s="1">
        <v>1</v>
      </c>
      <c r="F378" s="1">
        <v>173.45400000000001</v>
      </c>
      <c r="G378" s="1">
        <v>8862</v>
      </c>
      <c r="H378" s="1">
        <v>10602</v>
      </c>
      <c r="I378" s="1">
        <v>12270</v>
      </c>
      <c r="J378" s="1">
        <v>170.703</v>
      </c>
      <c r="K378" s="1">
        <v>-5.3940000000000001</v>
      </c>
      <c r="L378" s="1">
        <v>19.055</v>
      </c>
      <c r="M378" s="1" t="s">
        <v>869</v>
      </c>
      <c r="N378" s="1" t="s">
        <v>725</v>
      </c>
      <c r="O378" s="1" t="s">
        <v>870</v>
      </c>
      <c r="P378" s="1" t="s">
        <v>871</v>
      </c>
      <c r="Q378" s="1" t="s">
        <v>87</v>
      </c>
      <c r="R378" s="1" t="s">
        <v>93</v>
      </c>
      <c r="S378" s="1" t="s">
        <v>147</v>
      </c>
    </row>
    <row r="379" spans="1:19" hidden="1" x14ac:dyDescent="0.25">
      <c r="A379" s="1">
        <v>55</v>
      </c>
      <c r="B379" s="1" t="s">
        <v>867</v>
      </c>
      <c r="C379" s="1" t="s">
        <v>428</v>
      </c>
      <c r="D379" s="1" t="s">
        <v>868</v>
      </c>
      <c r="E379" s="1">
        <v>2</v>
      </c>
      <c r="F379" s="1">
        <v>171.089</v>
      </c>
      <c r="G379" s="1">
        <v>8850</v>
      </c>
      <c r="H379" s="1">
        <v>10589</v>
      </c>
      <c r="I379" s="1">
        <v>12256</v>
      </c>
      <c r="J379" s="1">
        <v>168.375</v>
      </c>
      <c r="K379" s="1">
        <v>-5.3890000000000002</v>
      </c>
      <c r="L379" s="1">
        <v>19.056999999999999</v>
      </c>
      <c r="M379" s="1" t="s">
        <v>869</v>
      </c>
      <c r="N379" s="1" t="s">
        <v>725</v>
      </c>
      <c r="O379" s="1" t="s">
        <v>870</v>
      </c>
      <c r="P379" s="1" t="s">
        <v>871</v>
      </c>
      <c r="Q379" s="1" t="s">
        <v>77</v>
      </c>
      <c r="R379" s="1" t="s">
        <v>154</v>
      </c>
      <c r="S379" s="1" t="s">
        <v>318</v>
      </c>
    </row>
    <row r="380" spans="1:19" hidden="1" x14ac:dyDescent="0.25">
      <c r="A380" s="1">
        <v>55</v>
      </c>
      <c r="B380" s="1" t="s">
        <v>867</v>
      </c>
      <c r="C380" s="1" t="s">
        <v>428</v>
      </c>
      <c r="D380" s="1" t="s">
        <v>868</v>
      </c>
      <c r="E380" s="1">
        <v>3</v>
      </c>
      <c r="F380" s="1">
        <v>172.64699999999999</v>
      </c>
      <c r="G380" s="1">
        <v>8912</v>
      </c>
      <c r="H380" s="1">
        <v>10662</v>
      </c>
      <c r="I380" s="1">
        <v>12339</v>
      </c>
      <c r="J380" s="1">
        <v>169.90799999999999</v>
      </c>
      <c r="K380" s="1">
        <v>-5.4020000000000001</v>
      </c>
      <c r="L380" s="1">
        <v>19.071000000000002</v>
      </c>
      <c r="M380" s="1" t="s">
        <v>869</v>
      </c>
      <c r="N380" s="1" t="s">
        <v>725</v>
      </c>
      <c r="O380" s="1" t="s">
        <v>870</v>
      </c>
      <c r="P380" s="1" t="s">
        <v>871</v>
      </c>
      <c r="Q380" s="1" t="s">
        <v>89</v>
      </c>
      <c r="R380" s="1" t="s">
        <v>156</v>
      </c>
      <c r="S380" s="1" t="s">
        <v>376</v>
      </c>
    </row>
    <row r="381" spans="1:19" hidden="1" x14ac:dyDescent="0.25">
      <c r="A381" s="1">
        <v>55</v>
      </c>
      <c r="B381" s="1" t="s">
        <v>867</v>
      </c>
      <c r="C381" s="1" t="s">
        <v>428</v>
      </c>
      <c r="D381" s="1" t="s">
        <v>868</v>
      </c>
      <c r="E381" s="1">
        <v>4</v>
      </c>
      <c r="F381" s="1">
        <v>172.56399999999999</v>
      </c>
      <c r="G381" s="1">
        <v>8851</v>
      </c>
      <c r="H381" s="1">
        <v>10590</v>
      </c>
      <c r="I381" s="1">
        <v>12254</v>
      </c>
      <c r="J381" s="1">
        <v>169.827</v>
      </c>
      <c r="K381" s="1">
        <v>-5.399</v>
      </c>
      <c r="L381" s="1">
        <v>19.082999999999998</v>
      </c>
      <c r="M381" s="1" t="s">
        <v>869</v>
      </c>
      <c r="N381" s="1" t="s">
        <v>725</v>
      </c>
      <c r="O381" s="1" t="s">
        <v>870</v>
      </c>
      <c r="P381" s="1" t="s">
        <v>871</v>
      </c>
      <c r="Q381" s="1" t="s">
        <v>253</v>
      </c>
      <c r="R381" s="1" t="s">
        <v>297</v>
      </c>
      <c r="S381" s="1" t="s">
        <v>381</v>
      </c>
    </row>
    <row r="382" spans="1:19" hidden="1" x14ac:dyDescent="0.25">
      <c r="A382" s="1">
        <v>55</v>
      </c>
      <c r="B382" s="1" t="s">
        <v>867</v>
      </c>
      <c r="C382" s="1" t="s">
        <v>428</v>
      </c>
      <c r="D382" s="1" t="s">
        <v>868</v>
      </c>
      <c r="E382" s="1">
        <v>5</v>
      </c>
      <c r="F382" s="1">
        <v>201.44</v>
      </c>
      <c r="G382" s="1">
        <v>16067</v>
      </c>
      <c r="H382" s="1">
        <v>19362</v>
      </c>
      <c r="I382" s="1">
        <v>22355</v>
      </c>
      <c r="J382" s="1">
        <v>198.23599999999999</v>
      </c>
      <c r="K382" s="1">
        <v>-3.4830000000000001</v>
      </c>
      <c r="L382" s="1">
        <v>23.690999999999999</v>
      </c>
      <c r="M382" s="1" t="s">
        <v>869</v>
      </c>
      <c r="N382" s="1" t="s">
        <v>725</v>
      </c>
      <c r="O382" s="1" t="s">
        <v>870</v>
      </c>
      <c r="P382" s="1" t="s">
        <v>871</v>
      </c>
      <c r="Q382" s="1" t="s">
        <v>196</v>
      </c>
      <c r="R382" s="1" t="s">
        <v>218</v>
      </c>
      <c r="S382" s="1" t="s">
        <v>133</v>
      </c>
    </row>
    <row r="383" spans="1:19" x14ac:dyDescent="0.25">
      <c r="A383" s="1">
        <v>55</v>
      </c>
      <c r="B383" s="1" t="s">
        <v>867</v>
      </c>
      <c r="C383" s="1" t="s">
        <v>428</v>
      </c>
      <c r="D383" s="1" t="s">
        <v>868</v>
      </c>
      <c r="E383" s="1">
        <v>6</v>
      </c>
      <c r="F383" s="1">
        <v>178.77799999999999</v>
      </c>
      <c r="G383" s="1">
        <v>14586</v>
      </c>
      <c r="H383" s="1">
        <v>17571</v>
      </c>
      <c r="I383" s="1">
        <v>20291</v>
      </c>
      <c r="J383" s="1">
        <v>175.934</v>
      </c>
      <c r="K383" s="1">
        <v>-3.4129999999999998</v>
      </c>
      <c r="L383" s="1">
        <v>23.853999999999999</v>
      </c>
      <c r="M383" s="1" t="s">
        <v>869</v>
      </c>
      <c r="N383" s="1" t="s">
        <v>725</v>
      </c>
      <c r="O383" s="1" t="s">
        <v>870</v>
      </c>
      <c r="P383" s="1" t="s">
        <v>871</v>
      </c>
      <c r="Q383" s="1" t="s">
        <v>290</v>
      </c>
      <c r="R383" s="1" t="s">
        <v>163</v>
      </c>
      <c r="S383" s="1" t="s">
        <v>872</v>
      </c>
    </row>
    <row r="384" spans="1:19" x14ac:dyDescent="0.25">
      <c r="A384" s="1">
        <v>55</v>
      </c>
      <c r="B384" s="1" t="s">
        <v>867</v>
      </c>
      <c r="C384" s="1" t="s">
        <v>428</v>
      </c>
      <c r="D384" s="1" t="s">
        <v>868</v>
      </c>
      <c r="E384" s="1">
        <v>7</v>
      </c>
      <c r="F384" s="1">
        <v>167.58</v>
      </c>
      <c r="G384" s="1">
        <v>13793</v>
      </c>
      <c r="H384" s="1">
        <v>16612</v>
      </c>
      <c r="I384" s="1">
        <v>19190</v>
      </c>
      <c r="J384" s="1">
        <v>164.91499999999999</v>
      </c>
      <c r="K384" s="1">
        <v>-3.3849999999999998</v>
      </c>
      <c r="L384" s="1">
        <v>23.859000000000002</v>
      </c>
      <c r="M384" s="1" t="s">
        <v>869</v>
      </c>
      <c r="N384" s="1" t="s">
        <v>725</v>
      </c>
      <c r="O384" s="1" t="s">
        <v>870</v>
      </c>
      <c r="P384" s="1" t="s">
        <v>871</v>
      </c>
      <c r="Q384" s="1" t="s">
        <v>873</v>
      </c>
      <c r="R384" s="1" t="s">
        <v>396</v>
      </c>
      <c r="S384" s="1" t="s">
        <v>874</v>
      </c>
    </row>
    <row r="385" spans="1:19" hidden="1" x14ac:dyDescent="0.25">
      <c r="A385" s="1">
        <v>56</v>
      </c>
      <c r="B385" s="1" t="s">
        <v>875</v>
      </c>
      <c r="C385" s="1" t="s">
        <v>876</v>
      </c>
      <c r="D385" s="1" t="s">
        <v>877</v>
      </c>
      <c r="E385" s="1">
        <v>1</v>
      </c>
      <c r="F385" s="1">
        <v>174.36500000000001</v>
      </c>
      <c r="G385" s="1">
        <v>8932</v>
      </c>
      <c r="H385" s="1">
        <v>10686</v>
      </c>
      <c r="I385" s="1">
        <v>12370</v>
      </c>
      <c r="J385" s="1">
        <v>171.59899999999999</v>
      </c>
      <c r="K385" s="1">
        <v>-5.3929999999999998</v>
      </c>
      <c r="L385" s="1">
        <v>19.106000000000002</v>
      </c>
      <c r="M385" s="1" t="s">
        <v>480</v>
      </c>
      <c r="N385" s="1" t="s">
        <v>725</v>
      </c>
      <c r="O385" s="1" t="s">
        <v>878</v>
      </c>
      <c r="P385" s="1" t="s">
        <v>879</v>
      </c>
      <c r="Q385" s="1" t="s">
        <v>58</v>
      </c>
      <c r="R385" s="1" t="s">
        <v>267</v>
      </c>
      <c r="S385" s="1" t="s">
        <v>307</v>
      </c>
    </row>
    <row r="386" spans="1:19" hidden="1" x14ac:dyDescent="0.25">
      <c r="A386" s="1">
        <v>56</v>
      </c>
      <c r="B386" s="1" t="s">
        <v>875</v>
      </c>
      <c r="C386" s="1" t="s">
        <v>876</v>
      </c>
      <c r="D386" s="1" t="s">
        <v>877</v>
      </c>
      <c r="E386" s="1">
        <v>2</v>
      </c>
      <c r="F386" s="1">
        <v>172.749</v>
      </c>
      <c r="G386" s="1">
        <v>8934</v>
      </c>
      <c r="H386" s="1">
        <v>10688</v>
      </c>
      <c r="I386" s="1">
        <v>12374</v>
      </c>
      <c r="J386" s="1">
        <v>170.00800000000001</v>
      </c>
      <c r="K386" s="1">
        <v>-5.3929999999999998</v>
      </c>
      <c r="L386" s="1">
        <v>19.097000000000001</v>
      </c>
      <c r="M386" s="1" t="s">
        <v>480</v>
      </c>
      <c r="N386" s="1" t="s">
        <v>725</v>
      </c>
      <c r="O386" s="1" t="s">
        <v>878</v>
      </c>
      <c r="P386" s="1" t="s">
        <v>879</v>
      </c>
      <c r="Q386" s="1" t="s">
        <v>253</v>
      </c>
      <c r="R386" s="1" t="s">
        <v>198</v>
      </c>
      <c r="S386" s="1" t="s">
        <v>295</v>
      </c>
    </row>
    <row r="387" spans="1:19" hidden="1" x14ac:dyDescent="0.25">
      <c r="A387" s="1">
        <v>56</v>
      </c>
      <c r="B387" s="1" t="s">
        <v>875</v>
      </c>
      <c r="C387" s="1" t="s">
        <v>876</v>
      </c>
      <c r="D387" s="1" t="s">
        <v>877</v>
      </c>
      <c r="E387" s="1">
        <v>3</v>
      </c>
      <c r="F387" s="1">
        <v>174.03899999999999</v>
      </c>
      <c r="G387" s="1">
        <v>8991</v>
      </c>
      <c r="H387" s="1">
        <v>10756</v>
      </c>
      <c r="I387" s="1">
        <v>12453</v>
      </c>
      <c r="J387" s="1">
        <v>171.27799999999999</v>
      </c>
      <c r="K387" s="1">
        <v>-5.4059999999999997</v>
      </c>
      <c r="L387" s="1">
        <v>19.09</v>
      </c>
      <c r="M387" s="1" t="s">
        <v>480</v>
      </c>
      <c r="N387" s="1" t="s">
        <v>725</v>
      </c>
      <c r="O387" s="1" t="s">
        <v>878</v>
      </c>
      <c r="P387" s="1" t="s">
        <v>879</v>
      </c>
      <c r="Q387" s="1" t="s">
        <v>158</v>
      </c>
      <c r="R387" s="1" t="s">
        <v>170</v>
      </c>
      <c r="S387" s="1" t="s">
        <v>174</v>
      </c>
    </row>
    <row r="388" spans="1:19" hidden="1" x14ac:dyDescent="0.25">
      <c r="A388" s="1">
        <v>56</v>
      </c>
      <c r="B388" s="1" t="s">
        <v>875</v>
      </c>
      <c r="C388" s="1" t="s">
        <v>876</v>
      </c>
      <c r="D388" s="1" t="s">
        <v>877</v>
      </c>
      <c r="E388" s="1">
        <v>4</v>
      </c>
      <c r="F388" s="1">
        <v>174.298</v>
      </c>
      <c r="G388" s="1">
        <v>8937</v>
      </c>
      <c r="H388" s="1">
        <v>10692</v>
      </c>
      <c r="I388" s="1">
        <v>12381</v>
      </c>
      <c r="J388" s="1">
        <v>171.53299999999999</v>
      </c>
      <c r="K388" s="1">
        <v>-5.399</v>
      </c>
      <c r="L388" s="1">
        <v>19.082999999999998</v>
      </c>
      <c r="M388" s="1" t="s">
        <v>480</v>
      </c>
      <c r="N388" s="1" t="s">
        <v>725</v>
      </c>
      <c r="O388" s="1" t="s">
        <v>878</v>
      </c>
      <c r="P388" s="1" t="s">
        <v>879</v>
      </c>
      <c r="Q388" s="1" t="s">
        <v>167</v>
      </c>
      <c r="R388" s="1" t="s">
        <v>237</v>
      </c>
      <c r="S388" s="1" t="s">
        <v>282</v>
      </c>
    </row>
    <row r="389" spans="1:19" hidden="1" x14ac:dyDescent="0.25">
      <c r="A389" s="1">
        <v>56</v>
      </c>
      <c r="B389" s="1" t="s">
        <v>875</v>
      </c>
      <c r="C389" s="1" t="s">
        <v>876</v>
      </c>
      <c r="D389" s="1" t="s">
        <v>877</v>
      </c>
      <c r="E389" s="1">
        <v>5</v>
      </c>
      <c r="F389" s="1">
        <v>210.49100000000001</v>
      </c>
      <c r="G389" s="1">
        <v>16531</v>
      </c>
      <c r="H389" s="1">
        <v>19896</v>
      </c>
      <c r="I389" s="1">
        <v>23015</v>
      </c>
      <c r="J389" s="1">
        <v>207.143</v>
      </c>
      <c r="K389" s="1">
        <v>-3.3610000000000002</v>
      </c>
      <c r="L389" s="1">
        <v>23.800999999999998</v>
      </c>
      <c r="M389" s="1" t="s">
        <v>480</v>
      </c>
      <c r="N389" s="1" t="s">
        <v>725</v>
      </c>
      <c r="O389" s="1" t="s">
        <v>878</v>
      </c>
      <c r="P389" s="1" t="s">
        <v>879</v>
      </c>
      <c r="Q389" s="1" t="s">
        <v>190</v>
      </c>
      <c r="R389" s="1" t="s">
        <v>195</v>
      </c>
      <c r="S389" s="1" t="s">
        <v>49</v>
      </c>
    </row>
    <row r="390" spans="1:19" x14ac:dyDescent="0.25">
      <c r="A390" s="1">
        <v>56</v>
      </c>
      <c r="B390" s="1" t="s">
        <v>875</v>
      </c>
      <c r="C390" s="1" t="s">
        <v>876</v>
      </c>
      <c r="D390" s="1" t="s">
        <v>877</v>
      </c>
      <c r="E390" s="1">
        <v>6</v>
      </c>
      <c r="F390" s="1">
        <v>184.41800000000001</v>
      </c>
      <c r="G390" s="1">
        <v>14618</v>
      </c>
      <c r="H390" s="1">
        <v>17585</v>
      </c>
      <c r="I390" s="1">
        <v>20350</v>
      </c>
      <c r="J390" s="1">
        <v>181.48400000000001</v>
      </c>
      <c r="K390" s="1">
        <v>-3.286</v>
      </c>
      <c r="L390" s="1">
        <v>23.989000000000001</v>
      </c>
      <c r="M390" s="1" t="s">
        <v>480</v>
      </c>
      <c r="N390" s="1" t="s">
        <v>725</v>
      </c>
      <c r="O390" s="1" t="s">
        <v>878</v>
      </c>
      <c r="P390" s="1" t="s">
        <v>879</v>
      </c>
      <c r="Q390" s="1" t="s">
        <v>366</v>
      </c>
      <c r="R390" s="1" t="s">
        <v>180</v>
      </c>
      <c r="S390" s="1" t="s">
        <v>314</v>
      </c>
    </row>
    <row r="391" spans="1:19" x14ac:dyDescent="0.25">
      <c r="A391" s="1">
        <v>56</v>
      </c>
      <c r="B391" s="1" t="s">
        <v>875</v>
      </c>
      <c r="C391" s="1" t="s">
        <v>876</v>
      </c>
      <c r="D391" s="1" t="s">
        <v>877</v>
      </c>
      <c r="E391" s="1">
        <v>7</v>
      </c>
      <c r="F391" s="1">
        <v>171.767</v>
      </c>
      <c r="G391" s="1">
        <v>13628</v>
      </c>
      <c r="H391" s="1">
        <v>16394</v>
      </c>
      <c r="I391" s="1">
        <v>18974</v>
      </c>
      <c r="J391" s="1">
        <v>169.03399999999999</v>
      </c>
      <c r="K391" s="1">
        <v>-3.2610000000000001</v>
      </c>
      <c r="L391" s="1">
        <v>24.045000000000002</v>
      </c>
      <c r="M391" s="1" t="s">
        <v>480</v>
      </c>
      <c r="N391" s="1" t="s">
        <v>725</v>
      </c>
      <c r="O391" s="1" t="s">
        <v>878</v>
      </c>
      <c r="P391" s="1" t="s">
        <v>879</v>
      </c>
      <c r="Q391" s="1" t="s">
        <v>395</v>
      </c>
      <c r="R391" s="1" t="s">
        <v>880</v>
      </c>
      <c r="S391" s="1" t="s">
        <v>881</v>
      </c>
    </row>
    <row r="392" spans="1:19" hidden="1" x14ac:dyDescent="0.25">
      <c r="A392" s="1">
        <v>57</v>
      </c>
      <c r="B392" s="1" t="s">
        <v>882</v>
      </c>
      <c r="C392" s="1" t="s">
        <v>883</v>
      </c>
      <c r="D392" s="1" t="s">
        <v>884</v>
      </c>
      <c r="E392" s="1">
        <v>1</v>
      </c>
      <c r="F392" s="1">
        <v>172.95400000000001</v>
      </c>
      <c r="G392" s="1">
        <v>8830</v>
      </c>
      <c r="H392" s="1">
        <v>10563</v>
      </c>
      <c r="I392" s="1">
        <v>12232</v>
      </c>
      <c r="J392" s="1">
        <v>170.21100000000001</v>
      </c>
      <c r="K392" s="1">
        <v>-5.3860000000000001</v>
      </c>
      <c r="L392" s="1">
        <v>19.103000000000002</v>
      </c>
      <c r="M392" s="1" t="s">
        <v>885</v>
      </c>
      <c r="N392" s="1" t="s">
        <v>725</v>
      </c>
      <c r="O392" s="1" t="s">
        <v>886</v>
      </c>
      <c r="P392" s="1" t="s">
        <v>887</v>
      </c>
      <c r="Q392" s="1" t="s">
        <v>48</v>
      </c>
      <c r="R392" s="1" t="s">
        <v>283</v>
      </c>
      <c r="S392" s="1" t="s">
        <v>153</v>
      </c>
    </row>
    <row r="393" spans="1:19" hidden="1" x14ac:dyDescent="0.25">
      <c r="A393" s="1">
        <v>57</v>
      </c>
      <c r="B393" s="1" t="s">
        <v>882</v>
      </c>
      <c r="C393" s="1" t="s">
        <v>883</v>
      </c>
      <c r="D393" s="1" t="s">
        <v>884</v>
      </c>
      <c r="E393" s="1">
        <v>2</v>
      </c>
      <c r="F393" s="1">
        <v>172.27099999999999</v>
      </c>
      <c r="G393" s="1">
        <v>8929</v>
      </c>
      <c r="H393" s="1">
        <v>10682</v>
      </c>
      <c r="I393" s="1">
        <v>12370</v>
      </c>
      <c r="J393" s="1">
        <v>169.53800000000001</v>
      </c>
      <c r="K393" s="1">
        <v>-5.3890000000000002</v>
      </c>
      <c r="L393" s="1">
        <v>19.087</v>
      </c>
      <c r="M393" s="1" t="s">
        <v>885</v>
      </c>
      <c r="N393" s="1" t="s">
        <v>725</v>
      </c>
      <c r="O393" s="1" t="s">
        <v>886</v>
      </c>
      <c r="P393" s="1" t="s">
        <v>887</v>
      </c>
      <c r="Q393" s="1" t="s">
        <v>147</v>
      </c>
      <c r="R393" s="1" t="s">
        <v>279</v>
      </c>
      <c r="S393" s="1" t="s">
        <v>295</v>
      </c>
    </row>
    <row r="394" spans="1:19" hidden="1" x14ac:dyDescent="0.25">
      <c r="A394" s="1">
        <v>57</v>
      </c>
      <c r="B394" s="1" t="s">
        <v>882</v>
      </c>
      <c r="C394" s="1" t="s">
        <v>883</v>
      </c>
      <c r="D394" s="1" t="s">
        <v>884</v>
      </c>
      <c r="E394" s="1">
        <v>3</v>
      </c>
      <c r="F394" s="1">
        <v>172.25200000000001</v>
      </c>
      <c r="G394" s="1">
        <v>8897</v>
      </c>
      <c r="H394" s="1">
        <v>10644</v>
      </c>
      <c r="I394" s="1">
        <v>12323</v>
      </c>
      <c r="J394" s="1">
        <v>169.51900000000001</v>
      </c>
      <c r="K394" s="1">
        <v>-5.3920000000000003</v>
      </c>
      <c r="L394" s="1">
        <v>19.097999999999999</v>
      </c>
      <c r="M394" s="1" t="s">
        <v>885</v>
      </c>
      <c r="N394" s="1" t="s">
        <v>725</v>
      </c>
      <c r="O394" s="1" t="s">
        <v>886</v>
      </c>
      <c r="P394" s="1" t="s">
        <v>887</v>
      </c>
      <c r="Q394" s="1" t="s">
        <v>158</v>
      </c>
      <c r="R394" s="1" t="s">
        <v>166</v>
      </c>
      <c r="S394" s="1" t="s">
        <v>304</v>
      </c>
    </row>
    <row r="395" spans="1:19" hidden="1" x14ac:dyDescent="0.25">
      <c r="A395" s="1">
        <v>57</v>
      </c>
      <c r="B395" s="1" t="s">
        <v>882</v>
      </c>
      <c r="C395" s="1" t="s">
        <v>883</v>
      </c>
      <c r="D395" s="1" t="s">
        <v>884</v>
      </c>
      <c r="E395" s="1">
        <v>4</v>
      </c>
      <c r="F395" s="1">
        <v>173.756</v>
      </c>
      <c r="G395" s="1">
        <v>8938</v>
      </c>
      <c r="H395" s="1">
        <v>10693</v>
      </c>
      <c r="I395" s="1">
        <v>12381</v>
      </c>
      <c r="J395" s="1">
        <v>171</v>
      </c>
      <c r="K395" s="1">
        <v>-5.399</v>
      </c>
      <c r="L395" s="1">
        <v>19.082999999999998</v>
      </c>
      <c r="M395" s="1" t="s">
        <v>885</v>
      </c>
      <c r="N395" s="1" t="s">
        <v>725</v>
      </c>
      <c r="O395" s="1" t="s">
        <v>886</v>
      </c>
      <c r="P395" s="1" t="s">
        <v>887</v>
      </c>
      <c r="Q395" s="1" t="s">
        <v>138</v>
      </c>
      <c r="R395" s="1" t="s">
        <v>170</v>
      </c>
      <c r="S395" s="1" t="s">
        <v>206</v>
      </c>
    </row>
    <row r="396" spans="1:19" hidden="1" x14ac:dyDescent="0.25">
      <c r="A396" s="1">
        <v>57</v>
      </c>
      <c r="B396" s="1" t="s">
        <v>882</v>
      </c>
      <c r="C396" s="1" t="s">
        <v>883</v>
      </c>
      <c r="D396" s="1" t="s">
        <v>884</v>
      </c>
      <c r="E396" s="1">
        <v>5</v>
      </c>
      <c r="F396" s="1">
        <v>296.59399999999999</v>
      </c>
      <c r="G396" s="1">
        <v>24343</v>
      </c>
      <c r="H396" s="1">
        <v>29403</v>
      </c>
      <c r="I396" s="1">
        <v>33881</v>
      </c>
      <c r="J396" s="1">
        <v>291.87599999999998</v>
      </c>
      <c r="K396" s="1">
        <v>-3.085</v>
      </c>
      <c r="L396" s="1">
        <v>23.69</v>
      </c>
      <c r="M396" s="1" t="s">
        <v>885</v>
      </c>
      <c r="N396" s="1" t="s">
        <v>725</v>
      </c>
      <c r="O396" s="1" t="s">
        <v>886</v>
      </c>
      <c r="P396" s="1" t="s">
        <v>887</v>
      </c>
      <c r="Q396" s="1" t="s">
        <v>189</v>
      </c>
      <c r="R396" s="1" t="s">
        <v>222</v>
      </c>
      <c r="S396" s="1" t="s">
        <v>111</v>
      </c>
    </row>
    <row r="397" spans="1:19" x14ac:dyDescent="0.25">
      <c r="A397" s="1">
        <v>57</v>
      </c>
      <c r="B397" s="1" t="s">
        <v>882</v>
      </c>
      <c r="C397" s="1" t="s">
        <v>883</v>
      </c>
      <c r="D397" s="1" t="s">
        <v>884</v>
      </c>
      <c r="E397" s="1">
        <v>6</v>
      </c>
      <c r="F397" s="1">
        <v>263.70800000000003</v>
      </c>
      <c r="G397" s="1">
        <v>21957</v>
      </c>
      <c r="H397" s="1">
        <v>26497</v>
      </c>
      <c r="I397" s="1">
        <v>30558</v>
      </c>
      <c r="J397" s="1">
        <v>259.51299999999998</v>
      </c>
      <c r="K397" s="1">
        <v>-3.0640000000000001</v>
      </c>
      <c r="L397" s="1">
        <v>23.8</v>
      </c>
      <c r="M397" s="1" t="s">
        <v>885</v>
      </c>
      <c r="N397" s="1" t="s">
        <v>725</v>
      </c>
      <c r="O397" s="1" t="s">
        <v>886</v>
      </c>
      <c r="P397" s="1" t="s">
        <v>887</v>
      </c>
      <c r="Q397" s="1" t="s">
        <v>206</v>
      </c>
      <c r="R397" s="1" t="s">
        <v>331</v>
      </c>
      <c r="S397" s="1" t="s">
        <v>264</v>
      </c>
    </row>
    <row r="398" spans="1:19" x14ac:dyDescent="0.25">
      <c r="A398" s="1">
        <v>57</v>
      </c>
      <c r="B398" s="1" t="s">
        <v>882</v>
      </c>
      <c r="C398" s="1" t="s">
        <v>883</v>
      </c>
      <c r="D398" s="1" t="s">
        <v>884</v>
      </c>
      <c r="E398" s="1">
        <v>7</v>
      </c>
      <c r="F398" s="1">
        <v>249.55699999999999</v>
      </c>
      <c r="G398" s="1">
        <v>20700</v>
      </c>
      <c r="H398" s="1">
        <v>24967</v>
      </c>
      <c r="I398" s="1">
        <v>28813</v>
      </c>
      <c r="J398" s="1">
        <v>245.58699999999999</v>
      </c>
      <c r="K398" s="1">
        <v>-3.12</v>
      </c>
      <c r="L398" s="1">
        <v>23.824000000000002</v>
      </c>
      <c r="M398" s="1" t="s">
        <v>885</v>
      </c>
      <c r="N398" s="1" t="s">
        <v>725</v>
      </c>
      <c r="O398" s="1" t="s">
        <v>886</v>
      </c>
      <c r="P398" s="1" t="s">
        <v>887</v>
      </c>
      <c r="Q398" s="1" t="s">
        <v>206</v>
      </c>
      <c r="R398" s="1" t="s">
        <v>331</v>
      </c>
      <c r="S398" s="1" t="s">
        <v>264</v>
      </c>
    </row>
    <row r="399" spans="1:19" hidden="1" x14ac:dyDescent="0.25">
      <c r="A399" s="1">
        <v>58</v>
      </c>
      <c r="B399" s="1" t="s">
        <v>888</v>
      </c>
      <c r="C399" s="1" t="s">
        <v>269</v>
      </c>
      <c r="D399" s="1" t="s">
        <v>889</v>
      </c>
      <c r="E399" s="1">
        <v>1</v>
      </c>
      <c r="F399" s="1">
        <v>175.524</v>
      </c>
      <c r="G399" s="1">
        <v>8938</v>
      </c>
      <c r="H399" s="1">
        <v>10695</v>
      </c>
      <c r="I399" s="1">
        <v>12377</v>
      </c>
      <c r="J399" s="1">
        <v>172.74</v>
      </c>
      <c r="K399" s="1">
        <v>-5.3979999999999997</v>
      </c>
      <c r="L399" s="1">
        <v>19.059000000000001</v>
      </c>
      <c r="M399" s="1" t="s">
        <v>890</v>
      </c>
      <c r="N399" s="1" t="s">
        <v>725</v>
      </c>
      <c r="O399" s="1" t="s">
        <v>891</v>
      </c>
      <c r="P399" s="1" t="s">
        <v>892</v>
      </c>
      <c r="Q399" s="1" t="s">
        <v>94</v>
      </c>
      <c r="R399" s="1" t="s">
        <v>167</v>
      </c>
      <c r="S399" s="1" t="s">
        <v>302</v>
      </c>
    </row>
    <row r="400" spans="1:19" hidden="1" x14ac:dyDescent="0.25">
      <c r="A400" s="1">
        <v>58</v>
      </c>
      <c r="B400" s="1" t="s">
        <v>888</v>
      </c>
      <c r="C400" s="1" t="s">
        <v>269</v>
      </c>
      <c r="D400" s="1" t="s">
        <v>889</v>
      </c>
      <c r="E400" s="1">
        <v>2</v>
      </c>
      <c r="F400" s="1">
        <v>171.404</v>
      </c>
      <c r="G400" s="1">
        <v>8874</v>
      </c>
      <c r="H400" s="1">
        <v>10617</v>
      </c>
      <c r="I400" s="1">
        <v>12285</v>
      </c>
      <c r="J400" s="1">
        <v>168.685</v>
      </c>
      <c r="K400" s="1">
        <v>-5.3949999999999996</v>
      </c>
      <c r="L400" s="1">
        <v>19.061</v>
      </c>
      <c r="M400" s="1" t="s">
        <v>890</v>
      </c>
      <c r="N400" s="1" t="s">
        <v>725</v>
      </c>
      <c r="O400" s="1" t="s">
        <v>891</v>
      </c>
      <c r="P400" s="1" t="s">
        <v>892</v>
      </c>
      <c r="Q400" s="1" t="s">
        <v>153</v>
      </c>
      <c r="R400" s="1" t="s">
        <v>136</v>
      </c>
      <c r="S400" s="1" t="s">
        <v>334</v>
      </c>
    </row>
    <row r="401" spans="1:19" hidden="1" x14ac:dyDescent="0.25">
      <c r="A401" s="1">
        <v>58</v>
      </c>
      <c r="B401" s="1" t="s">
        <v>888</v>
      </c>
      <c r="C401" s="1" t="s">
        <v>269</v>
      </c>
      <c r="D401" s="1" t="s">
        <v>889</v>
      </c>
      <c r="E401" s="1">
        <v>3</v>
      </c>
      <c r="F401" s="1">
        <v>171.893</v>
      </c>
      <c r="G401" s="1">
        <v>8983</v>
      </c>
      <c r="H401" s="1">
        <v>10747</v>
      </c>
      <c r="I401" s="1">
        <v>12438</v>
      </c>
      <c r="J401" s="1">
        <v>169.167</v>
      </c>
      <c r="K401" s="1">
        <v>-5.3920000000000003</v>
      </c>
      <c r="L401" s="1">
        <v>19.042999999999999</v>
      </c>
      <c r="M401" s="1" t="s">
        <v>890</v>
      </c>
      <c r="N401" s="1" t="s">
        <v>725</v>
      </c>
      <c r="O401" s="1" t="s">
        <v>891</v>
      </c>
      <c r="P401" s="1" t="s">
        <v>892</v>
      </c>
      <c r="Q401" s="1" t="s">
        <v>307</v>
      </c>
      <c r="R401" s="1" t="s">
        <v>178</v>
      </c>
      <c r="S401" s="1" t="s">
        <v>219</v>
      </c>
    </row>
    <row r="402" spans="1:19" hidden="1" x14ac:dyDescent="0.25">
      <c r="A402" s="1">
        <v>58</v>
      </c>
      <c r="B402" s="1" t="s">
        <v>888</v>
      </c>
      <c r="C402" s="1" t="s">
        <v>269</v>
      </c>
      <c r="D402" s="1" t="s">
        <v>889</v>
      </c>
      <c r="E402" s="1">
        <v>4</v>
      </c>
      <c r="F402" s="1">
        <v>172.965</v>
      </c>
      <c r="G402" s="1">
        <v>8877</v>
      </c>
      <c r="H402" s="1">
        <v>10621</v>
      </c>
      <c r="I402" s="1">
        <v>12291</v>
      </c>
      <c r="J402" s="1">
        <v>170.221</v>
      </c>
      <c r="K402" s="1">
        <v>-5.399</v>
      </c>
      <c r="L402" s="1">
        <v>19.082999999999998</v>
      </c>
      <c r="M402" s="1" t="s">
        <v>890</v>
      </c>
      <c r="N402" s="1" t="s">
        <v>725</v>
      </c>
      <c r="O402" s="1" t="s">
        <v>891</v>
      </c>
      <c r="P402" s="1" t="s">
        <v>892</v>
      </c>
      <c r="Q402" s="1" t="s">
        <v>164</v>
      </c>
      <c r="R402" s="1" t="s">
        <v>354</v>
      </c>
      <c r="S402" s="1" t="s">
        <v>287</v>
      </c>
    </row>
    <row r="403" spans="1:19" hidden="1" x14ac:dyDescent="0.25">
      <c r="A403" s="1">
        <v>58</v>
      </c>
      <c r="B403" s="1" t="s">
        <v>888</v>
      </c>
      <c r="C403" s="1" t="s">
        <v>269</v>
      </c>
      <c r="D403" s="1" t="s">
        <v>889</v>
      </c>
      <c r="E403" s="1">
        <v>5</v>
      </c>
      <c r="F403" s="1">
        <v>209.32400000000001</v>
      </c>
      <c r="G403" s="1">
        <v>16392</v>
      </c>
      <c r="H403" s="1">
        <v>19737</v>
      </c>
      <c r="I403" s="1">
        <v>22801</v>
      </c>
      <c r="J403" s="1">
        <v>205.995</v>
      </c>
      <c r="K403" s="1">
        <v>-3.1989999999999998</v>
      </c>
      <c r="L403" s="1">
        <v>23.648</v>
      </c>
      <c r="M403" s="1" t="s">
        <v>890</v>
      </c>
      <c r="N403" s="1" t="s">
        <v>725</v>
      </c>
      <c r="O403" s="1" t="s">
        <v>891</v>
      </c>
      <c r="P403" s="1" t="s">
        <v>892</v>
      </c>
      <c r="Q403" s="1" t="s">
        <v>192</v>
      </c>
      <c r="R403" s="1" t="s">
        <v>195</v>
      </c>
      <c r="S403" s="1" t="s">
        <v>47</v>
      </c>
    </row>
    <row r="404" spans="1:19" x14ac:dyDescent="0.25">
      <c r="A404" s="1">
        <v>58</v>
      </c>
      <c r="B404" s="1" t="s">
        <v>888</v>
      </c>
      <c r="C404" s="1" t="s">
        <v>269</v>
      </c>
      <c r="D404" s="1" t="s">
        <v>889</v>
      </c>
      <c r="E404" s="1">
        <v>6</v>
      </c>
      <c r="F404" s="1">
        <v>183.90799999999999</v>
      </c>
      <c r="G404" s="1">
        <v>14582</v>
      </c>
      <c r="H404" s="1">
        <v>17557</v>
      </c>
      <c r="I404" s="1">
        <v>20286</v>
      </c>
      <c r="J404" s="1">
        <v>180.983</v>
      </c>
      <c r="K404" s="1">
        <v>-3.1429999999999998</v>
      </c>
      <c r="L404" s="1">
        <v>23.812000000000001</v>
      </c>
      <c r="M404" s="1" t="s">
        <v>890</v>
      </c>
      <c r="N404" s="1" t="s">
        <v>725</v>
      </c>
      <c r="O404" s="1" t="s">
        <v>891</v>
      </c>
      <c r="P404" s="1" t="s">
        <v>892</v>
      </c>
      <c r="Q404" s="1" t="s">
        <v>366</v>
      </c>
      <c r="R404" s="1" t="s">
        <v>295</v>
      </c>
      <c r="S404" s="1" t="s">
        <v>231</v>
      </c>
    </row>
    <row r="405" spans="1:19" x14ac:dyDescent="0.25">
      <c r="A405" s="1">
        <v>58</v>
      </c>
      <c r="B405" s="1" t="s">
        <v>888</v>
      </c>
      <c r="C405" s="1" t="s">
        <v>269</v>
      </c>
      <c r="D405" s="1" t="s">
        <v>889</v>
      </c>
      <c r="E405" s="1">
        <v>7</v>
      </c>
      <c r="F405" s="1">
        <v>171.131</v>
      </c>
      <c r="G405" s="1">
        <v>13605</v>
      </c>
      <c r="H405" s="1">
        <v>16376</v>
      </c>
      <c r="I405" s="1">
        <v>18930</v>
      </c>
      <c r="J405" s="1">
        <v>168.40899999999999</v>
      </c>
      <c r="K405" s="1">
        <v>-3.1059999999999999</v>
      </c>
      <c r="L405" s="1">
        <v>23.832999999999998</v>
      </c>
      <c r="M405" s="1" t="s">
        <v>890</v>
      </c>
      <c r="N405" s="1" t="s">
        <v>725</v>
      </c>
      <c r="O405" s="1" t="s">
        <v>891</v>
      </c>
      <c r="P405" s="1" t="s">
        <v>892</v>
      </c>
      <c r="Q405" s="1" t="s">
        <v>255</v>
      </c>
      <c r="R405" s="1" t="s">
        <v>458</v>
      </c>
      <c r="S405" s="1" t="s">
        <v>893</v>
      </c>
    </row>
    <row r="406" spans="1:19" hidden="1" x14ac:dyDescent="0.25">
      <c r="A406" s="1">
        <v>59</v>
      </c>
      <c r="B406" s="1" t="s">
        <v>894</v>
      </c>
      <c r="C406" s="1" t="s">
        <v>433</v>
      </c>
      <c r="D406" s="1" t="s">
        <v>895</v>
      </c>
      <c r="E406" s="1">
        <v>1</v>
      </c>
      <c r="F406" s="1">
        <v>172.03200000000001</v>
      </c>
      <c r="G406" s="1">
        <v>8849</v>
      </c>
      <c r="H406" s="1">
        <v>10587</v>
      </c>
      <c r="I406" s="1">
        <v>12255</v>
      </c>
      <c r="J406" s="1">
        <v>169.30199999999999</v>
      </c>
      <c r="K406" s="1">
        <v>-5.38</v>
      </c>
      <c r="L406" s="1">
        <v>19.106000000000002</v>
      </c>
      <c r="M406" s="1" t="s">
        <v>447</v>
      </c>
      <c r="N406" s="1" t="s">
        <v>725</v>
      </c>
      <c r="O406" s="1" t="s">
        <v>896</v>
      </c>
      <c r="P406" s="1" t="s">
        <v>897</v>
      </c>
      <c r="Q406" s="1" t="s">
        <v>58</v>
      </c>
      <c r="R406" s="1" t="s">
        <v>267</v>
      </c>
      <c r="S406" s="1" t="s">
        <v>307</v>
      </c>
    </row>
    <row r="407" spans="1:19" hidden="1" x14ac:dyDescent="0.25">
      <c r="A407" s="1">
        <v>59</v>
      </c>
      <c r="B407" s="1" t="s">
        <v>894</v>
      </c>
      <c r="C407" s="1" t="s">
        <v>433</v>
      </c>
      <c r="D407" s="1" t="s">
        <v>895</v>
      </c>
      <c r="E407" s="1">
        <v>2</v>
      </c>
      <c r="F407" s="1">
        <v>171.76</v>
      </c>
      <c r="G407" s="1">
        <v>8870</v>
      </c>
      <c r="H407" s="1">
        <v>10610</v>
      </c>
      <c r="I407" s="1">
        <v>12285</v>
      </c>
      <c r="J407" s="1">
        <v>169.035</v>
      </c>
      <c r="K407" s="1">
        <v>-5.3959999999999999</v>
      </c>
      <c r="L407" s="1">
        <v>19.097999999999999</v>
      </c>
      <c r="M407" s="1" t="s">
        <v>447</v>
      </c>
      <c r="N407" s="1" t="s">
        <v>725</v>
      </c>
      <c r="O407" s="1" t="s">
        <v>896</v>
      </c>
      <c r="P407" s="1" t="s">
        <v>897</v>
      </c>
      <c r="Q407" s="1" t="s">
        <v>147</v>
      </c>
      <c r="R407" s="1" t="s">
        <v>198</v>
      </c>
      <c r="S407" s="1" t="s">
        <v>295</v>
      </c>
    </row>
    <row r="408" spans="1:19" hidden="1" x14ac:dyDescent="0.25">
      <c r="A408" s="1">
        <v>59</v>
      </c>
      <c r="B408" s="1" t="s">
        <v>894</v>
      </c>
      <c r="C408" s="1" t="s">
        <v>433</v>
      </c>
      <c r="D408" s="1" t="s">
        <v>895</v>
      </c>
      <c r="E408" s="1">
        <v>3</v>
      </c>
      <c r="F408" s="1">
        <v>171.048</v>
      </c>
      <c r="G408" s="1">
        <v>8908</v>
      </c>
      <c r="H408" s="1">
        <v>10658</v>
      </c>
      <c r="I408" s="1">
        <v>12338</v>
      </c>
      <c r="J408" s="1">
        <v>168.33500000000001</v>
      </c>
      <c r="K408" s="1">
        <v>-5.3970000000000002</v>
      </c>
      <c r="L408" s="1">
        <v>19.091000000000001</v>
      </c>
      <c r="M408" s="1" t="s">
        <v>447</v>
      </c>
      <c r="N408" s="1" t="s">
        <v>725</v>
      </c>
      <c r="O408" s="1" t="s">
        <v>896</v>
      </c>
      <c r="P408" s="1" t="s">
        <v>897</v>
      </c>
      <c r="Q408" s="1" t="s">
        <v>138</v>
      </c>
      <c r="R408" s="1" t="s">
        <v>237</v>
      </c>
      <c r="S408" s="1" t="s">
        <v>206</v>
      </c>
    </row>
    <row r="409" spans="1:19" hidden="1" x14ac:dyDescent="0.25">
      <c r="A409" s="1">
        <v>59</v>
      </c>
      <c r="B409" s="1" t="s">
        <v>894</v>
      </c>
      <c r="C409" s="1" t="s">
        <v>433</v>
      </c>
      <c r="D409" s="1" t="s">
        <v>895</v>
      </c>
      <c r="E409" s="1">
        <v>4</v>
      </c>
      <c r="F409" s="1">
        <v>171.804</v>
      </c>
      <c r="G409" s="1">
        <v>8851</v>
      </c>
      <c r="H409" s="1">
        <v>10588</v>
      </c>
      <c r="I409" s="1">
        <v>12262</v>
      </c>
      <c r="J409" s="1">
        <v>169.078</v>
      </c>
      <c r="K409" s="1">
        <v>-5.399</v>
      </c>
      <c r="L409" s="1">
        <v>19.082999999999998</v>
      </c>
      <c r="M409" s="1" t="s">
        <v>447</v>
      </c>
      <c r="N409" s="1" t="s">
        <v>725</v>
      </c>
      <c r="O409" s="1" t="s">
        <v>896</v>
      </c>
      <c r="P409" s="1" t="s">
        <v>897</v>
      </c>
      <c r="Q409" s="1" t="s">
        <v>146</v>
      </c>
      <c r="R409" s="1" t="s">
        <v>299</v>
      </c>
      <c r="S409" s="1" t="s">
        <v>305</v>
      </c>
    </row>
    <row r="410" spans="1:19" hidden="1" x14ac:dyDescent="0.25">
      <c r="A410" s="1">
        <v>59</v>
      </c>
      <c r="B410" s="1" t="s">
        <v>894</v>
      </c>
      <c r="C410" s="1" t="s">
        <v>433</v>
      </c>
      <c r="D410" s="1" t="s">
        <v>895</v>
      </c>
      <c r="E410" s="1">
        <v>5</v>
      </c>
      <c r="F410" s="1">
        <v>239.58</v>
      </c>
      <c r="G410" s="1">
        <v>19823</v>
      </c>
      <c r="H410" s="1">
        <v>24060</v>
      </c>
      <c r="I410" s="1">
        <v>27621</v>
      </c>
      <c r="J410" s="1">
        <v>235.749</v>
      </c>
      <c r="K410" s="1">
        <v>3.956</v>
      </c>
      <c r="L410" s="1">
        <v>25.103999999999999</v>
      </c>
      <c r="M410" s="1" t="s">
        <v>447</v>
      </c>
      <c r="N410" s="1" t="s">
        <v>725</v>
      </c>
      <c r="O410" s="1" t="s">
        <v>896</v>
      </c>
      <c r="P410" s="1" t="s">
        <v>897</v>
      </c>
      <c r="Q410" s="1" t="s">
        <v>183</v>
      </c>
      <c r="R410" s="1" t="s">
        <v>515</v>
      </c>
      <c r="S410" s="1" t="s">
        <v>117</v>
      </c>
    </row>
    <row r="411" spans="1:19" x14ac:dyDescent="0.25">
      <c r="A411" s="1">
        <v>59</v>
      </c>
      <c r="B411" s="1" t="s">
        <v>894</v>
      </c>
      <c r="C411" s="1" t="s">
        <v>433</v>
      </c>
      <c r="D411" s="1" t="s">
        <v>895</v>
      </c>
      <c r="E411" s="1">
        <v>6</v>
      </c>
      <c r="F411" s="1">
        <v>211.68700000000001</v>
      </c>
      <c r="G411" s="1">
        <v>17682</v>
      </c>
      <c r="H411" s="1">
        <v>21447</v>
      </c>
      <c r="I411" s="1">
        <v>24644</v>
      </c>
      <c r="J411" s="1">
        <v>208.30099999999999</v>
      </c>
      <c r="K411" s="1">
        <v>4.0129999999999999</v>
      </c>
      <c r="L411" s="1">
        <v>25.263999999999999</v>
      </c>
      <c r="M411" s="1" t="s">
        <v>447</v>
      </c>
      <c r="N411" s="1" t="s">
        <v>725</v>
      </c>
      <c r="O411" s="1" t="s">
        <v>896</v>
      </c>
      <c r="P411" s="1" t="s">
        <v>897</v>
      </c>
      <c r="Q411" s="1" t="s">
        <v>155</v>
      </c>
      <c r="R411" s="1" t="s">
        <v>312</v>
      </c>
      <c r="S411" s="1" t="s">
        <v>479</v>
      </c>
    </row>
    <row r="412" spans="1:19" x14ac:dyDescent="0.25">
      <c r="A412" s="1">
        <v>59</v>
      </c>
      <c r="B412" s="1" t="s">
        <v>894</v>
      </c>
      <c r="C412" s="1" t="s">
        <v>433</v>
      </c>
      <c r="D412" s="1" t="s">
        <v>895</v>
      </c>
      <c r="E412" s="1">
        <v>7</v>
      </c>
      <c r="F412" s="1">
        <v>197.58199999999999</v>
      </c>
      <c r="G412" s="1">
        <v>16473</v>
      </c>
      <c r="H412" s="1">
        <v>19971</v>
      </c>
      <c r="I412" s="1">
        <v>22962</v>
      </c>
      <c r="J412" s="1">
        <v>194.422</v>
      </c>
      <c r="K412" s="1">
        <v>4.0599999999999996</v>
      </c>
      <c r="L412" s="1">
        <v>25.262</v>
      </c>
      <c r="M412" s="1" t="s">
        <v>447</v>
      </c>
      <c r="N412" s="1" t="s">
        <v>725</v>
      </c>
      <c r="O412" s="1" t="s">
        <v>896</v>
      </c>
      <c r="P412" s="1" t="s">
        <v>897</v>
      </c>
      <c r="Q412" s="1" t="s">
        <v>408</v>
      </c>
      <c r="R412" s="1" t="s">
        <v>898</v>
      </c>
      <c r="S412" s="1" t="s">
        <v>448</v>
      </c>
    </row>
    <row r="413" spans="1:19" hidden="1" x14ac:dyDescent="0.25">
      <c r="A413" s="1">
        <v>60</v>
      </c>
      <c r="B413" s="1" t="s">
        <v>899</v>
      </c>
      <c r="C413" s="1" t="s">
        <v>220</v>
      </c>
      <c r="D413" s="1" t="s">
        <v>900</v>
      </c>
      <c r="E413" s="1">
        <v>1</v>
      </c>
      <c r="F413" s="1">
        <v>174.77600000000001</v>
      </c>
      <c r="G413" s="1">
        <v>8909</v>
      </c>
      <c r="H413" s="1">
        <v>10658</v>
      </c>
      <c r="I413" s="1">
        <v>12341</v>
      </c>
      <c r="J413" s="1">
        <v>172.00299999999999</v>
      </c>
      <c r="K413" s="1">
        <v>-5.3979999999999997</v>
      </c>
      <c r="L413" s="1">
        <v>19.087</v>
      </c>
      <c r="M413" s="1" t="s">
        <v>901</v>
      </c>
      <c r="N413" s="1" t="s">
        <v>725</v>
      </c>
      <c r="O413" s="1" t="s">
        <v>902</v>
      </c>
      <c r="P413" s="1" t="s">
        <v>903</v>
      </c>
      <c r="Q413" s="1" t="s">
        <v>86</v>
      </c>
      <c r="R413" s="1" t="s">
        <v>276</v>
      </c>
      <c r="S413" s="1" t="s">
        <v>250</v>
      </c>
    </row>
    <row r="414" spans="1:19" hidden="1" x14ac:dyDescent="0.25">
      <c r="A414" s="1">
        <v>60</v>
      </c>
      <c r="B414" s="1" t="s">
        <v>899</v>
      </c>
      <c r="C414" s="1" t="s">
        <v>220</v>
      </c>
      <c r="D414" s="1" t="s">
        <v>900</v>
      </c>
      <c r="E414" s="1">
        <v>2</v>
      </c>
      <c r="F414" s="1">
        <v>172.15</v>
      </c>
      <c r="G414" s="1">
        <v>8910</v>
      </c>
      <c r="H414" s="1">
        <v>10659</v>
      </c>
      <c r="I414" s="1">
        <v>12340</v>
      </c>
      <c r="J414" s="1">
        <v>169.41900000000001</v>
      </c>
      <c r="K414" s="1">
        <v>-5.4039999999999999</v>
      </c>
      <c r="L414" s="1">
        <v>19.04</v>
      </c>
      <c r="M414" s="1" t="s">
        <v>901</v>
      </c>
      <c r="N414" s="1" t="s">
        <v>725</v>
      </c>
      <c r="O414" s="1" t="s">
        <v>902</v>
      </c>
      <c r="P414" s="1" t="s">
        <v>903</v>
      </c>
      <c r="Q414" s="1" t="s">
        <v>249</v>
      </c>
      <c r="R414" s="1" t="s">
        <v>166</v>
      </c>
      <c r="S414" s="1" t="s">
        <v>201</v>
      </c>
    </row>
    <row r="415" spans="1:19" hidden="1" x14ac:dyDescent="0.25">
      <c r="A415" s="1">
        <v>60</v>
      </c>
      <c r="B415" s="1" t="s">
        <v>899</v>
      </c>
      <c r="C415" s="1" t="s">
        <v>220</v>
      </c>
      <c r="D415" s="1" t="s">
        <v>900</v>
      </c>
      <c r="E415" s="1">
        <v>3</v>
      </c>
      <c r="F415" s="1">
        <v>173.06299999999999</v>
      </c>
      <c r="G415" s="1">
        <v>8978</v>
      </c>
      <c r="H415" s="1">
        <v>10740</v>
      </c>
      <c r="I415" s="1">
        <v>12435</v>
      </c>
      <c r="J415" s="1">
        <v>170.31700000000001</v>
      </c>
      <c r="K415" s="1">
        <v>-5.4059999999999997</v>
      </c>
      <c r="L415" s="1">
        <v>19.064</v>
      </c>
      <c r="M415" s="1" t="s">
        <v>901</v>
      </c>
      <c r="N415" s="1" t="s">
        <v>725</v>
      </c>
      <c r="O415" s="1" t="s">
        <v>902</v>
      </c>
      <c r="P415" s="1" t="s">
        <v>903</v>
      </c>
      <c r="Q415" s="1" t="s">
        <v>161</v>
      </c>
      <c r="R415" s="1" t="s">
        <v>236</v>
      </c>
      <c r="S415" s="1" t="s">
        <v>238</v>
      </c>
    </row>
    <row r="416" spans="1:19" hidden="1" x14ac:dyDescent="0.25">
      <c r="A416" s="1">
        <v>60</v>
      </c>
      <c r="B416" s="1" t="s">
        <v>899</v>
      </c>
      <c r="C416" s="1" t="s">
        <v>220</v>
      </c>
      <c r="D416" s="1" t="s">
        <v>900</v>
      </c>
      <c r="E416" s="1">
        <v>4</v>
      </c>
      <c r="F416" s="1">
        <v>173.39</v>
      </c>
      <c r="G416" s="1">
        <v>8931</v>
      </c>
      <c r="H416" s="1">
        <v>10684</v>
      </c>
      <c r="I416" s="1">
        <v>12371</v>
      </c>
      <c r="J416" s="1">
        <v>170.63900000000001</v>
      </c>
      <c r="K416" s="1">
        <v>-5.399</v>
      </c>
      <c r="L416" s="1">
        <v>19.082999999999998</v>
      </c>
      <c r="M416" s="1" t="s">
        <v>901</v>
      </c>
      <c r="N416" s="1" t="s">
        <v>725</v>
      </c>
      <c r="O416" s="1" t="s">
        <v>902</v>
      </c>
      <c r="P416" s="1" t="s">
        <v>903</v>
      </c>
      <c r="Q416" s="1" t="s">
        <v>161</v>
      </c>
      <c r="R416" s="1" t="s">
        <v>236</v>
      </c>
      <c r="S416" s="1" t="s">
        <v>238</v>
      </c>
    </row>
    <row r="417" spans="1:19" hidden="1" x14ac:dyDescent="0.25">
      <c r="A417" s="1">
        <v>60</v>
      </c>
      <c r="B417" s="1" t="s">
        <v>899</v>
      </c>
      <c r="C417" s="1" t="s">
        <v>220</v>
      </c>
      <c r="D417" s="1" t="s">
        <v>900</v>
      </c>
      <c r="E417" s="1">
        <v>5</v>
      </c>
      <c r="F417" s="1">
        <v>175.60400000000001</v>
      </c>
      <c r="G417" s="1">
        <v>13763</v>
      </c>
      <c r="H417" s="1">
        <v>16680</v>
      </c>
      <c r="I417" s="1">
        <v>19180</v>
      </c>
      <c r="J417" s="1">
        <v>172.79499999999999</v>
      </c>
      <c r="K417" s="1">
        <v>3.9089999999999998</v>
      </c>
      <c r="L417" s="1">
        <v>25.105</v>
      </c>
      <c r="M417" s="1" t="s">
        <v>901</v>
      </c>
      <c r="N417" s="1" t="s">
        <v>725</v>
      </c>
      <c r="O417" s="1" t="s">
        <v>902</v>
      </c>
      <c r="P417" s="1" t="s">
        <v>903</v>
      </c>
      <c r="Q417" s="1" t="s">
        <v>183</v>
      </c>
      <c r="R417" s="1" t="s">
        <v>145</v>
      </c>
      <c r="S417" s="1" t="s">
        <v>44</v>
      </c>
    </row>
    <row r="418" spans="1:19" x14ac:dyDescent="0.25">
      <c r="A418" s="1">
        <v>60</v>
      </c>
      <c r="B418" s="1" t="s">
        <v>899</v>
      </c>
      <c r="C418" s="1" t="s">
        <v>220</v>
      </c>
      <c r="D418" s="1" t="s">
        <v>900</v>
      </c>
      <c r="E418" s="1">
        <v>6</v>
      </c>
      <c r="F418" s="1">
        <v>154.94999999999999</v>
      </c>
      <c r="G418" s="1">
        <v>12296</v>
      </c>
      <c r="H418" s="1">
        <v>14899</v>
      </c>
      <c r="I418" s="1">
        <v>17142</v>
      </c>
      <c r="J418" s="1">
        <v>152.47200000000001</v>
      </c>
      <c r="K418" s="1">
        <v>3.9780000000000002</v>
      </c>
      <c r="L418" s="1">
        <v>25.282</v>
      </c>
      <c r="M418" s="1" t="s">
        <v>901</v>
      </c>
      <c r="N418" s="1" t="s">
        <v>725</v>
      </c>
      <c r="O418" s="1" t="s">
        <v>902</v>
      </c>
      <c r="P418" s="1" t="s">
        <v>903</v>
      </c>
      <c r="Q418" s="1" t="s">
        <v>167</v>
      </c>
      <c r="R418" s="1" t="s">
        <v>237</v>
      </c>
      <c r="S418" s="1" t="s">
        <v>201</v>
      </c>
    </row>
    <row r="419" spans="1:19" x14ac:dyDescent="0.25">
      <c r="A419" s="1">
        <v>60</v>
      </c>
      <c r="B419" s="1" t="s">
        <v>899</v>
      </c>
      <c r="C419" s="1" t="s">
        <v>220</v>
      </c>
      <c r="D419" s="1" t="s">
        <v>900</v>
      </c>
      <c r="E419" s="1">
        <v>7</v>
      </c>
      <c r="F419" s="1">
        <v>144.268</v>
      </c>
      <c r="G419" s="1">
        <v>11493</v>
      </c>
      <c r="H419" s="1">
        <v>13925</v>
      </c>
      <c r="I419" s="1">
        <v>16018</v>
      </c>
      <c r="J419" s="1">
        <v>141.96100000000001</v>
      </c>
      <c r="K419" s="1">
        <v>4.0229999999999997</v>
      </c>
      <c r="L419" s="1">
        <v>25.306999999999999</v>
      </c>
      <c r="M419" s="1" t="s">
        <v>901</v>
      </c>
      <c r="N419" s="1" t="s">
        <v>725</v>
      </c>
      <c r="O419" s="1" t="s">
        <v>902</v>
      </c>
      <c r="P419" s="1" t="s">
        <v>903</v>
      </c>
      <c r="Q419" s="1" t="s">
        <v>904</v>
      </c>
      <c r="R419" s="1" t="s">
        <v>905</v>
      </c>
      <c r="S419" s="1" t="s">
        <v>459</v>
      </c>
    </row>
    <row r="420" spans="1:19" hidden="1" x14ac:dyDescent="0.25">
      <c r="A420" s="1">
        <v>61</v>
      </c>
      <c r="B420" s="1" t="s">
        <v>906</v>
      </c>
      <c r="C420" s="1" t="s">
        <v>907</v>
      </c>
      <c r="D420" s="1" t="s">
        <v>908</v>
      </c>
      <c r="E420" s="1">
        <v>1</v>
      </c>
      <c r="F420" s="1">
        <v>174.209</v>
      </c>
      <c r="G420" s="1">
        <v>8880</v>
      </c>
      <c r="H420" s="1">
        <v>10624</v>
      </c>
      <c r="I420" s="1">
        <v>12295</v>
      </c>
      <c r="J420" s="1">
        <v>171.44499999999999</v>
      </c>
      <c r="K420" s="1">
        <v>-5.3929999999999998</v>
      </c>
      <c r="L420" s="1">
        <v>19.091999999999999</v>
      </c>
      <c r="M420" s="1" t="s">
        <v>909</v>
      </c>
      <c r="N420" s="1" t="s">
        <v>725</v>
      </c>
      <c r="O420" s="1" t="s">
        <v>910</v>
      </c>
      <c r="P420" s="1" t="s">
        <v>911</v>
      </c>
      <c r="Q420" s="1" t="s">
        <v>57</v>
      </c>
      <c r="R420" s="1" t="s">
        <v>113</v>
      </c>
      <c r="S420" s="1" t="s">
        <v>139</v>
      </c>
    </row>
    <row r="421" spans="1:19" hidden="1" x14ac:dyDescent="0.25">
      <c r="A421" s="1">
        <v>61</v>
      </c>
      <c r="B421" s="1" t="s">
        <v>906</v>
      </c>
      <c r="C421" s="1" t="s">
        <v>907</v>
      </c>
      <c r="D421" s="1" t="s">
        <v>908</v>
      </c>
      <c r="E421" s="1">
        <v>2</v>
      </c>
      <c r="F421" s="1">
        <v>171.83799999999999</v>
      </c>
      <c r="G421" s="1">
        <v>8891</v>
      </c>
      <c r="H421" s="1">
        <v>10637</v>
      </c>
      <c r="I421" s="1">
        <v>12310</v>
      </c>
      <c r="J421" s="1">
        <v>169.11199999999999</v>
      </c>
      <c r="K421" s="1">
        <v>-5.399</v>
      </c>
      <c r="L421" s="1">
        <v>19.096</v>
      </c>
      <c r="M421" s="1" t="s">
        <v>909</v>
      </c>
      <c r="N421" s="1" t="s">
        <v>725</v>
      </c>
      <c r="O421" s="1" t="s">
        <v>910</v>
      </c>
      <c r="P421" s="1" t="s">
        <v>911</v>
      </c>
      <c r="Q421" s="1" t="s">
        <v>89</v>
      </c>
      <c r="R421" s="1" t="s">
        <v>279</v>
      </c>
      <c r="S421" s="1" t="s">
        <v>376</v>
      </c>
    </row>
    <row r="422" spans="1:19" hidden="1" x14ac:dyDescent="0.25">
      <c r="A422" s="1">
        <v>61</v>
      </c>
      <c r="B422" s="1" t="s">
        <v>906</v>
      </c>
      <c r="C422" s="1" t="s">
        <v>907</v>
      </c>
      <c r="D422" s="1" t="s">
        <v>908</v>
      </c>
      <c r="E422" s="1">
        <v>3</v>
      </c>
      <c r="F422" s="1">
        <v>173.107</v>
      </c>
      <c r="G422" s="1">
        <v>8937</v>
      </c>
      <c r="H422" s="1">
        <v>10692</v>
      </c>
      <c r="I422" s="1">
        <v>12373</v>
      </c>
      <c r="J422" s="1">
        <v>170.36099999999999</v>
      </c>
      <c r="K422" s="1">
        <v>-5.4029999999999996</v>
      </c>
      <c r="L422" s="1">
        <v>19.097000000000001</v>
      </c>
      <c r="M422" s="1" t="s">
        <v>909</v>
      </c>
      <c r="N422" s="1" t="s">
        <v>725</v>
      </c>
      <c r="O422" s="1" t="s">
        <v>910</v>
      </c>
      <c r="P422" s="1" t="s">
        <v>911</v>
      </c>
      <c r="Q422" s="1" t="s">
        <v>249</v>
      </c>
      <c r="R422" s="1" t="s">
        <v>194</v>
      </c>
      <c r="S422" s="1" t="s">
        <v>274</v>
      </c>
    </row>
    <row r="423" spans="1:19" hidden="1" x14ac:dyDescent="0.25">
      <c r="A423" s="1">
        <v>61</v>
      </c>
      <c r="B423" s="1" t="s">
        <v>906</v>
      </c>
      <c r="C423" s="1" t="s">
        <v>907</v>
      </c>
      <c r="D423" s="1" t="s">
        <v>908</v>
      </c>
      <c r="E423" s="1">
        <v>4</v>
      </c>
      <c r="F423" s="1">
        <v>172.68</v>
      </c>
      <c r="G423" s="1">
        <v>8880</v>
      </c>
      <c r="H423" s="1">
        <v>10624</v>
      </c>
      <c r="I423" s="1">
        <v>12295</v>
      </c>
      <c r="J423" s="1">
        <v>169.941</v>
      </c>
      <c r="K423" s="1">
        <v>-5.399</v>
      </c>
      <c r="L423" s="1">
        <v>19.082999999999998</v>
      </c>
      <c r="M423" s="1" t="s">
        <v>909</v>
      </c>
      <c r="N423" s="1" t="s">
        <v>725</v>
      </c>
      <c r="O423" s="1" t="s">
        <v>910</v>
      </c>
      <c r="P423" s="1" t="s">
        <v>911</v>
      </c>
      <c r="Q423" s="1" t="s">
        <v>138</v>
      </c>
      <c r="R423" s="1" t="s">
        <v>170</v>
      </c>
      <c r="S423" s="1" t="s">
        <v>174</v>
      </c>
    </row>
    <row r="424" spans="1:19" hidden="1" x14ac:dyDescent="0.25">
      <c r="A424" s="1">
        <v>61</v>
      </c>
      <c r="B424" s="1" t="s">
        <v>906</v>
      </c>
      <c r="C424" s="1" t="s">
        <v>907</v>
      </c>
      <c r="D424" s="1" t="s">
        <v>908</v>
      </c>
      <c r="E424" s="1">
        <v>5</v>
      </c>
      <c r="F424" s="1">
        <v>298.97300000000001</v>
      </c>
      <c r="G424" s="1">
        <v>24310</v>
      </c>
      <c r="H424" s="1">
        <v>29296</v>
      </c>
      <c r="I424" s="1">
        <v>33810</v>
      </c>
      <c r="J424" s="1">
        <v>294.21800000000002</v>
      </c>
      <c r="K424" s="1">
        <v>-3.47</v>
      </c>
      <c r="L424" s="1">
        <v>23.46</v>
      </c>
      <c r="M424" s="1" t="s">
        <v>909</v>
      </c>
      <c r="N424" s="1" t="s">
        <v>725</v>
      </c>
      <c r="O424" s="1" t="s">
        <v>910</v>
      </c>
      <c r="P424" s="1" t="s">
        <v>911</v>
      </c>
      <c r="Q424" s="1" t="s">
        <v>202</v>
      </c>
      <c r="R424" s="1" t="s">
        <v>137</v>
      </c>
      <c r="S424" s="1" t="s">
        <v>61</v>
      </c>
    </row>
    <row r="425" spans="1:19" x14ac:dyDescent="0.25">
      <c r="A425" s="1">
        <v>61</v>
      </c>
      <c r="B425" s="1" t="s">
        <v>906</v>
      </c>
      <c r="C425" s="1" t="s">
        <v>907</v>
      </c>
      <c r="D425" s="1" t="s">
        <v>908</v>
      </c>
      <c r="E425" s="1">
        <v>6</v>
      </c>
      <c r="F425" s="1">
        <v>264.07600000000002</v>
      </c>
      <c r="G425" s="1">
        <v>21472</v>
      </c>
      <c r="H425" s="1">
        <v>25862</v>
      </c>
      <c r="I425" s="1">
        <v>29861</v>
      </c>
      <c r="J425" s="1">
        <v>259.87599999999998</v>
      </c>
      <c r="K425" s="1">
        <v>-3.4180000000000001</v>
      </c>
      <c r="L425" s="1">
        <v>23.718</v>
      </c>
      <c r="M425" s="1" t="s">
        <v>909</v>
      </c>
      <c r="N425" s="1" t="s">
        <v>725</v>
      </c>
      <c r="O425" s="1" t="s">
        <v>910</v>
      </c>
      <c r="P425" s="1" t="s">
        <v>911</v>
      </c>
      <c r="Q425" s="1" t="s">
        <v>304</v>
      </c>
      <c r="R425" s="1" t="s">
        <v>424</v>
      </c>
      <c r="S425" s="1" t="s">
        <v>320</v>
      </c>
    </row>
    <row r="426" spans="1:19" x14ac:dyDescent="0.25">
      <c r="A426" s="1">
        <v>61</v>
      </c>
      <c r="B426" s="1" t="s">
        <v>906</v>
      </c>
      <c r="C426" s="1" t="s">
        <v>907</v>
      </c>
      <c r="D426" s="1" t="s">
        <v>908</v>
      </c>
      <c r="E426" s="1">
        <v>7</v>
      </c>
      <c r="F426" s="1">
        <v>247.73599999999999</v>
      </c>
      <c r="G426" s="1">
        <v>19919</v>
      </c>
      <c r="H426" s="1">
        <v>23986</v>
      </c>
      <c r="I426" s="1">
        <v>27713</v>
      </c>
      <c r="J426" s="1">
        <v>243.79599999999999</v>
      </c>
      <c r="K426" s="1">
        <v>-3.4380000000000002</v>
      </c>
      <c r="L426" s="1">
        <v>23.774000000000001</v>
      </c>
      <c r="M426" s="1" t="s">
        <v>909</v>
      </c>
      <c r="N426" s="1" t="s">
        <v>725</v>
      </c>
      <c r="O426" s="1" t="s">
        <v>910</v>
      </c>
      <c r="P426" s="1" t="s">
        <v>911</v>
      </c>
      <c r="Q426" s="1" t="s">
        <v>304</v>
      </c>
      <c r="R426" s="1" t="s">
        <v>424</v>
      </c>
      <c r="S426" s="1" t="s">
        <v>320</v>
      </c>
    </row>
    <row r="427" spans="1:19" hidden="1" x14ac:dyDescent="0.25">
      <c r="A427" s="1">
        <v>62</v>
      </c>
      <c r="B427" s="1" t="s">
        <v>912</v>
      </c>
      <c r="C427" s="1" t="s">
        <v>913</v>
      </c>
      <c r="D427" s="1" t="s">
        <v>914</v>
      </c>
      <c r="E427" s="1">
        <v>1</v>
      </c>
      <c r="F427" s="1">
        <v>174.49100000000001</v>
      </c>
      <c r="G427" s="1">
        <v>8896</v>
      </c>
      <c r="H427" s="1">
        <v>10642</v>
      </c>
      <c r="I427" s="1">
        <v>12320</v>
      </c>
      <c r="J427" s="1">
        <v>171.72200000000001</v>
      </c>
      <c r="K427" s="1">
        <v>-5.391</v>
      </c>
      <c r="L427" s="1">
        <v>19.100000000000001</v>
      </c>
      <c r="M427" s="1" t="s">
        <v>915</v>
      </c>
      <c r="N427" s="1" t="s">
        <v>725</v>
      </c>
      <c r="O427" s="1" t="s">
        <v>916</v>
      </c>
      <c r="P427" s="1" t="s">
        <v>917</v>
      </c>
      <c r="Q427" s="1" t="s">
        <v>95</v>
      </c>
      <c r="R427" s="1" t="s">
        <v>249</v>
      </c>
      <c r="S427" s="1" t="s">
        <v>246</v>
      </c>
    </row>
    <row r="428" spans="1:19" hidden="1" x14ac:dyDescent="0.25">
      <c r="A428" s="1">
        <v>62</v>
      </c>
      <c r="B428" s="1" t="s">
        <v>912</v>
      </c>
      <c r="C428" s="1" t="s">
        <v>913</v>
      </c>
      <c r="D428" s="1" t="s">
        <v>914</v>
      </c>
      <c r="E428" s="1">
        <v>2</v>
      </c>
      <c r="F428" s="1">
        <v>172.066</v>
      </c>
      <c r="G428" s="1">
        <v>8888</v>
      </c>
      <c r="H428" s="1">
        <v>10633</v>
      </c>
      <c r="I428" s="1">
        <v>12312</v>
      </c>
      <c r="J428" s="1">
        <v>169.33600000000001</v>
      </c>
      <c r="K428" s="1">
        <v>-5.41</v>
      </c>
      <c r="L428" s="1">
        <v>19.093</v>
      </c>
      <c r="M428" s="1" t="s">
        <v>915</v>
      </c>
      <c r="N428" s="1" t="s">
        <v>725</v>
      </c>
      <c r="O428" s="1" t="s">
        <v>916</v>
      </c>
      <c r="P428" s="1" t="s">
        <v>917</v>
      </c>
      <c r="Q428" s="1" t="s">
        <v>165</v>
      </c>
      <c r="R428" s="1" t="s">
        <v>143</v>
      </c>
      <c r="S428" s="1" t="s">
        <v>370</v>
      </c>
    </row>
    <row r="429" spans="1:19" hidden="1" x14ac:dyDescent="0.25">
      <c r="A429" s="1">
        <v>62</v>
      </c>
      <c r="B429" s="1" t="s">
        <v>912</v>
      </c>
      <c r="C429" s="1" t="s">
        <v>913</v>
      </c>
      <c r="D429" s="1" t="s">
        <v>914</v>
      </c>
      <c r="E429" s="1">
        <v>3</v>
      </c>
      <c r="F429" s="1">
        <v>173.18600000000001</v>
      </c>
      <c r="G429" s="1">
        <v>8949</v>
      </c>
      <c r="H429" s="1">
        <v>10705</v>
      </c>
      <c r="I429" s="1">
        <v>12397</v>
      </c>
      <c r="J429" s="1">
        <v>170.43799999999999</v>
      </c>
      <c r="K429" s="1">
        <v>-5.391</v>
      </c>
      <c r="L429" s="1">
        <v>19.082000000000001</v>
      </c>
      <c r="M429" s="1" t="s">
        <v>915</v>
      </c>
      <c r="N429" s="1" t="s">
        <v>725</v>
      </c>
      <c r="O429" s="1" t="s">
        <v>916</v>
      </c>
      <c r="P429" s="1" t="s">
        <v>917</v>
      </c>
      <c r="Q429" s="1" t="s">
        <v>307</v>
      </c>
      <c r="R429" s="1" t="s">
        <v>252</v>
      </c>
      <c r="S429" s="1" t="s">
        <v>233</v>
      </c>
    </row>
    <row r="430" spans="1:19" hidden="1" x14ac:dyDescent="0.25">
      <c r="A430" s="1">
        <v>62</v>
      </c>
      <c r="B430" s="1" t="s">
        <v>912</v>
      </c>
      <c r="C430" s="1" t="s">
        <v>913</v>
      </c>
      <c r="D430" s="1" t="s">
        <v>914</v>
      </c>
      <c r="E430" s="1">
        <v>4</v>
      </c>
      <c r="F430" s="1">
        <v>172.78800000000001</v>
      </c>
      <c r="G430" s="1">
        <v>8882</v>
      </c>
      <c r="H430" s="1">
        <v>10625</v>
      </c>
      <c r="I430" s="1">
        <v>12301</v>
      </c>
      <c r="J430" s="1">
        <v>170.047</v>
      </c>
      <c r="K430" s="1">
        <v>-5.399</v>
      </c>
      <c r="L430" s="1">
        <v>19.082999999999998</v>
      </c>
      <c r="M430" s="1" t="s">
        <v>915</v>
      </c>
      <c r="N430" s="1" t="s">
        <v>725</v>
      </c>
      <c r="O430" s="1" t="s">
        <v>916</v>
      </c>
      <c r="P430" s="1" t="s">
        <v>917</v>
      </c>
      <c r="Q430" s="1" t="s">
        <v>164</v>
      </c>
      <c r="R430" s="1" t="s">
        <v>354</v>
      </c>
      <c r="S430" s="1" t="s">
        <v>219</v>
      </c>
    </row>
    <row r="431" spans="1:19" hidden="1" x14ac:dyDescent="0.25">
      <c r="A431" s="1">
        <v>62</v>
      </c>
      <c r="B431" s="1" t="s">
        <v>912</v>
      </c>
      <c r="C431" s="1" t="s">
        <v>913</v>
      </c>
      <c r="D431" s="1" t="s">
        <v>914</v>
      </c>
      <c r="E431" s="1">
        <v>5</v>
      </c>
      <c r="F431" s="1">
        <v>263.613</v>
      </c>
      <c r="G431" s="1">
        <v>20977</v>
      </c>
      <c r="H431" s="1">
        <v>25305</v>
      </c>
      <c r="I431" s="1">
        <v>29199</v>
      </c>
      <c r="J431" s="1">
        <v>259.42</v>
      </c>
      <c r="K431" s="1">
        <v>-3.55</v>
      </c>
      <c r="L431" s="1">
        <v>23.734000000000002</v>
      </c>
      <c r="M431" s="1" t="s">
        <v>915</v>
      </c>
      <c r="N431" s="1" t="s">
        <v>725</v>
      </c>
      <c r="O431" s="1" t="s">
        <v>916</v>
      </c>
      <c r="P431" s="1" t="s">
        <v>917</v>
      </c>
      <c r="Q431" s="1" t="s">
        <v>199</v>
      </c>
      <c r="R431" s="1" t="s">
        <v>184</v>
      </c>
      <c r="S431" s="1" t="s">
        <v>117</v>
      </c>
    </row>
    <row r="432" spans="1:19" x14ac:dyDescent="0.25">
      <c r="A432" s="1">
        <v>62</v>
      </c>
      <c r="B432" s="1" t="s">
        <v>912</v>
      </c>
      <c r="C432" s="1" t="s">
        <v>913</v>
      </c>
      <c r="D432" s="1" t="s">
        <v>914</v>
      </c>
      <c r="E432" s="1">
        <v>6</v>
      </c>
      <c r="F432" s="1">
        <v>233.49199999999999</v>
      </c>
      <c r="G432" s="1">
        <v>18906</v>
      </c>
      <c r="H432" s="1">
        <v>22796</v>
      </c>
      <c r="I432" s="1">
        <v>26315</v>
      </c>
      <c r="J432" s="1">
        <v>229.77799999999999</v>
      </c>
      <c r="K432" s="1">
        <v>-3.4569999999999999</v>
      </c>
      <c r="L432" s="1">
        <v>23.878</v>
      </c>
      <c r="M432" s="1" t="s">
        <v>915</v>
      </c>
      <c r="N432" s="1" t="s">
        <v>725</v>
      </c>
      <c r="O432" s="1" t="s">
        <v>916</v>
      </c>
      <c r="P432" s="1" t="s">
        <v>917</v>
      </c>
      <c r="Q432" s="1" t="s">
        <v>354</v>
      </c>
      <c r="R432" s="1" t="s">
        <v>231</v>
      </c>
      <c r="S432" s="1" t="s">
        <v>835</v>
      </c>
    </row>
    <row r="433" spans="1:19" x14ac:dyDescent="0.25">
      <c r="A433" s="1">
        <v>62</v>
      </c>
      <c r="B433" s="1" t="s">
        <v>912</v>
      </c>
      <c r="C433" s="1" t="s">
        <v>913</v>
      </c>
      <c r="D433" s="1" t="s">
        <v>914</v>
      </c>
      <c r="E433" s="1">
        <v>7</v>
      </c>
      <c r="F433" s="1">
        <v>218.542</v>
      </c>
      <c r="G433" s="1">
        <v>17833</v>
      </c>
      <c r="H433" s="1">
        <v>21497</v>
      </c>
      <c r="I433" s="1">
        <v>24819</v>
      </c>
      <c r="J433" s="1">
        <v>215.066</v>
      </c>
      <c r="K433" s="1">
        <v>-3.4380000000000002</v>
      </c>
      <c r="L433" s="1">
        <v>23.92</v>
      </c>
      <c r="M433" s="1" t="s">
        <v>915</v>
      </c>
      <c r="N433" s="1" t="s">
        <v>725</v>
      </c>
      <c r="O433" s="1" t="s">
        <v>916</v>
      </c>
      <c r="P433" s="1" t="s">
        <v>917</v>
      </c>
      <c r="Q433" s="1" t="s">
        <v>339</v>
      </c>
      <c r="R433" s="1" t="s">
        <v>730</v>
      </c>
      <c r="S433" s="1" t="s">
        <v>918</v>
      </c>
    </row>
    <row r="434" spans="1:19" hidden="1" x14ac:dyDescent="0.25">
      <c r="A434" s="1">
        <v>63</v>
      </c>
      <c r="B434" s="1" t="s">
        <v>919</v>
      </c>
      <c r="C434" s="1" t="s">
        <v>920</v>
      </c>
      <c r="D434" s="1" t="s">
        <v>921</v>
      </c>
      <c r="E434" s="1">
        <v>1</v>
      </c>
      <c r="F434" s="1">
        <v>174.364</v>
      </c>
      <c r="G434" s="1">
        <v>8920</v>
      </c>
      <c r="H434" s="1">
        <v>10671</v>
      </c>
      <c r="I434" s="1">
        <v>12350</v>
      </c>
      <c r="J434" s="1">
        <v>171.59800000000001</v>
      </c>
      <c r="K434" s="1">
        <v>-5.39</v>
      </c>
      <c r="L434" s="1">
        <v>19.123999999999999</v>
      </c>
      <c r="M434" s="1" t="s">
        <v>922</v>
      </c>
      <c r="N434" s="1" t="s">
        <v>725</v>
      </c>
      <c r="O434" s="1" t="s">
        <v>923</v>
      </c>
      <c r="P434" s="1" t="s">
        <v>924</v>
      </c>
      <c r="Q434" s="1" t="s">
        <v>94</v>
      </c>
      <c r="R434" s="1" t="s">
        <v>138</v>
      </c>
      <c r="S434" s="1" t="s">
        <v>154</v>
      </c>
    </row>
    <row r="435" spans="1:19" hidden="1" x14ac:dyDescent="0.25">
      <c r="A435" s="1">
        <v>63</v>
      </c>
      <c r="B435" s="1" t="s">
        <v>919</v>
      </c>
      <c r="C435" s="1" t="s">
        <v>920</v>
      </c>
      <c r="D435" s="1" t="s">
        <v>921</v>
      </c>
      <c r="E435" s="1">
        <v>2</v>
      </c>
      <c r="F435" s="1">
        <v>172.61099999999999</v>
      </c>
      <c r="G435" s="1">
        <v>8923</v>
      </c>
      <c r="H435" s="1">
        <v>10676</v>
      </c>
      <c r="I435" s="1">
        <v>12353</v>
      </c>
      <c r="J435" s="1">
        <v>169.87299999999999</v>
      </c>
      <c r="K435" s="1">
        <v>-5.38</v>
      </c>
      <c r="L435" s="1">
        <v>19.091999999999999</v>
      </c>
      <c r="M435" s="1" t="s">
        <v>922</v>
      </c>
      <c r="N435" s="1" t="s">
        <v>725</v>
      </c>
      <c r="O435" s="1" t="s">
        <v>923</v>
      </c>
      <c r="P435" s="1" t="s">
        <v>924</v>
      </c>
      <c r="Q435" s="1" t="s">
        <v>165</v>
      </c>
      <c r="R435" s="1" t="s">
        <v>143</v>
      </c>
      <c r="S435" s="1" t="s">
        <v>370</v>
      </c>
    </row>
    <row r="436" spans="1:19" hidden="1" x14ac:dyDescent="0.25">
      <c r="A436" s="1">
        <v>63</v>
      </c>
      <c r="B436" s="1" t="s">
        <v>919</v>
      </c>
      <c r="C436" s="1" t="s">
        <v>920</v>
      </c>
      <c r="D436" s="1" t="s">
        <v>921</v>
      </c>
      <c r="E436" s="1">
        <v>3</v>
      </c>
      <c r="F436" s="1">
        <v>173.852</v>
      </c>
      <c r="G436" s="1">
        <v>8973</v>
      </c>
      <c r="H436" s="1">
        <v>10736</v>
      </c>
      <c r="I436" s="1">
        <v>12423</v>
      </c>
      <c r="J436" s="1">
        <v>171.09399999999999</v>
      </c>
      <c r="K436" s="1">
        <v>-5.4</v>
      </c>
      <c r="L436" s="1">
        <v>19.094999999999999</v>
      </c>
      <c r="M436" s="1" t="s">
        <v>922</v>
      </c>
      <c r="N436" s="1" t="s">
        <v>725</v>
      </c>
      <c r="O436" s="1" t="s">
        <v>923</v>
      </c>
      <c r="P436" s="1" t="s">
        <v>924</v>
      </c>
      <c r="Q436" s="1" t="s">
        <v>164</v>
      </c>
      <c r="R436" s="1" t="s">
        <v>354</v>
      </c>
      <c r="S436" s="1" t="s">
        <v>287</v>
      </c>
    </row>
    <row r="437" spans="1:19" hidden="1" x14ac:dyDescent="0.25">
      <c r="A437" s="1">
        <v>63</v>
      </c>
      <c r="B437" s="1" t="s">
        <v>919</v>
      </c>
      <c r="C437" s="1" t="s">
        <v>920</v>
      </c>
      <c r="D437" s="1" t="s">
        <v>921</v>
      </c>
      <c r="E437" s="1">
        <v>4</v>
      </c>
      <c r="F437" s="1">
        <v>173.876</v>
      </c>
      <c r="G437" s="1">
        <v>8937</v>
      </c>
      <c r="H437" s="1">
        <v>10693</v>
      </c>
      <c r="I437" s="1">
        <v>12374</v>
      </c>
      <c r="J437" s="1">
        <v>171.11799999999999</v>
      </c>
      <c r="K437" s="1">
        <v>-5.399</v>
      </c>
      <c r="L437" s="1">
        <v>19.082999999999998</v>
      </c>
      <c r="M437" s="1" t="s">
        <v>922</v>
      </c>
      <c r="N437" s="1" t="s">
        <v>725</v>
      </c>
      <c r="O437" s="1" t="s">
        <v>923</v>
      </c>
      <c r="P437" s="1" t="s">
        <v>924</v>
      </c>
      <c r="Q437" s="1" t="s">
        <v>164</v>
      </c>
      <c r="R437" s="1" t="s">
        <v>359</v>
      </c>
      <c r="S437" s="1" t="s">
        <v>287</v>
      </c>
    </row>
    <row r="438" spans="1:19" hidden="1" x14ac:dyDescent="0.25">
      <c r="A438" s="1">
        <v>63</v>
      </c>
      <c r="B438" s="1" t="s">
        <v>919</v>
      </c>
      <c r="C438" s="1" t="s">
        <v>920</v>
      </c>
      <c r="D438" s="1" t="s">
        <v>921</v>
      </c>
      <c r="E438" s="1">
        <v>5</v>
      </c>
      <c r="F438" s="1">
        <v>291.46800000000002</v>
      </c>
      <c r="G438" s="1">
        <v>23195</v>
      </c>
      <c r="H438" s="1">
        <v>27946</v>
      </c>
      <c r="I438" s="1">
        <v>32259</v>
      </c>
      <c r="J438" s="1">
        <v>286.83300000000003</v>
      </c>
      <c r="K438" s="1">
        <v>-3.613</v>
      </c>
      <c r="L438" s="1">
        <v>23.399000000000001</v>
      </c>
      <c r="M438" s="1" t="s">
        <v>922</v>
      </c>
      <c r="N438" s="1" t="s">
        <v>725</v>
      </c>
      <c r="O438" s="1" t="s">
        <v>923</v>
      </c>
      <c r="P438" s="1" t="s">
        <v>924</v>
      </c>
      <c r="Q438" s="1" t="s">
        <v>205</v>
      </c>
      <c r="R438" s="1" t="s">
        <v>117</v>
      </c>
      <c r="S438" s="1" t="s">
        <v>185</v>
      </c>
    </row>
    <row r="439" spans="1:19" x14ac:dyDescent="0.25">
      <c r="A439" s="1">
        <v>63</v>
      </c>
      <c r="B439" s="1" t="s">
        <v>919</v>
      </c>
      <c r="C439" s="1" t="s">
        <v>920</v>
      </c>
      <c r="D439" s="1" t="s">
        <v>921</v>
      </c>
      <c r="E439" s="1">
        <v>6</v>
      </c>
      <c r="F439" s="1">
        <v>261.42</v>
      </c>
      <c r="G439" s="1">
        <v>20946</v>
      </c>
      <c r="H439" s="1">
        <v>25229</v>
      </c>
      <c r="I439" s="1">
        <v>29143</v>
      </c>
      <c r="J439" s="1">
        <v>257.262</v>
      </c>
      <c r="K439" s="1">
        <v>-3.4369999999999998</v>
      </c>
      <c r="L439" s="1">
        <v>23.87</v>
      </c>
      <c r="M439" s="1" t="s">
        <v>922</v>
      </c>
      <c r="N439" s="1" t="s">
        <v>725</v>
      </c>
      <c r="O439" s="1" t="s">
        <v>923</v>
      </c>
      <c r="P439" s="1" t="s">
        <v>924</v>
      </c>
      <c r="Q439" s="1" t="s">
        <v>168</v>
      </c>
      <c r="R439" s="1" t="s">
        <v>326</v>
      </c>
      <c r="S439" s="1" t="s">
        <v>415</v>
      </c>
    </row>
    <row r="440" spans="1:19" x14ac:dyDescent="0.25">
      <c r="A440" s="1">
        <v>63</v>
      </c>
      <c r="B440" s="1" t="s">
        <v>919</v>
      </c>
      <c r="C440" s="1" t="s">
        <v>920</v>
      </c>
      <c r="D440" s="1" t="s">
        <v>921</v>
      </c>
      <c r="E440" s="1">
        <v>7</v>
      </c>
      <c r="F440" s="1">
        <v>246.702</v>
      </c>
      <c r="G440" s="1">
        <v>19584</v>
      </c>
      <c r="H440" s="1">
        <v>23585</v>
      </c>
      <c r="I440" s="1">
        <v>27242</v>
      </c>
      <c r="J440" s="1">
        <v>242.77799999999999</v>
      </c>
      <c r="K440" s="1">
        <v>-3.4580000000000002</v>
      </c>
      <c r="L440" s="1">
        <v>23.908999999999999</v>
      </c>
      <c r="M440" s="1" t="s">
        <v>922</v>
      </c>
      <c r="N440" s="1" t="s">
        <v>725</v>
      </c>
      <c r="O440" s="1" t="s">
        <v>923</v>
      </c>
      <c r="P440" s="1" t="s">
        <v>924</v>
      </c>
      <c r="Q440" s="1" t="s">
        <v>168</v>
      </c>
      <c r="R440" s="1" t="s">
        <v>326</v>
      </c>
      <c r="S440" s="1" t="s">
        <v>415</v>
      </c>
    </row>
    <row r="441" spans="1:19" hidden="1" x14ac:dyDescent="0.25">
      <c r="A441" s="1">
        <v>64</v>
      </c>
      <c r="B441" s="1" t="s">
        <v>925</v>
      </c>
      <c r="C441" s="1" t="s">
        <v>926</v>
      </c>
      <c r="D441" s="1" t="s">
        <v>927</v>
      </c>
      <c r="E441" s="1">
        <v>1</v>
      </c>
      <c r="F441" s="1">
        <v>175.03100000000001</v>
      </c>
      <c r="G441" s="1">
        <v>8860</v>
      </c>
      <c r="H441" s="1">
        <v>10600</v>
      </c>
      <c r="I441" s="1">
        <v>12269</v>
      </c>
      <c r="J441" s="1">
        <v>172.25399999999999</v>
      </c>
      <c r="K441" s="1">
        <v>-5.41</v>
      </c>
      <c r="L441" s="1">
        <v>19.122</v>
      </c>
      <c r="M441" s="1" t="s">
        <v>928</v>
      </c>
      <c r="N441" s="1" t="s">
        <v>725</v>
      </c>
      <c r="O441" s="1" t="s">
        <v>929</v>
      </c>
      <c r="P441" s="1" t="s">
        <v>930</v>
      </c>
      <c r="Q441" s="1" t="s">
        <v>84</v>
      </c>
      <c r="R441" s="1" t="s">
        <v>167</v>
      </c>
      <c r="S441" s="1" t="s">
        <v>302</v>
      </c>
    </row>
    <row r="442" spans="1:19" hidden="1" x14ac:dyDescent="0.25">
      <c r="A442" s="1">
        <v>64</v>
      </c>
      <c r="B442" s="1" t="s">
        <v>925</v>
      </c>
      <c r="C442" s="1" t="s">
        <v>926</v>
      </c>
      <c r="D442" s="1" t="s">
        <v>927</v>
      </c>
      <c r="E442" s="1">
        <v>2</v>
      </c>
      <c r="F442" s="1">
        <v>173.422</v>
      </c>
      <c r="G442" s="1">
        <v>8963</v>
      </c>
      <c r="H442" s="1">
        <v>10723</v>
      </c>
      <c r="I442" s="1">
        <v>12411</v>
      </c>
      <c r="J442" s="1">
        <v>170.67099999999999</v>
      </c>
      <c r="K442" s="1">
        <v>-5.4039999999999999</v>
      </c>
      <c r="L442" s="1">
        <v>19.082000000000001</v>
      </c>
      <c r="M442" s="1" t="s">
        <v>928</v>
      </c>
      <c r="N442" s="1" t="s">
        <v>725</v>
      </c>
      <c r="O442" s="1" t="s">
        <v>929</v>
      </c>
      <c r="P442" s="1" t="s">
        <v>930</v>
      </c>
      <c r="Q442" s="1" t="s">
        <v>153</v>
      </c>
      <c r="R442" s="1" t="s">
        <v>252</v>
      </c>
      <c r="S442" s="1" t="s">
        <v>233</v>
      </c>
    </row>
    <row r="443" spans="1:19" hidden="1" x14ac:dyDescent="0.25">
      <c r="A443" s="1">
        <v>64</v>
      </c>
      <c r="B443" s="1" t="s">
        <v>925</v>
      </c>
      <c r="C443" s="1" t="s">
        <v>926</v>
      </c>
      <c r="D443" s="1" t="s">
        <v>927</v>
      </c>
      <c r="E443" s="1">
        <v>3</v>
      </c>
      <c r="F443" s="1">
        <v>172.81100000000001</v>
      </c>
      <c r="G443" s="1">
        <v>8931</v>
      </c>
      <c r="H443" s="1">
        <v>10685</v>
      </c>
      <c r="I443" s="1">
        <v>12367</v>
      </c>
      <c r="J443" s="1">
        <v>170.07</v>
      </c>
      <c r="K443" s="1">
        <v>-5.4089999999999998</v>
      </c>
      <c r="L443" s="1">
        <v>19.12</v>
      </c>
      <c r="M443" s="1" t="s">
        <v>928</v>
      </c>
      <c r="N443" s="1" t="s">
        <v>725</v>
      </c>
      <c r="O443" s="1" t="s">
        <v>929</v>
      </c>
      <c r="P443" s="1" t="s">
        <v>930</v>
      </c>
      <c r="Q443" s="1" t="s">
        <v>176</v>
      </c>
      <c r="R443" s="1" t="s">
        <v>341</v>
      </c>
      <c r="S443" s="1" t="s">
        <v>329</v>
      </c>
    </row>
    <row r="444" spans="1:19" hidden="1" x14ac:dyDescent="0.25">
      <c r="A444" s="1">
        <v>64</v>
      </c>
      <c r="B444" s="1" t="s">
        <v>925</v>
      </c>
      <c r="C444" s="1" t="s">
        <v>926</v>
      </c>
      <c r="D444" s="1" t="s">
        <v>927</v>
      </c>
      <c r="E444" s="1">
        <v>4</v>
      </c>
      <c r="F444" s="1">
        <v>173.874</v>
      </c>
      <c r="G444" s="1">
        <v>8938</v>
      </c>
      <c r="H444" s="1">
        <v>10693</v>
      </c>
      <c r="I444" s="1">
        <v>12378</v>
      </c>
      <c r="J444" s="1">
        <v>171.11600000000001</v>
      </c>
      <c r="K444" s="1">
        <v>-5.399</v>
      </c>
      <c r="L444" s="1">
        <v>19.082999999999998</v>
      </c>
      <c r="M444" s="1" t="s">
        <v>928</v>
      </c>
      <c r="N444" s="1" t="s">
        <v>725</v>
      </c>
      <c r="O444" s="1" t="s">
        <v>929</v>
      </c>
      <c r="P444" s="1" t="s">
        <v>930</v>
      </c>
      <c r="Q444" s="1" t="s">
        <v>176</v>
      </c>
      <c r="R444" s="1" t="s">
        <v>359</v>
      </c>
      <c r="S444" s="1" t="s">
        <v>235</v>
      </c>
    </row>
    <row r="445" spans="1:19" hidden="1" x14ac:dyDescent="0.25">
      <c r="A445" s="1">
        <v>64</v>
      </c>
      <c r="B445" s="1" t="s">
        <v>925</v>
      </c>
      <c r="C445" s="1" t="s">
        <v>926</v>
      </c>
      <c r="D445" s="1" t="s">
        <v>927</v>
      </c>
      <c r="E445" s="1">
        <v>5</v>
      </c>
      <c r="F445" s="1">
        <v>236.24600000000001</v>
      </c>
      <c r="G445" s="1">
        <v>19266</v>
      </c>
      <c r="H445" s="1">
        <v>23231</v>
      </c>
      <c r="I445" s="1">
        <v>26797</v>
      </c>
      <c r="J445" s="1">
        <v>232.488</v>
      </c>
      <c r="K445" s="1">
        <v>-3.4670000000000001</v>
      </c>
      <c r="L445" s="1">
        <v>23.774999999999999</v>
      </c>
      <c r="M445" s="1" t="s">
        <v>928</v>
      </c>
      <c r="N445" s="1" t="s">
        <v>725</v>
      </c>
      <c r="O445" s="1" t="s">
        <v>929</v>
      </c>
      <c r="P445" s="1" t="s">
        <v>930</v>
      </c>
      <c r="Q445" s="1" t="s">
        <v>188</v>
      </c>
      <c r="R445" s="1" t="s">
        <v>215</v>
      </c>
      <c r="S445" s="1" t="s">
        <v>130</v>
      </c>
    </row>
    <row r="446" spans="1:19" x14ac:dyDescent="0.25">
      <c r="A446" s="1">
        <v>64</v>
      </c>
      <c r="B446" s="1" t="s">
        <v>925</v>
      </c>
      <c r="C446" s="1" t="s">
        <v>926</v>
      </c>
      <c r="D446" s="1" t="s">
        <v>927</v>
      </c>
      <c r="E446" s="1">
        <v>6</v>
      </c>
      <c r="F446" s="1">
        <v>212.33199999999999</v>
      </c>
      <c r="G446" s="1">
        <v>17596</v>
      </c>
      <c r="H446" s="1">
        <v>21210</v>
      </c>
      <c r="I446" s="1">
        <v>24487</v>
      </c>
      <c r="J446" s="1">
        <v>208.95400000000001</v>
      </c>
      <c r="K446" s="1">
        <v>-3.3820000000000001</v>
      </c>
      <c r="L446" s="1">
        <v>24.026</v>
      </c>
      <c r="M446" s="1" t="s">
        <v>928</v>
      </c>
      <c r="N446" s="1" t="s">
        <v>725</v>
      </c>
      <c r="O446" s="1" t="s">
        <v>929</v>
      </c>
      <c r="P446" s="1" t="s">
        <v>930</v>
      </c>
      <c r="Q446" s="1" t="s">
        <v>236</v>
      </c>
      <c r="R446" s="1" t="s">
        <v>209</v>
      </c>
      <c r="S446" s="1" t="s">
        <v>931</v>
      </c>
    </row>
    <row r="447" spans="1:19" x14ac:dyDescent="0.25">
      <c r="A447" s="1">
        <v>64</v>
      </c>
      <c r="B447" s="1" t="s">
        <v>925</v>
      </c>
      <c r="C447" s="1" t="s">
        <v>926</v>
      </c>
      <c r="D447" s="1" t="s">
        <v>927</v>
      </c>
      <c r="E447" s="1">
        <v>7</v>
      </c>
      <c r="F447" s="1">
        <v>199.923</v>
      </c>
      <c r="G447" s="1">
        <v>16667</v>
      </c>
      <c r="H447" s="1">
        <v>20082</v>
      </c>
      <c r="I447" s="1">
        <v>23191</v>
      </c>
      <c r="J447" s="1">
        <v>196.74199999999999</v>
      </c>
      <c r="K447" s="1">
        <v>-3.298</v>
      </c>
      <c r="L447" s="1">
        <v>24.055</v>
      </c>
      <c r="M447" s="1" t="s">
        <v>928</v>
      </c>
      <c r="N447" s="1" t="s">
        <v>725</v>
      </c>
      <c r="O447" s="1" t="s">
        <v>929</v>
      </c>
      <c r="P447" s="1" t="s">
        <v>930</v>
      </c>
      <c r="Q447" s="1" t="s">
        <v>438</v>
      </c>
      <c r="R447" s="1" t="s">
        <v>374</v>
      </c>
      <c r="S447" s="1" t="s">
        <v>932</v>
      </c>
    </row>
    <row r="448" spans="1:19" hidden="1" x14ac:dyDescent="0.25">
      <c r="A448" s="1">
        <v>65</v>
      </c>
      <c r="B448" s="1" t="s">
        <v>933</v>
      </c>
      <c r="C448" s="1" t="s">
        <v>934</v>
      </c>
      <c r="D448" s="1" t="s">
        <v>935</v>
      </c>
      <c r="E448" s="1">
        <v>1</v>
      </c>
      <c r="F448" s="1">
        <v>174.62100000000001</v>
      </c>
      <c r="G448" s="1">
        <v>8916</v>
      </c>
      <c r="H448" s="1">
        <v>10667</v>
      </c>
      <c r="I448" s="1">
        <v>12345</v>
      </c>
      <c r="J448" s="1">
        <v>171.851</v>
      </c>
      <c r="K448" s="1">
        <v>-5.3879999999999999</v>
      </c>
      <c r="L448" s="1">
        <v>19.058</v>
      </c>
      <c r="M448" s="1" t="s">
        <v>936</v>
      </c>
      <c r="N448" s="1" t="s">
        <v>725</v>
      </c>
      <c r="O448" s="1" t="s">
        <v>937</v>
      </c>
      <c r="P448" s="1" t="s">
        <v>938</v>
      </c>
      <c r="Q448" s="1" t="s">
        <v>67</v>
      </c>
      <c r="R448" s="1" t="s">
        <v>253</v>
      </c>
      <c r="S448" s="1" t="s">
        <v>148</v>
      </c>
    </row>
    <row r="449" spans="1:19" hidden="1" x14ac:dyDescent="0.25">
      <c r="A449" s="1">
        <v>65</v>
      </c>
      <c r="B449" s="1" t="s">
        <v>933</v>
      </c>
      <c r="C449" s="1" t="s">
        <v>934</v>
      </c>
      <c r="D449" s="1" t="s">
        <v>935</v>
      </c>
      <c r="E449" s="1">
        <v>2</v>
      </c>
      <c r="F449" s="1">
        <v>170.90299999999999</v>
      </c>
      <c r="G449" s="1">
        <v>8834</v>
      </c>
      <c r="H449" s="1">
        <v>10569</v>
      </c>
      <c r="I449" s="1">
        <v>12233</v>
      </c>
      <c r="J449" s="1">
        <v>168.19200000000001</v>
      </c>
      <c r="K449" s="1">
        <v>-5.3920000000000003</v>
      </c>
      <c r="L449" s="1">
        <v>19.073</v>
      </c>
      <c r="M449" s="1" t="s">
        <v>936</v>
      </c>
      <c r="N449" s="1" t="s">
        <v>725</v>
      </c>
      <c r="O449" s="1" t="s">
        <v>937</v>
      </c>
      <c r="P449" s="1" t="s">
        <v>938</v>
      </c>
      <c r="Q449" s="1" t="s">
        <v>139</v>
      </c>
      <c r="R449" s="1" t="s">
        <v>177</v>
      </c>
      <c r="S449" s="1" t="s">
        <v>305</v>
      </c>
    </row>
    <row r="450" spans="1:19" hidden="1" x14ac:dyDescent="0.25">
      <c r="A450" s="1">
        <v>65</v>
      </c>
      <c r="B450" s="1" t="s">
        <v>933</v>
      </c>
      <c r="C450" s="1" t="s">
        <v>934</v>
      </c>
      <c r="D450" s="1" t="s">
        <v>935</v>
      </c>
      <c r="E450" s="1">
        <v>3</v>
      </c>
      <c r="F450" s="1">
        <v>173.648</v>
      </c>
      <c r="G450" s="1">
        <v>8986</v>
      </c>
      <c r="H450" s="1">
        <v>10751</v>
      </c>
      <c r="I450" s="1">
        <v>12442</v>
      </c>
      <c r="J450" s="1">
        <v>170.89400000000001</v>
      </c>
      <c r="K450" s="1">
        <v>-5.383</v>
      </c>
      <c r="L450" s="1">
        <v>19.064</v>
      </c>
      <c r="M450" s="1" t="s">
        <v>936</v>
      </c>
      <c r="N450" s="1" t="s">
        <v>725</v>
      </c>
      <c r="O450" s="1" t="s">
        <v>937</v>
      </c>
      <c r="P450" s="1" t="s">
        <v>938</v>
      </c>
      <c r="Q450" s="1" t="s">
        <v>160</v>
      </c>
      <c r="R450" s="1" t="s">
        <v>155</v>
      </c>
      <c r="S450" s="1" t="s">
        <v>228</v>
      </c>
    </row>
    <row r="451" spans="1:19" hidden="1" x14ac:dyDescent="0.25">
      <c r="A451" s="1">
        <v>65</v>
      </c>
      <c r="B451" s="1" t="s">
        <v>933</v>
      </c>
      <c r="C451" s="1" t="s">
        <v>934</v>
      </c>
      <c r="D451" s="1" t="s">
        <v>935</v>
      </c>
      <c r="E451" s="1">
        <v>4</v>
      </c>
      <c r="F451" s="1">
        <v>171.86199999999999</v>
      </c>
      <c r="G451" s="1">
        <v>8840</v>
      </c>
      <c r="H451" s="1">
        <v>10576</v>
      </c>
      <c r="I451" s="1">
        <v>12240</v>
      </c>
      <c r="J451" s="1">
        <v>169.136</v>
      </c>
      <c r="K451" s="1">
        <v>-5.399</v>
      </c>
      <c r="L451" s="1">
        <v>19.082999999999998</v>
      </c>
      <c r="M451" s="1" t="s">
        <v>936</v>
      </c>
      <c r="N451" s="1" t="s">
        <v>725</v>
      </c>
      <c r="O451" s="1" t="s">
        <v>937</v>
      </c>
      <c r="P451" s="1" t="s">
        <v>938</v>
      </c>
      <c r="Q451" s="1" t="s">
        <v>153</v>
      </c>
      <c r="R451" s="1" t="s">
        <v>136</v>
      </c>
      <c r="S451" s="1" t="s">
        <v>228</v>
      </c>
    </row>
    <row r="452" spans="1:19" hidden="1" x14ac:dyDescent="0.25">
      <c r="A452" s="1">
        <v>65</v>
      </c>
      <c r="B452" s="1" t="s">
        <v>933</v>
      </c>
      <c r="C452" s="1" t="s">
        <v>934</v>
      </c>
      <c r="D452" s="1" t="s">
        <v>935</v>
      </c>
      <c r="E452" s="1">
        <v>5</v>
      </c>
      <c r="F452" s="1">
        <v>181.77199999999999</v>
      </c>
      <c r="G452" s="1">
        <v>14214</v>
      </c>
      <c r="H452" s="1">
        <v>17108</v>
      </c>
      <c r="I452" s="1">
        <v>19775</v>
      </c>
      <c r="J452" s="1">
        <v>178.88</v>
      </c>
      <c r="K452" s="1">
        <v>-3.1749999999999998</v>
      </c>
      <c r="L452" s="1">
        <v>23.885000000000002</v>
      </c>
      <c r="M452" s="1" t="s">
        <v>936</v>
      </c>
      <c r="N452" s="1" t="s">
        <v>725</v>
      </c>
      <c r="O452" s="1" t="s">
        <v>937</v>
      </c>
      <c r="P452" s="1" t="s">
        <v>938</v>
      </c>
      <c r="Q452" s="1" t="s">
        <v>190</v>
      </c>
      <c r="R452" s="1" t="s">
        <v>227</v>
      </c>
      <c r="S452" s="1" t="s">
        <v>110</v>
      </c>
    </row>
    <row r="453" spans="1:19" x14ac:dyDescent="0.25">
      <c r="A453" s="1">
        <v>65</v>
      </c>
      <c r="B453" s="1" t="s">
        <v>933</v>
      </c>
      <c r="C453" s="1" t="s">
        <v>934</v>
      </c>
      <c r="D453" s="1" t="s">
        <v>935</v>
      </c>
      <c r="E453" s="1">
        <v>6</v>
      </c>
      <c r="F453" s="1">
        <v>161.58500000000001</v>
      </c>
      <c r="G453" s="1">
        <v>12807</v>
      </c>
      <c r="H453" s="1">
        <v>15413</v>
      </c>
      <c r="I453" s="1">
        <v>17828</v>
      </c>
      <c r="J453" s="1">
        <v>159.01400000000001</v>
      </c>
      <c r="K453" s="1">
        <v>-3.0539999999999998</v>
      </c>
      <c r="L453" s="1">
        <v>24.13</v>
      </c>
      <c r="M453" s="1" t="s">
        <v>936</v>
      </c>
      <c r="N453" s="1" t="s">
        <v>725</v>
      </c>
      <c r="O453" s="1" t="s">
        <v>937</v>
      </c>
      <c r="P453" s="1" t="s">
        <v>938</v>
      </c>
      <c r="Q453" s="1" t="s">
        <v>153</v>
      </c>
      <c r="R453" s="1" t="s">
        <v>136</v>
      </c>
      <c r="S453" s="1" t="s">
        <v>370</v>
      </c>
    </row>
    <row r="454" spans="1:19" x14ac:dyDescent="0.25">
      <c r="A454" s="1">
        <v>65</v>
      </c>
      <c r="B454" s="1" t="s">
        <v>933</v>
      </c>
      <c r="C454" s="1" t="s">
        <v>934</v>
      </c>
      <c r="D454" s="1" t="s">
        <v>935</v>
      </c>
      <c r="E454" s="1">
        <v>7</v>
      </c>
      <c r="F454" s="1">
        <v>151.88800000000001</v>
      </c>
      <c r="G454" s="1">
        <v>12078</v>
      </c>
      <c r="H454" s="1">
        <v>14535</v>
      </c>
      <c r="I454" s="1">
        <v>16809</v>
      </c>
      <c r="J454" s="1">
        <v>149.471</v>
      </c>
      <c r="K454" s="1">
        <v>-3.0070000000000001</v>
      </c>
      <c r="L454" s="1">
        <v>24.151</v>
      </c>
      <c r="M454" s="1" t="s">
        <v>936</v>
      </c>
      <c r="N454" s="1" t="s">
        <v>725</v>
      </c>
      <c r="O454" s="1" t="s">
        <v>937</v>
      </c>
      <c r="P454" s="1" t="s">
        <v>938</v>
      </c>
      <c r="Q454" s="1" t="s">
        <v>450</v>
      </c>
      <c r="R454" s="1" t="s">
        <v>429</v>
      </c>
      <c r="S454" s="1" t="s">
        <v>939</v>
      </c>
    </row>
    <row r="455" spans="1:19" hidden="1" x14ac:dyDescent="0.25">
      <c r="A455" s="1">
        <v>66</v>
      </c>
      <c r="B455" s="1" t="s">
        <v>940</v>
      </c>
      <c r="C455" s="1" t="s">
        <v>220</v>
      </c>
      <c r="D455" s="1" t="s">
        <v>941</v>
      </c>
      <c r="E455" s="1">
        <v>1</v>
      </c>
      <c r="F455" s="1">
        <v>175.08500000000001</v>
      </c>
      <c r="G455" s="1">
        <v>8937</v>
      </c>
      <c r="H455" s="1">
        <v>10694</v>
      </c>
      <c r="I455" s="1">
        <v>12362</v>
      </c>
      <c r="J455" s="1">
        <v>172.30799999999999</v>
      </c>
      <c r="K455" s="1">
        <v>-5.4029999999999996</v>
      </c>
      <c r="L455" s="1">
        <v>18.994</v>
      </c>
      <c r="M455" s="1" t="s">
        <v>942</v>
      </c>
      <c r="N455" s="1" t="s">
        <v>725</v>
      </c>
      <c r="O455" s="1" t="s">
        <v>943</v>
      </c>
      <c r="P455" s="1" t="s">
        <v>944</v>
      </c>
      <c r="Q455" s="1" t="s">
        <v>96</v>
      </c>
      <c r="R455" s="1" t="s">
        <v>104</v>
      </c>
      <c r="S455" s="1" t="s">
        <v>161</v>
      </c>
    </row>
    <row r="456" spans="1:19" hidden="1" x14ac:dyDescent="0.25">
      <c r="A456" s="1">
        <v>66</v>
      </c>
      <c r="B456" s="1" t="s">
        <v>940</v>
      </c>
      <c r="C456" s="1" t="s">
        <v>220</v>
      </c>
      <c r="D456" s="1" t="s">
        <v>941</v>
      </c>
      <c r="E456" s="1">
        <v>2</v>
      </c>
      <c r="F456" s="1">
        <v>173.08699999999999</v>
      </c>
      <c r="G456" s="1">
        <v>8943</v>
      </c>
      <c r="H456" s="1">
        <v>10701</v>
      </c>
      <c r="I456" s="1">
        <v>12369</v>
      </c>
      <c r="J456" s="1">
        <v>170.34200000000001</v>
      </c>
      <c r="K456" s="1">
        <v>-5.3970000000000002</v>
      </c>
      <c r="L456" s="1">
        <v>18.994</v>
      </c>
      <c r="M456" s="1" t="s">
        <v>942</v>
      </c>
      <c r="N456" s="1" t="s">
        <v>725</v>
      </c>
      <c r="O456" s="1" t="s">
        <v>943</v>
      </c>
      <c r="P456" s="1" t="s">
        <v>944</v>
      </c>
      <c r="Q456" s="1" t="s">
        <v>147</v>
      </c>
      <c r="R456" s="1" t="s">
        <v>198</v>
      </c>
      <c r="S456" s="1" t="s">
        <v>295</v>
      </c>
    </row>
    <row r="457" spans="1:19" hidden="1" x14ac:dyDescent="0.25">
      <c r="A457" s="1">
        <v>66</v>
      </c>
      <c r="B457" s="1" t="s">
        <v>940</v>
      </c>
      <c r="C457" s="1" t="s">
        <v>220</v>
      </c>
      <c r="D457" s="1" t="s">
        <v>941</v>
      </c>
      <c r="E457" s="1">
        <v>3</v>
      </c>
      <c r="F457" s="1">
        <v>174.48099999999999</v>
      </c>
      <c r="G457" s="1">
        <v>9022</v>
      </c>
      <c r="H457" s="1">
        <v>10794</v>
      </c>
      <c r="I457" s="1">
        <v>12474</v>
      </c>
      <c r="J457" s="1">
        <v>171.714</v>
      </c>
      <c r="K457" s="1">
        <v>-5.4050000000000002</v>
      </c>
      <c r="L457" s="1">
        <v>19.023</v>
      </c>
      <c r="M457" s="1" t="s">
        <v>942</v>
      </c>
      <c r="N457" s="1" t="s">
        <v>725</v>
      </c>
      <c r="O457" s="1" t="s">
        <v>943</v>
      </c>
      <c r="P457" s="1" t="s">
        <v>944</v>
      </c>
      <c r="Q457" s="1" t="s">
        <v>158</v>
      </c>
      <c r="R457" s="1" t="s">
        <v>166</v>
      </c>
      <c r="S457" s="1" t="s">
        <v>304</v>
      </c>
    </row>
    <row r="458" spans="1:19" hidden="1" x14ac:dyDescent="0.25">
      <c r="A458" s="1">
        <v>66</v>
      </c>
      <c r="B458" s="1" t="s">
        <v>940</v>
      </c>
      <c r="C458" s="1" t="s">
        <v>220</v>
      </c>
      <c r="D458" s="1" t="s">
        <v>941</v>
      </c>
      <c r="E458" s="1">
        <v>4</v>
      </c>
      <c r="F458" s="1">
        <v>174.28700000000001</v>
      </c>
      <c r="G458" s="1">
        <v>8953</v>
      </c>
      <c r="H458" s="1">
        <v>10712</v>
      </c>
      <c r="I458" s="1">
        <v>12381</v>
      </c>
      <c r="J458" s="1">
        <v>171.523</v>
      </c>
      <c r="K458" s="1">
        <v>-5.399</v>
      </c>
      <c r="L458" s="1">
        <v>19.082999999999998</v>
      </c>
      <c r="M458" s="1" t="s">
        <v>942</v>
      </c>
      <c r="N458" s="1" t="s">
        <v>725</v>
      </c>
      <c r="O458" s="1" t="s">
        <v>943</v>
      </c>
      <c r="P458" s="1" t="s">
        <v>944</v>
      </c>
      <c r="Q458" s="1" t="s">
        <v>167</v>
      </c>
      <c r="R458" s="1" t="s">
        <v>237</v>
      </c>
      <c r="S458" s="1" t="s">
        <v>206</v>
      </c>
    </row>
    <row r="459" spans="1:19" hidden="1" x14ac:dyDescent="0.25">
      <c r="A459" s="1">
        <v>66</v>
      </c>
      <c r="B459" s="1" t="s">
        <v>940</v>
      </c>
      <c r="C459" s="1" t="s">
        <v>220</v>
      </c>
      <c r="D459" s="1" t="s">
        <v>941</v>
      </c>
      <c r="E459" s="1">
        <v>5</v>
      </c>
      <c r="F459" s="1">
        <v>194.54</v>
      </c>
      <c r="G459" s="1">
        <v>16003</v>
      </c>
      <c r="H459" s="1">
        <v>19283</v>
      </c>
      <c r="I459" s="1">
        <v>22219</v>
      </c>
      <c r="J459" s="1">
        <v>191.446</v>
      </c>
      <c r="K459" s="1">
        <v>-3.0609999999999999</v>
      </c>
      <c r="L459" s="1">
        <v>23.195</v>
      </c>
      <c r="M459" s="1" t="s">
        <v>942</v>
      </c>
      <c r="N459" s="1" t="s">
        <v>725</v>
      </c>
      <c r="O459" s="1" t="s">
        <v>943</v>
      </c>
      <c r="P459" s="1" t="s">
        <v>944</v>
      </c>
      <c r="Q459" s="1" t="s">
        <v>183</v>
      </c>
      <c r="R459" s="1" t="s">
        <v>145</v>
      </c>
      <c r="S459" s="1" t="s">
        <v>106</v>
      </c>
    </row>
    <row r="460" spans="1:19" x14ac:dyDescent="0.25">
      <c r="A460" s="1">
        <v>66</v>
      </c>
      <c r="B460" s="1" t="s">
        <v>940</v>
      </c>
      <c r="C460" s="1" t="s">
        <v>220</v>
      </c>
      <c r="D460" s="1" t="s">
        <v>941</v>
      </c>
      <c r="E460" s="1">
        <v>6</v>
      </c>
      <c r="F460" s="1">
        <v>174.321</v>
      </c>
      <c r="G460" s="1">
        <v>14527</v>
      </c>
      <c r="H460" s="1">
        <v>17495</v>
      </c>
      <c r="I460" s="1">
        <v>20178</v>
      </c>
      <c r="J460" s="1">
        <v>171.548</v>
      </c>
      <c r="K460" s="1">
        <v>-2.964</v>
      </c>
      <c r="L460" s="1">
        <v>23.478999999999999</v>
      </c>
      <c r="M460" s="1" t="s">
        <v>942</v>
      </c>
      <c r="N460" s="1" t="s">
        <v>725</v>
      </c>
      <c r="O460" s="1" t="s">
        <v>943</v>
      </c>
      <c r="P460" s="1" t="s">
        <v>944</v>
      </c>
      <c r="Q460" s="1" t="s">
        <v>366</v>
      </c>
      <c r="R460" s="1" t="s">
        <v>295</v>
      </c>
      <c r="S460" s="1" t="s">
        <v>231</v>
      </c>
    </row>
    <row r="461" spans="1:19" x14ac:dyDescent="0.25">
      <c r="A461" s="1">
        <v>66</v>
      </c>
      <c r="B461" s="1" t="s">
        <v>940</v>
      </c>
      <c r="C461" s="1" t="s">
        <v>220</v>
      </c>
      <c r="D461" s="1" t="s">
        <v>941</v>
      </c>
      <c r="E461" s="1">
        <v>7</v>
      </c>
      <c r="F461" s="1">
        <v>163.33500000000001</v>
      </c>
      <c r="G461" s="1">
        <v>13638</v>
      </c>
      <c r="H461" s="1">
        <v>16421</v>
      </c>
      <c r="I461" s="1">
        <v>18943</v>
      </c>
      <c r="J461" s="1">
        <v>160.73699999999999</v>
      </c>
      <c r="K461" s="1">
        <v>-2.8759999999999999</v>
      </c>
      <c r="L461" s="1">
        <v>23.574000000000002</v>
      </c>
      <c r="M461" s="1" t="s">
        <v>942</v>
      </c>
      <c r="N461" s="1" t="s">
        <v>725</v>
      </c>
      <c r="O461" s="1" t="s">
        <v>943</v>
      </c>
      <c r="P461" s="1" t="s">
        <v>944</v>
      </c>
      <c r="Q461" s="1" t="s">
        <v>547</v>
      </c>
      <c r="R461" s="1" t="s">
        <v>319</v>
      </c>
      <c r="S461" s="1" t="s">
        <v>353</v>
      </c>
    </row>
    <row r="462" spans="1:19" hidden="1" x14ac:dyDescent="0.25">
      <c r="A462" s="1">
        <v>67</v>
      </c>
      <c r="B462" s="1" t="s">
        <v>945</v>
      </c>
      <c r="C462" s="1" t="s">
        <v>946</v>
      </c>
      <c r="D462" s="1" t="s">
        <v>947</v>
      </c>
      <c r="E462" s="1">
        <v>1</v>
      </c>
      <c r="F462" s="1">
        <v>173.45500000000001</v>
      </c>
      <c r="G462" s="1">
        <v>8853</v>
      </c>
      <c r="H462" s="1">
        <v>10592</v>
      </c>
      <c r="I462" s="1">
        <v>12264</v>
      </c>
      <c r="J462" s="1">
        <v>170.703</v>
      </c>
      <c r="K462" s="1">
        <v>-5.4</v>
      </c>
      <c r="L462" s="1">
        <v>19.094000000000001</v>
      </c>
      <c r="M462" s="1" t="s">
        <v>948</v>
      </c>
      <c r="N462" s="1" t="s">
        <v>725</v>
      </c>
      <c r="O462" s="1" t="s">
        <v>949</v>
      </c>
      <c r="P462" s="1" t="s">
        <v>950</v>
      </c>
      <c r="Q462" s="1" t="s">
        <v>58</v>
      </c>
      <c r="R462" s="1" t="s">
        <v>267</v>
      </c>
      <c r="S462" s="1" t="s">
        <v>307</v>
      </c>
    </row>
    <row r="463" spans="1:19" hidden="1" x14ac:dyDescent="0.25">
      <c r="A463" s="1">
        <v>67</v>
      </c>
      <c r="B463" s="1" t="s">
        <v>945</v>
      </c>
      <c r="C463" s="1" t="s">
        <v>946</v>
      </c>
      <c r="D463" s="1" t="s">
        <v>947</v>
      </c>
      <c r="E463" s="1">
        <v>2</v>
      </c>
      <c r="F463" s="1">
        <v>173.36500000000001</v>
      </c>
      <c r="G463" s="1">
        <v>8959</v>
      </c>
      <c r="H463" s="1">
        <v>10718</v>
      </c>
      <c r="I463" s="1">
        <v>12411</v>
      </c>
      <c r="J463" s="1">
        <v>170.61500000000001</v>
      </c>
      <c r="K463" s="1">
        <v>-5.4</v>
      </c>
      <c r="L463" s="1">
        <v>19.088000000000001</v>
      </c>
      <c r="M463" s="1" t="s">
        <v>948</v>
      </c>
      <c r="N463" s="1" t="s">
        <v>725</v>
      </c>
      <c r="O463" s="1" t="s">
        <v>949</v>
      </c>
      <c r="P463" s="1" t="s">
        <v>950</v>
      </c>
      <c r="Q463" s="1" t="s">
        <v>253</v>
      </c>
      <c r="R463" s="1" t="s">
        <v>297</v>
      </c>
      <c r="S463" s="1" t="s">
        <v>142</v>
      </c>
    </row>
    <row r="464" spans="1:19" hidden="1" x14ac:dyDescent="0.25">
      <c r="A464" s="1">
        <v>67</v>
      </c>
      <c r="B464" s="1" t="s">
        <v>945</v>
      </c>
      <c r="C464" s="1" t="s">
        <v>946</v>
      </c>
      <c r="D464" s="1" t="s">
        <v>947</v>
      </c>
      <c r="E464" s="1">
        <v>3</v>
      </c>
      <c r="F464" s="1">
        <v>172.68600000000001</v>
      </c>
      <c r="G464" s="1">
        <v>8924</v>
      </c>
      <c r="H464" s="1">
        <v>10676</v>
      </c>
      <c r="I464" s="1">
        <v>12359</v>
      </c>
      <c r="J464" s="1">
        <v>169.947</v>
      </c>
      <c r="K464" s="1">
        <v>-5.3959999999999999</v>
      </c>
      <c r="L464" s="1">
        <v>19.100999999999999</v>
      </c>
      <c r="M464" s="1" t="s">
        <v>948</v>
      </c>
      <c r="N464" s="1" t="s">
        <v>725</v>
      </c>
      <c r="O464" s="1" t="s">
        <v>949</v>
      </c>
      <c r="P464" s="1" t="s">
        <v>950</v>
      </c>
      <c r="Q464" s="1" t="s">
        <v>138</v>
      </c>
      <c r="R464" s="1" t="s">
        <v>170</v>
      </c>
      <c r="S464" s="1" t="s">
        <v>206</v>
      </c>
    </row>
    <row r="465" spans="1:19" hidden="1" x14ac:dyDescent="0.25">
      <c r="A465" s="1">
        <v>67</v>
      </c>
      <c r="B465" s="1" t="s">
        <v>945</v>
      </c>
      <c r="C465" s="1" t="s">
        <v>946</v>
      </c>
      <c r="D465" s="1" t="s">
        <v>947</v>
      </c>
      <c r="E465" s="1">
        <v>4</v>
      </c>
      <c r="F465" s="1">
        <v>174.12899999999999</v>
      </c>
      <c r="G465" s="1">
        <v>8951</v>
      </c>
      <c r="H465" s="1">
        <v>10708</v>
      </c>
      <c r="I465" s="1">
        <v>12399</v>
      </c>
      <c r="J465" s="1">
        <v>171.36699999999999</v>
      </c>
      <c r="K465" s="1">
        <v>-5.399</v>
      </c>
      <c r="L465" s="1">
        <v>19.082999999999998</v>
      </c>
      <c r="M465" s="1" t="s">
        <v>948</v>
      </c>
      <c r="N465" s="1" t="s">
        <v>725</v>
      </c>
      <c r="O465" s="1" t="s">
        <v>949</v>
      </c>
      <c r="P465" s="1" t="s">
        <v>950</v>
      </c>
      <c r="Q465" s="1" t="s">
        <v>146</v>
      </c>
      <c r="R465" s="1" t="s">
        <v>299</v>
      </c>
      <c r="S465" s="1" t="s">
        <v>292</v>
      </c>
    </row>
    <row r="466" spans="1:19" hidden="1" x14ac:dyDescent="0.25">
      <c r="A466" s="1">
        <v>67</v>
      </c>
      <c r="B466" s="1" t="s">
        <v>945</v>
      </c>
      <c r="C466" s="1" t="s">
        <v>946</v>
      </c>
      <c r="D466" s="1" t="s">
        <v>947</v>
      </c>
      <c r="E466" s="1">
        <v>5</v>
      </c>
      <c r="F466" s="1">
        <v>239.07900000000001</v>
      </c>
      <c r="G466" s="1">
        <v>18779</v>
      </c>
      <c r="H466" s="1">
        <v>22629</v>
      </c>
      <c r="I466" s="1">
        <v>26131</v>
      </c>
      <c r="J466" s="1">
        <v>235.27500000000001</v>
      </c>
      <c r="K466" s="1">
        <v>-2.911</v>
      </c>
      <c r="L466" s="1">
        <v>23.646999999999998</v>
      </c>
      <c r="M466" s="1" t="s">
        <v>948</v>
      </c>
      <c r="N466" s="1" t="s">
        <v>725</v>
      </c>
      <c r="O466" s="1" t="s">
        <v>949</v>
      </c>
      <c r="P466" s="1" t="s">
        <v>950</v>
      </c>
      <c r="Q466" s="1" t="s">
        <v>199</v>
      </c>
      <c r="R466" s="1" t="s">
        <v>184</v>
      </c>
      <c r="S466" s="1" t="s">
        <v>70</v>
      </c>
    </row>
    <row r="467" spans="1:19" x14ac:dyDescent="0.25">
      <c r="A467" s="1">
        <v>67</v>
      </c>
      <c r="B467" s="1" t="s">
        <v>945</v>
      </c>
      <c r="C467" s="1" t="s">
        <v>946</v>
      </c>
      <c r="D467" s="1" t="s">
        <v>947</v>
      </c>
      <c r="E467" s="1">
        <v>6</v>
      </c>
      <c r="F467" s="1">
        <v>211.40799999999999</v>
      </c>
      <c r="G467" s="1">
        <v>16823</v>
      </c>
      <c r="H467" s="1">
        <v>20267</v>
      </c>
      <c r="I467" s="1">
        <v>23414</v>
      </c>
      <c r="J467" s="1">
        <v>208.04400000000001</v>
      </c>
      <c r="K467" s="1">
        <v>-2.8239999999999998</v>
      </c>
      <c r="L467" s="1">
        <v>23.832999999999998</v>
      </c>
      <c r="M467" s="1" t="s">
        <v>948</v>
      </c>
      <c r="N467" s="1" t="s">
        <v>725</v>
      </c>
      <c r="O467" s="1" t="s">
        <v>949</v>
      </c>
      <c r="P467" s="1" t="s">
        <v>950</v>
      </c>
      <c r="Q467" s="1" t="s">
        <v>328</v>
      </c>
      <c r="R467" s="1" t="s">
        <v>228</v>
      </c>
      <c r="S467" s="1" t="s">
        <v>230</v>
      </c>
    </row>
    <row r="468" spans="1:19" x14ac:dyDescent="0.25">
      <c r="A468" s="1">
        <v>67</v>
      </c>
      <c r="B468" s="1" t="s">
        <v>945</v>
      </c>
      <c r="C468" s="1" t="s">
        <v>946</v>
      </c>
      <c r="D468" s="1" t="s">
        <v>947</v>
      </c>
      <c r="E468" s="1">
        <v>7</v>
      </c>
      <c r="F468" s="1">
        <v>197.49299999999999</v>
      </c>
      <c r="G468" s="1">
        <v>15760</v>
      </c>
      <c r="H468" s="1">
        <v>18985</v>
      </c>
      <c r="I468" s="1">
        <v>21940</v>
      </c>
      <c r="J468" s="1">
        <v>194.35</v>
      </c>
      <c r="K468" s="1">
        <v>-2.78</v>
      </c>
      <c r="L468" s="1">
        <v>23.841999999999999</v>
      </c>
      <c r="M468" s="1" t="s">
        <v>948</v>
      </c>
      <c r="N468" s="1" t="s">
        <v>725</v>
      </c>
      <c r="O468" s="1" t="s">
        <v>949</v>
      </c>
      <c r="P468" s="1" t="s">
        <v>950</v>
      </c>
      <c r="Q468" s="1" t="s">
        <v>541</v>
      </c>
      <c r="R468" s="1" t="s">
        <v>684</v>
      </c>
      <c r="S468" s="1" t="s">
        <v>951</v>
      </c>
    </row>
    <row r="469" spans="1:19" hidden="1" x14ac:dyDescent="0.25">
      <c r="A469" s="1">
        <v>68</v>
      </c>
      <c r="B469" s="1" t="s">
        <v>952</v>
      </c>
      <c r="C469" s="1" t="s">
        <v>402</v>
      </c>
      <c r="D469" s="1" t="s">
        <v>953</v>
      </c>
      <c r="E469" s="1">
        <v>1</v>
      </c>
      <c r="F469" s="1">
        <v>175.375</v>
      </c>
      <c r="G469" s="1">
        <v>8956</v>
      </c>
      <c r="H469" s="1">
        <v>10715</v>
      </c>
      <c r="I469" s="1">
        <v>12402</v>
      </c>
      <c r="J469" s="1">
        <v>172.59200000000001</v>
      </c>
      <c r="K469" s="1">
        <v>-5.3970000000000002</v>
      </c>
      <c r="L469" s="1">
        <v>19.062999999999999</v>
      </c>
      <c r="M469" s="1" t="s">
        <v>954</v>
      </c>
      <c r="N469" s="1" t="s">
        <v>725</v>
      </c>
      <c r="O469" s="1" t="s">
        <v>955</v>
      </c>
      <c r="P469" s="1" t="s">
        <v>956</v>
      </c>
      <c r="Q469" s="1" t="s">
        <v>65</v>
      </c>
      <c r="R469" s="1" t="s">
        <v>68</v>
      </c>
      <c r="S469" s="1" t="s">
        <v>289</v>
      </c>
    </row>
    <row r="470" spans="1:19" hidden="1" x14ac:dyDescent="0.25">
      <c r="A470" s="1">
        <v>68</v>
      </c>
      <c r="B470" s="1" t="s">
        <v>952</v>
      </c>
      <c r="C470" s="1" t="s">
        <v>402</v>
      </c>
      <c r="D470" s="1" t="s">
        <v>953</v>
      </c>
      <c r="E470" s="1">
        <v>2</v>
      </c>
      <c r="F470" s="1">
        <v>171.941</v>
      </c>
      <c r="G470" s="1">
        <v>8873</v>
      </c>
      <c r="H470" s="1">
        <v>10617</v>
      </c>
      <c r="I470" s="1">
        <v>12287</v>
      </c>
      <c r="J470" s="1">
        <v>169.21299999999999</v>
      </c>
      <c r="K470" s="1">
        <v>-5.4</v>
      </c>
      <c r="L470" s="1">
        <v>19.073</v>
      </c>
      <c r="M470" s="1" t="s">
        <v>954</v>
      </c>
      <c r="N470" s="1" t="s">
        <v>725</v>
      </c>
      <c r="O470" s="1" t="s">
        <v>955</v>
      </c>
      <c r="P470" s="1" t="s">
        <v>956</v>
      </c>
      <c r="Q470" s="1" t="s">
        <v>138</v>
      </c>
      <c r="R470" s="1" t="s">
        <v>170</v>
      </c>
      <c r="S470" s="1" t="s">
        <v>304</v>
      </c>
    </row>
    <row r="471" spans="1:19" hidden="1" x14ac:dyDescent="0.25">
      <c r="A471" s="1">
        <v>68</v>
      </c>
      <c r="B471" s="1" t="s">
        <v>952</v>
      </c>
      <c r="C471" s="1" t="s">
        <v>402</v>
      </c>
      <c r="D471" s="1" t="s">
        <v>953</v>
      </c>
      <c r="E471" s="1">
        <v>3</v>
      </c>
      <c r="F471" s="1">
        <v>174.61099999999999</v>
      </c>
      <c r="G471" s="1">
        <v>9000</v>
      </c>
      <c r="H471" s="1">
        <v>10767</v>
      </c>
      <c r="I471" s="1">
        <v>12462</v>
      </c>
      <c r="J471" s="1">
        <v>171.84100000000001</v>
      </c>
      <c r="K471" s="1">
        <v>-5.407</v>
      </c>
      <c r="L471" s="1">
        <v>19.076000000000001</v>
      </c>
      <c r="M471" s="1" t="s">
        <v>954</v>
      </c>
      <c r="N471" s="1" t="s">
        <v>725</v>
      </c>
      <c r="O471" s="1" t="s">
        <v>955</v>
      </c>
      <c r="P471" s="1" t="s">
        <v>956</v>
      </c>
      <c r="Q471" s="1" t="s">
        <v>161</v>
      </c>
      <c r="R471" s="1" t="s">
        <v>236</v>
      </c>
      <c r="S471" s="1" t="s">
        <v>238</v>
      </c>
    </row>
    <row r="472" spans="1:19" hidden="1" x14ac:dyDescent="0.25">
      <c r="A472" s="1">
        <v>68</v>
      </c>
      <c r="B472" s="1" t="s">
        <v>952</v>
      </c>
      <c r="C472" s="1" t="s">
        <v>402</v>
      </c>
      <c r="D472" s="1" t="s">
        <v>953</v>
      </c>
      <c r="E472" s="1">
        <v>4</v>
      </c>
      <c r="F472" s="1">
        <v>172.16800000000001</v>
      </c>
      <c r="G472" s="1">
        <v>8863</v>
      </c>
      <c r="H472" s="1">
        <v>10604</v>
      </c>
      <c r="I472" s="1">
        <v>12272</v>
      </c>
      <c r="J472" s="1">
        <v>169.43700000000001</v>
      </c>
      <c r="K472" s="1">
        <v>-5.399</v>
      </c>
      <c r="L472" s="1">
        <v>19.082999999999998</v>
      </c>
      <c r="M472" s="1" t="s">
        <v>954</v>
      </c>
      <c r="N472" s="1" t="s">
        <v>725</v>
      </c>
      <c r="O472" s="1" t="s">
        <v>955</v>
      </c>
      <c r="P472" s="1" t="s">
        <v>956</v>
      </c>
      <c r="Q472" s="1" t="s">
        <v>165</v>
      </c>
      <c r="R472" s="1" t="s">
        <v>143</v>
      </c>
      <c r="S472" s="1" t="s">
        <v>247</v>
      </c>
    </row>
    <row r="473" spans="1:19" hidden="1" x14ac:dyDescent="0.25">
      <c r="A473" s="1">
        <v>68</v>
      </c>
      <c r="B473" s="1" t="s">
        <v>952</v>
      </c>
      <c r="C473" s="1" t="s">
        <v>402</v>
      </c>
      <c r="D473" s="1" t="s">
        <v>953</v>
      </c>
      <c r="E473" s="1">
        <v>5</v>
      </c>
      <c r="F473" s="1">
        <v>276.69299999999998</v>
      </c>
      <c r="G473" s="1">
        <v>23080</v>
      </c>
      <c r="H473" s="1">
        <v>27846</v>
      </c>
      <c r="I473" s="1">
        <v>32088</v>
      </c>
      <c r="J473" s="1">
        <v>272.29199999999997</v>
      </c>
      <c r="K473" s="1">
        <v>-3.1659999999999999</v>
      </c>
      <c r="L473" s="1">
        <v>23.219000000000001</v>
      </c>
      <c r="M473" s="1" t="s">
        <v>954</v>
      </c>
      <c r="N473" s="1" t="s">
        <v>725</v>
      </c>
      <c r="O473" s="1" t="s">
        <v>955</v>
      </c>
      <c r="P473" s="1" t="s">
        <v>956</v>
      </c>
      <c r="Q473" s="1" t="s">
        <v>199</v>
      </c>
      <c r="R473" s="1" t="s">
        <v>184</v>
      </c>
      <c r="S473" s="1" t="s">
        <v>70</v>
      </c>
    </row>
    <row r="474" spans="1:19" x14ac:dyDescent="0.25">
      <c r="A474" s="1">
        <v>68</v>
      </c>
      <c r="B474" s="1" t="s">
        <v>952</v>
      </c>
      <c r="C474" s="1" t="s">
        <v>402</v>
      </c>
      <c r="D474" s="1" t="s">
        <v>953</v>
      </c>
      <c r="E474" s="1">
        <v>6</v>
      </c>
      <c r="F474" s="1">
        <v>245.07900000000001</v>
      </c>
      <c r="G474" s="1">
        <v>20524</v>
      </c>
      <c r="H474" s="1">
        <v>24737</v>
      </c>
      <c r="I474" s="1">
        <v>28536</v>
      </c>
      <c r="J474" s="1">
        <v>241.18100000000001</v>
      </c>
      <c r="K474" s="1">
        <v>-3.0960000000000001</v>
      </c>
      <c r="L474" s="1">
        <v>23.382999999999999</v>
      </c>
      <c r="M474" s="1" t="s">
        <v>954</v>
      </c>
      <c r="N474" s="1" t="s">
        <v>725</v>
      </c>
      <c r="O474" s="1" t="s">
        <v>955</v>
      </c>
      <c r="P474" s="1" t="s">
        <v>956</v>
      </c>
      <c r="Q474" s="1" t="s">
        <v>168</v>
      </c>
      <c r="R474" s="1" t="s">
        <v>229</v>
      </c>
      <c r="S474" s="1" t="s">
        <v>957</v>
      </c>
    </row>
    <row r="475" spans="1:19" x14ac:dyDescent="0.25">
      <c r="A475" s="1">
        <v>68</v>
      </c>
      <c r="B475" s="1" t="s">
        <v>952</v>
      </c>
      <c r="C475" s="1" t="s">
        <v>402</v>
      </c>
      <c r="D475" s="1" t="s">
        <v>953</v>
      </c>
      <c r="E475" s="1">
        <v>7</v>
      </c>
      <c r="F475" s="1">
        <v>231.458</v>
      </c>
      <c r="G475" s="1">
        <v>19172</v>
      </c>
      <c r="H475" s="1">
        <v>23099</v>
      </c>
      <c r="I475" s="1">
        <v>26658</v>
      </c>
      <c r="J475" s="1">
        <v>227.77600000000001</v>
      </c>
      <c r="K475" s="1">
        <v>-3.125</v>
      </c>
      <c r="L475" s="1">
        <v>23.443999999999999</v>
      </c>
      <c r="M475" s="1" t="s">
        <v>954</v>
      </c>
      <c r="N475" s="1" t="s">
        <v>725</v>
      </c>
      <c r="O475" s="1" t="s">
        <v>955</v>
      </c>
      <c r="P475" s="1" t="s">
        <v>956</v>
      </c>
      <c r="Q475" s="1" t="s">
        <v>168</v>
      </c>
      <c r="R475" s="1" t="s">
        <v>229</v>
      </c>
      <c r="S475" s="1" t="s">
        <v>957</v>
      </c>
    </row>
    <row r="476" spans="1:19" hidden="1" x14ac:dyDescent="0.25">
      <c r="A476" s="1">
        <v>69</v>
      </c>
      <c r="B476" s="1" t="s">
        <v>958</v>
      </c>
      <c r="C476" s="1" t="s">
        <v>678</v>
      </c>
      <c r="D476" s="1" t="s">
        <v>959</v>
      </c>
      <c r="E476" s="1">
        <v>1</v>
      </c>
      <c r="F476" s="1">
        <v>174.33699999999999</v>
      </c>
      <c r="G476" s="1">
        <v>8910</v>
      </c>
      <c r="H476" s="1">
        <v>10661</v>
      </c>
      <c r="I476" s="1">
        <v>12339</v>
      </c>
      <c r="J476" s="1">
        <v>171.572</v>
      </c>
      <c r="K476" s="1">
        <v>-5.391</v>
      </c>
      <c r="L476" s="1">
        <v>19.084</v>
      </c>
      <c r="M476" s="1" t="s">
        <v>960</v>
      </c>
      <c r="N476" s="1" t="s">
        <v>725</v>
      </c>
      <c r="O476" s="1" t="s">
        <v>961</v>
      </c>
      <c r="P476" s="1" t="s">
        <v>962</v>
      </c>
      <c r="Q476" s="1" t="s">
        <v>80</v>
      </c>
      <c r="R476" s="1" t="s">
        <v>291</v>
      </c>
      <c r="S476" s="1" t="s">
        <v>366</v>
      </c>
    </row>
    <row r="477" spans="1:19" hidden="1" x14ac:dyDescent="0.25">
      <c r="A477" s="1">
        <v>69</v>
      </c>
      <c r="B477" s="1" t="s">
        <v>958</v>
      </c>
      <c r="C477" s="1" t="s">
        <v>678</v>
      </c>
      <c r="D477" s="1" t="s">
        <v>959</v>
      </c>
      <c r="E477" s="1">
        <v>2</v>
      </c>
      <c r="F477" s="1">
        <v>173.869</v>
      </c>
      <c r="G477" s="1">
        <v>8981</v>
      </c>
      <c r="H477" s="1">
        <v>10744</v>
      </c>
      <c r="I477" s="1">
        <v>12436</v>
      </c>
      <c r="J477" s="1">
        <v>171.11</v>
      </c>
      <c r="K477" s="1">
        <v>-5.3890000000000002</v>
      </c>
      <c r="L477" s="1">
        <v>19.079000000000001</v>
      </c>
      <c r="M477" s="1" t="s">
        <v>960</v>
      </c>
      <c r="N477" s="1" t="s">
        <v>725</v>
      </c>
      <c r="O477" s="1" t="s">
        <v>961</v>
      </c>
      <c r="P477" s="1" t="s">
        <v>962</v>
      </c>
      <c r="Q477" s="1" t="s">
        <v>161</v>
      </c>
      <c r="R477" s="1" t="s">
        <v>236</v>
      </c>
      <c r="S477" s="1" t="s">
        <v>238</v>
      </c>
    </row>
    <row r="478" spans="1:19" hidden="1" x14ac:dyDescent="0.25">
      <c r="A478" s="1">
        <v>69</v>
      </c>
      <c r="B478" s="1" t="s">
        <v>958</v>
      </c>
      <c r="C478" s="1" t="s">
        <v>678</v>
      </c>
      <c r="D478" s="1" t="s">
        <v>959</v>
      </c>
      <c r="E478" s="1">
        <v>3</v>
      </c>
      <c r="F478" s="1">
        <v>174.05600000000001</v>
      </c>
      <c r="G478" s="1">
        <v>8990</v>
      </c>
      <c r="H478" s="1">
        <v>10756</v>
      </c>
      <c r="I478" s="1">
        <v>12448</v>
      </c>
      <c r="J478" s="1">
        <v>171.29499999999999</v>
      </c>
      <c r="K478" s="1">
        <v>-5.4029999999999996</v>
      </c>
      <c r="L478" s="1">
        <v>19.111000000000001</v>
      </c>
      <c r="M478" s="1" t="s">
        <v>960</v>
      </c>
      <c r="N478" s="1" t="s">
        <v>725</v>
      </c>
      <c r="O478" s="1" t="s">
        <v>961</v>
      </c>
      <c r="P478" s="1" t="s">
        <v>962</v>
      </c>
      <c r="Q478" s="1" t="s">
        <v>307</v>
      </c>
      <c r="R478" s="1" t="s">
        <v>178</v>
      </c>
      <c r="S478" s="1" t="s">
        <v>233</v>
      </c>
    </row>
    <row r="479" spans="1:19" hidden="1" x14ac:dyDescent="0.25">
      <c r="A479" s="1">
        <v>69</v>
      </c>
      <c r="B479" s="1" t="s">
        <v>958</v>
      </c>
      <c r="C479" s="1" t="s">
        <v>678</v>
      </c>
      <c r="D479" s="1" t="s">
        <v>959</v>
      </c>
      <c r="E479" s="1">
        <v>4</v>
      </c>
      <c r="F479" s="1">
        <v>174.08099999999999</v>
      </c>
      <c r="G479" s="1">
        <v>8964</v>
      </c>
      <c r="H479" s="1">
        <v>10725</v>
      </c>
      <c r="I479" s="1">
        <v>12412</v>
      </c>
      <c r="J479" s="1">
        <v>171.32</v>
      </c>
      <c r="K479" s="1">
        <v>-5.399</v>
      </c>
      <c r="L479" s="1">
        <v>19.082999999999998</v>
      </c>
      <c r="M479" s="1" t="s">
        <v>960</v>
      </c>
      <c r="N479" s="1" t="s">
        <v>725</v>
      </c>
      <c r="O479" s="1" t="s">
        <v>961</v>
      </c>
      <c r="P479" s="1" t="s">
        <v>962</v>
      </c>
      <c r="Q479" s="1" t="s">
        <v>307</v>
      </c>
      <c r="R479" s="1" t="s">
        <v>178</v>
      </c>
      <c r="S479" s="1" t="s">
        <v>219</v>
      </c>
    </row>
    <row r="480" spans="1:19" hidden="1" x14ac:dyDescent="0.25">
      <c r="A480" s="1">
        <v>69</v>
      </c>
      <c r="B480" s="1" t="s">
        <v>958</v>
      </c>
      <c r="C480" s="1" t="s">
        <v>678</v>
      </c>
      <c r="D480" s="1" t="s">
        <v>959</v>
      </c>
      <c r="E480" s="1">
        <v>5</v>
      </c>
      <c r="F480" s="1">
        <v>223.054</v>
      </c>
      <c r="G480" s="1">
        <v>17541</v>
      </c>
      <c r="H480" s="1">
        <v>21131</v>
      </c>
      <c r="I480" s="1">
        <v>24392</v>
      </c>
      <c r="J480" s="1">
        <v>219.506</v>
      </c>
      <c r="K480" s="1">
        <v>-3.34</v>
      </c>
      <c r="L480" s="1">
        <v>23.507000000000001</v>
      </c>
      <c r="M480" s="1" t="s">
        <v>960</v>
      </c>
      <c r="N480" s="1" t="s">
        <v>725</v>
      </c>
      <c r="O480" s="1" t="s">
        <v>961</v>
      </c>
      <c r="P480" s="1" t="s">
        <v>962</v>
      </c>
      <c r="Q480" s="1" t="s">
        <v>188</v>
      </c>
      <c r="R480" s="1" t="s">
        <v>133</v>
      </c>
      <c r="S480" s="1" t="s">
        <v>47</v>
      </c>
    </row>
    <row r="481" spans="1:19" x14ac:dyDescent="0.25">
      <c r="A481" s="1">
        <v>69</v>
      </c>
      <c r="B481" s="1" t="s">
        <v>958</v>
      </c>
      <c r="C481" s="1" t="s">
        <v>678</v>
      </c>
      <c r="D481" s="1" t="s">
        <v>959</v>
      </c>
      <c r="E481" s="1">
        <v>6</v>
      </c>
      <c r="F481" s="1">
        <v>197.74</v>
      </c>
      <c r="G481" s="1">
        <v>15745</v>
      </c>
      <c r="H481" s="1">
        <v>18967</v>
      </c>
      <c r="I481" s="1">
        <v>21900</v>
      </c>
      <c r="J481" s="1">
        <v>194.595</v>
      </c>
      <c r="K481" s="1">
        <v>-3.2589999999999999</v>
      </c>
      <c r="L481" s="1">
        <v>23.675000000000001</v>
      </c>
      <c r="M481" s="1" t="s">
        <v>960</v>
      </c>
      <c r="N481" s="1" t="s">
        <v>725</v>
      </c>
      <c r="O481" s="1" t="s">
        <v>961</v>
      </c>
      <c r="P481" s="1" t="s">
        <v>962</v>
      </c>
      <c r="Q481" s="1" t="s">
        <v>171</v>
      </c>
      <c r="R481" s="1" t="s">
        <v>206</v>
      </c>
      <c r="S481" s="1" t="s">
        <v>453</v>
      </c>
    </row>
    <row r="482" spans="1:19" x14ac:dyDescent="0.25">
      <c r="A482" s="1">
        <v>69</v>
      </c>
      <c r="B482" s="1" t="s">
        <v>958</v>
      </c>
      <c r="C482" s="1" t="s">
        <v>678</v>
      </c>
      <c r="D482" s="1" t="s">
        <v>959</v>
      </c>
      <c r="E482" s="1">
        <v>7</v>
      </c>
      <c r="F482" s="1">
        <v>184.542</v>
      </c>
      <c r="G482" s="1">
        <v>14731</v>
      </c>
      <c r="H482" s="1">
        <v>17744</v>
      </c>
      <c r="I482" s="1">
        <v>20490</v>
      </c>
      <c r="J482" s="1">
        <v>181.60599999999999</v>
      </c>
      <c r="K482" s="1">
        <v>-3.2170000000000001</v>
      </c>
      <c r="L482" s="1">
        <v>23.716000000000001</v>
      </c>
      <c r="M482" s="1" t="s">
        <v>960</v>
      </c>
      <c r="N482" s="1" t="s">
        <v>725</v>
      </c>
      <c r="O482" s="1" t="s">
        <v>961</v>
      </c>
      <c r="P482" s="1" t="s">
        <v>962</v>
      </c>
      <c r="Q482" s="1" t="s">
        <v>963</v>
      </c>
      <c r="R482" s="1" t="s">
        <v>729</v>
      </c>
      <c r="S482" s="1" t="s">
        <v>964</v>
      </c>
    </row>
    <row r="483" spans="1:19" hidden="1" x14ac:dyDescent="0.25">
      <c r="A483" s="1">
        <v>70</v>
      </c>
      <c r="B483" s="1" t="s">
        <v>965</v>
      </c>
      <c r="C483" s="1" t="s">
        <v>280</v>
      </c>
      <c r="D483" s="1" t="s">
        <v>966</v>
      </c>
      <c r="E483" s="1">
        <v>1</v>
      </c>
      <c r="F483" s="1">
        <v>173.637</v>
      </c>
      <c r="G483" s="1">
        <v>8872</v>
      </c>
      <c r="H483" s="1">
        <v>10613</v>
      </c>
      <c r="I483" s="1">
        <v>12288</v>
      </c>
      <c r="J483" s="1">
        <v>170.88200000000001</v>
      </c>
      <c r="K483" s="1">
        <v>-5.391</v>
      </c>
      <c r="L483" s="1">
        <v>19.103000000000002</v>
      </c>
      <c r="M483" s="1" t="s">
        <v>967</v>
      </c>
      <c r="N483" s="1" t="s">
        <v>725</v>
      </c>
      <c r="O483" s="1" t="s">
        <v>968</v>
      </c>
      <c r="P483" s="1" t="s">
        <v>969</v>
      </c>
      <c r="Q483" s="1" t="s">
        <v>65</v>
      </c>
      <c r="R483" s="1" t="s">
        <v>68</v>
      </c>
      <c r="S483" s="1" t="s">
        <v>290</v>
      </c>
    </row>
    <row r="484" spans="1:19" hidden="1" x14ac:dyDescent="0.25">
      <c r="A484" s="1">
        <v>70</v>
      </c>
      <c r="B484" s="1" t="s">
        <v>965</v>
      </c>
      <c r="C484" s="1" t="s">
        <v>280</v>
      </c>
      <c r="D484" s="1" t="s">
        <v>966</v>
      </c>
      <c r="E484" s="1">
        <v>2</v>
      </c>
      <c r="F484" s="1">
        <v>173.471</v>
      </c>
      <c r="G484" s="1">
        <v>8968</v>
      </c>
      <c r="H484" s="1">
        <v>10729</v>
      </c>
      <c r="I484" s="1">
        <v>12423</v>
      </c>
      <c r="J484" s="1">
        <v>170.71899999999999</v>
      </c>
      <c r="K484" s="1">
        <v>-5.383</v>
      </c>
      <c r="L484" s="1">
        <v>19.12</v>
      </c>
      <c r="M484" s="1" t="s">
        <v>967</v>
      </c>
      <c r="N484" s="1" t="s">
        <v>725</v>
      </c>
      <c r="O484" s="1" t="s">
        <v>968</v>
      </c>
      <c r="P484" s="1" t="s">
        <v>969</v>
      </c>
      <c r="Q484" s="1" t="s">
        <v>138</v>
      </c>
      <c r="R484" s="1" t="s">
        <v>170</v>
      </c>
      <c r="S484" s="1" t="s">
        <v>174</v>
      </c>
    </row>
    <row r="485" spans="1:19" hidden="1" x14ac:dyDescent="0.25">
      <c r="A485" s="1">
        <v>70</v>
      </c>
      <c r="B485" s="1" t="s">
        <v>965</v>
      </c>
      <c r="C485" s="1" t="s">
        <v>280</v>
      </c>
      <c r="D485" s="1" t="s">
        <v>966</v>
      </c>
      <c r="E485" s="1">
        <v>3</v>
      </c>
      <c r="F485" s="1">
        <v>171.297</v>
      </c>
      <c r="G485" s="1">
        <v>8940</v>
      </c>
      <c r="H485" s="1">
        <v>10696</v>
      </c>
      <c r="I485" s="1">
        <v>12386</v>
      </c>
      <c r="J485" s="1">
        <v>168.57900000000001</v>
      </c>
      <c r="K485" s="1">
        <v>-5.39</v>
      </c>
      <c r="L485" s="1">
        <v>19.096</v>
      </c>
      <c r="M485" s="1" t="s">
        <v>967</v>
      </c>
      <c r="N485" s="1" t="s">
        <v>725</v>
      </c>
      <c r="O485" s="1" t="s">
        <v>968</v>
      </c>
      <c r="P485" s="1" t="s">
        <v>969</v>
      </c>
      <c r="Q485" s="1" t="s">
        <v>161</v>
      </c>
      <c r="R485" s="1" t="s">
        <v>236</v>
      </c>
      <c r="S485" s="1" t="s">
        <v>238</v>
      </c>
    </row>
    <row r="486" spans="1:19" hidden="1" x14ac:dyDescent="0.25">
      <c r="A486" s="1">
        <v>70</v>
      </c>
      <c r="B486" s="1" t="s">
        <v>965</v>
      </c>
      <c r="C486" s="1" t="s">
        <v>280</v>
      </c>
      <c r="D486" s="1" t="s">
        <v>966</v>
      </c>
      <c r="E486" s="1">
        <v>4</v>
      </c>
      <c r="F486" s="1">
        <v>174.529</v>
      </c>
      <c r="G486" s="1">
        <v>8962</v>
      </c>
      <c r="H486" s="1">
        <v>10720</v>
      </c>
      <c r="I486" s="1">
        <v>12412</v>
      </c>
      <c r="J486" s="1">
        <v>171.761</v>
      </c>
      <c r="K486" s="1">
        <v>-5.399</v>
      </c>
      <c r="L486" s="1">
        <v>19.082999999999998</v>
      </c>
      <c r="M486" s="1" t="s">
        <v>967</v>
      </c>
      <c r="N486" s="1" t="s">
        <v>725</v>
      </c>
      <c r="O486" s="1" t="s">
        <v>968</v>
      </c>
      <c r="P486" s="1" t="s">
        <v>969</v>
      </c>
      <c r="Q486" s="1" t="s">
        <v>160</v>
      </c>
      <c r="R486" s="1" t="s">
        <v>155</v>
      </c>
      <c r="S486" s="1" t="s">
        <v>228</v>
      </c>
    </row>
    <row r="487" spans="1:19" hidden="1" x14ac:dyDescent="0.25">
      <c r="A487" s="1">
        <v>70</v>
      </c>
      <c r="B487" s="1" t="s">
        <v>965</v>
      </c>
      <c r="C487" s="1" t="s">
        <v>280</v>
      </c>
      <c r="D487" s="1" t="s">
        <v>966</v>
      </c>
      <c r="E487" s="1">
        <v>5</v>
      </c>
      <c r="F487" s="1">
        <v>191.06</v>
      </c>
      <c r="G487" s="1">
        <v>15491</v>
      </c>
      <c r="H487" s="1">
        <v>18636</v>
      </c>
      <c r="I487" s="1">
        <v>21563</v>
      </c>
      <c r="J487" s="1">
        <v>188.02199999999999</v>
      </c>
      <c r="K487" s="1">
        <v>-3.7229999999999999</v>
      </c>
      <c r="L487" s="1">
        <v>23.684000000000001</v>
      </c>
      <c r="M487" s="1" t="s">
        <v>967</v>
      </c>
      <c r="N487" s="1" t="s">
        <v>725</v>
      </c>
      <c r="O487" s="1" t="s">
        <v>968</v>
      </c>
      <c r="P487" s="1" t="s">
        <v>969</v>
      </c>
      <c r="Q487" s="1" t="s">
        <v>202</v>
      </c>
      <c r="R487" s="1" t="s">
        <v>137</v>
      </c>
      <c r="S487" s="1" t="s">
        <v>61</v>
      </c>
    </row>
    <row r="488" spans="1:19" x14ac:dyDescent="0.25">
      <c r="A488" s="1">
        <v>70</v>
      </c>
      <c r="B488" s="1" t="s">
        <v>965</v>
      </c>
      <c r="C488" s="1" t="s">
        <v>280</v>
      </c>
      <c r="D488" s="1" t="s">
        <v>966</v>
      </c>
      <c r="E488" s="1">
        <v>6</v>
      </c>
      <c r="F488" s="1">
        <v>169.30699999999999</v>
      </c>
      <c r="G488" s="1">
        <v>13724</v>
      </c>
      <c r="H488" s="1">
        <v>16501</v>
      </c>
      <c r="I488" s="1">
        <v>19104</v>
      </c>
      <c r="J488" s="1">
        <v>166.614</v>
      </c>
      <c r="K488" s="1">
        <v>-3.6680000000000001</v>
      </c>
      <c r="L488" s="1">
        <v>23.885000000000002</v>
      </c>
      <c r="M488" s="1" t="s">
        <v>967</v>
      </c>
      <c r="N488" s="1" t="s">
        <v>725</v>
      </c>
      <c r="O488" s="1" t="s">
        <v>968</v>
      </c>
      <c r="P488" s="1" t="s">
        <v>969</v>
      </c>
      <c r="Q488" s="1" t="s">
        <v>141</v>
      </c>
      <c r="R488" s="1" t="s">
        <v>150</v>
      </c>
      <c r="S488" s="1" t="s">
        <v>296</v>
      </c>
    </row>
    <row r="489" spans="1:19" x14ac:dyDescent="0.25">
      <c r="A489" s="1">
        <v>70</v>
      </c>
      <c r="B489" s="1" t="s">
        <v>965</v>
      </c>
      <c r="C489" s="1" t="s">
        <v>280</v>
      </c>
      <c r="D489" s="1" t="s">
        <v>966</v>
      </c>
      <c r="E489" s="1">
        <v>7</v>
      </c>
      <c r="F489" s="1">
        <v>158.124</v>
      </c>
      <c r="G489" s="1">
        <v>12772</v>
      </c>
      <c r="H489" s="1">
        <v>15352</v>
      </c>
      <c r="I489" s="1">
        <v>17777</v>
      </c>
      <c r="J489" s="1">
        <v>155.61000000000001</v>
      </c>
      <c r="K489" s="1">
        <v>-3.6269999999999998</v>
      </c>
      <c r="L489" s="1">
        <v>23.902000000000001</v>
      </c>
      <c r="M489" s="1" t="s">
        <v>967</v>
      </c>
      <c r="N489" s="1" t="s">
        <v>725</v>
      </c>
      <c r="O489" s="1" t="s">
        <v>968</v>
      </c>
      <c r="P489" s="1" t="s">
        <v>969</v>
      </c>
      <c r="Q489" s="1" t="s">
        <v>452</v>
      </c>
      <c r="R489" s="1" t="s">
        <v>737</v>
      </c>
      <c r="S489" s="1" t="s">
        <v>378</v>
      </c>
    </row>
    <row r="490" spans="1:19" hidden="1" x14ac:dyDescent="0.25">
      <c r="A490" s="1">
        <v>71</v>
      </c>
      <c r="B490" s="1" t="s">
        <v>970</v>
      </c>
      <c r="C490" s="1" t="s">
        <v>414</v>
      </c>
      <c r="D490" s="1" t="s">
        <v>971</v>
      </c>
      <c r="E490" s="1">
        <v>1</v>
      </c>
      <c r="F490" s="1">
        <v>174.77</v>
      </c>
      <c r="G490" s="1">
        <v>8926</v>
      </c>
      <c r="H490" s="1">
        <v>10679</v>
      </c>
      <c r="I490" s="1">
        <v>12365</v>
      </c>
      <c r="J490" s="1">
        <v>171.99799999999999</v>
      </c>
      <c r="K490" s="1">
        <v>-5.3860000000000001</v>
      </c>
      <c r="L490" s="1">
        <v>19.105</v>
      </c>
      <c r="M490" s="1" t="s">
        <v>972</v>
      </c>
      <c r="N490" s="1" t="s">
        <v>725</v>
      </c>
      <c r="O490" s="1" t="s">
        <v>973</v>
      </c>
      <c r="P490" s="1" t="s">
        <v>974</v>
      </c>
      <c r="Q490" s="1" t="s">
        <v>96</v>
      </c>
      <c r="R490" s="1" t="s">
        <v>104</v>
      </c>
      <c r="S490" s="1" t="s">
        <v>165</v>
      </c>
    </row>
    <row r="491" spans="1:19" hidden="1" x14ac:dyDescent="0.25">
      <c r="A491" s="1">
        <v>71</v>
      </c>
      <c r="B491" s="1" t="s">
        <v>970</v>
      </c>
      <c r="C491" s="1" t="s">
        <v>414</v>
      </c>
      <c r="D491" s="1" t="s">
        <v>971</v>
      </c>
      <c r="E491" s="1">
        <v>2</v>
      </c>
      <c r="F491" s="1">
        <v>171.376</v>
      </c>
      <c r="G491" s="1">
        <v>8855</v>
      </c>
      <c r="H491" s="1">
        <v>10593</v>
      </c>
      <c r="I491" s="1">
        <v>12265</v>
      </c>
      <c r="J491" s="1">
        <v>168.65700000000001</v>
      </c>
      <c r="K491" s="1">
        <v>-5.3940000000000001</v>
      </c>
      <c r="L491" s="1">
        <v>19.081</v>
      </c>
      <c r="M491" s="1" t="s">
        <v>972</v>
      </c>
      <c r="N491" s="1" t="s">
        <v>725</v>
      </c>
      <c r="O491" s="1" t="s">
        <v>973</v>
      </c>
      <c r="P491" s="1" t="s">
        <v>974</v>
      </c>
      <c r="Q491" s="1" t="s">
        <v>253</v>
      </c>
      <c r="R491" s="1" t="s">
        <v>198</v>
      </c>
      <c r="S491" s="1" t="s">
        <v>142</v>
      </c>
    </row>
    <row r="492" spans="1:19" hidden="1" x14ac:dyDescent="0.25">
      <c r="A492" s="1">
        <v>71</v>
      </c>
      <c r="B492" s="1" t="s">
        <v>970</v>
      </c>
      <c r="C492" s="1" t="s">
        <v>414</v>
      </c>
      <c r="D492" s="1" t="s">
        <v>971</v>
      </c>
      <c r="E492" s="1">
        <v>3</v>
      </c>
      <c r="F492" s="1">
        <v>174.06299999999999</v>
      </c>
      <c r="G492" s="1">
        <v>8997</v>
      </c>
      <c r="H492" s="1">
        <v>10764</v>
      </c>
      <c r="I492" s="1">
        <v>12463</v>
      </c>
      <c r="J492" s="1">
        <v>171.30199999999999</v>
      </c>
      <c r="K492" s="1">
        <v>-5.4039999999999999</v>
      </c>
      <c r="L492" s="1">
        <v>19.09</v>
      </c>
      <c r="M492" s="1" t="s">
        <v>972</v>
      </c>
      <c r="N492" s="1" t="s">
        <v>725</v>
      </c>
      <c r="O492" s="1" t="s">
        <v>973</v>
      </c>
      <c r="P492" s="1" t="s">
        <v>974</v>
      </c>
      <c r="Q492" s="1" t="s">
        <v>138</v>
      </c>
      <c r="R492" s="1" t="s">
        <v>170</v>
      </c>
      <c r="S492" s="1" t="s">
        <v>174</v>
      </c>
    </row>
    <row r="493" spans="1:19" hidden="1" x14ac:dyDescent="0.25">
      <c r="A493" s="1">
        <v>71</v>
      </c>
      <c r="B493" s="1" t="s">
        <v>970</v>
      </c>
      <c r="C493" s="1" t="s">
        <v>414</v>
      </c>
      <c r="D493" s="1" t="s">
        <v>971</v>
      </c>
      <c r="E493" s="1">
        <v>4</v>
      </c>
      <c r="F493" s="1">
        <v>172.07599999999999</v>
      </c>
      <c r="G493" s="1">
        <v>8846</v>
      </c>
      <c r="H493" s="1">
        <v>10582</v>
      </c>
      <c r="I493" s="1">
        <v>12252</v>
      </c>
      <c r="J493" s="1">
        <v>169.346</v>
      </c>
      <c r="K493" s="1">
        <v>-5.399</v>
      </c>
      <c r="L493" s="1">
        <v>19.082999999999998</v>
      </c>
      <c r="M493" s="1" t="s">
        <v>972</v>
      </c>
      <c r="N493" s="1" t="s">
        <v>725</v>
      </c>
      <c r="O493" s="1" t="s">
        <v>973</v>
      </c>
      <c r="P493" s="1" t="s">
        <v>974</v>
      </c>
      <c r="Q493" s="1" t="s">
        <v>146</v>
      </c>
      <c r="R493" s="1" t="s">
        <v>177</v>
      </c>
      <c r="S493" s="1" t="s">
        <v>305</v>
      </c>
    </row>
    <row r="494" spans="1:19" hidden="1" x14ac:dyDescent="0.25">
      <c r="A494" s="1">
        <v>71</v>
      </c>
      <c r="B494" s="1" t="s">
        <v>970</v>
      </c>
      <c r="C494" s="1" t="s">
        <v>414</v>
      </c>
      <c r="D494" s="1" t="s">
        <v>971</v>
      </c>
      <c r="E494" s="1">
        <v>5</v>
      </c>
      <c r="F494" s="1">
        <v>270.70400000000001</v>
      </c>
      <c r="G494" s="1">
        <v>21488</v>
      </c>
      <c r="H494" s="1">
        <v>26102</v>
      </c>
      <c r="I494" s="1">
        <v>29942</v>
      </c>
      <c r="J494" s="1">
        <v>266.375</v>
      </c>
      <c r="K494" s="1">
        <v>3.952</v>
      </c>
      <c r="L494" s="1">
        <v>25.04</v>
      </c>
      <c r="M494" s="1" t="s">
        <v>972</v>
      </c>
      <c r="N494" s="1" t="s">
        <v>725</v>
      </c>
      <c r="O494" s="1" t="s">
        <v>973</v>
      </c>
      <c r="P494" s="1" t="s">
        <v>974</v>
      </c>
      <c r="Q494" s="1" t="s">
        <v>200</v>
      </c>
      <c r="R494" s="1" t="s">
        <v>975</v>
      </c>
      <c r="S494" s="1" t="s">
        <v>44</v>
      </c>
    </row>
    <row r="495" spans="1:19" x14ac:dyDescent="0.25">
      <c r="A495" s="1">
        <v>71</v>
      </c>
      <c r="B495" s="1" t="s">
        <v>970</v>
      </c>
      <c r="C495" s="1" t="s">
        <v>414</v>
      </c>
      <c r="D495" s="1" t="s">
        <v>971</v>
      </c>
      <c r="E495" s="1">
        <v>6</v>
      </c>
      <c r="F495" s="1">
        <v>238.50800000000001</v>
      </c>
      <c r="G495" s="1">
        <v>19159</v>
      </c>
      <c r="H495" s="1">
        <v>23266</v>
      </c>
      <c r="I495" s="1">
        <v>26703</v>
      </c>
      <c r="J495" s="1">
        <v>234.69300000000001</v>
      </c>
      <c r="K495" s="1">
        <v>4.0419999999999998</v>
      </c>
      <c r="L495" s="1">
        <v>25.186</v>
      </c>
      <c r="M495" s="1" t="s">
        <v>972</v>
      </c>
      <c r="N495" s="1" t="s">
        <v>725</v>
      </c>
      <c r="O495" s="1" t="s">
        <v>973</v>
      </c>
      <c r="P495" s="1" t="s">
        <v>974</v>
      </c>
      <c r="Q495" s="1" t="s">
        <v>359</v>
      </c>
      <c r="R495" s="1" t="s">
        <v>232</v>
      </c>
      <c r="S495" s="1" t="s">
        <v>373</v>
      </c>
    </row>
    <row r="496" spans="1:19" x14ac:dyDescent="0.25">
      <c r="A496" s="1">
        <v>71</v>
      </c>
      <c r="B496" s="1" t="s">
        <v>970</v>
      </c>
      <c r="C496" s="1" t="s">
        <v>414</v>
      </c>
      <c r="D496" s="1" t="s">
        <v>971</v>
      </c>
      <c r="E496" s="1">
        <v>7</v>
      </c>
      <c r="F496" s="1">
        <v>222.887</v>
      </c>
      <c r="G496" s="1">
        <v>17989</v>
      </c>
      <c r="H496" s="1">
        <v>21837</v>
      </c>
      <c r="I496" s="1">
        <v>25068</v>
      </c>
      <c r="J496" s="1">
        <v>219.322</v>
      </c>
      <c r="K496" s="1">
        <v>4.056</v>
      </c>
      <c r="L496" s="1">
        <v>25.227</v>
      </c>
      <c r="M496" s="1" t="s">
        <v>972</v>
      </c>
      <c r="N496" s="1" t="s">
        <v>725</v>
      </c>
      <c r="O496" s="1" t="s">
        <v>973</v>
      </c>
      <c r="P496" s="1" t="s">
        <v>974</v>
      </c>
      <c r="Q496" s="1" t="s">
        <v>396</v>
      </c>
      <c r="R496" s="1" t="s">
        <v>837</v>
      </c>
      <c r="S496" s="1" t="s">
        <v>976</v>
      </c>
    </row>
    <row r="497" spans="1:19" hidden="1" x14ac:dyDescent="0.25">
      <c r="A497" s="1">
        <v>72</v>
      </c>
      <c r="B497" s="1" t="s">
        <v>977</v>
      </c>
      <c r="C497" s="1" t="s">
        <v>732</v>
      </c>
      <c r="D497" s="1" t="s">
        <v>978</v>
      </c>
      <c r="E497" s="1">
        <v>1</v>
      </c>
      <c r="F497" s="1">
        <v>174.49799999999999</v>
      </c>
      <c r="G497" s="1">
        <v>8904</v>
      </c>
      <c r="H497" s="1">
        <v>10652</v>
      </c>
      <c r="I497" s="1">
        <v>12333</v>
      </c>
      <c r="J497" s="1">
        <v>171.73</v>
      </c>
      <c r="K497" s="1">
        <v>-5.4029999999999996</v>
      </c>
      <c r="L497" s="1">
        <v>19.097000000000001</v>
      </c>
      <c r="M497" s="1" t="s">
        <v>979</v>
      </c>
      <c r="N497" s="1" t="s">
        <v>725</v>
      </c>
      <c r="O497" s="1" t="s">
        <v>980</v>
      </c>
      <c r="P497" s="1" t="s">
        <v>981</v>
      </c>
      <c r="Q497" s="1" t="s">
        <v>95</v>
      </c>
      <c r="R497" s="1" t="s">
        <v>158</v>
      </c>
      <c r="S497" s="1" t="s">
        <v>140</v>
      </c>
    </row>
    <row r="498" spans="1:19" hidden="1" x14ac:dyDescent="0.25">
      <c r="A498" s="1">
        <v>72</v>
      </c>
      <c r="B498" s="1" t="s">
        <v>977</v>
      </c>
      <c r="C498" s="1" t="s">
        <v>732</v>
      </c>
      <c r="D498" s="1" t="s">
        <v>978</v>
      </c>
      <c r="E498" s="1">
        <v>2</v>
      </c>
      <c r="F498" s="1">
        <v>173.864</v>
      </c>
      <c r="G498" s="1">
        <v>8987</v>
      </c>
      <c r="H498" s="1">
        <v>10751</v>
      </c>
      <c r="I498" s="1">
        <v>12446</v>
      </c>
      <c r="J498" s="1">
        <v>171.10499999999999</v>
      </c>
      <c r="K498" s="1">
        <v>-5.3959999999999999</v>
      </c>
      <c r="L498" s="1">
        <v>19.077999999999999</v>
      </c>
      <c r="M498" s="1" t="s">
        <v>979</v>
      </c>
      <c r="N498" s="1" t="s">
        <v>725</v>
      </c>
      <c r="O498" s="1" t="s">
        <v>980</v>
      </c>
      <c r="P498" s="1" t="s">
        <v>981</v>
      </c>
      <c r="Q498" s="1" t="s">
        <v>165</v>
      </c>
      <c r="R498" s="1" t="s">
        <v>143</v>
      </c>
      <c r="S498" s="1" t="s">
        <v>247</v>
      </c>
    </row>
    <row r="499" spans="1:19" hidden="1" x14ac:dyDescent="0.25">
      <c r="A499" s="1">
        <v>72</v>
      </c>
      <c r="B499" s="1" t="s">
        <v>977</v>
      </c>
      <c r="C499" s="1" t="s">
        <v>732</v>
      </c>
      <c r="D499" s="1" t="s">
        <v>978</v>
      </c>
      <c r="E499" s="1">
        <v>3</v>
      </c>
      <c r="F499" s="1">
        <v>174.31</v>
      </c>
      <c r="G499" s="1">
        <v>9018</v>
      </c>
      <c r="H499" s="1">
        <v>10788</v>
      </c>
      <c r="I499" s="1">
        <v>12494</v>
      </c>
      <c r="J499" s="1">
        <v>171.54499999999999</v>
      </c>
      <c r="K499" s="1">
        <v>-5.4059999999999997</v>
      </c>
      <c r="L499" s="1">
        <v>19.068000000000001</v>
      </c>
      <c r="M499" s="1" t="s">
        <v>979</v>
      </c>
      <c r="N499" s="1" t="s">
        <v>725</v>
      </c>
      <c r="O499" s="1" t="s">
        <v>980</v>
      </c>
      <c r="P499" s="1" t="s">
        <v>981</v>
      </c>
      <c r="Q499" s="1" t="s">
        <v>164</v>
      </c>
      <c r="R499" s="1" t="s">
        <v>354</v>
      </c>
      <c r="S499" s="1" t="s">
        <v>287</v>
      </c>
    </row>
    <row r="500" spans="1:19" hidden="1" x14ac:dyDescent="0.25">
      <c r="A500" s="1">
        <v>72</v>
      </c>
      <c r="B500" s="1" t="s">
        <v>977</v>
      </c>
      <c r="C500" s="1" t="s">
        <v>732</v>
      </c>
      <c r="D500" s="1" t="s">
        <v>978</v>
      </c>
      <c r="E500" s="1">
        <v>4</v>
      </c>
      <c r="F500" s="1">
        <v>174.46</v>
      </c>
      <c r="G500" s="1">
        <v>8971</v>
      </c>
      <c r="H500" s="1">
        <v>10731</v>
      </c>
      <c r="I500" s="1">
        <v>12424</v>
      </c>
      <c r="J500" s="1">
        <v>171.69200000000001</v>
      </c>
      <c r="K500" s="1">
        <v>-5.399</v>
      </c>
      <c r="L500" s="1">
        <v>19.082999999999998</v>
      </c>
      <c r="M500" s="1" t="s">
        <v>979</v>
      </c>
      <c r="N500" s="1" t="s">
        <v>725</v>
      </c>
      <c r="O500" s="1" t="s">
        <v>980</v>
      </c>
      <c r="P500" s="1" t="s">
        <v>981</v>
      </c>
      <c r="Q500" s="1" t="s">
        <v>164</v>
      </c>
      <c r="R500" s="1" t="s">
        <v>354</v>
      </c>
      <c r="S500" s="1" t="s">
        <v>329</v>
      </c>
    </row>
    <row r="501" spans="1:19" hidden="1" x14ac:dyDescent="0.25">
      <c r="A501" s="1">
        <v>72</v>
      </c>
      <c r="B501" s="1" t="s">
        <v>977</v>
      </c>
      <c r="C501" s="1" t="s">
        <v>732</v>
      </c>
      <c r="D501" s="1" t="s">
        <v>978</v>
      </c>
      <c r="E501" s="1">
        <v>5</v>
      </c>
      <c r="F501" s="1">
        <v>247.179</v>
      </c>
      <c r="G501" s="1">
        <v>19922</v>
      </c>
      <c r="H501" s="1">
        <v>24158</v>
      </c>
      <c r="I501" s="1">
        <v>27769</v>
      </c>
      <c r="J501" s="1">
        <v>243.227</v>
      </c>
      <c r="K501" s="1">
        <v>3.9380000000000002</v>
      </c>
      <c r="L501" s="1">
        <v>25.036000000000001</v>
      </c>
      <c r="M501" s="1" t="s">
        <v>979</v>
      </c>
      <c r="N501" s="1" t="s">
        <v>725</v>
      </c>
      <c r="O501" s="1" t="s">
        <v>980</v>
      </c>
      <c r="P501" s="1" t="s">
        <v>981</v>
      </c>
      <c r="Q501" s="1" t="s">
        <v>221</v>
      </c>
      <c r="R501" s="1" t="s">
        <v>44</v>
      </c>
      <c r="S501" s="1" t="s">
        <v>197</v>
      </c>
    </row>
    <row r="502" spans="1:19" x14ac:dyDescent="0.25">
      <c r="A502" s="1">
        <v>72</v>
      </c>
      <c r="B502" s="1" t="s">
        <v>977</v>
      </c>
      <c r="C502" s="1" t="s">
        <v>732</v>
      </c>
      <c r="D502" s="1" t="s">
        <v>978</v>
      </c>
      <c r="E502" s="1">
        <v>6</v>
      </c>
      <c r="F502" s="1">
        <v>217.51900000000001</v>
      </c>
      <c r="G502" s="1">
        <v>17591</v>
      </c>
      <c r="H502" s="1">
        <v>21320</v>
      </c>
      <c r="I502" s="1">
        <v>24517</v>
      </c>
      <c r="J502" s="1">
        <v>214.041</v>
      </c>
      <c r="K502" s="1">
        <v>4.0170000000000003</v>
      </c>
      <c r="L502" s="1">
        <v>25.295000000000002</v>
      </c>
      <c r="M502" s="1" t="s">
        <v>979</v>
      </c>
      <c r="N502" s="1" t="s">
        <v>725</v>
      </c>
      <c r="O502" s="1" t="s">
        <v>980</v>
      </c>
      <c r="P502" s="1" t="s">
        <v>981</v>
      </c>
      <c r="Q502" s="1" t="s">
        <v>155</v>
      </c>
      <c r="R502" s="1" t="s">
        <v>312</v>
      </c>
      <c r="S502" s="1" t="s">
        <v>479</v>
      </c>
    </row>
    <row r="503" spans="1:19" x14ac:dyDescent="0.25">
      <c r="A503" s="1">
        <v>72</v>
      </c>
      <c r="B503" s="1" t="s">
        <v>977</v>
      </c>
      <c r="C503" s="1" t="s">
        <v>732</v>
      </c>
      <c r="D503" s="1" t="s">
        <v>978</v>
      </c>
      <c r="E503" s="1">
        <v>7</v>
      </c>
      <c r="F503" s="1">
        <v>204.21</v>
      </c>
      <c r="G503" s="1">
        <v>16282</v>
      </c>
      <c r="H503" s="1">
        <v>19729</v>
      </c>
      <c r="I503" s="1">
        <v>22701</v>
      </c>
      <c r="J503" s="1">
        <v>200.94399999999999</v>
      </c>
      <c r="K503" s="1">
        <v>3.9940000000000002</v>
      </c>
      <c r="L503" s="1">
        <v>25.343</v>
      </c>
      <c r="M503" s="1" t="s">
        <v>979</v>
      </c>
      <c r="N503" s="1" t="s">
        <v>725</v>
      </c>
      <c r="O503" s="1" t="s">
        <v>980</v>
      </c>
      <c r="P503" s="1" t="s">
        <v>981</v>
      </c>
      <c r="Q503" s="1" t="s">
        <v>155</v>
      </c>
      <c r="R503" s="1" t="s">
        <v>312</v>
      </c>
      <c r="S503" s="1" t="s">
        <v>479</v>
      </c>
    </row>
    <row r="504" spans="1:19" hidden="1" x14ac:dyDescent="0.25">
      <c r="A504" s="1">
        <v>73</v>
      </c>
      <c r="B504" s="1" t="s">
        <v>982</v>
      </c>
      <c r="C504" s="1" t="s">
        <v>420</v>
      </c>
      <c r="D504" s="1" t="s">
        <v>983</v>
      </c>
      <c r="E504" s="1">
        <v>1</v>
      </c>
      <c r="F504" s="1">
        <v>173.697</v>
      </c>
      <c r="G504" s="1">
        <v>8876</v>
      </c>
      <c r="H504" s="1">
        <v>10618</v>
      </c>
      <c r="I504" s="1">
        <v>12295</v>
      </c>
      <c r="J504" s="1">
        <v>170.941</v>
      </c>
      <c r="K504" s="1">
        <v>-5.391</v>
      </c>
      <c r="L504" s="1">
        <v>19.117999999999999</v>
      </c>
      <c r="M504" s="1" t="s">
        <v>467</v>
      </c>
      <c r="N504" s="1" t="s">
        <v>725</v>
      </c>
      <c r="O504" s="1" t="s">
        <v>984</v>
      </c>
      <c r="P504" s="1" t="s">
        <v>985</v>
      </c>
      <c r="Q504" s="1" t="s">
        <v>69</v>
      </c>
      <c r="R504" s="1" t="s">
        <v>152</v>
      </c>
      <c r="S504" s="1" t="s">
        <v>151</v>
      </c>
    </row>
    <row r="505" spans="1:19" hidden="1" x14ac:dyDescent="0.25">
      <c r="A505" s="1">
        <v>73</v>
      </c>
      <c r="B505" s="1" t="s">
        <v>982</v>
      </c>
      <c r="C505" s="1" t="s">
        <v>420</v>
      </c>
      <c r="D505" s="1" t="s">
        <v>983</v>
      </c>
      <c r="E505" s="1">
        <v>2</v>
      </c>
      <c r="F505" s="1">
        <v>173.36500000000001</v>
      </c>
      <c r="G505" s="1">
        <v>8971</v>
      </c>
      <c r="H505" s="1">
        <v>10732</v>
      </c>
      <c r="I505" s="1">
        <v>12428</v>
      </c>
      <c r="J505" s="1">
        <v>170.614</v>
      </c>
      <c r="K505" s="1">
        <v>-5.3949999999999996</v>
      </c>
      <c r="L505" s="1">
        <v>19.103999999999999</v>
      </c>
      <c r="M505" s="1" t="s">
        <v>467</v>
      </c>
      <c r="N505" s="1" t="s">
        <v>725</v>
      </c>
      <c r="O505" s="1" t="s">
        <v>984</v>
      </c>
      <c r="P505" s="1" t="s">
        <v>985</v>
      </c>
      <c r="Q505" s="1" t="s">
        <v>167</v>
      </c>
      <c r="R505" s="1" t="s">
        <v>299</v>
      </c>
      <c r="S505" s="1" t="s">
        <v>282</v>
      </c>
    </row>
    <row r="506" spans="1:19" hidden="1" x14ac:dyDescent="0.25">
      <c r="A506" s="1">
        <v>73</v>
      </c>
      <c r="B506" s="1" t="s">
        <v>982</v>
      </c>
      <c r="C506" s="1" t="s">
        <v>420</v>
      </c>
      <c r="D506" s="1" t="s">
        <v>983</v>
      </c>
      <c r="E506" s="1">
        <v>3</v>
      </c>
      <c r="F506" s="1">
        <v>172.88499999999999</v>
      </c>
      <c r="G506" s="1">
        <v>8929</v>
      </c>
      <c r="H506" s="1">
        <v>10681</v>
      </c>
      <c r="I506" s="1">
        <v>12366</v>
      </c>
      <c r="J506" s="1">
        <v>170.143</v>
      </c>
      <c r="K506" s="1">
        <v>-5.3929999999999998</v>
      </c>
      <c r="L506" s="1">
        <v>19.093</v>
      </c>
      <c r="M506" s="1" t="s">
        <v>467</v>
      </c>
      <c r="N506" s="1" t="s">
        <v>725</v>
      </c>
      <c r="O506" s="1" t="s">
        <v>984</v>
      </c>
      <c r="P506" s="1" t="s">
        <v>985</v>
      </c>
      <c r="Q506" s="1" t="s">
        <v>160</v>
      </c>
      <c r="R506" s="1" t="s">
        <v>155</v>
      </c>
      <c r="S506" s="1" t="s">
        <v>228</v>
      </c>
    </row>
    <row r="507" spans="1:19" hidden="1" x14ac:dyDescent="0.25">
      <c r="A507" s="1">
        <v>73</v>
      </c>
      <c r="B507" s="1" t="s">
        <v>982</v>
      </c>
      <c r="C507" s="1" t="s">
        <v>420</v>
      </c>
      <c r="D507" s="1" t="s">
        <v>983</v>
      </c>
      <c r="E507" s="1">
        <v>4</v>
      </c>
      <c r="F507" s="1">
        <v>174.33199999999999</v>
      </c>
      <c r="G507" s="1">
        <v>8967</v>
      </c>
      <c r="H507" s="1">
        <v>10727</v>
      </c>
      <c r="I507" s="1">
        <v>12420</v>
      </c>
      <c r="J507" s="1">
        <v>171.566</v>
      </c>
      <c r="K507" s="1">
        <v>-5.399</v>
      </c>
      <c r="L507" s="1">
        <v>19.082999999999998</v>
      </c>
      <c r="M507" s="1" t="s">
        <v>467</v>
      </c>
      <c r="N507" s="1" t="s">
        <v>725</v>
      </c>
      <c r="O507" s="1" t="s">
        <v>984</v>
      </c>
      <c r="P507" s="1" t="s">
        <v>985</v>
      </c>
      <c r="Q507" s="1" t="s">
        <v>160</v>
      </c>
      <c r="R507" s="1" t="s">
        <v>136</v>
      </c>
      <c r="S507" s="1" t="s">
        <v>233</v>
      </c>
    </row>
    <row r="508" spans="1:19" hidden="1" x14ac:dyDescent="0.25">
      <c r="A508" s="1">
        <v>73</v>
      </c>
      <c r="B508" s="1" t="s">
        <v>982</v>
      </c>
      <c r="C508" s="1" t="s">
        <v>420</v>
      </c>
      <c r="D508" s="1" t="s">
        <v>983</v>
      </c>
      <c r="E508" s="1">
        <v>5</v>
      </c>
      <c r="F508" s="1">
        <v>181.92500000000001</v>
      </c>
      <c r="G508" s="1">
        <v>14480</v>
      </c>
      <c r="H508" s="1">
        <v>17429</v>
      </c>
      <c r="I508" s="1">
        <v>20158</v>
      </c>
      <c r="J508" s="1">
        <v>179.03299999999999</v>
      </c>
      <c r="K508" s="1">
        <v>-4.0220000000000002</v>
      </c>
      <c r="L508" s="1">
        <v>24.010999999999999</v>
      </c>
      <c r="M508" s="1" t="s">
        <v>467</v>
      </c>
      <c r="N508" s="1" t="s">
        <v>725</v>
      </c>
      <c r="O508" s="1" t="s">
        <v>984</v>
      </c>
      <c r="P508" s="1" t="s">
        <v>985</v>
      </c>
      <c r="Q508" s="1" t="s">
        <v>183</v>
      </c>
      <c r="R508" s="1" t="s">
        <v>515</v>
      </c>
      <c r="S508" s="1" t="s">
        <v>117</v>
      </c>
    </row>
    <row r="509" spans="1:19" x14ac:dyDescent="0.25">
      <c r="A509" s="1">
        <v>73</v>
      </c>
      <c r="B509" s="1" t="s">
        <v>982</v>
      </c>
      <c r="C509" s="1" t="s">
        <v>420</v>
      </c>
      <c r="D509" s="1" t="s">
        <v>983</v>
      </c>
      <c r="E509" s="1">
        <v>6</v>
      </c>
      <c r="F509" s="1">
        <v>161.84899999999999</v>
      </c>
      <c r="G509" s="1">
        <v>13077</v>
      </c>
      <c r="H509" s="1">
        <v>15733</v>
      </c>
      <c r="I509" s="1">
        <v>18210</v>
      </c>
      <c r="J509" s="1">
        <v>159.27500000000001</v>
      </c>
      <c r="K509" s="1">
        <v>-4.0229999999999997</v>
      </c>
      <c r="L509" s="1">
        <v>24.155999999999999</v>
      </c>
      <c r="M509" s="1" t="s">
        <v>467</v>
      </c>
      <c r="N509" s="1" t="s">
        <v>725</v>
      </c>
      <c r="O509" s="1" t="s">
        <v>984</v>
      </c>
      <c r="P509" s="1" t="s">
        <v>985</v>
      </c>
      <c r="Q509" s="1" t="s">
        <v>307</v>
      </c>
      <c r="R509" s="1" t="s">
        <v>178</v>
      </c>
      <c r="S509" s="1" t="s">
        <v>334</v>
      </c>
    </row>
    <row r="510" spans="1:19" x14ac:dyDescent="0.25">
      <c r="A510" s="1">
        <v>73</v>
      </c>
      <c r="B510" s="1" t="s">
        <v>982</v>
      </c>
      <c r="C510" s="1" t="s">
        <v>420</v>
      </c>
      <c r="D510" s="1" t="s">
        <v>983</v>
      </c>
      <c r="E510" s="1">
        <v>7</v>
      </c>
      <c r="F510" s="1">
        <v>151.971</v>
      </c>
      <c r="G510" s="1">
        <v>12388</v>
      </c>
      <c r="H510" s="1">
        <v>14905</v>
      </c>
      <c r="I510" s="1">
        <v>17247</v>
      </c>
      <c r="J510" s="1">
        <v>149.55500000000001</v>
      </c>
      <c r="K510" s="1">
        <v>-3.98</v>
      </c>
      <c r="L510" s="1">
        <v>24.19</v>
      </c>
      <c r="M510" s="1" t="s">
        <v>467</v>
      </c>
      <c r="N510" s="1" t="s">
        <v>725</v>
      </c>
      <c r="O510" s="1" t="s">
        <v>984</v>
      </c>
      <c r="P510" s="1" t="s">
        <v>985</v>
      </c>
      <c r="Q510" s="1" t="s">
        <v>416</v>
      </c>
      <c r="R510" s="1" t="s">
        <v>986</v>
      </c>
      <c r="S510" s="1" t="s">
        <v>987</v>
      </c>
    </row>
    <row r="511" spans="1:19" hidden="1" x14ac:dyDescent="0.25">
      <c r="A511" s="1">
        <v>74</v>
      </c>
      <c r="B511" s="1" t="s">
        <v>988</v>
      </c>
      <c r="C511" s="1" t="s">
        <v>372</v>
      </c>
      <c r="D511" s="1" t="s">
        <v>989</v>
      </c>
      <c r="E511" s="1">
        <v>1</v>
      </c>
      <c r="F511" s="1">
        <v>175.81899999999999</v>
      </c>
      <c r="G511" s="1">
        <v>8982</v>
      </c>
      <c r="H511" s="1">
        <v>10747</v>
      </c>
      <c r="I511" s="1">
        <v>12440</v>
      </c>
      <c r="J511" s="1">
        <v>173.03</v>
      </c>
      <c r="K511" s="1">
        <v>-5.3940000000000001</v>
      </c>
      <c r="L511" s="1">
        <v>19.126999999999999</v>
      </c>
      <c r="M511" s="1" t="s">
        <v>990</v>
      </c>
      <c r="N511" s="1" t="s">
        <v>725</v>
      </c>
      <c r="O511" s="1" t="s">
        <v>991</v>
      </c>
      <c r="P511" s="1" t="s">
        <v>992</v>
      </c>
      <c r="Q511" s="1" t="s">
        <v>58</v>
      </c>
      <c r="R511" s="1" t="s">
        <v>267</v>
      </c>
      <c r="S511" s="1" t="s">
        <v>153</v>
      </c>
    </row>
    <row r="512" spans="1:19" hidden="1" x14ac:dyDescent="0.25">
      <c r="A512" s="1">
        <v>74</v>
      </c>
      <c r="B512" s="1" t="s">
        <v>988</v>
      </c>
      <c r="C512" s="1" t="s">
        <v>372</v>
      </c>
      <c r="D512" s="1" t="s">
        <v>989</v>
      </c>
      <c r="E512" s="1">
        <v>2</v>
      </c>
      <c r="F512" s="1">
        <v>169.52699999999999</v>
      </c>
      <c r="G512" s="1">
        <v>8906</v>
      </c>
      <c r="H512" s="1">
        <v>10655</v>
      </c>
      <c r="I512" s="1">
        <v>12331</v>
      </c>
      <c r="J512" s="1">
        <v>166.83699999999999</v>
      </c>
      <c r="K512" s="1">
        <v>-5.4050000000000002</v>
      </c>
      <c r="L512" s="1">
        <v>19.11</v>
      </c>
      <c r="M512" s="1" t="s">
        <v>990</v>
      </c>
      <c r="N512" s="1" t="s">
        <v>725</v>
      </c>
      <c r="O512" s="1" t="s">
        <v>991</v>
      </c>
      <c r="P512" s="1" t="s">
        <v>992</v>
      </c>
      <c r="Q512" s="1" t="s">
        <v>253</v>
      </c>
      <c r="R512" s="1" t="s">
        <v>297</v>
      </c>
      <c r="S512" s="1" t="s">
        <v>142</v>
      </c>
    </row>
    <row r="513" spans="1:19" hidden="1" x14ac:dyDescent="0.25">
      <c r="A513" s="1">
        <v>74</v>
      </c>
      <c r="B513" s="1" t="s">
        <v>988</v>
      </c>
      <c r="C513" s="1" t="s">
        <v>372</v>
      </c>
      <c r="D513" s="1" t="s">
        <v>989</v>
      </c>
      <c r="E513" s="1">
        <v>3</v>
      </c>
      <c r="F513" s="1">
        <v>174.92599999999999</v>
      </c>
      <c r="G513" s="1">
        <v>9035</v>
      </c>
      <c r="H513" s="1">
        <v>10809</v>
      </c>
      <c r="I513" s="1">
        <v>12509</v>
      </c>
      <c r="J513" s="1">
        <v>172.15100000000001</v>
      </c>
      <c r="K513" s="1">
        <v>-5.4029999999999996</v>
      </c>
      <c r="L513" s="1">
        <v>19.123000000000001</v>
      </c>
      <c r="M513" s="1" t="s">
        <v>990</v>
      </c>
      <c r="N513" s="1" t="s">
        <v>725</v>
      </c>
      <c r="O513" s="1" t="s">
        <v>991</v>
      </c>
      <c r="P513" s="1" t="s">
        <v>992</v>
      </c>
      <c r="Q513" s="1" t="s">
        <v>167</v>
      </c>
      <c r="R513" s="1" t="s">
        <v>237</v>
      </c>
      <c r="S513" s="1" t="s">
        <v>206</v>
      </c>
    </row>
    <row r="514" spans="1:19" hidden="1" x14ac:dyDescent="0.25">
      <c r="A514" s="1">
        <v>74</v>
      </c>
      <c r="B514" s="1" t="s">
        <v>988</v>
      </c>
      <c r="C514" s="1" t="s">
        <v>372</v>
      </c>
      <c r="D514" s="1" t="s">
        <v>989</v>
      </c>
      <c r="E514" s="1">
        <v>4</v>
      </c>
      <c r="F514" s="1">
        <v>173.18799999999999</v>
      </c>
      <c r="G514" s="1">
        <v>8897</v>
      </c>
      <c r="H514" s="1">
        <v>10645</v>
      </c>
      <c r="I514" s="1">
        <v>12321</v>
      </c>
      <c r="J514" s="1">
        <v>170.441</v>
      </c>
      <c r="K514" s="1">
        <v>-5.399</v>
      </c>
      <c r="L514" s="1">
        <v>19.082999999999998</v>
      </c>
      <c r="M514" s="1" t="s">
        <v>990</v>
      </c>
      <c r="N514" s="1" t="s">
        <v>725</v>
      </c>
      <c r="O514" s="1" t="s">
        <v>991</v>
      </c>
      <c r="P514" s="1" t="s">
        <v>992</v>
      </c>
      <c r="Q514" s="1" t="s">
        <v>139</v>
      </c>
      <c r="R514" s="1" t="s">
        <v>177</v>
      </c>
      <c r="S514" s="1" t="s">
        <v>413</v>
      </c>
    </row>
    <row r="515" spans="1:19" hidden="1" x14ac:dyDescent="0.25">
      <c r="A515" s="1">
        <v>74</v>
      </c>
      <c r="B515" s="1" t="s">
        <v>988</v>
      </c>
      <c r="C515" s="1" t="s">
        <v>372</v>
      </c>
      <c r="D515" s="1" t="s">
        <v>989</v>
      </c>
      <c r="E515" s="1">
        <v>5</v>
      </c>
      <c r="F515" s="1">
        <v>86.037000000000006</v>
      </c>
      <c r="G515" s="1">
        <v>6707</v>
      </c>
      <c r="H515" s="1">
        <v>8052</v>
      </c>
      <c r="I515" s="1">
        <v>9337</v>
      </c>
      <c r="J515" s="1">
        <v>84.668999999999997</v>
      </c>
      <c r="K515" s="1">
        <v>-4.01</v>
      </c>
      <c r="L515" s="1">
        <v>24.367000000000001</v>
      </c>
      <c r="M515" s="1" t="s">
        <v>990</v>
      </c>
      <c r="N515" s="1" t="s">
        <v>725</v>
      </c>
      <c r="O515" s="1" t="s">
        <v>991</v>
      </c>
      <c r="P515" s="1" t="s">
        <v>992</v>
      </c>
      <c r="Q515" s="1" t="s">
        <v>189</v>
      </c>
      <c r="R515" s="1" t="s">
        <v>222</v>
      </c>
      <c r="S515" s="1" t="s">
        <v>195</v>
      </c>
    </row>
    <row r="516" spans="1:19" hidden="1" x14ac:dyDescent="0.25">
      <c r="A516" s="1">
        <v>75</v>
      </c>
      <c r="B516" s="1" t="s">
        <v>993</v>
      </c>
      <c r="C516" s="1" t="s">
        <v>994</v>
      </c>
      <c r="D516" s="1" t="s">
        <v>995</v>
      </c>
      <c r="E516" s="1">
        <v>1</v>
      </c>
      <c r="F516" s="1">
        <v>174.124</v>
      </c>
      <c r="G516" s="1">
        <v>8892</v>
      </c>
      <c r="H516" s="1">
        <v>10638</v>
      </c>
      <c r="I516" s="1">
        <v>12308</v>
      </c>
      <c r="J516" s="1">
        <v>171.36199999999999</v>
      </c>
      <c r="K516" s="1">
        <v>-5.399</v>
      </c>
      <c r="L516" s="1">
        <v>19.064</v>
      </c>
      <c r="M516" s="1" t="s">
        <v>996</v>
      </c>
      <c r="N516" s="1" t="s">
        <v>725</v>
      </c>
      <c r="O516" s="1" t="s">
        <v>997</v>
      </c>
      <c r="P516" s="1" t="s">
        <v>998</v>
      </c>
      <c r="Q516" s="1" t="s">
        <v>54</v>
      </c>
      <c r="R516" s="1" t="s">
        <v>102</v>
      </c>
      <c r="S516" s="1" t="s">
        <v>67</v>
      </c>
    </row>
    <row r="517" spans="1:19" hidden="1" x14ac:dyDescent="0.25">
      <c r="A517" s="1">
        <v>75</v>
      </c>
      <c r="B517" s="1" t="s">
        <v>993</v>
      </c>
      <c r="C517" s="1" t="s">
        <v>994</v>
      </c>
      <c r="D517" s="1" t="s">
        <v>995</v>
      </c>
      <c r="E517" s="1">
        <v>2</v>
      </c>
      <c r="F517" s="1">
        <v>172.655</v>
      </c>
      <c r="G517" s="1">
        <v>8927</v>
      </c>
      <c r="H517" s="1">
        <v>10680</v>
      </c>
      <c r="I517" s="1">
        <v>12358</v>
      </c>
      <c r="J517" s="1">
        <v>169.916</v>
      </c>
      <c r="K517" s="1">
        <v>-5.4</v>
      </c>
      <c r="L517" s="1">
        <v>19.085000000000001</v>
      </c>
      <c r="M517" s="1" t="s">
        <v>996</v>
      </c>
      <c r="N517" s="1" t="s">
        <v>725</v>
      </c>
      <c r="O517" s="1" t="s">
        <v>997</v>
      </c>
      <c r="P517" s="1" t="s">
        <v>998</v>
      </c>
      <c r="Q517" s="1" t="s">
        <v>92</v>
      </c>
      <c r="R517" s="1" t="s">
        <v>165</v>
      </c>
      <c r="S517" s="1" t="s">
        <v>156</v>
      </c>
    </row>
    <row r="518" spans="1:19" hidden="1" x14ac:dyDescent="0.25">
      <c r="A518" s="1">
        <v>75</v>
      </c>
      <c r="B518" s="1" t="s">
        <v>993</v>
      </c>
      <c r="C518" s="1" t="s">
        <v>994</v>
      </c>
      <c r="D518" s="1" t="s">
        <v>995</v>
      </c>
      <c r="E518" s="1">
        <v>3</v>
      </c>
      <c r="F518" s="1">
        <v>173.52500000000001</v>
      </c>
      <c r="G518" s="1">
        <v>8987</v>
      </c>
      <c r="H518" s="1">
        <v>10752</v>
      </c>
      <c r="I518" s="1">
        <v>12445</v>
      </c>
      <c r="J518" s="1">
        <v>170.77199999999999</v>
      </c>
      <c r="K518" s="1">
        <v>-5.39</v>
      </c>
      <c r="L518" s="1">
        <v>19.068999999999999</v>
      </c>
      <c r="M518" s="1" t="s">
        <v>996</v>
      </c>
      <c r="N518" s="1" t="s">
        <v>725</v>
      </c>
      <c r="O518" s="1" t="s">
        <v>997</v>
      </c>
      <c r="P518" s="1" t="s">
        <v>998</v>
      </c>
      <c r="Q518" s="1" t="s">
        <v>97</v>
      </c>
      <c r="R518" s="1" t="s">
        <v>151</v>
      </c>
      <c r="S518" s="1" t="s">
        <v>236</v>
      </c>
    </row>
    <row r="519" spans="1:19" hidden="1" x14ac:dyDescent="0.25">
      <c r="A519" s="1">
        <v>75</v>
      </c>
      <c r="B519" s="1" t="s">
        <v>993</v>
      </c>
      <c r="C519" s="1" t="s">
        <v>994</v>
      </c>
      <c r="D519" s="1" t="s">
        <v>995</v>
      </c>
      <c r="E519" s="1">
        <v>4</v>
      </c>
      <c r="F519" s="1">
        <v>173.49</v>
      </c>
      <c r="G519" s="1">
        <v>8930</v>
      </c>
      <c r="H519" s="1">
        <v>10683</v>
      </c>
      <c r="I519" s="1">
        <v>12362</v>
      </c>
      <c r="J519" s="1">
        <v>170.738</v>
      </c>
      <c r="K519" s="1">
        <v>-5.399</v>
      </c>
      <c r="L519" s="1">
        <v>19.082999999999998</v>
      </c>
      <c r="M519" s="1" t="s">
        <v>996</v>
      </c>
      <c r="N519" s="1" t="s">
        <v>725</v>
      </c>
      <c r="O519" s="1" t="s">
        <v>997</v>
      </c>
      <c r="P519" s="1" t="s">
        <v>998</v>
      </c>
      <c r="Q519" s="1" t="s">
        <v>267</v>
      </c>
      <c r="R519" s="1" t="s">
        <v>101</v>
      </c>
      <c r="S519" s="1" t="s">
        <v>354</v>
      </c>
    </row>
    <row r="520" spans="1:19" hidden="1" x14ac:dyDescent="0.25">
      <c r="A520" s="1">
        <v>75</v>
      </c>
      <c r="B520" s="1" t="s">
        <v>993</v>
      </c>
      <c r="C520" s="1" t="s">
        <v>994</v>
      </c>
      <c r="D520" s="1" t="s">
        <v>995</v>
      </c>
      <c r="E520" s="1">
        <v>5</v>
      </c>
      <c r="F520" s="1">
        <v>155.94</v>
      </c>
      <c r="G520" s="1">
        <v>12628</v>
      </c>
      <c r="H520" s="1">
        <v>15204</v>
      </c>
      <c r="I520" s="1">
        <v>17575</v>
      </c>
      <c r="J520" s="1">
        <v>153.459</v>
      </c>
      <c r="K520" s="1">
        <v>-3.302</v>
      </c>
      <c r="L520" s="1">
        <v>24.280999999999999</v>
      </c>
      <c r="M520" s="1" t="s">
        <v>996</v>
      </c>
      <c r="N520" s="1" t="s">
        <v>725</v>
      </c>
      <c r="O520" s="1" t="s">
        <v>997</v>
      </c>
      <c r="P520" s="1" t="s">
        <v>998</v>
      </c>
      <c r="Q520" s="1" t="s">
        <v>203</v>
      </c>
      <c r="R520" s="1" t="s">
        <v>221</v>
      </c>
      <c r="S520" s="1" t="s">
        <v>222</v>
      </c>
    </row>
    <row r="521" spans="1:19" x14ac:dyDescent="0.25">
      <c r="A521" s="1">
        <v>75</v>
      </c>
      <c r="B521" s="1" t="s">
        <v>993</v>
      </c>
      <c r="C521" s="1" t="s">
        <v>994</v>
      </c>
      <c r="D521" s="1" t="s">
        <v>995</v>
      </c>
      <c r="E521" s="1">
        <v>6</v>
      </c>
      <c r="F521" s="1">
        <v>253.405</v>
      </c>
      <c r="G521" s="1">
        <v>21135</v>
      </c>
      <c r="H521" s="1">
        <v>25511</v>
      </c>
      <c r="I521" s="1">
        <v>29402</v>
      </c>
      <c r="J521" s="1">
        <v>249.37299999999999</v>
      </c>
      <c r="K521" s="1">
        <v>-2.9430000000000001</v>
      </c>
      <c r="L521" s="1">
        <v>23.943999999999999</v>
      </c>
      <c r="M521" s="1" t="s">
        <v>996</v>
      </c>
      <c r="N521" s="1" t="s">
        <v>725</v>
      </c>
      <c r="O521" s="1" t="s">
        <v>997</v>
      </c>
      <c r="P521" s="1" t="s">
        <v>998</v>
      </c>
      <c r="Q521" s="1" t="s">
        <v>254</v>
      </c>
      <c r="R521" s="1" t="s">
        <v>149</v>
      </c>
      <c r="S521" s="1" t="s">
        <v>163</v>
      </c>
    </row>
    <row r="522" spans="1:19" x14ac:dyDescent="0.25">
      <c r="A522" s="1">
        <v>75</v>
      </c>
      <c r="B522" s="1" t="s">
        <v>993</v>
      </c>
      <c r="C522" s="1" t="s">
        <v>994</v>
      </c>
      <c r="D522" s="1" t="s">
        <v>995</v>
      </c>
      <c r="E522" s="1">
        <v>7</v>
      </c>
      <c r="F522" s="1">
        <v>241.16900000000001</v>
      </c>
      <c r="G522" s="1">
        <v>20009</v>
      </c>
      <c r="H522" s="1">
        <v>24139</v>
      </c>
      <c r="I522" s="1">
        <v>27837</v>
      </c>
      <c r="J522" s="1">
        <v>237.33099999999999</v>
      </c>
      <c r="K522" s="1">
        <v>-2.9740000000000002</v>
      </c>
      <c r="L522" s="1">
        <v>24.02</v>
      </c>
      <c r="M522" s="1" t="s">
        <v>996</v>
      </c>
      <c r="N522" s="1" t="s">
        <v>725</v>
      </c>
      <c r="O522" s="1" t="s">
        <v>997</v>
      </c>
      <c r="P522" s="1" t="s">
        <v>998</v>
      </c>
      <c r="Q522" s="1" t="s">
        <v>254</v>
      </c>
      <c r="R522" s="1" t="s">
        <v>149</v>
      </c>
      <c r="S522" s="1" t="s">
        <v>163</v>
      </c>
    </row>
    <row r="523" spans="1:19" hidden="1" x14ac:dyDescent="0.25">
      <c r="A523" s="1">
        <v>76</v>
      </c>
      <c r="B523" s="1" t="s">
        <v>999</v>
      </c>
      <c r="C523" s="1" t="s">
        <v>412</v>
      </c>
      <c r="D523" s="1" t="s">
        <v>1000</v>
      </c>
      <c r="E523" s="1">
        <v>1</v>
      </c>
      <c r="F523" s="1">
        <v>175.625</v>
      </c>
      <c r="G523" s="1">
        <v>8969</v>
      </c>
      <c r="H523" s="1">
        <v>10730</v>
      </c>
      <c r="I523" s="1">
        <v>12417</v>
      </c>
      <c r="J523" s="1">
        <v>172.839</v>
      </c>
      <c r="K523" s="1">
        <v>-5.4039999999999999</v>
      </c>
      <c r="L523" s="1">
        <v>19.119</v>
      </c>
      <c r="M523" s="1" t="s">
        <v>1001</v>
      </c>
      <c r="N523" s="1" t="s">
        <v>725</v>
      </c>
      <c r="O523" s="1" t="s">
        <v>1002</v>
      </c>
      <c r="P523" s="1" t="s">
        <v>1003</v>
      </c>
      <c r="Q523" s="1" t="s">
        <v>69</v>
      </c>
      <c r="R523" s="1" t="s">
        <v>152</v>
      </c>
      <c r="S523" s="1" t="s">
        <v>151</v>
      </c>
    </row>
    <row r="524" spans="1:19" hidden="1" x14ac:dyDescent="0.25">
      <c r="A524" s="1">
        <v>76</v>
      </c>
      <c r="B524" s="1" t="s">
        <v>999</v>
      </c>
      <c r="C524" s="1" t="s">
        <v>412</v>
      </c>
      <c r="D524" s="1" t="s">
        <v>1000</v>
      </c>
      <c r="E524" s="1">
        <v>2</v>
      </c>
      <c r="F524" s="1">
        <v>173.54</v>
      </c>
      <c r="G524" s="1">
        <v>8978</v>
      </c>
      <c r="H524" s="1">
        <v>10742</v>
      </c>
      <c r="I524" s="1">
        <v>12432</v>
      </c>
      <c r="J524" s="1">
        <v>170.78700000000001</v>
      </c>
      <c r="K524" s="1">
        <v>-5.4009999999999998</v>
      </c>
      <c r="L524" s="1">
        <v>19.088999999999999</v>
      </c>
      <c r="M524" s="1" t="s">
        <v>1001</v>
      </c>
      <c r="N524" s="1" t="s">
        <v>725</v>
      </c>
      <c r="O524" s="1" t="s">
        <v>1002</v>
      </c>
      <c r="P524" s="1" t="s">
        <v>1003</v>
      </c>
      <c r="Q524" s="1" t="s">
        <v>138</v>
      </c>
      <c r="R524" s="1" t="s">
        <v>170</v>
      </c>
      <c r="S524" s="1" t="s">
        <v>206</v>
      </c>
    </row>
    <row r="525" spans="1:19" hidden="1" x14ac:dyDescent="0.25">
      <c r="A525" s="1">
        <v>76</v>
      </c>
      <c r="B525" s="1" t="s">
        <v>999</v>
      </c>
      <c r="C525" s="1" t="s">
        <v>412</v>
      </c>
      <c r="D525" s="1" t="s">
        <v>1000</v>
      </c>
      <c r="E525" s="1">
        <v>3</v>
      </c>
      <c r="F525" s="1">
        <v>174.64500000000001</v>
      </c>
      <c r="G525" s="1">
        <v>9019</v>
      </c>
      <c r="H525" s="1">
        <v>10789</v>
      </c>
      <c r="I525" s="1">
        <v>12485</v>
      </c>
      <c r="J525" s="1">
        <v>171.874</v>
      </c>
      <c r="K525" s="1">
        <v>-5.4020000000000001</v>
      </c>
      <c r="L525" s="1">
        <v>19.093</v>
      </c>
      <c r="M525" s="1" t="s">
        <v>1001</v>
      </c>
      <c r="N525" s="1" t="s">
        <v>725</v>
      </c>
      <c r="O525" s="1" t="s">
        <v>1002</v>
      </c>
      <c r="P525" s="1" t="s">
        <v>1003</v>
      </c>
      <c r="Q525" s="1" t="s">
        <v>161</v>
      </c>
      <c r="R525" s="1" t="s">
        <v>236</v>
      </c>
      <c r="S525" s="1" t="s">
        <v>238</v>
      </c>
    </row>
    <row r="526" spans="1:19" hidden="1" x14ac:dyDescent="0.25">
      <c r="A526" s="1">
        <v>76</v>
      </c>
      <c r="B526" s="1" t="s">
        <v>999</v>
      </c>
      <c r="C526" s="1" t="s">
        <v>412</v>
      </c>
      <c r="D526" s="1" t="s">
        <v>1000</v>
      </c>
      <c r="E526" s="1">
        <v>4</v>
      </c>
      <c r="F526" s="1">
        <v>174.709</v>
      </c>
      <c r="G526" s="1">
        <v>8979</v>
      </c>
      <c r="H526" s="1">
        <v>10743</v>
      </c>
      <c r="I526" s="1">
        <v>12431</v>
      </c>
      <c r="J526" s="1">
        <v>171.93700000000001</v>
      </c>
      <c r="K526" s="1">
        <v>-5.399</v>
      </c>
      <c r="L526" s="1">
        <v>19.082999999999998</v>
      </c>
      <c r="M526" s="1" t="s">
        <v>1001</v>
      </c>
      <c r="N526" s="1" t="s">
        <v>725</v>
      </c>
      <c r="O526" s="1" t="s">
        <v>1002</v>
      </c>
      <c r="P526" s="1" t="s">
        <v>1003</v>
      </c>
      <c r="Q526" s="1" t="s">
        <v>165</v>
      </c>
      <c r="R526" s="1" t="s">
        <v>143</v>
      </c>
      <c r="S526" s="1" t="s">
        <v>247</v>
      </c>
    </row>
    <row r="527" spans="1:19" hidden="1" x14ac:dyDescent="0.25">
      <c r="A527" s="1">
        <v>76</v>
      </c>
      <c r="B527" s="1" t="s">
        <v>999</v>
      </c>
      <c r="C527" s="1" t="s">
        <v>412</v>
      </c>
      <c r="D527" s="1" t="s">
        <v>1000</v>
      </c>
      <c r="E527" s="1">
        <v>5</v>
      </c>
      <c r="F527" s="1">
        <v>139.79400000000001</v>
      </c>
      <c r="G527" s="1">
        <v>10851</v>
      </c>
      <c r="H527" s="1">
        <v>13053</v>
      </c>
      <c r="I527" s="1">
        <v>15102</v>
      </c>
      <c r="J527" s="1">
        <v>137.57</v>
      </c>
      <c r="K527" s="1">
        <v>-3.0230000000000001</v>
      </c>
      <c r="L527" s="1">
        <v>24.145</v>
      </c>
      <c r="M527" s="1" t="s">
        <v>1001</v>
      </c>
      <c r="N527" s="1" t="s">
        <v>725</v>
      </c>
      <c r="O527" s="1" t="s">
        <v>1002</v>
      </c>
      <c r="P527" s="1" t="s">
        <v>1003</v>
      </c>
      <c r="Q527" s="1" t="s">
        <v>188</v>
      </c>
      <c r="R527" s="1" t="s">
        <v>215</v>
      </c>
      <c r="S527" s="1" t="s">
        <v>112</v>
      </c>
    </row>
    <row r="528" spans="1:19" x14ac:dyDescent="0.25">
      <c r="A528" s="1">
        <v>76</v>
      </c>
      <c r="B528" s="1" t="s">
        <v>999</v>
      </c>
      <c r="C528" s="1" t="s">
        <v>412</v>
      </c>
      <c r="D528" s="1" t="s">
        <v>1000</v>
      </c>
      <c r="E528" s="1">
        <v>6</v>
      </c>
      <c r="F528" s="1">
        <v>211.268</v>
      </c>
      <c r="G528" s="1">
        <v>16768</v>
      </c>
      <c r="H528" s="1">
        <v>20199</v>
      </c>
      <c r="I528" s="1">
        <v>23323</v>
      </c>
      <c r="J528" s="1">
        <v>207.90600000000001</v>
      </c>
      <c r="K528" s="1">
        <v>-2.7109999999999999</v>
      </c>
      <c r="L528" s="1">
        <v>23.878</v>
      </c>
      <c r="M528" s="1" t="s">
        <v>1001</v>
      </c>
      <c r="N528" s="1" t="s">
        <v>725</v>
      </c>
      <c r="O528" s="1" t="s">
        <v>1002</v>
      </c>
      <c r="P528" s="1" t="s">
        <v>1003</v>
      </c>
      <c r="Q528" s="1" t="s">
        <v>258</v>
      </c>
      <c r="R528" s="1" t="s">
        <v>151</v>
      </c>
      <c r="S528" s="1" t="s">
        <v>266</v>
      </c>
    </row>
    <row r="529" spans="1:19" x14ac:dyDescent="0.25">
      <c r="A529" s="1">
        <v>76</v>
      </c>
      <c r="B529" s="1" t="s">
        <v>999</v>
      </c>
      <c r="C529" s="1" t="s">
        <v>412</v>
      </c>
      <c r="D529" s="1" t="s">
        <v>1000</v>
      </c>
      <c r="E529" s="1">
        <v>7</v>
      </c>
      <c r="F529" s="1">
        <v>198.352</v>
      </c>
      <c r="G529" s="1">
        <v>15783</v>
      </c>
      <c r="H529" s="1">
        <v>19011</v>
      </c>
      <c r="I529" s="1">
        <v>21961</v>
      </c>
      <c r="J529" s="1">
        <v>195.19499999999999</v>
      </c>
      <c r="K529" s="1">
        <v>-2.6760000000000002</v>
      </c>
      <c r="L529" s="1">
        <v>23.940999999999999</v>
      </c>
      <c r="M529" s="1" t="s">
        <v>1001</v>
      </c>
      <c r="N529" s="1" t="s">
        <v>725</v>
      </c>
      <c r="O529" s="1" t="s">
        <v>1002</v>
      </c>
      <c r="P529" s="1" t="s">
        <v>1003</v>
      </c>
      <c r="Q529" s="1" t="s">
        <v>1004</v>
      </c>
      <c r="R529" s="1" t="s">
        <v>388</v>
      </c>
      <c r="S529" s="1" t="s">
        <v>405</v>
      </c>
    </row>
    <row r="530" spans="1:19" hidden="1" x14ac:dyDescent="0.25">
      <c r="A530" s="1">
        <v>77</v>
      </c>
      <c r="B530" s="1" t="s">
        <v>1005</v>
      </c>
      <c r="C530" s="1" t="s">
        <v>1006</v>
      </c>
      <c r="D530" s="1" t="s">
        <v>1007</v>
      </c>
      <c r="E530" s="1">
        <v>1</v>
      </c>
      <c r="F530" s="1">
        <v>174.37100000000001</v>
      </c>
      <c r="G530" s="1">
        <v>8905</v>
      </c>
      <c r="H530" s="1">
        <v>10653</v>
      </c>
      <c r="I530" s="1">
        <v>12333</v>
      </c>
      <c r="J530" s="1">
        <v>171.60499999999999</v>
      </c>
      <c r="K530" s="1">
        <v>-5.3949999999999996</v>
      </c>
      <c r="L530" s="1">
        <v>19.100000000000001</v>
      </c>
      <c r="M530" s="1" t="s">
        <v>1008</v>
      </c>
      <c r="N530" s="1" t="s">
        <v>725</v>
      </c>
      <c r="O530" s="1" t="s">
        <v>1009</v>
      </c>
      <c r="P530" s="1" t="s">
        <v>1010</v>
      </c>
      <c r="Q530" s="1" t="s">
        <v>58</v>
      </c>
      <c r="R530" s="1" t="s">
        <v>172</v>
      </c>
      <c r="S530" s="1" t="s">
        <v>164</v>
      </c>
    </row>
    <row r="531" spans="1:19" hidden="1" x14ac:dyDescent="0.25">
      <c r="A531" s="1">
        <v>77</v>
      </c>
      <c r="B531" s="1" t="s">
        <v>1005</v>
      </c>
      <c r="C531" s="1" t="s">
        <v>1006</v>
      </c>
      <c r="D531" s="1" t="s">
        <v>1007</v>
      </c>
      <c r="E531" s="1">
        <v>2</v>
      </c>
      <c r="F531" s="1">
        <v>172.08099999999999</v>
      </c>
      <c r="G531" s="1">
        <v>8907</v>
      </c>
      <c r="H531" s="1">
        <v>10654</v>
      </c>
      <c r="I531" s="1">
        <v>12335</v>
      </c>
      <c r="J531" s="1">
        <v>169.351</v>
      </c>
      <c r="K531" s="1">
        <v>-5.4</v>
      </c>
      <c r="L531" s="1">
        <v>19.087</v>
      </c>
      <c r="M531" s="1" t="s">
        <v>1008</v>
      </c>
      <c r="N531" s="1" t="s">
        <v>725</v>
      </c>
      <c r="O531" s="1" t="s">
        <v>1009</v>
      </c>
      <c r="P531" s="1" t="s">
        <v>1010</v>
      </c>
      <c r="Q531" s="1" t="s">
        <v>291</v>
      </c>
      <c r="R531" s="1" t="s">
        <v>328</v>
      </c>
      <c r="S531" s="1" t="s">
        <v>168</v>
      </c>
    </row>
    <row r="532" spans="1:19" hidden="1" x14ac:dyDescent="0.25">
      <c r="A532" s="1">
        <v>77</v>
      </c>
      <c r="B532" s="1" t="s">
        <v>1005</v>
      </c>
      <c r="C532" s="1" t="s">
        <v>1006</v>
      </c>
      <c r="D532" s="1" t="s">
        <v>1007</v>
      </c>
      <c r="E532" s="1">
        <v>3</v>
      </c>
      <c r="F532" s="1">
        <v>173.18700000000001</v>
      </c>
      <c r="G532" s="1">
        <v>8955</v>
      </c>
      <c r="H532" s="1">
        <v>10713</v>
      </c>
      <c r="I532" s="1">
        <v>12404</v>
      </c>
      <c r="J532" s="1">
        <v>170.44</v>
      </c>
      <c r="K532" s="1">
        <v>-5.4020000000000001</v>
      </c>
      <c r="L532" s="1">
        <v>19.088999999999999</v>
      </c>
      <c r="M532" s="1" t="s">
        <v>1008</v>
      </c>
      <c r="N532" s="1" t="s">
        <v>725</v>
      </c>
      <c r="O532" s="1" t="s">
        <v>1009</v>
      </c>
      <c r="P532" s="1" t="s">
        <v>1010</v>
      </c>
      <c r="Q532" s="1" t="s">
        <v>167</v>
      </c>
      <c r="R532" s="1" t="s">
        <v>237</v>
      </c>
      <c r="S532" s="1" t="s">
        <v>206</v>
      </c>
    </row>
    <row r="533" spans="1:19" hidden="1" x14ac:dyDescent="0.25">
      <c r="A533" s="1">
        <v>77</v>
      </c>
      <c r="B533" s="1" t="s">
        <v>1005</v>
      </c>
      <c r="C533" s="1" t="s">
        <v>1006</v>
      </c>
      <c r="D533" s="1" t="s">
        <v>1007</v>
      </c>
      <c r="E533" s="1">
        <v>4</v>
      </c>
      <c r="F533" s="1">
        <v>172.88200000000001</v>
      </c>
      <c r="G533" s="1">
        <v>8889</v>
      </c>
      <c r="H533" s="1">
        <v>10634</v>
      </c>
      <c r="I533" s="1">
        <v>12312</v>
      </c>
      <c r="J533" s="1">
        <v>170.13900000000001</v>
      </c>
      <c r="K533" s="1">
        <v>-5.399</v>
      </c>
      <c r="L533" s="1">
        <v>19.082999999999998</v>
      </c>
      <c r="M533" s="1" t="s">
        <v>1008</v>
      </c>
      <c r="N533" s="1" t="s">
        <v>725</v>
      </c>
      <c r="O533" s="1" t="s">
        <v>1009</v>
      </c>
      <c r="P533" s="1" t="s">
        <v>1010</v>
      </c>
      <c r="Q533" s="1" t="s">
        <v>146</v>
      </c>
      <c r="R533" s="1" t="s">
        <v>299</v>
      </c>
      <c r="S533" s="1" t="s">
        <v>305</v>
      </c>
    </row>
    <row r="534" spans="1:19" hidden="1" x14ac:dyDescent="0.25">
      <c r="A534" s="1">
        <v>77</v>
      </c>
      <c r="B534" s="1" t="s">
        <v>1005</v>
      </c>
      <c r="C534" s="1" t="s">
        <v>1006</v>
      </c>
      <c r="D534" s="1" t="s">
        <v>1007</v>
      </c>
      <c r="E534" s="1">
        <v>5</v>
      </c>
      <c r="F534" s="1">
        <v>114.736</v>
      </c>
      <c r="G534" s="1">
        <v>9365</v>
      </c>
      <c r="H534" s="1">
        <v>11267</v>
      </c>
      <c r="I534" s="1">
        <v>13041</v>
      </c>
      <c r="J534" s="1">
        <v>112.91</v>
      </c>
      <c r="K534" s="1">
        <v>-2.8</v>
      </c>
      <c r="L534" s="1">
        <v>24.096</v>
      </c>
      <c r="M534" s="1" t="s">
        <v>1008</v>
      </c>
      <c r="N534" s="1" t="s">
        <v>725</v>
      </c>
      <c r="O534" s="1" t="s">
        <v>1009</v>
      </c>
      <c r="P534" s="1" t="s">
        <v>1010</v>
      </c>
      <c r="Q534" s="1" t="s">
        <v>200</v>
      </c>
      <c r="R534" s="1" t="s">
        <v>975</v>
      </c>
      <c r="S534" s="1" t="s">
        <v>137</v>
      </c>
    </row>
    <row r="535" spans="1:19" x14ac:dyDescent="0.25">
      <c r="A535" s="1">
        <v>77</v>
      </c>
      <c r="B535" s="1" t="s">
        <v>1005</v>
      </c>
      <c r="C535" s="1" t="s">
        <v>1006</v>
      </c>
      <c r="D535" s="1" t="s">
        <v>1007</v>
      </c>
      <c r="E535" s="1">
        <v>6</v>
      </c>
      <c r="F535" s="1">
        <v>230.971</v>
      </c>
      <c r="G535" s="1">
        <v>19315</v>
      </c>
      <c r="H535" s="1">
        <v>23292</v>
      </c>
      <c r="I535" s="1">
        <v>26875</v>
      </c>
      <c r="J535" s="1">
        <v>227.29599999999999</v>
      </c>
      <c r="K535" s="1">
        <v>-2.7530000000000001</v>
      </c>
      <c r="L535" s="1">
        <v>23.687999999999999</v>
      </c>
      <c r="M535" s="1" t="s">
        <v>1008</v>
      </c>
      <c r="N535" s="1" t="s">
        <v>725</v>
      </c>
      <c r="O535" s="1" t="s">
        <v>1009</v>
      </c>
      <c r="P535" s="1" t="s">
        <v>1010</v>
      </c>
      <c r="Q535" s="1" t="s">
        <v>90</v>
      </c>
      <c r="R535" s="1" t="s">
        <v>160</v>
      </c>
      <c r="S535" s="1" t="s">
        <v>156</v>
      </c>
    </row>
    <row r="536" spans="1:19" x14ac:dyDescent="0.25">
      <c r="A536" s="1">
        <v>77</v>
      </c>
      <c r="B536" s="1" t="s">
        <v>1005</v>
      </c>
      <c r="C536" s="1" t="s">
        <v>1006</v>
      </c>
      <c r="D536" s="1" t="s">
        <v>1007</v>
      </c>
      <c r="E536" s="1">
        <v>7</v>
      </c>
      <c r="F536" s="1">
        <v>220.59299999999999</v>
      </c>
      <c r="G536" s="1">
        <v>18318</v>
      </c>
      <c r="H536" s="1">
        <v>22083</v>
      </c>
      <c r="I536" s="1">
        <v>25490</v>
      </c>
      <c r="J536" s="1">
        <v>217.08199999999999</v>
      </c>
      <c r="K536" s="1">
        <v>-2.7959999999999998</v>
      </c>
      <c r="L536" s="1">
        <v>23.715</v>
      </c>
      <c r="M536" s="1" t="s">
        <v>1008</v>
      </c>
      <c r="N536" s="1" t="s">
        <v>725</v>
      </c>
      <c r="O536" s="1" t="s">
        <v>1009</v>
      </c>
      <c r="P536" s="1" t="s">
        <v>1010</v>
      </c>
      <c r="Q536" s="1" t="s">
        <v>90</v>
      </c>
      <c r="R536" s="1" t="s">
        <v>160</v>
      </c>
      <c r="S536" s="1" t="s">
        <v>156</v>
      </c>
    </row>
    <row r="537" spans="1:19" hidden="1" x14ac:dyDescent="0.25">
      <c r="A537" s="1">
        <v>78</v>
      </c>
      <c r="B537" s="1" t="s">
        <v>1011</v>
      </c>
      <c r="C537" s="1" t="s">
        <v>428</v>
      </c>
      <c r="D537" s="1" t="s">
        <v>1012</v>
      </c>
      <c r="E537" s="1">
        <v>1</v>
      </c>
      <c r="F537" s="1">
        <v>175.34100000000001</v>
      </c>
      <c r="G537" s="1">
        <v>8958</v>
      </c>
      <c r="H537" s="1">
        <v>10720</v>
      </c>
      <c r="I537" s="1">
        <v>12385</v>
      </c>
      <c r="J537" s="1">
        <v>172.56</v>
      </c>
      <c r="K537" s="1">
        <v>-5.3730000000000002</v>
      </c>
      <c r="L537" s="1">
        <v>18.968</v>
      </c>
      <c r="M537" s="1" t="s">
        <v>1013</v>
      </c>
      <c r="N537" s="1" t="s">
        <v>725</v>
      </c>
      <c r="O537" s="1" t="s">
        <v>1014</v>
      </c>
      <c r="P537" s="1" t="s">
        <v>1015</v>
      </c>
      <c r="Q537" s="1" t="s">
        <v>86</v>
      </c>
      <c r="R537" s="1" t="s">
        <v>256</v>
      </c>
      <c r="S537" s="1" t="s">
        <v>250</v>
      </c>
    </row>
    <row r="538" spans="1:19" hidden="1" x14ac:dyDescent="0.25">
      <c r="A538" s="1">
        <v>78</v>
      </c>
      <c r="B538" s="1" t="s">
        <v>1011</v>
      </c>
      <c r="C538" s="1" t="s">
        <v>428</v>
      </c>
      <c r="D538" s="1" t="s">
        <v>1012</v>
      </c>
      <c r="E538" s="1">
        <v>2</v>
      </c>
      <c r="F538" s="1">
        <v>173.13499999999999</v>
      </c>
      <c r="G538" s="1">
        <v>8955</v>
      </c>
      <c r="H538" s="1">
        <v>10715</v>
      </c>
      <c r="I538" s="1">
        <v>12382</v>
      </c>
      <c r="J538" s="1">
        <v>170.39</v>
      </c>
      <c r="K538" s="1">
        <v>-5.3940000000000001</v>
      </c>
      <c r="L538" s="1">
        <v>18.957999999999998</v>
      </c>
      <c r="M538" s="1" t="s">
        <v>1013</v>
      </c>
      <c r="N538" s="1" t="s">
        <v>725</v>
      </c>
      <c r="O538" s="1" t="s">
        <v>1014</v>
      </c>
      <c r="P538" s="1" t="s">
        <v>1015</v>
      </c>
      <c r="Q538" s="1" t="s">
        <v>249</v>
      </c>
      <c r="R538" s="1" t="s">
        <v>194</v>
      </c>
      <c r="S538" s="1" t="s">
        <v>201</v>
      </c>
    </row>
    <row r="539" spans="1:19" hidden="1" x14ac:dyDescent="0.25">
      <c r="A539" s="1">
        <v>78</v>
      </c>
      <c r="B539" s="1" t="s">
        <v>1011</v>
      </c>
      <c r="C539" s="1" t="s">
        <v>428</v>
      </c>
      <c r="D539" s="1" t="s">
        <v>1012</v>
      </c>
      <c r="E539" s="1">
        <v>3</v>
      </c>
      <c r="F539" s="1">
        <v>174.245</v>
      </c>
      <c r="G539" s="1">
        <v>9001</v>
      </c>
      <c r="H539" s="1">
        <v>10769</v>
      </c>
      <c r="I539" s="1">
        <v>12451</v>
      </c>
      <c r="J539" s="1">
        <v>171.482</v>
      </c>
      <c r="K539" s="1">
        <v>-5.3940000000000001</v>
      </c>
      <c r="L539" s="1">
        <v>19.074000000000002</v>
      </c>
      <c r="M539" s="1" t="s">
        <v>1013</v>
      </c>
      <c r="N539" s="1" t="s">
        <v>725</v>
      </c>
      <c r="O539" s="1" t="s">
        <v>1014</v>
      </c>
      <c r="P539" s="1" t="s">
        <v>1015</v>
      </c>
      <c r="Q539" s="1" t="s">
        <v>139</v>
      </c>
      <c r="R539" s="1" t="s">
        <v>177</v>
      </c>
      <c r="S539" s="1" t="s">
        <v>305</v>
      </c>
    </row>
    <row r="540" spans="1:19" hidden="1" x14ac:dyDescent="0.25">
      <c r="A540" s="1">
        <v>78</v>
      </c>
      <c r="B540" s="1" t="s">
        <v>1011</v>
      </c>
      <c r="C540" s="1" t="s">
        <v>428</v>
      </c>
      <c r="D540" s="1" t="s">
        <v>1012</v>
      </c>
      <c r="E540" s="1">
        <v>4</v>
      </c>
      <c r="F540" s="1">
        <v>174.6</v>
      </c>
      <c r="G540" s="1">
        <v>8972</v>
      </c>
      <c r="H540" s="1">
        <v>10735</v>
      </c>
      <c r="I540" s="1">
        <v>12404</v>
      </c>
      <c r="J540" s="1">
        <v>171.83099999999999</v>
      </c>
      <c r="K540" s="1">
        <v>-5.399</v>
      </c>
      <c r="L540" s="1">
        <v>19.082999999999998</v>
      </c>
      <c r="M540" s="1" t="s">
        <v>1013</v>
      </c>
      <c r="N540" s="1" t="s">
        <v>725</v>
      </c>
      <c r="O540" s="1" t="s">
        <v>1014</v>
      </c>
      <c r="P540" s="1" t="s">
        <v>1015</v>
      </c>
      <c r="Q540" s="1" t="s">
        <v>161</v>
      </c>
      <c r="R540" s="1" t="s">
        <v>236</v>
      </c>
      <c r="S540" s="1" t="s">
        <v>238</v>
      </c>
    </row>
    <row r="541" spans="1:19" hidden="1" x14ac:dyDescent="0.25">
      <c r="A541" s="1">
        <v>78</v>
      </c>
      <c r="B541" s="1" t="s">
        <v>1011</v>
      </c>
      <c r="C541" s="1" t="s">
        <v>428</v>
      </c>
      <c r="D541" s="1" t="s">
        <v>1012</v>
      </c>
      <c r="E541" s="1">
        <v>5</v>
      </c>
      <c r="F541" s="1">
        <v>120.801</v>
      </c>
      <c r="G541" s="1">
        <v>9414</v>
      </c>
      <c r="H541" s="1">
        <v>11325</v>
      </c>
      <c r="I541" s="1">
        <v>13082</v>
      </c>
      <c r="J541" s="1">
        <v>118.88</v>
      </c>
      <c r="K541" s="1">
        <v>-2.7989999999999999</v>
      </c>
      <c r="L541" s="1">
        <v>23.876999999999999</v>
      </c>
      <c r="M541" s="1" t="s">
        <v>1013</v>
      </c>
      <c r="N541" s="1" t="s">
        <v>725</v>
      </c>
      <c r="O541" s="1" t="s">
        <v>1014</v>
      </c>
      <c r="P541" s="1" t="s">
        <v>1015</v>
      </c>
      <c r="Q541" s="1" t="s">
        <v>200</v>
      </c>
      <c r="R541" s="1" t="s">
        <v>145</v>
      </c>
      <c r="S541" s="1" t="s">
        <v>106</v>
      </c>
    </row>
    <row r="542" spans="1:19" x14ac:dyDescent="0.25">
      <c r="A542" s="1">
        <v>78</v>
      </c>
      <c r="B542" s="1" t="s">
        <v>1011</v>
      </c>
      <c r="C542" s="1" t="s">
        <v>428</v>
      </c>
      <c r="D542" s="1" t="s">
        <v>1012</v>
      </c>
      <c r="E542" s="1">
        <v>6</v>
      </c>
      <c r="F542" s="1">
        <v>177.95400000000001</v>
      </c>
      <c r="G542" s="1">
        <v>14129</v>
      </c>
      <c r="H542" s="1">
        <v>17016</v>
      </c>
      <c r="I542" s="1">
        <v>19624</v>
      </c>
      <c r="J542" s="1">
        <v>175.124</v>
      </c>
      <c r="K542" s="1">
        <v>-2.9809999999999999</v>
      </c>
      <c r="L542" s="1">
        <v>23.399000000000001</v>
      </c>
      <c r="M542" s="1" t="s">
        <v>1013</v>
      </c>
      <c r="N542" s="1" t="s">
        <v>725</v>
      </c>
      <c r="O542" s="1" t="s">
        <v>1014</v>
      </c>
      <c r="P542" s="1" t="s">
        <v>1015</v>
      </c>
      <c r="Q542" s="1" t="s">
        <v>85</v>
      </c>
      <c r="R542" s="1" t="s">
        <v>139</v>
      </c>
      <c r="S542" s="1" t="s">
        <v>173</v>
      </c>
    </row>
    <row r="543" spans="1:19" x14ac:dyDescent="0.25">
      <c r="A543" s="1">
        <v>78</v>
      </c>
      <c r="B543" s="1" t="s">
        <v>1011</v>
      </c>
      <c r="C543" s="1" t="s">
        <v>428</v>
      </c>
      <c r="D543" s="1" t="s">
        <v>1012</v>
      </c>
      <c r="E543" s="1">
        <v>7</v>
      </c>
      <c r="F543" s="1">
        <v>166.46799999999999</v>
      </c>
      <c r="G543" s="1">
        <v>13262</v>
      </c>
      <c r="H543" s="1">
        <v>15971</v>
      </c>
      <c r="I543" s="1">
        <v>18419</v>
      </c>
      <c r="J543" s="1">
        <v>163.82</v>
      </c>
      <c r="K543" s="1">
        <v>-2.9409999999999998</v>
      </c>
      <c r="L543" s="1">
        <v>23.48</v>
      </c>
      <c r="M543" s="1" t="s">
        <v>1013</v>
      </c>
      <c r="N543" s="1" t="s">
        <v>725</v>
      </c>
      <c r="O543" s="1" t="s">
        <v>1014</v>
      </c>
      <c r="P543" s="1" t="s">
        <v>1015</v>
      </c>
      <c r="Q543" s="1" t="s">
        <v>1016</v>
      </c>
      <c r="R543" s="1" t="s">
        <v>394</v>
      </c>
      <c r="S543" s="1" t="s">
        <v>1017</v>
      </c>
    </row>
    <row r="544" spans="1:19" hidden="1" x14ac:dyDescent="0.25">
      <c r="A544" s="1">
        <v>79</v>
      </c>
      <c r="B544" s="1" t="s">
        <v>1018</v>
      </c>
      <c r="C544" s="1" t="s">
        <v>632</v>
      </c>
      <c r="D544" s="1" t="s">
        <v>1019</v>
      </c>
      <c r="E544" s="1">
        <v>1</v>
      </c>
      <c r="F544" s="1">
        <v>175.423</v>
      </c>
      <c r="G544" s="1">
        <v>8947</v>
      </c>
      <c r="H544" s="1">
        <v>10703</v>
      </c>
      <c r="I544" s="1">
        <v>12387</v>
      </c>
      <c r="J544" s="1">
        <v>172.64</v>
      </c>
      <c r="K544" s="1">
        <v>-5.39</v>
      </c>
      <c r="L544" s="1">
        <v>19.084</v>
      </c>
      <c r="M544" s="1" t="s">
        <v>1020</v>
      </c>
      <c r="N544" s="1" t="s">
        <v>725</v>
      </c>
      <c r="O544" s="1" t="s">
        <v>1021</v>
      </c>
      <c r="P544" s="1" t="s">
        <v>1022</v>
      </c>
      <c r="Q544" s="1" t="s">
        <v>57</v>
      </c>
      <c r="R544" s="1" t="s">
        <v>113</v>
      </c>
      <c r="S544" s="1" t="s">
        <v>139</v>
      </c>
    </row>
    <row r="545" spans="1:19" hidden="1" x14ac:dyDescent="0.25">
      <c r="A545" s="1">
        <v>79</v>
      </c>
      <c r="B545" s="1" t="s">
        <v>1018</v>
      </c>
      <c r="C545" s="1" t="s">
        <v>632</v>
      </c>
      <c r="D545" s="1" t="s">
        <v>1019</v>
      </c>
      <c r="E545" s="1">
        <v>2</v>
      </c>
      <c r="F545" s="1">
        <v>172.51</v>
      </c>
      <c r="G545" s="1">
        <v>8947</v>
      </c>
      <c r="H545" s="1">
        <v>10704</v>
      </c>
      <c r="I545" s="1">
        <v>12389</v>
      </c>
      <c r="J545" s="1">
        <v>169.774</v>
      </c>
      <c r="K545" s="1">
        <v>-5.399</v>
      </c>
      <c r="L545" s="1">
        <v>19.073</v>
      </c>
      <c r="M545" s="1" t="s">
        <v>1020</v>
      </c>
      <c r="N545" s="1" t="s">
        <v>725</v>
      </c>
      <c r="O545" s="1" t="s">
        <v>1021</v>
      </c>
      <c r="P545" s="1" t="s">
        <v>1022</v>
      </c>
      <c r="Q545" s="1" t="s">
        <v>89</v>
      </c>
      <c r="R545" s="1" t="s">
        <v>279</v>
      </c>
      <c r="S545" s="1" t="s">
        <v>180</v>
      </c>
    </row>
    <row r="546" spans="1:19" hidden="1" x14ac:dyDescent="0.25">
      <c r="A546" s="1">
        <v>79</v>
      </c>
      <c r="B546" s="1" t="s">
        <v>1018</v>
      </c>
      <c r="C546" s="1" t="s">
        <v>632</v>
      </c>
      <c r="D546" s="1" t="s">
        <v>1019</v>
      </c>
      <c r="E546" s="1">
        <v>3</v>
      </c>
      <c r="F546" s="1">
        <v>174.262</v>
      </c>
      <c r="G546" s="1">
        <v>8998</v>
      </c>
      <c r="H546" s="1">
        <v>10765</v>
      </c>
      <c r="I546" s="1">
        <v>12457</v>
      </c>
      <c r="J546" s="1">
        <v>171.49700000000001</v>
      </c>
      <c r="K546" s="1">
        <v>-5.3959999999999999</v>
      </c>
      <c r="L546" s="1">
        <v>19.064</v>
      </c>
      <c r="M546" s="1" t="s">
        <v>1020</v>
      </c>
      <c r="N546" s="1" t="s">
        <v>725</v>
      </c>
      <c r="O546" s="1" t="s">
        <v>1021</v>
      </c>
      <c r="P546" s="1" t="s">
        <v>1022</v>
      </c>
      <c r="Q546" s="1" t="s">
        <v>158</v>
      </c>
      <c r="R546" s="1" t="s">
        <v>166</v>
      </c>
      <c r="S546" s="1" t="s">
        <v>304</v>
      </c>
    </row>
    <row r="547" spans="1:19" hidden="1" x14ac:dyDescent="0.25">
      <c r="A547" s="1">
        <v>79</v>
      </c>
      <c r="B547" s="1" t="s">
        <v>1018</v>
      </c>
      <c r="C547" s="1" t="s">
        <v>632</v>
      </c>
      <c r="D547" s="1" t="s">
        <v>1019</v>
      </c>
      <c r="E547" s="1">
        <v>4</v>
      </c>
      <c r="F547" s="1">
        <v>173.85900000000001</v>
      </c>
      <c r="G547" s="1">
        <v>8945</v>
      </c>
      <c r="H547" s="1">
        <v>10701</v>
      </c>
      <c r="I547" s="1">
        <v>12384</v>
      </c>
      <c r="J547" s="1">
        <v>171.101</v>
      </c>
      <c r="K547" s="1">
        <v>-5.399</v>
      </c>
      <c r="L547" s="1">
        <v>19.082999999999998</v>
      </c>
      <c r="M547" s="1" t="s">
        <v>1020</v>
      </c>
      <c r="N547" s="1" t="s">
        <v>725</v>
      </c>
      <c r="O547" s="1" t="s">
        <v>1021</v>
      </c>
      <c r="P547" s="1" t="s">
        <v>1022</v>
      </c>
      <c r="Q547" s="1" t="s">
        <v>167</v>
      </c>
      <c r="R547" s="1" t="s">
        <v>299</v>
      </c>
      <c r="S547" s="1" t="s">
        <v>282</v>
      </c>
    </row>
    <row r="548" spans="1:19" hidden="1" x14ac:dyDescent="0.25">
      <c r="A548" s="1">
        <v>79</v>
      </c>
      <c r="B548" s="1" t="s">
        <v>1018</v>
      </c>
      <c r="C548" s="1" t="s">
        <v>632</v>
      </c>
      <c r="D548" s="1" t="s">
        <v>1019</v>
      </c>
      <c r="E548" s="1">
        <v>5</v>
      </c>
      <c r="F548" s="1">
        <v>97.048000000000002</v>
      </c>
      <c r="G548" s="1">
        <v>7839</v>
      </c>
      <c r="H548" s="1">
        <v>9423</v>
      </c>
      <c r="I548" s="1">
        <v>10905</v>
      </c>
      <c r="J548" s="1">
        <v>95.504000000000005</v>
      </c>
      <c r="K548" s="1">
        <v>-3.0070000000000001</v>
      </c>
      <c r="L548" s="1">
        <v>23.550999999999998</v>
      </c>
      <c r="M548" s="1" t="s">
        <v>1020</v>
      </c>
      <c r="N548" s="1" t="s">
        <v>725</v>
      </c>
      <c r="O548" s="1" t="s">
        <v>1021</v>
      </c>
      <c r="P548" s="1" t="s">
        <v>1022</v>
      </c>
      <c r="Q548" s="1" t="s">
        <v>188</v>
      </c>
      <c r="R548" s="1" t="s">
        <v>215</v>
      </c>
      <c r="S548" s="1" t="s">
        <v>114</v>
      </c>
    </row>
    <row r="549" spans="1:19" x14ac:dyDescent="0.25">
      <c r="A549" s="1">
        <v>79</v>
      </c>
      <c r="B549" s="1" t="s">
        <v>1018</v>
      </c>
      <c r="C549" s="1" t="s">
        <v>632</v>
      </c>
      <c r="D549" s="1" t="s">
        <v>1019</v>
      </c>
      <c r="E549" s="1">
        <v>6</v>
      </c>
      <c r="F549" s="1">
        <v>183.595</v>
      </c>
      <c r="G549" s="1">
        <v>14990</v>
      </c>
      <c r="H549" s="1">
        <v>18044</v>
      </c>
      <c r="I549" s="1">
        <v>20850</v>
      </c>
      <c r="J549" s="1">
        <v>180.67400000000001</v>
      </c>
      <c r="K549" s="1">
        <v>-2.8719999999999999</v>
      </c>
      <c r="L549" s="1">
        <v>23.66</v>
      </c>
      <c r="M549" s="1" t="s">
        <v>1020</v>
      </c>
      <c r="N549" s="1" t="s">
        <v>725</v>
      </c>
      <c r="O549" s="1" t="s">
        <v>1021</v>
      </c>
      <c r="P549" s="1" t="s">
        <v>1022</v>
      </c>
      <c r="Q549" s="1" t="s">
        <v>65</v>
      </c>
      <c r="R549" s="1" t="s">
        <v>68</v>
      </c>
      <c r="S549" s="1" t="s">
        <v>245</v>
      </c>
    </row>
    <row r="550" spans="1:19" x14ac:dyDescent="0.25">
      <c r="A550" s="1">
        <v>79</v>
      </c>
      <c r="B550" s="1" t="s">
        <v>1018</v>
      </c>
      <c r="C550" s="1" t="s">
        <v>632</v>
      </c>
      <c r="D550" s="1" t="s">
        <v>1019</v>
      </c>
      <c r="E550" s="1">
        <v>7</v>
      </c>
      <c r="F550" s="1">
        <v>171.67500000000001</v>
      </c>
      <c r="G550" s="1">
        <v>13946</v>
      </c>
      <c r="H550" s="1">
        <v>16782</v>
      </c>
      <c r="I550" s="1">
        <v>19400</v>
      </c>
      <c r="J550" s="1">
        <v>168.94300000000001</v>
      </c>
      <c r="K550" s="1">
        <v>-2.8180000000000001</v>
      </c>
      <c r="L550" s="1">
        <v>23.693999999999999</v>
      </c>
      <c r="M550" s="1" t="s">
        <v>1020</v>
      </c>
      <c r="N550" s="1" t="s">
        <v>725</v>
      </c>
      <c r="O550" s="1" t="s">
        <v>1021</v>
      </c>
      <c r="P550" s="1" t="s">
        <v>1022</v>
      </c>
      <c r="Q550" s="1" t="s">
        <v>316</v>
      </c>
      <c r="R550" s="1" t="s">
        <v>438</v>
      </c>
      <c r="S550" s="1" t="s">
        <v>1023</v>
      </c>
    </row>
    <row r="551" spans="1:19" hidden="1" x14ac:dyDescent="0.25">
      <c r="A551" s="1">
        <v>80</v>
      </c>
      <c r="B551" s="1" t="s">
        <v>1024</v>
      </c>
      <c r="C551" s="1" t="s">
        <v>310</v>
      </c>
      <c r="D551" s="1" t="s">
        <v>1025</v>
      </c>
      <c r="E551" s="1">
        <v>1</v>
      </c>
      <c r="F551" s="1">
        <v>174.565</v>
      </c>
      <c r="G551" s="1">
        <v>8908</v>
      </c>
      <c r="H551" s="1">
        <v>10658</v>
      </c>
      <c r="I551" s="1">
        <v>12336</v>
      </c>
      <c r="J551" s="1">
        <v>171.79599999999999</v>
      </c>
      <c r="K551" s="1">
        <v>-5.4</v>
      </c>
      <c r="L551" s="1">
        <v>19.094999999999999</v>
      </c>
      <c r="M551" s="1" t="s">
        <v>1026</v>
      </c>
      <c r="N551" s="1" t="s">
        <v>725</v>
      </c>
      <c r="O551" s="1" t="s">
        <v>1027</v>
      </c>
      <c r="P551" s="1" t="s">
        <v>1028</v>
      </c>
      <c r="Q551" s="1" t="s">
        <v>91</v>
      </c>
      <c r="R551" s="1" t="s">
        <v>97</v>
      </c>
      <c r="S551" s="1" t="s">
        <v>167</v>
      </c>
    </row>
    <row r="552" spans="1:19" hidden="1" x14ac:dyDescent="0.25">
      <c r="A552" s="1">
        <v>80</v>
      </c>
      <c r="B552" s="1" t="s">
        <v>1024</v>
      </c>
      <c r="C552" s="1" t="s">
        <v>310</v>
      </c>
      <c r="D552" s="1" t="s">
        <v>1025</v>
      </c>
      <c r="E552" s="1">
        <v>2</v>
      </c>
      <c r="F552" s="1">
        <v>172.131</v>
      </c>
      <c r="G552" s="1">
        <v>8907</v>
      </c>
      <c r="H552" s="1">
        <v>10657</v>
      </c>
      <c r="I552" s="1">
        <v>12333</v>
      </c>
      <c r="J552" s="1">
        <v>169.40100000000001</v>
      </c>
      <c r="K552" s="1">
        <v>-5.407</v>
      </c>
      <c r="L552" s="1">
        <v>19.100999999999999</v>
      </c>
      <c r="M552" s="1" t="s">
        <v>1026</v>
      </c>
      <c r="N552" s="1" t="s">
        <v>725</v>
      </c>
      <c r="O552" s="1" t="s">
        <v>1027</v>
      </c>
      <c r="P552" s="1" t="s">
        <v>1028</v>
      </c>
      <c r="Q552" s="1" t="s">
        <v>152</v>
      </c>
      <c r="R552" s="1" t="s">
        <v>156</v>
      </c>
      <c r="S552" s="1" t="s">
        <v>259</v>
      </c>
    </row>
    <row r="553" spans="1:19" hidden="1" x14ac:dyDescent="0.25">
      <c r="A553" s="1">
        <v>80</v>
      </c>
      <c r="B553" s="1" t="s">
        <v>1024</v>
      </c>
      <c r="C553" s="1" t="s">
        <v>310</v>
      </c>
      <c r="D553" s="1" t="s">
        <v>1025</v>
      </c>
      <c r="E553" s="1">
        <v>3</v>
      </c>
      <c r="F553" s="1">
        <v>173.48400000000001</v>
      </c>
      <c r="G553" s="1">
        <v>8955</v>
      </c>
      <c r="H553" s="1">
        <v>10714</v>
      </c>
      <c r="I553" s="1">
        <v>12399</v>
      </c>
      <c r="J553" s="1">
        <v>170.73099999999999</v>
      </c>
      <c r="K553" s="1">
        <v>-5.3920000000000003</v>
      </c>
      <c r="L553" s="1">
        <v>19.106000000000002</v>
      </c>
      <c r="M553" s="1" t="s">
        <v>1026</v>
      </c>
      <c r="N553" s="1" t="s">
        <v>725</v>
      </c>
      <c r="O553" s="1" t="s">
        <v>1027</v>
      </c>
      <c r="P553" s="1" t="s">
        <v>1028</v>
      </c>
      <c r="Q553" s="1" t="s">
        <v>249</v>
      </c>
      <c r="R553" s="1" t="s">
        <v>179</v>
      </c>
      <c r="S553" s="1" t="s">
        <v>274</v>
      </c>
    </row>
    <row r="554" spans="1:19" hidden="1" x14ac:dyDescent="0.25">
      <c r="A554" s="1">
        <v>80</v>
      </c>
      <c r="B554" s="1" t="s">
        <v>1024</v>
      </c>
      <c r="C554" s="1" t="s">
        <v>310</v>
      </c>
      <c r="D554" s="1" t="s">
        <v>1025</v>
      </c>
      <c r="E554" s="1">
        <v>4</v>
      </c>
      <c r="F554" s="1">
        <v>173.47399999999999</v>
      </c>
      <c r="G554" s="1">
        <v>8926</v>
      </c>
      <c r="H554" s="1">
        <v>10679</v>
      </c>
      <c r="I554" s="1">
        <v>12359</v>
      </c>
      <c r="J554" s="1">
        <v>170.72200000000001</v>
      </c>
      <c r="K554" s="1">
        <v>-5.399</v>
      </c>
      <c r="L554" s="1">
        <v>19.082999999999998</v>
      </c>
      <c r="M554" s="1" t="s">
        <v>1026</v>
      </c>
      <c r="N554" s="1" t="s">
        <v>725</v>
      </c>
      <c r="O554" s="1" t="s">
        <v>1027</v>
      </c>
      <c r="P554" s="1" t="s">
        <v>1028</v>
      </c>
      <c r="Q554" s="1" t="s">
        <v>138</v>
      </c>
      <c r="R554" s="1" t="s">
        <v>170</v>
      </c>
      <c r="S554" s="1" t="s">
        <v>206</v>
      </c>
    </row>
    <row r="555" spans="1:19" hidden="1" x14ac:dyDescent="0.25">
      <c r="A555" s="1">
        <v>80</v>
      </c>
      <c r="B555" s="1" t="s">
        <v>1024</v>
      </c>
      <c r="C555" s="1" t="s">
        <v>310</v>
      </c>
      <c r="D555" s="1" t="s">
        <v>1025</v>
      </c>
      <c r="E555" s="1">
        <v>5</v>
      </c>
      <c r="F555" s="1">
        <v>95.581000000000003</v>
      </c>
      <c r="G555" s="1">
        <v>7466</v>
      </c>
      <c r="H555" s="1">
        <v>8978</v>
      </c>
      <c r="I555" s="1">
        <v>10388</v>
      </c>
      <c r="J555" s="1">
        <v>94.061000000000007</v>
      </c>
      <c r="K555" s="1">
        <v>-2.9039999999999999</v>
      </c>
      <c r="L555" s="1">
        <v>23.863</v>
      </c>
      <c r="M555" s="1" t="s">
        <v>1026</v>
      </c>
      <c r="N555" s="1" t="s">
        <v>725</v>
      </c>
      <c r="O555" s="1" t="s">
        <v>1027</v>
      </c>
      <c r="P555" s="1" t="s">
        <v>1028</v>
      </c>
      <c r="Q555" s="1" t="s">
        <v>217</v>
      </c>
      <c r="R555" s="1" t="s">
        <v>222</v>
      </c>
      <c r="S555" s="1" t="s">
        <v>111</v>
      </c>
    </row>
    <row r="556" spans="1:19" x14ac:dyDescent="0.25">
      <c r="A556" s="1">
        <v>80</v>
      </c>
      <c r="B556" s="1" t="s">
        <v>1024</v>
      </c>
      <c r="C556" s="1" t="s">
        <v>310</v>
      </c>
      <c r="D556" s="1" t="s">
        <v>1025</v>
      </c>
      <c r="E556" s="1">
        <v>6</v>
      </c>
      <c r="F556" s="1">
        <v>195.57300000000001</v>
      </c>
      <c r="G556" s="1">
        <v>15631</v>
      </c>
      <c r="H556" s="1">
        <v>18832</v>
      </c>
      <c r="I556" s="1">
        <v>21741</v>
      </c>
      <c r="J556" s="1">
        <v>192.46199999999999</v>
      </c>
      <c r="K556" s="1">
        <v>-3.331</v>
      </c>
      <c r="L556" s="1">
        <v>23.637</v>
      </c>
      <c r="M556" s="1" t="s">
        <v>1026</v>
      </c>
      <c r="N556" s="1" t="s">
        <v>725</v>
      </c>
      <c r="O556" s="1" t="s">
        <v>1027</v>
      </c>
      <c r="P556" s="1" t="s">
        <v>1028</v>
      </c>
      <c r="Q556" s="1" t="s">
        <v>48</v>
      </c>
      <c r="R556" s="1" t="s">
        <v>104</v>
      </c>
      <c r="S556" s="1" t="s">
        <v>165</v>
      </c>
    </row>
    <row r="557" spans="1:19" x14ac:dyDescent="0.25">
      <c r="A557" s="1">
        <v>80</v>
      </c>
      <c r="B557" s="1" t="s">
        <v>1024</v>
      </c>
      <c r="C557" s="1" t="s">
        <v>310</v>
      </c>
      <c r="D557" s="1" t="s">
        <v>1025</v>
      </c>
      <c r="E557" s="1">
        <v>7</v>
      </c>
      <c r="F557" s="1">
        <v>182.81800000000001</v>
      </c>
      <c r="G557" s="1">
        <v>14698</v>
      </c>
      <c r="H557" s="1">
        <v>17705</v>
      </c>
      <c r="I557" s="1">
        <v>20445</v>
      </c>
      <c r="J557" s="1">
        <v>179.91</v>
      </c>
      <c r="K557" s="1">
        <v>-3.331</v>
      </c>
      <c r="L557" s="1">
        <v>23.678999999999998</v>
      </c>
      <c r="M557" s="1" t="s">
        <v>1026</v>
      </c>
      <c r="N557" s="1" t="s">
        <v>725</v>
      </c>
      <c r="O557" s="1" t="s">
        <v>1027</v>
      </c>
      <c r="P557" s="1" t="s">
        <v>1028</v>
      </c>
      <c r="Q557" s="1" t="s">
        <v>478</v>
      </c>
      <c r="R557" s="1" t="s">
        <v>349</v>
      </c>
      <c r="S557" s="1" t="s">
        <v>1029</v>
      </c>
    </row>
    <row r="558" spans="1:19" hidden="1" x14ac:dyDescent="0.25">
      <c r="A558" s="1">
        <v>81</v>
      </c>
      <c r="B558" s="1" t="s">
        <v>1030</v>
      </c>
      <c r="C558" s="1" t="s">
        <v>1031</v>
      </c>
      <c r="D558" s="1" t="s">
        <v>1032</v>
      </c>
      <c r="E558" s="1">
        <v>1</v>
      </c>
      <c r="F558" s="1">
        <v>175.554</v>
      </c>
      <c r="G558" s="1">
        <v>8982</v>
      </c>
      <c r="H558" s="1">
        <v>10745</v>
      </c>
      <c r="I558" s="1">
        <v>12440</v>
      </c>
      <c r="J558" s="1">
        <v>172.768</v>
      </c>
      <c r="K558" s="1">
        <v>-5.3879999999999999</v>
      </c>
      <c r="L558" s="1">
        <v>19.076000000000001</v>
      </c>
      <c r="M558" s="1" t="s">
        <v>474</v>
      </c>
      <c r="N558" s="1" t="s">
        <v>725</v>
      </c>
      <c r="O558" s="1" t="s">
        <v>1033</v>
      </c>
      <c r="P558" s="1" t="s">
        <v>1034</v>
      </c>
      <c r="Q558" s="1" t="s">
        <v>48</v>
      </c>
      <c r="R558" s="1" t="s">
        <v>283</v>
      </c>
      <c r="S558" s="1" t="s">
        <v>160</v>
      </c>
    </row>
    <row r="559" spans="1:19" hidden="1" x14ac:dyDescent="0.25">
      <c r="A559" s="1">
        <v>81</v>
      </c>
      <c r="B559" s="1" t="s">
        <v>1030</v>
      </c>
      <c r="C559" s="1" t="s">
        <v>1031</v>
      </c>
      <c r="D559" s="1" t="s">
        <v>1032</v>
      </c>
      <c r="E559" s="1">
        <v>2</v>
      </c>
      <c r="F559" s="1">
        <v>173.82300000000001</v>
      </c>
      <c r="G559" s="1">
        <v>8988</v>
      </c>
      <c r="H559" s="1">
        <v>10752</v>
      </c>
      <c r="I559" s="1">
        <v>12449</v>
      </c>
      <c r="J559" s="1">
        <v>171.065</v>
      </c>
      <c r="K559" s="1">
        <v>-5.3970000000000002</v>
      </c>
      <c r="L559" s="1">
        <v>19.081</v>
      </c>
      <c r="M559" s="1" t="s">
        <v>474</v>
      </c>
      <c r="N559" s="1" t="s">
        <v>725</v>
      </c>
      <c r="O559" s="1" t="s">
        <v>1033</v>
      </c>
      <c r="P559" s="1" t="s">
        <v>1034</v>
      </c>
      <c r="Q559" s="1" t="s">
        <v>253</v>
      </c>
      <c r="R559" s="1" t="s">
        <v>297</v>
      </c>
      <c r="S559" s="1" t="s">
        <v>142</v>
      </c>
    </row>
    <row r="560" spans="1:19" hidden="1" x14ac:dyDescent="0.25">
      <c r="A560" s="1">
        <v>81</v>
      </c>
      <c r="B560" s="1" t="s">
        <v>1030</v>
      </c>
      <c r="C560" s="1" t="s">
        <v>1031</v>
      </c>
      <c r="D560" s="1" t="s">
        <v>1032</v>
      </c>
      <c r="E560" s="1">
        <v>3</v>
      </c>
      <c r="F560" s="1">
        <v>174.98599999999999</v>
      </c>
      <c r="G560" s="1">
        <v>9046</v>
      </c>
      <c r="H560" s="1">
        <v>10822</v>
      </c>
      <c r="I560" s="1">
        <v>12530</v>
      </c>
      <c r="J560" s="1">
        <v>172.21</v>
      </c>
      <c r="K560" s="1">
        <v>-5.3970000000000002</v>
      </c>
      <c r="L560" s="1">
        <v>19.056999999999999</v>
      </c>
      <c r="M560" s="1" t="s">
        <v>474</v>
      </c>
      <c r="N560" s="1" t="s">
        <v>725</v>
      </c>
      <c r="O560" s="1" t="s">
        <v>1033</v>
      </c>
      <c r="P560" s="1" t="s">
        <v>1034</v>
      </c>
      <c r="Q560" s="1" t="s">
        <v>167</v>
      </c>
      <c r="R560" s="1" t="s">
        <v>237</v>
      </c>
      <c r="S560" s="1" t="s">
        <v>206</v>
      </c>
    </row>
    <row r="561" spans="1:19" hidden="1" x14ac:dyDescent="0.25">
      <c r="A561" s="1">
        <v>81</v>
      </c>
      <c r="B561" s="1" t="s">
        <v>1030</v>
      </c>
      <c r="C561" s="1" t="s">
        <v>1031</v>
      </c>
      <c r="D561" s="1" t="s">
        <v>1032</v>
      </c>
      <c r="E561" s="1">
        <v>4</v>
      </c>
      <c r="F561" s="1">
        <v>174.536</v>
      </c>
      <c r="G561" s="1">
        <v>8987</v>
      </c>
      <c r="H561" s="1">
        <v>10751</v>
      </c>
      <c r="I561" s="1">
        <v>12450</v>
      </c>
      <c r="J561" s="1">
        <v>171.767</v>
      </c>
      <c r="K561" s="1">
        <v>-5.399</v>
      </c>
      <c r="L561" s="1">
        <v>19.082999999999998</v>
      </c>
      <c r="M561" s="1" t="s">
        <v>474</v>
      </c>
      <c r="N561" s="1" t="s">
        <v>725</v>
      </c>
      <c r="O561" s="1" t="s">
        <v>1033</v>
      </c>
      <c r="P561" s="1" t="s">
        <v>1034</v>
      </c>
      <c r="Q561" s="1" t="s">
        <v>146</v>
      </c>
      <c r="R561" s="1" t="s">
        <v>299</v>
      </c>
      <c r="S561" s="1" t="s">
        <v>292</v>
      </c>
    </row>
    <row r="562" spans="1:19" hidden="1" x14ac:dyDescent="0.25">
      <c r="A562" s="1">
        <v>81</v>
      </c>
      <c r="B562" s="1" t="s">
        <v>1030</v>
      </c>
      <c r="C562" s="1" t="s">
        <v>1031</v>
      </c>
      <c r="D562" s="1" t="s">
        <v>1032</v>
      </c>
      <c r="E562" s="1">
        <v>5</v>
      </c>
      <c r="F562" s="1">
        <v>106.998</v>
      </c>
      <c r="G562" s="1">
        <v>8495</v>
      </c>
      <c r="H562" s="1">
        <v>10207</v>
      </c>
      <c r="I562" s="1">
        <v>11826</v>
      </c>
      <c r="J562" s="1">
        <v>105.29600000000001</v>
      </c>
      <c r="K562" s="1">
        <v>-3.3919999999999999</v>
      </c>
      <c r="L562" s="1">
        <v>23.683</v>
      </c>
      <c r="M562" s="1" t="s">
        <v>474</v>
      </c>
      <c r="N562" s="1" t="s">
        <v>725</v>
      </c>
      <c r="O562" s="1" t="s">
        <v>1033</v>
      </c>
      <c r="P562" s="1" t="s">
        <v>1034</v>
      </c>
      <c r="Q562" s="1" t="s">
        <v>208</v>
      </c>
      <c r="R562" s="1" t="s">
        <v>111</v>
      </c>
      <c r="S562" s="1" t="s">
        <v>61</v>
      </c>
    </row>
    <row r="563" spans="1:19" x14ac:dyDescent="0.25">
      <c r="A563" s="1">
        <v>81</v>
      </c>
      <c r="B563" s="1" t="s">
        <v>1030</v>
      </c>
      <c r="C563" s="1" t="s">
        <v>1031</v>
      </c>
      <c r="D563" s="1" t="s">
        <v>1032</v>
      </c>
      <c r="E563" s="1">
        <v>6</v>
      </c>
      <c r="F563" s="1">
        <v>246.09899999999999</v>
      </c>
      <c r="G563" s="1">
        <v>19902</v>
      </c>
      <c r="H563" s="1">
        <v>23956</v>
      </c>
      <c r="I563" s="1">
        <v>27710</v>
      </c>
      <c r="J563" s="1">
        <v>242.185</v>
      </c>
      <c r="K563" s="1">
        <v>-3.649</v>
      </c>
      <c r="L563" s="1">
        <v>24.042000000000002</v>
      </c>
      <c r="M563" s="1" t="s">
        <v>474</v>
      </c>
      <c r="N563" s="1" t="s">
        <v>725</v>
      </c>
      <c r="O563" s="1" t="s">
        <v>1033</v>
      </c>
      <c r="P563" s="1" t="s">
        <v>1034</v>
      </c>
      <c r="Q563" s="1" t="s">
        <v>79</v>
      </c>
      <c r="R563" s="1" t="s">
        <v>159</v>
      </c>
      <c r="S563" s="1" t="s">
        <v>366</v>
      </c>
    </row>
    <row r="564" spans="1:19" x14ac:dyDescent="0.25">
      <c r="A564" s="1">
        <v>81</v>
      </c>
      <c r="B564" s="1" t="s">
        <v>1030</v>
      </c>
      <c r="C564" s="1" t="s">
        <v>1031</v>
      </c>
      <c r="D564" s="1" t="s">
        <v>1032</v>
      </c>
      <c r="E564" s="1">
        <v>7</v>
      </c>
      <c r="F564" s="1">
        <v>229.655</v>
      </c>
      <c r="G564" s="1">
        <v>18489</v>
      </c>
      <c r="H564" s="1">
        <v>22247</v>
      </c>
      <c r="I564" s="1">
        <v>25744</v>
      </c>
      <c r="J564" s="1">
        <v>226.00200000000001</v>
      </c>
      <c r="K564" s="1">
        <v>-3.6230000000000002</v>
      </c>
      <c r="L564" s="1">
        <v>24.071999999999999</v>
      </c>
      <c r="M564" s="1" t="s">
        <v>474</v>
      </c>
      <c r="N564" s="1" t="s">
        <v>725</v>
      </c>
      <c r="O564" s="1" t="s">
        <v>1033</v>
      </c>
      <c r="P564" s="1" t="s">
        <v>1034</v>
      </c>
      <c r="Q564" s="1" t="s">
        <v>1035</v>
      </c>
      <c r="R564" s="1" t="s">
        <v>738</v>
      </c>
      <c r="S564" s="1" t="s">
        <v>371</v>
      </c>
    </row>
    <row r="565" spans="1:19" hidden="1" x14ac:dyDescent="0.25">
      <c r="A565" s="1">
        <v>82</v>
      </c>
      <c r="B565" s="1" t="s">
        <v>1036</v>
      </c>
      <c r="C565" s="1" t="s">
        <v>698</v>
      </c>
      <c r="D565" s="1" t="s">
        <v>1037</v>
      </c>
      <c r="E565" s="1">
        <v>1</v>
      </c>
      <c r="F565" s="1">
        <v>174.512</v>
      </c>
      <c r="G565" s="1">
        <v>8914</v>
      </c>
      <c r="H565" s="1">
        <v>10665</v>
      </c>
      <c r="I565" s="1">
        <v>12349</v>
      </c>
      <c r="J565" s="1">
        <v>171.74299999999999</v>
      </c>
      <c r="K565" s="1">
        <v>-5.3920000000000003</v>
      </c>
      <c r="L565" s="1">
        <v>19.117999999999999</v>
      </c>
      <c r="M565" s="1" t="s">
        <v>1038</v>
      </c>
      <c r="N565" s="1" t="s">
        <v>725</v>
      </c>
      <c r="O565" s="1" t="s">
        <v>1039</v>
      </c>
      <c r="P565" s="1" t="s">
        <v>1040</v>
      </c>
      <c r="Q565" s="1" t="s">
        <v>86</v>
      </c>
      <c r="R565" s="1" t="s">
        <v>256</v>
      </c>
      <c r="S565" s="1" t="s">
        <v>250</v>
      </c>
    </row>
    <row r="566" spans="1:19" hidden="1" x14ac:dyDescent="0.25">
      <c r="A566" s="1">
        <v>82</v>
      </c>
      <c r="B566" s="1" t="s">
        <v>1036</v>
      </c>
      <c r="C566" s="1" t="s">
        <v>698</v>
      </c>
      <c r="D566" s="1" t="s">
        <v>1037</v>
      </c>
      <c r="E566" s="1">
        <v>2</v>
      </c>
      <c r="F566" s="1">
        <v>172.80600000000001</v>
      </c>
      <c r="G566" s="1">
        <v>8919</v>
      </c>
      <c r="H566" s="1">
        <v>10670</v>
      </c>
      <c r="I566" s="1">
        <v>12357</v>
      </c>
      <c r="J566" s="1">
        <v>170.06399999999999</v>
      </c>
      <c r="K566" s="1">
        <v>-5.383</v>
      </c>
      <c r="L566" s="1">
        <v>19.097000000000001</v>
      </c>
      <c r="M566" s="1" t="s">
        <v>1038</v>
      </c>
      <c r="N566" s="1" t="s">
        <v>725</v>
      </c>
      <c r="O566" s="1" t="s">
        <v>1039</v>
      </c>
      <c r="P566" s="1" t="s">
        <v>1040</v>
      </c>
      <c r="Q566" s="1" t="s">
        <v>158</v>
      </c>
      <c r="R566" s="1" t="s">
        <v>194</v>
      </c>
      <c r="S566" s="1" t="s">
        <v>201</v>
      </c>
    </row>
    <row r="567" spans="1:19" hidden="1" x14ac:dyDescent="0.25">
      <c r="A567" s="1">
        <v>82</v>
      </c>
      <c r="B567" s="1" t="s">
        <v>1036</v>
      </c>
      <c r="C567" s="1" t="s">
        <v>698</v>
      </c>
      <c r="D567" s="1" t="s">
        <v>1037</v>
      </c>
      <c r="E567" s="1">
        <v>3</v>
      </c>
      <c r="F567" s="1">
        <v>173.18899999999999</v>
      </c>
      <c r="G567" s="1">
        <v>8964</v>
      </c>
      <c r="H567" s="1">
        <v>10724</v>
      </c>
      <c r="I567" s="1">
        <v>12415</v>
      </c>
      <c r="J567" s="1">
        <v>170.441</v>
      </c>
      <c r="K567" s="1">
        <v>-5.3940000000000001</v>
      </c>
      <c r="L567" s="1">
        <v>19.093</v>
      </c>
      <c r="M567" s="1" t="s">
        <v>1038</v>
      </c>
      <c r="N567" s="1" t="s">
        <v>725</v>
      </c>
      <c r="O567" s="1" t="s">
        <v>1039</v>
      </c>
      <c r="P567" s="1" t="s">
        <v>1040</v>
      </c>
      <c r="Q567" s="1" t="s">
        <v>139</v>
      </c>
      <c r="R567" s="1" t="s">
        <v>177</v>
      </c>
      <c r="S567" s="1" t="s">
        <v>305</v>
      </c>
    </row>
    <row r="568" spans="1:19" hidden="1" x14ac:dyDescent="0.25">
      <c r="A568" s="1">
        <v>82</v>
      </c>
      <c r="B568" s="1" t="s">
        <v>1036</v>
      </c>
      <c r="C568" s="1" t="s">
        <v>698</v>
      </c>
      <c r="D568" s="1" t="s">
        <v>1037</v>
      </c>
      <c r="E568" s="1">
        <v>4</v>
      </c>
      <c r="F568" s="1">
        <v>173.01</v>
      </c>
      <c r="G568" s="1">
        <v>8901</v>
      </c>
      <c r="H568" s="1">
        <v>10648</v>
      </c>
      <c r="I568" s="1">
        <v>12329</v>
      </c>
      <c r="J568" s="1">
        <v>170.26599999999999</v>
      </c>
      <c r="K568" s="1">
        <v>-5.399</v>
      </c>
      <c r="L568" s="1">
        <v>19.082999999999998</v>
      </c>
      <c r="M568" s="1" t="s">
        <v>1038</v>
      </c>
      <c r="N568" s="1" t="s">
        <v>725</v>
      </c>
      <c r="O568" s="1" t="s">
        <v>1039</v>
      </c>
      <c r="P568" s="1" t="s">
        <v>1040</v>
      </c>
      <c r="Q568" s="1" t="s">
        <v>161</v>
      </c>
      <c r="R568" s="1" t="s">
        <v>236</v>
      </c>
      <c r="S568" s="1" t="s">
        <v>238</v>
      </c>
    </row>
    <row r="569" spans="1:19" hidden="1" x14ac:dyDescent="0.25">
      <c r="A569" s="1">
        <v>82</v>
      </c>
      <c r="B569" s="1" t="s">
        <v>1036</v>
      </c>
      <c r="C569" s="1" t="s">
        <v>698</v>
      </c>
      <c r="D569" s="1" t="s">
        <v>1037</v>
      </c>
      <c r="E569" s="1">
        <v>5</v>
      </c>
      <c r="F569" s="1">
        <v>124.85899999999999</v>
      </c>
      <c r="G569" s="1">
        <v>9818</v>
      </c>
      <c r="H569" s="1">
        <v>11805</v>
      </c>
      <c r="I569" s="1">
        <v>13671</v>
      </c>
      <c r="J569" s="1">
        <v>122.873</v>
      </c>
      <c r="K569" s="1">
        <v>-3.6960000000000002</v>
      </c>
      <c r="L569" s="1">
        <v>24.224</v>
      </c>
      <c r="M569" s="1" t="s">
        <v>1038</v>
      </c>
      <c r="N569" s="1" t="s">
        <v>725</v>
      </c>
      <c r="O569" s="1" t="s">
        <v>1039</v>
      </c>
      <c r="P569" s="1" t="s">
        <v>1040</v>
      </c>
      <c r="Q569" s="1" t="s">
        <v>189</v>
      </c>
      <c r="R569" s="1" t="s">
        <v>975</v>
      </c>
      <c r="S569" s="1" t="s">
        <v>111</v>
      </c>
    </row>
    <row r="570" spans="1:19" x14ac:dyDescent="0.25">
      <c r="A570" s="1">
        <v>82</v>
      </c>
      <c r="B570" s="1" t="s">
        <v>1036</v>
      </c>
      <c r="C570" s="1" t="s">
        <v>698</v>
      </c>
      <c r="D570" s="1" t="s">
        <v>1037</v>
      </c>
      <c r="E570" s="1">
        <v>6</v>
      </c>
      <c r="F570" s="1">
        <v>141.30600000000001</v>
      </c>
      <c r="G570" s="1">
        <v>11347</v>
      </c>
      <c r="H570" s="1">
        <v>13657</v>
      </c>
      <c r="I570" s="1">
        <v>15793</v>
      </c>
      <c r="J570" s="1">
        <v>139.05799999999999</v>
      </c>
      <c r="K570" s="1">
        <v>-3.1989999999999998</v>
      </c>
      <c r="L570" s="1">
        <v>23.997</v>
      </c>
      <c r="M570" s="1" t="s">
        <v>1038</v>
      </c>
      <c r="N570" s="1" t="s">
        <v>725</v>
      </c>
      <c r="O570" s="1" t="s">
        <v>1039</v>
      </c>
      <c r="P570" s="1" t="s">
        <v>1040</v>
      </c>
      <c r="Q570" s="1" t="s">
        <v>90</v>
      </c>
      <c r="R570" s="1" t="s">
        <v>153</v>
      </c>
      <c r="S570" s="1" t="s">
        <v>279</v>
      </c>
    </row>
    <row r="571" spans="1:19" x14ac:dyDescent="0.25">
      <c r="A571" s="1">
        <v>82</v>
      </c>
      <c r="B571" s="1" t="s">
        <v>1036</v>
      </c>
      <c r="C571" s="1" t="s">
        <v>698</v>
      </c>
      <c r="D571" s="1" t="s">
        <v>1037</v>
      </c>
      <c r="E571" s="1">
        <v>7</v>
      </c>
      <c r="F571" s="1">
        <v>132.16300000000001</v>
      </c>
      <c r="G571" s="1">
        <v>10714</v>
      </c>
      <c r="H571" s="1">
        <v>12893</v>
      </c>
      <c r="I571" s="1">
        <v>14913</v>
      </c>
      <c r="J571" s="1">
        <v>130.06</v>
      </c>
      <c r="K571" s="1">
        <v>-3.1709999999999998</v>
      </c>
      <c r="L571" s="1">
        <v>23.998000000000001</v>
      </c>
      <c r="M571" s="1" t="s">
        <v>1038</v>
      </c>
      <c r="N571" s="1" t="s">
        <v>725</v>
      </c>
      <c r="O571" s="1" t="s">
        <v>1039</v>
      </c>
      <c r="P571" s="1" t="s">
        <v>1040</v>
      </c>
      <c r="Q571" s="1" t="s">
        <v>347</v>
      </c>
      <c r="R571" s="1" t="s">
        <v>1041</v>
      </c>
      <c r="S571" s="1" t="s">
        <v>1042</v>
      </c>
    </row>
    <row r="572" spans="1:19" hidden="1" x14ac:dyDescent="0.25">
      <c r="A572" s="1">
        <v>83</v>
      </c>
      <c r="B572" s="1" t="s">
        <v>1043</v>
      </c>
      <c r="C572" s="1" t="s">
        <v>420</v>
      </c>
      <c r="D572" s="1" t="s">
        <v>1044</v>
      </c>
      <c r="E572" s="1">
        <v>1</v>
      </c>
      <c r="F572" s="1">
        <v>174.76499999999999</v>
      </c>
      <c r="G572" s="1">
        <v>8931</v>
      </c>
      <c r="H572" s="1">
        <v>10684</v>
      </c>
      <c r="I572" s="1">
        <v>12365</v>
      </c>
      <c r="J572" s="1">
        <v>171.99299999999999</v>
      </c>
      <c r="K572" s="1">
        <v>-5.3929999999999998</v>
      </c>
      <c r="L572" s="1">
        <v>19.099</v>
      </c>
      <c r="M572" s="1" t="s">
        <v>1045</v>
      </c>
      <c r="N572" s="1" t="s">
        <v>725</v>
      </c>
      <c r="O572" s="1" t="s">
        <v>1046</v>
      </c>
      <c r="P572" s="1" t="s">
        <v>1047</v>
      </c>
      <c r="Q572" s="1" t="s">
        <v>52</v>
      </c>
      <c r="R572" s="1" t="s">
        <v>75</v>
      </c>
      <c r="S572" s="1" t="s">
        <v>158</v>
      </c>
    </row>
    <row r="573" spans="1:19" hidden="1" x14ac:dyDescent="0.25">
      <c r="A573" s="1">
        <v>83</v>
      </c>
      <c r="B573" s="1" t="s">
        <v>1043</v>
      </c>
      <c r="C573" s="1" t="s">
        <v>420</v>
      </c>
      <c r="D573" s="1" t="s">
        <v>1044</v>
      </c>
      <c r="E573" s="1">
        <v>2</v>
      </c>
      <c r="F573" s="1">
        <v>172.816</v>
      </c>
      <c r="G573" s="1">
        <v>8929</v>
      </c>
      <c r="H573" s="1">
        <v>10683</v>
      </c>
      <c r="I573" s="1">
        <v>12364</v>
      </c>
      <c r="J573" s="1">
        <v>170.07499999999999</v>
      </c>
      <c r="K573" s="1">
        <v>-5.4050000000000002</v>
      </c>
      <c r="L573" s="1">
        <v>19.085000000000001</v>
      </c>
      <c r="M573" s="1" t="s">
        <v>1045</v>
      </c>
      <c r="N573" s="1" t="s">
        <v>725</v>
      </c>
      <c r="O573" s="1" t="s">
        <v>1046</v>
      </c>
      <c r="P573" s="1" t="s">
        <v>1047</v>
      </c>
      <c r="Q573" s="1" t="s">
        <v>254</v>
      </c>
      <c r="R573" s="1" t="s">
        <v>149</v>
      </c>
      <c r="S573" s="1" t="s">
        <v>123</v>
      </c>
    </row>
    <row r="574" spans="1:19" hidden="1" x14ac:dyDescent="0.25">
      <c r="A574" s="1">
        <v>83</v>
      </c>
      <c r="B574" s="1" t="s">
        <v>1043</v>
      </c>
      <c r="C574" s="1" t="s">
        <v>420</v>
      </c>
      <c r="D574" s="1" t="s">
        <v>1044</v>
      </c>
      <c r="E574" s="1">
        <v>3</v>
      </c>
      <c r="F574" s="1">
        <v>174.05099999999999</v>
      </c>
      <c r="G574" s="1">
        <v>8997</v>
      </c>
      <c r="H574" s="1">
        <v>10764</v>
      </c>
      <c r="I574" s="1">
        <v>12455</v>
      </c>
      <c r="J574" s="1">
        <v>171.29</v>
      </c>
      <c r="K574" s="1">
        <v>-5.4039999999999999</v>
      </c>
      <c r="L574" s="1">
        <v>19.085000000000001</v>
      </c>
      <c r="M574" s="1" t="s">
        <v>1045</v>
      </c>
      <c r="N574" s="1" t="s">
        <v>725</v>
      </c>
      <c r="O574" s="1" t="s">
        <v>1046</v>
      </c>
      <c r="P574" s="1" t="s">
        <v>1047</v>
      </c>
      <c r="Q574" s="1" t="s">
        <v>159</v>
      </c>
      <c r="R574" s="1" t="s">
        <v>234</v>
      </c>
      <c r="S574" s="1" t="s">
        <v>324</v>
      </c>
    </row>
    <row r="575" spans="1:19" hidden="1" x14ac:dyDescent="0.25">
      <c r="A575" s="1">
        <v>83</v>
      </c>
      <c r="B575" s="1" t="s">
        <v>1043</v>
      </c>
      <c r="C575" s="1" t="s">
        <v>420</v>
      </c>
      <c r="D575" s="1" t="s">
        <v>1044</v>
      </c>
      <c r="E575" s="1">
        <v>4</v>
      </c>
      <c r="F575" s="1">
        <v>173.84700000000001</v>
      </c>
      <c r="G575" s="1">
        <v>8936</v>
      </c>
      <c r="H575" s="1">
        <v>10691</v>
      </c>
      <c r="I575" s="1">
        <v>12372</v>
      </c>
      <c r="J575" s="1">
        <v>171.089</v>
      </c>
      <c r="K575" s="1">
        <v>-5.399</v>
      </c>
      <c r="L575" s="1">
        <v>19.082999999999998</v>
      </c>
      <c r="M575" s="1" t="s">
        <v>1045</v>
      </c>
      <c r="N575" s="1" t="s">
        <v>725</v>
      </c>
      <c r="O575" s="1" t="s">
        <v>1046</v>
      </c>
      <c r="P575" s="1" t="s">
        <v>1047</v>
      </c>
      <c r="Q575" s="1" t="s">
        <v>158</v>
      </c>
      <c r="R575" s="1" t="s">
        <v>166</v>
      </c>
      <c r="S575" s="1" t="s">
        <v>174</v>
      </c>
    </row>
    <row r="576" spans="1:19" hidden="1" x14ac:dyDescent="0.25">
      <c r="A576" s="1">
        <v>83</v>
      </c>
      <c r="B576" s="1" t="s">
        <v>1043</v>
      </c>
      <c r="C576" s="1" t="s">
        <v>420</v>
      </c>
      <c r="D576" s="1" t="s">
        <v>1044</v>
      </c>
      <c r="E576" s="1">
        <v>5</v>
      </c>
      <c r="F576" s="1">
        <v>76.168000000000006</v>
      </c>
      <c r="G576" s="1">
        <v>5969</v>
      </c>
      <c r="H576" s="1">
        <v>7170</v>
      </c>
      <c r="I576" s="1">
        <v>8306</v>
      </c>
      <c r="J576" s="1">
        <v>74.956999999999994</v>
      </c>
      <c r="K576" s="1">
        <v>-3.2450000000000001</v>
      </c>
      <c r="L576" s="1">
        <v>23.997</v>
      </c>
      <c r="M576" s="1" t="s">
        <v>1045</v>
      </c>
      <c r="N576" s="1" t="s">
        <v>725</v>
      </c>
      <c r="O576" s="1" t="s">
        <v>1046</v>
      </c>
      <c r="P576" s="1" t="s">
        <v>1047</v>
      </c>
      <c r="Q576" s="1" t="s">
        <v>188</v>
      </c>
      <c r="R576" s="1" t="s">
        <v>215</v>
      </c>
      <c r="S576" s="1" t="s">
        <v>112</v>
      </c>
    </row>
    <row r="577" spans="1:19" x14ac:dyDescent="0.25">
      <c r="A577" s="1">
        <v>83</v>
      </c>
      <c r="B577" s="1" t="s">
        <v>1043</v>
      </c>
      <c r="C577" s="1" t="s">
        <v>420</v>
      </c>
      <c r="D577" s="1" t="s">
        <v>1044</v>
      </c>
      <c r="E577" s="1">
        <v>6</v>
      </c>
      <c r="F577" s="1">
        <v>135.471</v>
      </c>
      <c r="G577" s="1">
        <v>10743</v>
      </c>
      <c r="H577" s="1">
        <v>13001</v>
      </c>
      <c r="I577" s="1">
        <v>14967</v>
      </c>
      <c r="J577" s="1">
        <v>133.30500000000001</v>
      </c>
      <c r="K577" s="1">
        <v>3.847</v>
      </c>
      <c r="L577" s="1">
        <v>25.297000000000001</v>
      </c>
      <c r="M577" s="1" t="s">
        <v>1045</v>
      </c>
      <c r="N577" s="1" t="s">
        <v>725</v>
      </c>
      <c r="O577" s="1" t="s">
        <v>1046</v>
      </c>
      <c r="P577" s="1" t="s">
        <v>1047</v>
      </c>
      <c r="Q577" s="1" t="s">
        <v>55</v>
      </c>
      <c r="R577" s="1" t="s">
        <v>88</v>
      </c>
      <c r="S577" s="1" t="s">
        <v>256</v>
      </c>
    </row>
    <row r="578" spans="1:19" x14ac:dyDescent="0.25">
      <c r="A578" s="1">
        <v>83</v>
      </c>
      <c r="B578" s="1" t="s">
        <v>1043</v>
      </c>
      <c r="C578" s="1" t="s">
        <v>420</v>
      </c>
      <c r="D578" s="1" t="s">
        <v>1044</v>
      </c>
      <c r="E578" s="1">
        <v>7</v>
      </c>
      <c r="F578" s="1">
        <v>127.131</v>
      </c>
      <c r="G578" s="1">
        <v>10092</v>
      </c>
      <c r="H578" s="1">
        <v>12216</v>
      </c>
      <c r="I578" s="1">
        <v>14062</v>
      </c>
      <c r="J578" s="1">
        <v>125.098</v>
      </c>
      <c r="K578" s="1">
        <v>3.9369999999999998</v>
      </c>
      <c r="L578" s="1">
        <v>25.34</v>
      </c>
      <c r="M578" s="1" t="s">
        <v>1045</v>
      </c>
      <c r="N578" s="1" t="s">
        <v>725</v>
      </c>
      <c r="O578" s="1" t="s">
        <v>1046</v>
      </c>
      <c r="P578" s="1" t="s">
        <v>1047</v>
      </c>
      <c r="Q578" s="1" t="s">
        <v>1048</v>
      </c>
      <c r="R578" s="1" t="s">
        <v>270</v>
      </c>
      <c r="S578" s="1" t="s">
        <v>1049</v>
      </c>
    </row>
    <row r="579" spans="1:19" hidden="1" x14ac:dyDescent="0.25">
      <c r="A579" s="1">
        <v>84</v>
      </c>
      <c r="B579" s="1" t="s">
        <v>1050</v>
      </c>
      <c r="C579" s="1" t="s">
        <v>340</v>
      </c>
      <c r="D579" s="1" t="s">
        <v>1051</v>
      </c>
      <c r="E579" s="1">
        <v>1</v>
      </c>
      <c r="F579" s="1">
        <v>174.833</v>
      </c>
      <c r="G579" s="1">
        <v>8945</v>
      </c>
      <c r="H579" s="1">
        <v>10703</v>
      </c>
      <c r="I579" s="1">
        <v>12386</v>
      </c>
      <c r="J579" s="1">
        <v>172.059</v>
      </c>
      <c r="K579" s="1">
        <v>-5.3780000000000001</v>
      </c>
      <c r="L579" s="1">
        <v>19.07</v>
      </c>
      <c r="M579" s="1" t="s">
        <v>1052</v>
      </c>
      <c r="N579" s="1" t="s">
        <v>725</v>
      </c>
      <c r="O579" s="1" t="s">
        <v>1053</v>
      </c>
      <c r="P579" s="1" t="s">
        <v>1054</v>
      </c>
      <c r="Q579" s="1" t="s">
        <v>81</v>
      </c>
      <c r="R579" s="1" t="s">
        <v>53</v>
      </c>
      <c r="S579" s="1" t="s">
        <v>254</v>
      </c>
    </row>
    <row r="580" spans="1:19" hidden="1" x14ac:dyDescent="0.25">
      <c r="A580" s="1">
        <v>84</v>
      </c>
      <c r="B580" s="1" t="s">
        <v>1050</v>
      </c>
      <c r="C580" s="1" t="s">
        <v>340</v>
      </c>
      <c r="D580" s="1" t="s">
        <v>1051</v>
      </c>
      <c r="E580" s="1">
        <v>2</v>
      </c>
      <c r="F580" s="1">
        <v>173.08600000000001</v>
      </c>
      <c r="G580" s="1">
        <v>8947</v>
      </c>
      <c r="H580" s="1">
        <v>10705</v>
      </c>
      <c r="I580" s="1">
        <v>12390</v>
      </c>
      <c r="J580" s="1">
        <v>170.34</v>
      </c>
      <c r="K580" s="1">
        <v>-5.3920000000000003</v>
      </c>
      <c r="L580" s="1">
        <v>19.068999999999999</v>
      </c>
      <c r="M580" s="1" t="s">
        <v>1052</v>
      </c>
      <c r="N580" s="1" t="s">
        <v>725</v>
      </c>
      <c r="O580" s="1" t="s">
        <v>1053</v>
      </c>
      <c r="P580" s="1" t="s">
        <v>1054</v>
      </c>
      <c r="Q580" s="1" t="s">
        <v>77</v>
      </c>
      <c r="R580" s="1" t="s">
        <v>154</v>
      </c>
      <c r="S580" s="1" t="s">
        <v>318</v>
      </c>
    </row>
    <row r="581" spans="1:19" hidden="1" x14ac:dyDescent="0.25">
      <c r="A581" s="1">
        <v>84</v>
      </c>
      <c r="B581" s="1" t="s">
        <v>1050</v>
      </c>
      <c r="C581" s="1" t="s">
        <v>340</v>
      </c>
      <c r="D581" s="1" t="s">
        <v>1051</v>
      </c>
      <c r="E581" s="1">
        <v>3</v>
      </c>
      <c r="F581" s="1">
        <v>173.923</v>
      </c>
      <c r="G581" s="1">
        <v>8992</v>
      </c>
      <c r="H581" s="1">
        <v>10757</v>
      </c>
      <c r="I581" s="1">
        <v>12447</v>
      </c>
      <c r="J581" s="1">
        <v>171.16300000000001</v>
      </c>
      <c r="K581" s="1">
        <v>-5.4009999999999998</v>
      </c>
      <c r="L581" s="1">
        <v>19.07</v>
      </c>
      <c r="M581" s="1" t="s">
        <v>1052</v>
      </c>
      <c r="N581" s="1" t="s">
        <v>725</v>
      </c>
      <c r="O581" s="1" t="s">
        <v>1053</v>
      </c>
      <c r="P581" s="1" t="s">
        <v>1054</v>
      </c>
      <c r="Q581" s="1" t="s">
        <v>89</v>
      </c>
      <c r="R581" s="1" t="s">
        <v>156</v>
      </c>
      <c r="S581" s="1" t="s">
        <v>376</v>
      </c>
    </row>
    <row r="582" spans="1:19" hidden="1" x14ac:dyDescent="0.25">
      <c r="A582" s="1">
        <v>84</v>
      </c>
      <c r="B582" s="1" t="s">
        <v>1050</v>
      </c>
      <c r="C582" s="1" t="s">
        <v>340</v>
      </c>
      <c r="D582" s="1" t="s">
        <v>1051</v>
      </c>
      <c r="E582" s="1">
        <v>4</v>
      </c>
      <c r="F582" s="1">
        <v>173.67400000000001</v>
      </c>
      <c r="G582" s="1">
        <v>8931</v>
      </c>
      <c r="H582" s="1">
        <v>10686</v>
      </c>
      <c r="I582" s="1">
        <v>12368</v>
      </c>
      <c r="J582" s="1">
        <v>170.91800000000001</v>
      </c>
      <c r="K582" s="1">
        <v>-5.399</v>
      </c>
      <c r="L582" s="1">
        <v>19.082999999999998</v>
      </c>
      <c r="M582" s="1" t="s">
        <v>1052</v>
      </c>
      <c r="N582" s="1" t="s">
        <v>725</v>
      </c>
      <c r="O582" s="1" t="s">
        <v>1053</v>
      </c>
      <c r="P582" s="1" t="s">
        <v>1054</v>
      </c>
      <c r="Q582" s="1" t="s">
        <v>291</v>
      </c>
      <c r="R582" s="1" t="s">
        <v>328</v>
      </c>
      <c r="S582" s="1" t="s">
        <v>168</v>
      </c>
    </row>
    <row r="583" spans="1:19" hidden="1" x14ac:dyDescent="0.25">
      <c r="A583" s="1">
        <v>84</v>
      </c>
      <c r="B583" s="1" t="s">
        <v>1050</v>
      </c>
      <c r="C583" s="1" t="s">
        <v>340</v>
      </c>
      <c r="D583" s="1" t="s">
        <v>1051</v>
      </c>
      <c r="E583" s="1">
        <v>5</v>
      </c>
      <c r="F583" s="1">
        <v>72.001999999999995</v>
      </c>
      <c r="G583" s="1">
        <v>5778</v>
      </c>
      <c r="H583" s="1">
        <v>6989</v>
      </c>
      <c r="I583" s="1">
        <v>8052</v>
      </c>
      <c r="J583" s="1">
        <v>70.849999999999994</v>
      </c>
      <c r="K583" s="1">
        <v>3.8490000000000002</v>
      </c>
      <c r="L583" s="1">
        <v>25.434999999999999</v>
      </c>
      <c r="M583" s="1" t="s">
        <v>1052</v>
      </c>
      <c r="N583" s="1" t="s">
        <v>725</v>
      </c>
      <c r="O583" s="1" t="s">
        <v>1053</v>
      </c>
      <c r="P583" s="1" t="s">
        <v>1054</v>
      </c>
      <c r="Q583" s="1" t="s">
        <v>186</v>
      </c>
      <c r="R583" s="1" t="s">
        <v>211</v>
      </c>
      <c r="S583" s="1" t="s">
        <v>215</v>
      </c>
    </row>
    <row r="584" spans="1:19" x14ac:dyDescent="0.25">
      <c r="A584" s="1">
        <v>84</v>
      </c>
      <c r="B584" s="1" t="s">
        <v>1050</v>
      </c>
      <c r="C584" s="1" t="s">
        <v>340</v>
      </c>
      <c r="D584" s="1" t="s">
        <v>1051</v>
      </c>
      <c r="E584" s="1">
        <v>6</v>
      </c>
      <c r="F584" s="1">
        <v>162.71299999999999</v>
      </c>
      <c r="G584" s="1">
        <v>13432</v>
      </c>
      <c r="H584" s="1">
        <v>16282</v>
      </c>
      <c r="I584" s="1">
        <v>18716</v>
      </c>
      <c r="J584" s="1">
        <v>160.11099999999999</v>
      </c>
      <c r="K584" s="1">
        <v>3.879</v>
      </c>
      <c r="L584" s="1">
        <v>25.335000000000001</v>
      </c>
      <c r="M584" s="1" t="s">
        <v>1052</v>
      </c>
      <c r="N584" s="1" t="s">
        <v>725</v>
      </c>
      <c r="O584" s="1" t="s">
        <v>1053</v>
      </c>
      <c r="P584" s="1" t="s">
        <v>1054</v>
      </c>
      <c r="Q584" s="1" t="s">
        <v>83</v>
      </c>
      <c r="R584" s="1" t="s">
        <v>84</v>
      </c>
      <c r="S584" s="1" t="s">
        <v>172</v>
      </c>
    </row>
    <row r="585" spans="1:19" x14ac:dyDescent="0.25">
      <c r="A585" s="1">
        <v>84</v>
      </c>
      <c r="B585" s="1" t="s">
        <v>1050</v>
      </c>
      <c r="C585" s="1" t="s">
        <v>340</v>
      </c>
      <c r="D585" s="1" t="s">
        <v>1051</v>
      </c>
      <c r="E585" s="1">
        <v>7</v>
      </c>
      <c r="F585" s="1">
        <v>153.23699999999999</v>
      </c>
      <c r="G585" s="1">
        <v>12713</v>
      </c>
      <c r="H585" s="1">
        <v>15407</v>
      </c>
      <c r="I585" s="1">
        <v>17718</v>
      </c>
      <c r="J585" s="1">
        <v>150.786</v>
      </c>
      <c r="K585" s="1">
        <v>3.9750000000000001</v>
      </c>
      <c r="L585" s="1">
        <v>25.347000000000001</v>
      </c>
      <c r="M585" s="1" t="s">
        <v>1052</v>
      </c>
      <c r="N585" s="1" t="s">
        <v>725</v>
      </c>
      <c r="O585" s="1" t="s">
        <v>1053</v>
      </c>
      <c r="P585" s="1" t="s">
        <v>1054</v>
      </c>
      <c r="Q585" s="1" t="s">
        <v>1055</v>
      </c>
      <c r="R585" s="1" t="s">
        <v>1056</v>
      </c>
      <c r="S585" s="1" t="s">
        <v>939</v>
      </c>
    </row>
    <row r="586" spans="1:19" hidden="1" x14ac:dyDescent="0.25">
      <c r="A586" s="1">
        <v>85</v>
      </c>
      <c r="B586" s="1" t="s">
        <v>1057</v>
      </c>
      <c r="C586" s="1" t="s">
        <v>280</v>
      </c>
      <c r="D586" s="1" t="s">
        <v>1058</v>
      </c>
      <c r="E586" s="1">
        <v>1</v>
      </c>
      <c r="F586" s="1">
        <v>173.56</v>
      </c>
      <c r="G586" s="1">
        <v>8879</v>
      </c>
      <c r="H586" s="1">
        <v>10623</v>
      </c>
      <c r="I586" s="1">
        <v>12293</v>
      </c>
      <c r="J586" s="1">
        <v>170.80600000000001</v>
      </c>
      <c r="K586" s="1">
        <v>-5.3769999999999998</v>
      </c>
      <c r="L586" s="1">
        <v>19.077999999999999</v>
      </c>
      <c r="M586" s="1" t="s">
        <v>1059</v>
      </c>
      <c r="N586" s="1" t="s">
        <v>725</v>
      </c>
      <c r="O586" s="1" t="s">
        <v>1060</v>
      </c>
      <c r="P586" s="1" t="s">
        <v>1061</v>
      </c>
      <c r="Q586" s="1" t="s">
        <v>127</v>
      </c>
      <c r="R586" s="1" t="s">
        <v>99</v>
      </c>
      <c r="S586" s="1" t="s">
        <v>291</v>
      </c>
    </row>
    <row r="587" spans="1:19" hidden="1" x14ac:dyDescent="0.25">
      <c r="A587" s="1">
        <v>85</v>
      </c>
      <c r="B587" s="1" t="s">
        <v>1057</v>
      </c>
      <c r="C587" s="1" t="s">
        <v>280</v>
      </c>
      <c r="D587" s="1" t="s">
        <v>1058</v>
      </c>
      <c r="E587" s="1">
        <v>2</v>
      </c>
      <c r="F587" s="1">
        <v>172.2</v>
      </c>
      <c r="G587" s="1">
        <v>8894</v>
      </c>
      <c r="H587" s="1">
        <v>10641</v>
      </c>
      <c r="I587" s="1">
        <v>12315</v>
      </c>
      <c r="J587" s="1">
        <v>169.46899999999999</v>
      </c>
      <c r="K587" s="1">
        <v>-5.3959999999999999</v>
      </c>
      <c r="L587" s="1">
        <v>19.071999999999999</v>
      </c>
      <c r="M587" s="1" t="s">
        <v>1059</v>
      </c>
      <c r="N587" s="1" t="s">
        <v>725</v>
      </c>
      <c r="O587" s="1" t="s">
        <v>1060</v>
      </c>
      <c r="P587" s="1" t="s">
        <v>1061</v>
      </c>
      <c r="Q587" s="1" t="s">
        <v>276</v>
      </c>
      <c r="R587" s="1" t="s">
        <v>257</v>
      </c>
      <c r="S587" s="1" t="s">
        <v>163</v>
      </c>
    </row>
    <row r="588" spans="1:19" hidden="1" x14ac:dyDescent="0.25">
      <c r="A588" s="1">
        <v>85</v>
      </c>
      <c r="B588" s="1" t="s">
        <v>1057</v>
      </c>
      <c r="C588" s="1" t="s">
        <v>280</v>
      </c>
      <c r="D588" s="1" t="s">
        <v>1058</v>
      </c>
      <c r="E588" s="1">
        <v>3</v>
      </c>
      <c r="F588" s="1">
        <v>173.251</v>
      </c>
      <c r="G588" s="1">
        <v>8948</v>
      </c>
      <c r="H588" s="1">
        <v>10706</v>
      </c>
      <c r="I588" s="1">
        <v>12389</v>
      </c>
      <c r="J588" s="1">
        <v>170.50200000000001</v>
      </c>
      <c r="K588" s="1">
        <v>-5.391</v>
      </c>
      <c r="L588" s="1">
        <v>19.093</v>
      </c>
      <c r="M588" s="1" t="s">
        <v>1059</v>
      </c>
      <c r="N588" s="1" t="s">
        <v>725</v>
      </c>
      <c r="O588" s="1" t="s">
        <v>1060</v>
      </c>
      <c r="P588" s="1" t="s">
        <v>1061</v>
      </c>
      <c r="Q588" s="1" t="s">
        <v>253</v>
      </c>
      <c r="R588" s="1" t="s">
        <v>297</v>
      </c>
      <c r="S588" s="1" t="s">
        <v>142</v>
      </c>
    </row>
    <row r="589" spans="1:19" hidden="1" x14ac:dyDescent="0.25">
      <c r="A589" s="1">
        <v>85</v>
      </c>
      <c r="B589" s="1" t="s">
        <v>1057</v>
      </c>
      <c r="C589" s="1" t="s">
        <v>280</v>
      </c>
      <c r="D589" s="1" t="s">
        <v>1058</v>
      </c>
      <c r="E589" s="1">
        <v>4</v>
      </c>
      <c r="F589" s="1">
        <v>173.62</v>
      </c>
      <c r="G589" s="1">
        <v>8938</v>
      </c>
      <c r="H589" s="1">
        <v>10693</v>
      </c>
      <c r="I589" s="1">
        <v>12374</v>
      </c>
      <c r="J589" s="1">
        <v>170.86600000000001</v>
      </c>
      <c r="K589" s="1">
        <v>-5.399</v>
      </c>
      <c r="L589" s="1">
        <v>19.082999999999998</v>
      </c>
      <c r="M589" s="1" t="s">
        <v>1059</v>
      </c>
      <c r="N589" s="1" t="s">
        <v>725</v>
      </c>
      <c r="O589" s="1" t="s">
        <v>1060</v>
      </c>
      <c r="P589" s="1" t="s">
        <v>1061</v>
      </c>
      <c r="Q589" s="1" t="s">
        <v>159</v>
      </c>
      <c r="R589" s="1" t="s">
        <v>179</v>
      </c>
      <c r="S589" s="1" t="s">
        <v>274</v>
      </c>
    </row>
    <row r="590" spans="1:19" hidden="1" x14ac:dyDescent="0.25">
      <c r="A590" s="1">
        <v>85</v>
      </c>
      <c r="B590" s="1" t="s">
        <v>1057</v>
      </c>
      <c r="C590" s="1" t="s">
        <v>280</v>
      </c>
      <c r="D590" s="1" t="s">
        <v>1058</v>
      </c>
      <c r="E590" s="1">
        <v>5</v>
      </c>
      <c r="F590" s="1">
        <v>86.03</v>
      </c>
      <c r="G590" s="1">
        <v>6662</v>
      </c>
      <c r="H590" s="1">
        <v>8058</v>
      </c>
      <c r="I590" s="1">
        <v>9282</v>
      </c>
      <c r="J590" s="1">
        <v>84.653999999999996</v>
      </c>
      <c r="K590" s="1">
        <v>3.956</v>
      </c>
      <c r="L590" s="1">
        <v>25.311</v>
      </c>
      <c r="M590" s="1" t="s">
        <v>1059</v>
      </c>
      <c r="N590" s="1" t="s">
        <v>725</v>
      </c>
      <c r="O590" s="1" t="s">
        <v>1060</v>
      </c>
      <c r="P590" s="1" t="s">
        <v>1061</v>
      </c>
      <c r="Q590" s="1" t="s">
        <v>183</v>
      </c>
      <c r="R590" s="1" t="s">
        <v>145</v>
      </c>
      <c r="S590" s="1" t="s">
        <v>114</v>
      </c>
    </row>
    <row r="591" spans="1:19" x14ac:dyDescent="0.25">
      <c r="A591" s="1">
        <v>85</v>
      </c>
      <c r="B591" s="1" t="s">
        <v>1057</v>
      </c>
      <c r="C591" s="1" t="s">
        <v>280</v>
      </c>
      <c r="D591" s="1" t="s">
        <v>1058</v>
      </c>
      <c r="E591" s="1">
        <v>6</v>
      </c>
      <c r="F591" s="1">
        <v>166.54900000000001</v>
      </c>
      <c r="G591" s="1">
        <v>13181</v>
      </c>
      <c r="H591" s="1">
        <v>15861</v>
      </c>
      <c r="I591" s="1">
        <v>18348</v>
      </c>
      <c r="J591" s="1">
        <v>163.898</v>
      </c>
      <c r="K591" s="1">
        <v>-2.964</v>
      </c>
      <c r="L591" s="1">
        <v>24.390999999999998</v>
      </c>
      <c r="M591" s="1" t="s">
        <v>1059</v>
      </c>
      <c r="N591" s="1" t="s">
        <v>725</v>
      </c>
      <c r="O591" s="1" t="s">
        <v>1060</v>
      </c>
      <c r="P591" s="1" t="s">
        <v>1061</v>
      </c>
      <c r="Q591" s="1" t="s">
        <v>98</v>
      </c>
      <c r="R591" s="1" t="s">
        <v>108</v>
      </c>
      <c r="S591" s="1" t="s">
        <v>147</v>
      </c>
    </row>
    <row r="592" spans="1:19" x14ac:dyDescent="0.25">
      <c r="A592" s="1">
        <v>85</v>
      </c>
      <c r="B592" s="1" t="s">
        <v>1057</v>
      </c>
      <c r="C592" s="1" t="s">
        <v>280</v>
      </c>
      <c r="D592" s="1" t="s">
        <v>1058</v>
      </c>
      <c r="E592" s="1">
        <v>7</v>
      </c>
      <c r="F592" s="1">
        <v>155.88900000000001</v>
      </c>
      <c r="G592" s="1">
        <v>12372</v>
      </c>
      <c r="H592" s="1">
        <v>14888</v>
      </c>
      <c r="I592" s="1">
        <v>17223</v>
      </c>
      <c r="J592" s="1">
        <v>153.40899999999999</v>
      </c>
      <c r="K592" s="1">
        <v>-2.9329999999999998</v>
      </c>
      <c r="L592" s="1">
        <v>24.419</v>
      </c>
      <c r="M592" s="1" t="s">
        <v>1059</v>
      </c>
      <c r="N592" s="1" t="s">
        <v>725</v>
      </c>
      <c r="O592" s="1" t="s">
        <v>1060</v>
      </c>
      <c r="P592" s="1" t="s">
        <v>1061</v>
      </c>
      <c r="Q592" s="1" t="s">
        <v>386</v>
      </c>
      <c r="R592" s="1" t="s">
        <v>425</v>
      </c>
      <c r="S592" s="1" t="s">
        <v>396</v>
      </c>
    </row>
    <row r="593" spans="1:19" hidden="1" x14ac:dyDescent="0.25">
      <c r="A593" s="1">
        <v>86</v>
      </c>
      <c r="B593" s="1" t="s">
        <v>1062</v>
      </c>
      <c r="C593" s="1" t="s">
        <v>496</v>
      </c>
      <c r="D593" s="1" t="s">
        <v>1063</v>
      </c>
      <c r="E593" s="1">
        <v>1</v>
      </c>
      <c r="F593" s="1">
        <v>175.441</v>
      </c>
      <c r="G593" s="1">
        <v>8961</v>
      </c>
      <c r="H593" s="1">
        <v>10720</v>
      </c>
      <c r="I593" s="1">
        <v>12415</v>
      </c>
      <c r="J593" s="1">
        <v>172.65700000000001</v>
      </c>
      <c r="K593" s="1">
        <v>-5.4039999999999999</v>
      </c>
      <c r="L593" s="1">
        <v>19.065000000000001</v>
      </c>
      <c r="M593" s="1" t="s">
        <v>1064</v>
      </c>
      <c r="N593" s="1" t="s">
        <v>725</v>
      </c>
      <c r="O593" s="1" t="s">
        <v>1065</v>
      </c>
      <c r="P593" s="1" t="s">
        <v>1066</v>
      </c>
      <c r="Q593" s="1" t="s">
        <v>127</v>
      </c>
      <c r="R593" s="1" t="s">
        <v>108</v>
      </c>
      <c r="S593" s="1" t="s">
        <v>159</v>
      </c>
    </row>
    <row r="594" spans="1:19" hidden="1" x14ac:dyDescent="0.25">
      <c r="A594" s="1">
        <v>86</v>
      </c>
      <c r="B594" s="1" t="s">
        <v>1062</v>
      </c>
      <c r="C594" s="1" t="s">
        <v>496</v>
      </c>
      <c r="D594" s="1" t="s">
        <v>1063</v>
      </c>
      <c r="E594" s="1">
        <v>2</v>
      </c>
      <c r="F594" s="1">
        <v>173.761</v>
      </c>
      <c r="G594" s="1">
        <v>8986</v>
      </c>
      <c r="H594" s="1">
        <v>10751</v>
      </c>
      <c r="I594" s="1">
        <v>12447</v>
      </c>
      <c r="J594" s="1">
        <v>171.00399999999999</v>
      </c>
      <c r="K594" s="1">
        <v>-5.4139999999999997</v>
      </c>
      <c r="L594" s="1">
        <v>19.084</v>
      </c>
      <c r="M594" s="1" t="s">
        <v>1064</v>
      </c>
      <c r="N594" s="1" t="s">
        <v>725</v>
      </c>
      <c r="O594" s="1" t="s">
        <v>1065</v>
      </c>
      <c r="P594" s="1" t="s">
        <v>1066</v>
      </c>
      <c r="Q594" s="1" t="s">
        <v>68</v>
      </c>
      <c r="R594" s="1" t="s">
        <v>171</v>
      </c>
      <c r="S594" s="1" t="s">
        <v>163</v>
      </c>
    </row>
    <row r="595" spans="1:19" hidden="1" x14ac:dyDescent="0.25">
      <c r="A595" s="1">
        <v>86</v>
      </c>
      <c r="B595" s="1" t="s">
        <v>1062</v>
      </c>
      <c r="C595" s="1" t="s">
        <v>496</v>
      </c>
      <c r="D595" s="1" t="s">
        <v>1063</v>
      </c>
      <c r="E595" s="1">
        <v>3</v>
      </c>
      <c r="F595" s="1">
        <v>174.69399999999999</v>
      </c>
      <c r="G595" s="1">
        <v>9027</v>
      </c>
      <c r="H595" s="1">
        <v>10799</v>
      </c>
      <c r="I595" s="1">
        <v>12503</v>
      </c>
      <c r="J595" s="1">
        <v>171.923</v>
      </c>
      <c r="K595" s="1">
        <v>-5.3970000000000002</v>
      </c>
      <c r="L595" s="1">
        <v>19.094000000000001</v>
      </c>
      <c r="M595" s="1" t="s">
        <v>1064</v>
      </c>
      <c r="N595" s="1" t="s">
        <v>725</v>
      </c>
      <c r="O595" s="1" t="s">
        <v>1065</v>
      </c>
      <c r="P595" s="1" t="s">
        <v>1066</v>
      </c>
      <c r="Q595" s="1" t="s">
        <v>291</v>
      </c>
      <c r="R595" s="1" t="s">
        <v>328</v>
      </c>
      <c r="S595" s="1" t="s">
        <v>142</v>
      </c>
    </row>
    <row r="596" spans="1:19" hidden="1" x14ac:dyDescent="0.25">
      <c r="A596" s="1">
        <v>86</v>
      </c>
      <c r="B596" s="1" t="s">
        <v>1062</v>
      </c>
      <c r="C596" s="1" t="s">
        <v>496</v>
      </c>
      <c r="D596" s="1" t="s">
        <v>1063</v>
      </c>
      <c r="E596" s="1">
        <v>4</v>
      </c>
      <c r="F596" s="1">
        <v>174.93</v>
      </c>
      <c r="G596" s="1">
        <v>8988</v>
      </c>
      <c r="H596" s="1">
        <v>10752</v>
      </c>
      <c r="I596" s="1">
        <v>12450</v>
      </c>
      <c r="J596" s="1">
        <v>172.155</v>
      </c>
      <c r="K596" s="1">
        <v>-5.399</v>
      </c>
      <c r="L596" s="1">
        <v>19.082999999999998</v>
      </c>
      <c r="M596" s="1" t="s">
        <v>1064</v>
      </c>
      <c r="N596" s="1" t="s">
        <v>725</v>
      </c>
      <c r="O596" s="1" t="s">
        <v>1065</v>
      </c>
      <c r="P596" s="1" t="s">
        <v>1066</v>
      </c>
      <c r="Q596" s="1" t="s">
        <v>249</v>
      </c>
      <c r="R596" s="1" t="s">
        <v>194</v>
      </c>
      <c r="S596" s="1" t="s">
        <v>201</v>
      </c>
    </row>
    <row r="597" spans="1:19" hidden="1" x14ac:dyDescent="0.25">
      <c r="A597" s="1">
        <v>86</v>
      </c>
      <c r="B597" s="1" t="s">
        <v>1062</v>
      </c>
      <c r="C597" s="1" t="s">
        <v>496</v>
      </c>
      <c r="D597" s="1" t="s">
        <v>1063</v>
      </c>
      <c r="E597" s="1">
        <v>5</v>
      </c>
      <c r="F597" s="1">
        <v>89.933000000000007</v>
      </c>
      <c r="G597" s="1">
        <v>7341</v>
      </c>
      <c r="H597" s="1">
        <v>8824</v>
      </c>
      <c r="I597" s="1">
        <v>10224</v>
      </c>
      <c r="J597" s="1">
        <v>88.501999999999995</v>
      </c>
      <c r="K597" s="1">
        <v>-3.0139999999999998</v>
      </c>
      <c r="L597" s="1">
        <v>24.442</v>
      </c>
      <c r="M597" s="1" t="s">
        <v>1064</v>
      </c>
      <c r="N597" s="1" t="s">
        <v>725</v>
      </c>
      <c r="O597" s="1" t="s">
        <v>1065</v>
      </c>
      <c r="P597" s="1" t="s">
        <v>1066</v>
      </c>
      <c r="Q597" s="1" t="s">
        <v>217</v>
      </c>
      <c r="R597" s="1" t="s">
        <v>182</v>
      </c>
      <c r="S597" s="1" t="s">
        <v>106</v>
      </c>
    </row>
    <row r="598" spans="1:19" x14ac:dyDescent="0.25">
      <c r="A598" s="1">
        <v>86</v>
      </c>
      <c r="B598" s="1" t="s">
        <v>1062</v>
      </c>
      <c r="C598" s="1" t="s">
        <v>496</v>
      </c>
      <c r="D598" s="1" t="s">
        <v>1063</v>
      </c>
      <c r="E598" s="1">
        <v>6</v>
      </c>
      <c r="F598" s="1">
        <v>199.57</v>
      </c>
      <c r="G598" s="1">
        <v>16663</v>
      </c>
      <c r="H598" s="1">
        <v>20086</v>
      </c>
      <c r="I598" s="1">
        <v>23200</v>
      </c>
      <c r="J598" s="1">
        <v>196.393</v>
      </c>
      <c r="K598" s="1">
        <v>-2.3780000000000001</v>
      </c>
      <c r="L598" s="1">
        <v>24.132999999999999</v>
      </c>
      <c r="M598" s="1" t="s">
        <v>1064</v>
      </c>
      <c r="N598" s="1" t="s">
        <v>725</v>
      </c>
      <c r="O598" s="1" t="s">
        <v>1065</v>
      </c>
      <c r="P598" s="1" t="s">
        <v>1066</v>
      </c>
      <c r="Q598" s="1" t="s">
        <v>58</v>
      </c>
      <c r="R598" s="1" t="s">
        <v>267</v>
      </c>
      <c r="S598" s="1" t="s">
        <v>307</v>
      </c>
    </row>
    <row r="599" spans="1:19" x14ac:dyDescent="0.25">
      <c r="A599" s="1">
        <v>86</v>
      </c>
      <c r="B599" s="1" t="s">
        <v>1062</v>
      </c>
      <c r="C599" s="1" t="s">
        <v>496</v>
      </c>
      <c r="D599" s="1" t="s">
        <v>1063</v>
      </c>
      <c r="E599" s="1">
        <v>7</v>
      </c>
      <c r="F599" s="1">
        <v>189.489</v>
      </c>
      <c r="G599" s="1">
        <v>15683</v>
      </c>
      <c r="H599" s="1">
        <v>18896</v>
      </c>
      <c r="I599" s="1">
        <v>21838</v>
      </c>
      <c r="J599" s="1">
        <v>186.47300000000001</v>
      </c>
      <c r="K599" s="1">
        <v>-2.44</v>
      </c>
      <c r="L599" s="1">
        <v>24.126000000000001</v>
      </c>
      <c r="M599" s="1" t="s">
        <v>1064</v>
      </c>
      <c r="N599" s="1" t="s">
        <v>725</v>
      </c>
      <c r="O599" s="1" t="s">
        <v>1065</v>
      </c>
      <c r="P599" s="1" t="s">
        <v>1066</v>
      </c>
      <c r="Q599" s="1" t="s">
        <v>58</v>
      </c>
      <c r="R599" s="1" t="s">
        <v>267</v>
      </c>
      <c r="S599" s="1" t="s">
        <v>307</v>
      </c>
    </row>
    <row r="600" spans="1:19" hidden="1" x14ac:dyDescent="0.25">
      <c r="A600" s="1">
        <v>87</v>
      </c>
      <c r="B600" s="1" t="s">
        <v>1067</v>
      </c>
      <c r="C600" s="1" t="s">
        <v>340</v>
      </c>
      <c r="D600" s="1" t="s">
        <v>1068</v>
      </c>
      <c r="E600" s="1">
        <v>1</v>
      </c>
      <c r="F600" s="1">
        <v>173.971</v>
      </c>
      <c r="G600" s="1">
        <v>8893</v>
      </c>
      <c r="H600" s="1">
        <v>10638</v>
      </c>
      <c r="I600" s="1">
        <v>12318</v>
      </c>
      <c r="J600" s="1">
        <v>171.21100000000001</v>
      </c>
      <c r="K600" s="1">
        <v>-5.3929999999999998</v>
      </c>
      <c r="L600" s="1">
        <v>19.09</v>
      </c>
      <c r="M600" s="1" t="s">
        <v>1069</v>
      </c>
      <c r="N600" s="1" t="s">
        <v>725</v>
      </c>
      <c r="O600" s="1" t="s">
        <v>1070</v>
      </c>
      <c r="P600" s="1" t="s">
        <v>1071</v>
      </c>
      <c r="Q600" s="1" t="s">
        <v>57</v>
      </c>
      <c r="R600" s="1" t="s">
        <v>258</v>
      </c>
      <c r="S600" s="1" t="s">
        <v>139</v>
      </c>
    </row>
    <row r="601" spans="1:19" hidden="1" x14ac:dyDescent="0.25">
      <c r="A601" s="1">
        <v>87</v>
      </c>
      <c r="B601" s="1" t="s">
        <v>1067</v>
      </c>
      <c r="C601" s="1" t="s">
        <v>340</v>
      </c>
      <c r="D601" s="1" t="s">
        <v>1068</v>
      </c>
      <c r="E601" s="1">
        <v>2</v>
      </c>
      <c r="F601" s="1">
        <v>172.25399999999999</v>
      </c>
      <c r="G601" s="1">
        <v>8903</v>
      </c>
      <c r="H601" s="1">
        <v>10650</v>
      </c>
      <c r="I601" s="1">
        <v>12332</v>
      </c>
      <c r="J601" s="1">
        <v>169.52199999999999</v>
      </c>
      <c r="K601" s="1">
        <v>-5.4029999999999996</v>
      </c>
      <c r="L601" s="1">
        <v>19.067</v>
      </c>
      <c r="M601" s="1" t="s">
        <v>1069</v>
      </c>
      <c r="N601" s="1" t="s">
        <v>725</v>
      </c>
      <c r="O601" s="1" t="s">
        <v>1070</v>
      </c>
      <c r="P601" s="1" t="s">
        <v>1071</v>
      </c>
      <c r="Q601" s="1" t="s">
        <v>89</v>
      </c>
      <c r="R601" s="1" t="s">
        <v>279</v>
      </c>
      <c r="S601" s="1" t="s">
        <v>180</v>
      </c>
    </row>
    <row r="602" spans="1:19" hidden="1" x14ac:dyDescent="0.25">
      <c r="A602" s="1">
        <v>87</v>
      </c>
      <c r="B602" s="1" t="s">
        <v>1067</v>
      </c>
      <c r="C602" s="1" t="s">
        <v>340</v>
      </c>
      <c r="D602" s="1" t="s">
        <v>1068</v>
      </c>
      <c r="E602" s="1">
        <v>3</v>
      </c>
      <c r="F602" s="1">
        <v>172.72300000000001</v>
      </c>
      <c r="G602" s="1">
        <v>8938</v>
      </c>
      <c r="H602" s="1">
        <v>10692</v>
      </c>
      <c r="I602" s="1">
        <v>12380</v>
      </c>
      <c r="J602" s="1">
        <v>169.983</v>
      </c>
      <c r="K602" s="1">
        <v>-5.399</v>
      </c>
      <c r="L602" s="1">
        <v>19.073</v>
      </c>
      <c r="M602" s="1" t="s">
        <v>1069</v>
      </c>
      <c r="N602" s="1" t="s">
        <v>725</v>
      </c>
      <c r="O602" s="1" t="s">
        <v>1070</v>
      </c>
      <c r="P602" s="1" t="s">
        <v>1071</v>
      </c>
      <c r="Q602" s="1" t="s">
        <v>158</v>
      </c>
      <c r="R602" s="1" t="s">
        <v>194</v>
      </c>
      <c r="S602" s="1" t="s">
        <v>304</v>
      </c>
    </row>
    <row r="603" spans="1:19" hidden="1" x14ac:dyDescent="0.25">
      <c r="A603" s="1">
        <v>87</v>
      </c>
      <c r="B603" s="1" t="s">
        <v>1067</v>
      </c>
      <c r="C603" s="1" t="s">
        <v>340</v>
      </c>
      <c r="D603" s="1" t="s">
        <v>1068</v>
      </c>
      <c r="E603" s="1">
        <v>4</v>
      </c>
      <c r="F603" s="1">
        <v>172.91</v>
      </c>
      <c r="G603" s="1">
        <v>8894</v>
      </c>
      <c r="H603" s="1">
        <v>10639</v>
      </c>
      <c r="I603" s="1">
        <v>12319</v>
      </c>
      <c r="J603" s="1">
        <v>170.167</v>
      </c>
      <c r="K603" s="1">
        <v>-5.399</v>
      </c>
      <c r="L603" s="1">
        <v>19.082999999999998</v>
      </c>
      <c r="M603" s="1" t="s">
        <v>1069</v>
      </c>
      <c r="N603" s="1" t="s">
        <v>725</v>
      </c>
      <c r="O603" s="1" t="s">
        <v>1070</v>
      </c>
      <c r="P603" s="1" t="s">
        <v>1071</v>
      </c>
      <c r="Q603" s="1" t="s">
        <v>167</v>
      </c>
      <c r="R603" s="1" t="s">
        <v>237</v>
      </c>
      <c r="S603" s="1" t="s">
        <v>206</v>
      </c>
    </row>
    <row r="604" spans="1:19" hidden="1" x14ac:dyDescent="0.25">
      <c r="A604" s="1">
        <v>87</v>
      </c>
      <c r="B604" s="1" t="s">
        <v>1067</v>
      </c>
      <c r="C604" s="1" t="s">
        <v>340</v>
      </c>
      <c r="D604" s="1" t="s">
        <v>1068</v>
      </c>
      <c r="E604" s="1">
        <v>5</v>
      </c>
      <c r="F604" s="1">
        <v>102.66800000000001</v>
      </c>
      <c r="G604" s="1">
        <v>7984</v>
      </c>
      <c r="H604" s="1">
        <v>9602</v>
      </c>
      <c r="I604" s="1">
        <v>11117</v>
      </c>
      <c r="J604" s="1">
        <v>101.03400000000001</v>
      </c>
      <c r="K604" s="1">
        <v>-2.4119999999999999</v>
      </c>
      <c r="L604" s="1">
        <v>24.216999999999999</v>
      </c>
      <c r="M604" s="1" t="s">
        <v>1069</v>
      </c>
      <c r="N604" s="1" t="s">
        <v>725</v>
      </c>
      <c r="O604" s="1" t="s">
        <v>1070</v>
      </c>
      <c r="P604" s="1" t="s">
        <v>1071</v>
      </c>
      <c r="Q604" s="1" t="s">
        <v>189</v>
      </c>
      <c r="R604" s="1" t="s">
        <v>222</v>
      </c>
      <c r="S604" s="1" t="s">
        <v>106</v>
      </c>
    </row>
    <row r="605" spans="1:19" x14ac:dyDescent="0.25">
      <c r="A605" s="1">
        <v>87</v>
      </c>
      <c r="B605" s="1" t="s">
        <v>1067</v>
      </c>
      <c r="C605" s="1" t="s">
        <v>340</v>
      </c>
      <c r="D605" s="1" t="s">
        <v>1068</v>
      </c>
      <c r="E605" s="1">
        <v>6</v>
      </c>
      <c r="F605" s="1">
        <v>170.018</v>
      </c>
      <c r="G605" s="1">
        <v>13493</v>
      </c>
      <c r="H605" s="1">
        <v>16257</v>
      </c>
      <c r="I605" s="1">
        <v>18791</v>
      </c>
      <c r="J605" s="1">
        <v>167.31100000000001</v>
      </c>
      <c r="K605" s="1">
        <v>-2.2160000000000002</v>
      </c>
      <c r="L605" s="1">
        <v>24.300999999999998</v>
      </c>
      <c r="M605" s="1" t="s">
        <v>1069</v>
      </c>
      <c r="N605" s="1" t="s">
        <v>725</v>
      </c>
      <c r="O605" s="1" t="s">
        <v>1070</v>
      </c>
      <c r="P605" s="1" t="s">
        <v>1071</v>
      </c>
      <c r="Q605" s="1" t="s">
        <v>51</v>
      </c>
      <c r="R605" s="1" t="s">
        <v>256</v>
      </c>
      <c r="S605" s="1" t="s">
        <v>250</v>
      </c>
    </row>
    <row r="606" spans="1:19" x14ac:dyDescent="0.25">
      <c r="A606" s="1">
        <v>87</v>
      </c>
      <c r="B606" s="1" t="s">
        <v>1067</v>
      </c>
      <c r="C606" s="1" t="s">
        <v>340</v>
      </c>
      <c r="D606" s="1" t="s">
        <v>1068</v>
      </c>
      <c r="E606" s="1">
        <v>7</v>
      </c>
      <c r="F606" s="1">
        <v>159.566</v>
      </c>
      <c r="G606" s="1">
        <v>12712</v>
      </c>
      <c r="H606" s="1">
        <v>15313</v>
      </c>
      <c r="I606" s="1">
        <v>17702</v>
      </c>
      <c r="J606" s="1">
        <v>157.02500000000001</v>
      </c>
      <c r="K606" s="1">
        <v>-2.1560000000000001</v>
      </c>
      <c r="L606" s="1">
        <v>24.321999999999999</v>
      </c>
      <c r="M606" s="1" t="s">
        <v>1069</v>
      </c>
      <c r="N606" s="1" t="s">
        <v>725</v>
      </c>
      <c r="O606" s="1" t="s">
        <v>1070</v>
      </c>
      <c r="P606" s="1" t="s">
        <v>1071</v>
      </c>
      <c r="Q606" s="1" t="s">
        <v>1072</v>
      </c>
      <c r="R606" s="1" t="s">
        <v>1073</v>
      </c>
      <c r="S606" s="1" t="s">
        <v>1074</v>
      </c>
    </row>
    <row r="607" spans="1:19" hidden="1" x14ac:dyDescent="0.25">
      <c r="A607" s="1">
        <v>88</v>
      </c>
      <c r="B607" s="1" t="s">
        <v>1075</v>
      </c>
      <c r="C607" s="1" t="s">
        <v>1076</v>
      </c>
      <c r="D607" s="1" t="s">
        <v>1077</v>
      </c>
      <c r="E607" s="1">
        <v>1</v>
      </c>
      <c r="F607" s="1">
        <v>174.25399999999999</v>
      </c>
      <c r="G607" s="1">
        <v>8901</v>
      </c>
      <c r="H607" s="1">
        <v>10649</v>
      </c>
      <c r="I607" s="1">
        <v>12324</v>
      </c>
      <c r="J607" s="1">
        <v>171.49</v>
      </c>
      <c r="K607" s="1">
        <v>-5.3860000000000001</v>
      </c>
      <c r="L607" s="1">
        <v>19.082999999999998</v>
      </c>
      <c r="M607" s="1" t="s">
        <v>1078</v>
      </c>
      <c r="N607" s="1" t="s">
        <v>725</v>
      </c>
      <c r="O607" s="1" t="s">
        <v>1079</v>
      </c>
      <c r="P607" s="1" t="s">
        <v>1080</v>
      </c>
      <c r="Q607" s="1" t="s">
        <v>52</v>
      </c>
      <c r="R607" s="1" t="s">
        <v>75</v>
      </c>
      <c r="S607" s="1" t="s">
        <v>158</v>
      </c>
    </row>
    <row r="608" spans="1:19" hidden="1" x14ac:dyDescent="0.25">
      <c r="A608" s="1">
        <v>88</v>
      </c>
      <c r="B608" s="1" t="s">
        <v>1075</v>
      </c>
      <c r="C608" s="1" t="s">
        <v>1076</v>
      </c>
      <c r="D608" s="1" t="s">
        <v>1077</v>
      </c>
      <c r="E608" s="1">
        <v>2</v>
      </c>
      <c r="F608" s="1">
        <v>172.072</v>
      </c>
      <c r="G608" s="1">
        <v>8895</v>
      </c>
      <c r="H608" s="1">
        <v>10642</v>
      </c>
      <c r="I608" s="1">
        <v>12317</v>
      </c>
      <c r="J608" s="1">
        <v>169.34200000000001</v>
      </c>
      <c r="K608" s="1">
        <v>-5.4029999999999996</v>
      </c>
      <c r="L608" s="1">
        <v>19.088000000000001</v>
      </c>
      <c r="M608" s="1" t="s">
        <v>1078</v>
      </c>
      <c r="N608" s="1" t="s">
        <v>725</v>
      </c>
      <c r="O608" s="1" t="s">
        <v>1079</v>
      </c>
      <c r="P608" s="1" t="s">
        <v>1080</v>
      </c>
      <c r="Q608" s="1" t="s">
        <v>254</v>
      </c>
      <c r="R608" s="1" t="s">
        <v>262</v>
      </c>
      <c r="S608" s="1" t="s">
        <v>123</v>
      </c>
    </row>
    <row r="609" spans="1:19" hidden="1" x14ac:dyDescent="0.25">
      <c r="A609" s="1">
        <v>88</v>
      </c>
      <c r="B609" s="1" t="s">
        <v>1075</v>
      </c>
      <c r="C609" s="1" t="s">
        <v>1076</v>
      </c>
      <c r="D609" s="1" t="s">
        <v>1077</v>
      </c>
      <c r="E609" s="1">
        <v>3</v>
      </c>
      <c r="F609" s="1">
        <v>173.126</v>
      </c>
      <c r="G609" s="1">
        <v>8959</v>
      </c>
      <c r="H609" s="1">
        <v>10718</v>
      </c>
      <c r="I609" s="1">
        <v>12402</v>
      </c>
      <c r="J609" s="1">
        <v>170.38</v>
      </c>
      <c r="K609" s="1">
        <v>-5.4020000000000001</v>
      </c>
      <c r="L609" s="1">
        <v>19.088000000000001</v>
      </c>
      <c r="M609" s="1" t="s">
        <v>1078</v>
      </c>
      <c r="N609" s="1" t="s">
        <v>725</v>
      </c>
      <c r="O609" s="1" t="s">
        <v>1079</v>
      </c>
      <c r="P609" s="1" t="s">
        <v>1080</v>
      </c>
      <c r="Q609" s="1" t="s">
        <v>159</v>
      </c>
      <c r="R609" s="1" t="s">
        <v>179</v>
      </c>
      <c r="S609" s="1" t="s">
        <v>324</v>
      </c>
    </row>
    <row r="610" spans="1:19" hidden="1" x14ac:dyDescent="0.25">
      <c r="A610" s="1">
        <v>88</v>
      </c>
      <c r="B610" s="1" t="s">
        <v>1075</v>
      </c>
      <c r="C610" s="1" t="s">
        <v>1076</v>
      </c>
      <c r="D610" s="1" t="s">
        <v>1077</v>
      </c>
      <c r="E610" s="1">
        <v>4</v>
      </c>
      <c r="F610" s="1">
        <v>173.32900000000001</v>
      </c>
      <c r="G610" s="1">
        <v>8916</v>
      </c>
      <c r="H610" s="1">
        <v>10667</v>
      </c>
      <c r="I610" s="1">
        <v>12345</v>
      </c>
      <c r="J610" s="1">
        <v>170.57900000000001</v>
      </c>
      <c r="K610" s="1">
        <v>-5.399</v>
      </c>
      <c r="L610" s="1">
        <v>19.082999999999998</v>
      </c>
      <c r="M610" s="1" t="s">
        <v>1078</v>
      </c>
      <c r="N610" s="1" t="s">
        <v>725</v>
      </c>
      <c r="O610" s="1" t="s">
        <v>1079</v>
      </c>
      <c r="P610" s="1" t="s">
        <v>1080</v>
      </c>
      <c r="Q610" s="1" t="s">
        <v>158</v>
      </c>
      <c r="R610" s="1" t="s">
        <v>166</v>
      </c>
      <c r="S610" s="1" t="s">
        <v>174</v>
      </c>
    </row>
    <row r="611" spans="1:19" hidden="1" x14ac:dyDescent="0.25">
      <c r="A611" s="1">
        <v>88</v>
      </c>
      <c r="B611" s="1" t="s">
        <v>1075</v>
      </c>
      <c r="C611" s="1" t="s">
        <v>1076</v>
      </c>
      <c r="D611" s="1" t="s">
        <v>1077</v>
      </c>
      <c r="E611" s="1">
        <v>5</v>
      </c>
      <c r="F611" s="1">
        <v>93.706000000000003</v>
      </c>
      <c r="G611" s="1">
        <v>7693</v>
      </c>
      <c r="H611" s="1">
        <v>9256</v>
      </c>
      <c r="I611" s="1">
        <v>10712</v>
      </c>
      <c r="J611" s="1">
        <v>92.213999999999999</v>
      </c>
      <c r="K611" s="1">
        <v>-2.2320000000000002</v>
      </c>
      <c r="L611" s="1">
        <v>24.37</v>
      </c>
      <c r="M611" s="1" t="s">
        <v>1078</v>
      </c>
      <c r="N611" s="1" t="s">
        <v>725</v>
      </c>
      <c r="O611" s="1" t="s">
        <v>1079</v>
      </c>
      <c r="P611" s="1" t="s">
        <v>1080</v>
      </c>
      <c r="Q611" s="1" t="s">
        <v>217</v>
      </c>
      <c r="R611" s="1" t="s">
        <v>182</v>
      </c>
      <c r="S611" s="1" t="s">
        <v>111</v>
      </c>
    </row>
    <row r="612" spans="1:19" x14ac:dyDescent="0.25">
      <c r="A612" s="1">
        <v>88</v>
      </c>
      <c r="B612" s="1" t="s">
        <v>1075</v>
      </c>
      <c r="C612" s="1" t="s">
        <v>1076</v>
      </c>
      <c r="D612" s="1" t="s">
        <v>1077</v>
      </c>
      <c r="E612" s="1">
        <v>6</v>
      </c>
      <c r="F612" s="1">
        <v>142.83000000000001</v>
      </c>
      <c r="G612" s="1">
        <v>11854</v>
      </c>
      <c r="H612" s="1">
        <v>14273</v>
      </c>
      <c r="I612" s="1">
        <v>16497</v>
      </c>
      <c r="J612" s="1">
        <v>140.55699999999999</v>
      </c>
      <c r="K612" s="1">
        <v>-2.403</v>
      </c>
      <c r="L612" s="1">
        <v>24.32</v>
      </c>
      <c r="M612" s="1" t="s">
        <v>1078</v>
      </c>
      <c r="N612" s="1" t="s">
        <v>725</v>
      </c>
      <c r="O612" s="1" t="s">
        <v>1079</v>
      </c>
      <c r="P612" s="1" t="s">
        <v>1080</v>
      </c>
      <c r="Q612" s="1" t="s">
        <v>86</v>
      </c>
      <c r="R612" s="1" t="s">
        <v>223</v>
      </c>
      <c r="S612" s="1" t="s">
        <v>157</v>
      </c>
    </row>
    <row r="613" spans="1:19" x14ac:dyDescent="0.25">
      <c r="A613" s="1">
        <v>88</v>
      </c>
      <c r="B613" s="1" t="s">
        <v>1075</v>
      </c>
      <c r="C613" s="1" t="s">
        <v>1076</v>
      </c>
      <c r="D613" s="1" t="s">
        <v>1077</v>
      </c>
      <c r="E613" s="1">
        <v>7</v>
      </c>
      <c r="F613" s="1">
        <v>133.78200000000001</v>
      </c>
      <c r="G613" s="1">
        <v>11079</v>
      </c>
      <c r="H613" s="1">
        <v>13335</v>
      </c>
      <c r="I613" s="1">
        <v>15424</v>
      </c>
      <c r="J613" s="1">
        <v>131.65199999999999</v>
      </c>
      <c r="K613" s="1">
        <v>-2.3530000000000002</v>
      </c>
      <c r="L613" s="1">
        <v>24.381</v>
      </c>
      <c r="M613" s="1" t="s">
        <v>1078</v>
      </c>
      <c r="N613" s="1" t="s">
        <v>725</v>
      </c>
      <c r="O613" s="1" t="s">
        <v>1079</v>
      </c>
      <c r="P613" s="1" t="s">
        <v>1080</v>
      </c>
      <c r="Q613" s="1" t="s">
        <v>703</v>
      </c>
      <c r="R613" s="1" t="s">
        <v>338</v>
      </c>
      <c r="S613" s="1" t="s">
        <v>349</v>
      </c>
    </row>
    <row r="614" spans="1:19" hidden="1" x14ac:dyDescent="0.25">
      <c r="A614" s="1">
        <v>89</v>
      </c>
      <c r="B614" s="1" t="s">
        <v>1081</v>
      </c>
      <c r="C614" s="1" t="s">
        <v>397</v>
      </c>
      <c r="D614" s="1" t="s">
        <v>1082</v>
      </c>
      <c r="E614" s="1">
        <v>1</v>
      </c>
      <c r="F614" s="1">
        <v>174.50800000000001</v>
      </c>
      <c r="G614" s="1">
        <v>8916</v>
      </c>
      <c r="H614" s="1">
        <v>10667</v>
      </c>
      <c r="I614" s="1">
        <v>12343</v>
      </c>
      <c r="J614" s="1">
        <v>171.739</v>
      </c>
      <c r="K614" s="1">
        <v>-5.383</v>
      </c>
      <c r="L614" s="1">
        <v>19.062000000000001</v>
      </c>
      <c r="M614" s="1" t="s">
        <v>1083</v>
      </c>
      <c r="N614" s="1" t="s">
        <v>725</v>
      </c>
      <c r="O614" s="1" t="s">
        <v>1084</v>
      </c>
      <c r="P614" s="1" t="s">
        <v>1085</v>
      </c>
      <c r="Q614" s="1" t="s">
        <v>46</v>
      </c>
      <c r="R614" s="1" t="s">
        <v>93</v>
      </c>
      <c r="S614" s="1" t="s">
        <v>89</v>
      </c>
    </row>
    <row r="615" spans="1:19" hidden="1" x14ac:dyDescent="0.25">
      <c r="A615" s="1">
        <v>89</v>
      </c>
      <c r="B615" s="1" t="s">
        <v>1081</v>
      </c>
      <c r="C615" s="1" t="s">
        <v>397</v>
      </c>
      <c r="D615" s="1" t="s">
        <v>1082</v>
      </c>
      <c r="E615" s="1">
        <v>2</v>
      </c>
      <c r="F615" s="1">
        <v>172.904</v>
      </c>
      <c r="G615" s="1">
        <v>8933</v>
      </c>
      <c r="H615" s="1">
        <v>10687</v>
      </c>
      <c r="I615" s="1">
        <v>12368</v>
      </c>
      <c r="J615" s="1">
        <v>170.161</v>
      </c>
      <c r="K615" s="1">
        <v>-5.3890000000000002</v>
      </c>
      <c r="L615" s="1">
        <v>19.064</v>
      </c>
      <c r="M615" s="1" t="s">
        <v>1083</v>
      </c>
      <c r="N615" s="1" t="s">
        <v>725</v>
      </c>
      <c r="O615" s="1" t="s">
        <v>1084</v>
      </c>
      <c r="P615" s="1" t="s">
        <v>1085</v>
      </c>
      <c r="Q615" s="1" t="s">
        <v>256</v>
      </c>
      <c r="R615" s="1" t="s">
        <v>302</v>
      </c>
      <c r="S615" s="1" t="s">
        <v>277</v>
      </c>
    </row>
    <row r="616" spans="1:19" hidden="1" x14ac:dyDescent="0.25">
      <c r="A616" s="1">
        <v>89</v>
      </c>
      <c r="B616" s="1" t="s">
        <v>1081</v>
      </c>
      <c r="C616" s="1" t="s">
        <v>397</v>
      </c>
      <c r="D616" s="1" t="s">
        <v>1082</v>
      </c>
      <c r="E616" s="1">
        <v>3</v>
      </c>
      <c r="F616" s="1">
        <v>173.68799999999999</v>
      </c>
      <c r="G616" s="1">
        <v>8988</v>
      </c>
      <c r="H616" s="1">
        <v>10753</v>
      </c>
      <c r="I616" s="1">
        <v>12442</v>
      </c>
      <c r="J616" s="1">
        <v>170.93199999999999</v>
      </c>
      <c r="K616" s="1">
        <v>-5.4039999999999999</v>
      </c>
      <c r="L616" s="1">
        <v>19.053000000000001</v>
      </c>
      <c r="M616" s="1" t="s">
        <v>1083</v>
      </c>
      <c r="N616" s="1" t="s">
        <v>725</v>
      </c>
      <c r="O616" s="1" t="s">
        <v>1084</v>
      </c>
      <c r="P616" s="1" t="s">
        <v>1085</v>
      </c>
      <c r="Q616" s="1" t="s">
        <v>147</v>
      </c>
      <c r="R616" s="1" t="s">
        <v>297</v>
      </c>
      <c r="S616" s="1" t="s">
        <v>295</v>
      </c>
    </row>
    <row r="617" spans="1:19" hidden="1" x14ac:dyDescent="0.25">
      <c r="A617" s="1">
        <v>89</v>
      </c>
      <c r="B617" s="1" t="s">
        <v>1081</v>
      </c>
      <c r="C617" s="1" t="s">
        <v>397</v>
      </c>
      <c r="D617" s="1" t="s">
        <v>1082</v>
      </c>
      <c r="E617" s="1">
        <v>4</v>
      </c>
      <c r="F617" s="1">
        <v>173.67599999999999</v>
      </c>
      <c r="G617" s="1">
        <v>8921</v>
      </c>
      <c r="H617" s="1">
        <v>10673</v>
      </c>
      <c r="I617" s="1">
        <v>12351</v>
      </c>
      <c r="J617" s="1">
        <v>170.92099999999999</v>
      </c>
      <c r="K617" s="1">
        <v>-5.399</v>
      </c>
      <c r="L617" s="1">
        <v>19.082999999999998</v>
      </c>
      <c r="M617" s="1" t="s">
        <v>1083</v>
      </c>
      <c r="N617" s="1" t="s">
        <v>725</v>
      </c>
      <c r="O617" s="1" t="s">
        <v>1084</v>
      </c>
      <c r="P617" s="1" t="s">
        <v>1085</v>
      </c>
      <c r="Q617" s="1" t="s">
        <v>159</v>
      </c>
      <c r="R617" s="1" t="s">
        <v>179</v>
      </c>
      <c r="S617" s="1" t="s">
        <v>168</v>
      </c>
    </row>
    <row r="618" spans="1:19" hidden="1" x14ac:dyDescent="0.25">
      <c r="A618" s="1">
        <v>89</v>
      </c>
      <c r="B618" s="1" t="s">
        <v>1081</v>
      </c>
      <c r="C618" s="1" t="s">
        <v>397</v>
      </c>
      <c r="D618" s="1" t="s">
        <v>1082</v>
      </c>
      <c r="E618" s="1">
        <v>5</v>
      </c>
      <c r="F618" s="1">
        <v>73.61</v>
      </c>
      <c r="G618" s="1">
        <v>5722</v>
      </c>
      <c r="H618" s="1">
        <v>6880</v>
      </c>
      <c r="I618" s="1">
        <v>7966</v>
      </c>
      <c r="J618" s="1">
        <v>72.438000000000002</v>
      </c>
      <c r="K618" s="1">
        <v>-2.379</v>
      </c>
      <c r="L618" s="1">
        <v>24.417999999999999</v>
      </c>
      <c r="M618" s="1" t="s">
        <v>1083</v>
      </c>
      <c r="N618" s="1" t="s">
        <v>725</v>
      </c>
      <c r="O618" s="1" t="s">
        <v>1084</v>
      </c>
      <c r="P618" s="1" t="s">
        <v>1085</v>
      </c>
      <c r="Q618" s="1" t="s">
        <v>196</v>
      </c>
      <c r="R618" s="1" t="s">
        <v>218</v>
      </c>
      <c r="S618" s="1" t="s">
        <v>195</v>
      </c>
    </row>
    <row r="619" spans="1:19" x14ac:dyDescent="0.25">
      <c r="A619" s="1">
        <v>89</v>
      </c>
      <c r="B619" s="1" t="s">
        <v>1081</v>
      </c>
      <c r="C619" s="1" t="s">
        <v>397</v>
      </c>
      <c r="D619" s="1" t="s">
        <v>1082</v>
      </c>
      <c r="E619" s="1">
        <v>6</v>
      </c>
      <c r="F619" s="1">
        <v>143.40299999999999</v>
      </c>
      <c r="G619" s="1">
        <v>11363</v>
      </c>
      <c r="H619" s="1">
        <v>13688</v>
      </c>
      <c r="I619" s="1">
        <v>15816</v>
      </c>
      <c r="J619" s="1">
        <v>141.119</v>
      </c>
      <c r="K619" s="1">
        <v>-2.09</v>
      </c>
      <c r="L619" s="1">
        <v>24.189</v>
      </c>
      <c r="M619" s="1" t="s">
        <v>1083</v>
      </c>
      <c r="N619" s="1" t="s">
        <v>725</v>
      </c>
      <c r="O619" s="1" t="s">
        <v>1084</v>
      </c>
      <c r="P619" s="1" t="s">
        <v>1085</v>
      </c>
      <c r="Q619" s="1" t="s">
        <v>64</v>
      </c>
      <c r="R619" s="1" t="s">
        <v>79</v>
      </c>
      <c r="S619" s="1" t="s">
        <v>113</v>
      </c>
    </row>
    <row r="620" spans="1:19" x14ac:dyDescent="0.25">
      <c r="A620" s="1">
        <v>89</v>
      </c>
      <c r="B620" s="1" t="s">
        <v>1081</v>
      </c>
      <c r="C620" s="1" t="s">
        <v>397</v>
      </c>
      <c r="D620" s="1" t="s">
        <v>1082</v>
      </c>
      <c r="E620" s="1">
        <v>7</v>
      </c>
      <c r="F620" s="1">
        <v>134.14099999999999</v>
      </c>
      <c r="G620" s="1">
        <v>10677</v>
      </c>
      <c r="H620" s="1">
        <v>12860</v>
      </c>
      <c r="I620" s="1">
        <v>14858</v>
      </c>
      <c r="J620" s="1">
        <v>132.005</v>
      </c>
      <c r="K620" s="1">
        <v>-2.0139999999999998</v>
      </c>
      <c r="L620" s="1">
        <v>24.202000000000002</v>
      </c>
      <c r="M620" s="1" t="s">
        <v>1083</v>
      </c>
      <c r="N620" s="1" t="s">
        <v>725</v>
      </c>
      <c r="O620" s="1" t="s">
        <v>1084</v>
      </c>
      <c r="P620" s="1" t="s">
        <v>1085</v>
      </c>
      <c r="Q620" s="1" t="s">
        <v>539</v>
      </c>
      <c r="R620" s="1" t="s">
        <v>683</v>
      </c>
      <c r="S620" s="1" t="s">
        <v>858</v>
      </c>
    </row>
    <row r="621" spans="1:19" hidden="1" x14ac:dyDescent="0.25">
      <c r="A621" s="1">
        <v>90</v>
      </c>
      <c r="B621" s="1" t="s">
        <v>1086</v>
      </c>
      <c r="C621" s="1" t="s">
        <v>1087</v>
      </c>
      <c r="D621" s="1" t="s">
        <v>1088</v>
      </c>
      <c r="E621" s="1">
        <v>1</v>
      </c>
      <c r="F621" s="1">
        <v>173.107</v>
      </c>
      <c r="G621" s="1">
        <v>8833</v>
      </c>
      <c r="H621" s="1">
        <v>10569</v>
      </c>
      <c r="I621" s="1">
        <v>12228</v>
      </c>
      <c r="J621" s="1">
        <v>170.36099999999999</v>
      </c>
      <c r="K621" s="1">
        <v>-5.391</v>
      </c>
      <c r="L621" s="1">
        <v>19.105</v>
      </c>
      <c r="M621" s="1" t="s">
        <v>1089</v>
      </c>
      <c r="N621" s="1" t="s">
        <v>725</v>
      </c>
      <c r="O621" s="1" t="s">
        <v>1090</v>
      </c>
      <c r="P621" s="1" t="s">
        <v>1091</v>
      </c>
      <c r="Q621" s="1" t="s">
        <v>46</v>
      </c>
      <c r="R621" s="1" t="s">
        <v>90</v>
      </c>
      <c r="S621" s="1" t="s">
        <v>254</v>
      </c>
    </row>
    <row r="622" spans="1:19" hidden="1" x14ac:dyDescent="0.25">
      <c r="A622" s="1">
        <v>90</v>
      </c>
      <c r="B622" s="1" t="s">
        <v>1086</v>
      </c>
      <c r="C622" s="1" t="s">
        <v>1087</v>
      </c>
      <c r="D622" s="1" t="s">
        <v>1088</v>
      </c>
      <c r="E622" s="1">
        <v>2</v>
      </c>
      <c r="F622" s="1">
        <v>170.92699999999999</v>
      </c>
      <c r="G622" s="1">
        <v>8837</v>
      </c>
      <c r="H622" s="1">
        <v>10573</v>
      </c>
      <c r="I622" s="1">
        <v>12235</v>
      </c>
      <c r="J622" s="1">
        <v>168.215</v>
      </c>
      <c r="K622" s="1">
        <v>-5.3949999999999996</v>
      </c>
      <c r="L622" s="1">
        <v>19.076000000000001</v>
      </c>
      <c r="M622" s="1" t="s">
        <v>1089</v>
      </c>
      <c r="N622" s="1" t="s">
        <v>725</v>
      </c>
      <c r="O622" s="1" t="s">
        <v>1090</v>
      </c>
      <c r="P622" s="1" t="s">
        <v>1091</v>
      </c>
      <c r="Q622" s="1" t="s">
        <v>223</v>
      </c>
      <c r="R622" s="1" t="s">
        <v>154</v>
      </c>
      <c r="S622" s="1" t="s">
        <v>318</v>
      </c>
    </row>
    <row r="623" spans="1:19" hidden="1" x14ac:dyDescent="0.25">
      <c r="A623" s="1">
        <v>90</v>
      </c>
      <c r="B623" s="1" t="s">
        <v>1086</v>
      </c>
      <c r="C623" s="1" t="s">
        <v>1087</v>
      </c>
      <c r="D623" s="1" t="s">
        <v>1088</v>
      </c>
      <c r="E623" s="1">
        <v>3</v>
      </c>
      <c r="F623" s="1">
        <v>171.79</v>
      </c>
      <c r="G623" s="1">
        <v>8890</v>
      </c>
      <c r="H623" s="1">
        <v>10635</v>
      </c>
      <c r="I623" s="1">
        <v>12307</v>
      </c>
      <c r="J623" s="1">
        <v>169.065</v>
      </c>
      <c r="K623" s="1">
        <v>-5.4</v>
      </c>
      <c r="L623" s="1">
        <v>19.082000000000001</v>
      </c>
      <c r="M623" s="1" t="s">
        <v>1089</v>
      </c>
      <c r="N623" s="1" t="s">
        <v>725</v>
      </c>
      <c r="O623" s="1" t="s">
        <v>1090</v>
      </c>
      <c r="P623" s="1" t="s">
        <v>1091</v>
      </c>
      <c r="Q623" s="1" t="s">
        <v>89</v>
      </c>
      <c r="R623" s="1" t="s">
        <v>279</v>
      </c>
      <c r="S623" s="1" t="s">
        <v>376</v>
      </c>
    </row>
    <row r="624" spans="1:19" hidden="1" x14ac:dyDescent="0.25">
      <c r="A624" s="1">
        <v>90</v>
      </c>
      <c r="B624" s="1" t="s">
        <v>1086</v>
      </c>
      <c r="C624" s="1" t="s">
        <v>1087</v>
      </c>
      <c r="D624" s="1" t="s">
        <v>1088</v>
      </c>
      <c r="E624" s="1">
        <v>4</v>
      </c>
      <c r="F624" s="1">
        <v>172.12</v>
      </c>
      <c r="G624" s="1">
        <v>8850</v>
      </c>
      <c r="H624" s="1">
        <v>10588</v>
      </c>
      <c r="I624" s="1">
        <v>12253</v>
      </c>
      <c r="J624" s="1">
        <v>169.38900000000001</v>
      </c>
      <c r="K624" s="1">
        <v>-5.399</v>
      </c>
      <c r="L624" s="1">
        <v>19.082999999999998</v>
      </c>
      <c r="M624" s="1" t="s">
        <v>1089</v>
      </c>
      <c r="N624" s="1" t="s">
        <v>725</v>
      </c>
      <c r="O624" s="1" t="s">
        <v>1090</v>
      </c>
      <c r="P624" s="1" t="s">
        <v>1091</v>
      </c>
      <c r="Q624" s="1" t="s">
        <v>291</v>
      </c>
      <c r="R624" s="1" t="s">
        <v>328</v>
      </c>
      <c r="S624" s="1" t="s">
        <v>381</v>
      </c>
    </row>
    <row r="625" spans="1:19" hidden="1" x14ac:dyDescent="0.25">
      <c r="A625" s="1">
        <v>90</v>
      </c>
      <c r="B625" s="1" t="s">
        <v>1086</v>
      </c>
      <c r="C625" s="1" t="s">
        <v>1087</v>
      </c>
      <c r="D625" s="1" t="s">
        <v>1088</v>
      </c>
      <c r="E625" s="1">
        <v>5</v>
      </c>
      <c r="F625" s="1">
        <v>78.198999999999998</v>
      </c>
      <c r="G625" s="1">
        <v>6318</v>
      </c>
      <c r="H625" s="1">
        <v>7597</v>
      </c>
      <c r="I625" s="1">
        <v>8792</v>
      </c>
      <c r="J625" s="1">
        <v>76.953999999999994</v>
      </c>
      <c r="K625" s="1">
        <v>-2.085</v>
      </c>
      <c r="L625" s="1">
        <v>24.215</v>
      </c>
      <c r="M625" s="1" t="s">
        <v>1089</v>
      </c>
      <c r="N625" s="1" t="s">
        <v>725</v>
      </c>
      <c r="O625" s="1" t="s">
        <v>1090</v>
      </c>
      <c r="P625" s="1" t="s">
        <v>1091</v>
      </c>
      <c r="Q625" s="1" t="s">
        <v>189</v>
      </c>
      <c r="R625" s="1" t="s">
        <v>975</v>
      </c>
      <c r="S625" s="1" t="s">
        <v>117</v>
      </c>
    </row>
    <row r="626" spans="1:19" x14ac:dyDescent="0.25">
      <c r="A626" s="1">
        <v>90</v>
      </c>
      <c r="B626" s="1" t="s">
        <v>1086</v>
      </c>
      <c r="C626" s="1" t="s">
        <v>1087</v>
      </c>
      <c r="D626" s="1" t="s">
        <v>1088</v>
      </c>
      <c r="E626" s="1">
        <v>6</v>
      </c>
      <c r="F626" s="1">
        <v>202.02</v>
      </c>
      <c r="G626" s="1">
        <v>16545</v>
      </c>
      <c r="H626" s="1">
        <v>19942</v>
      </c>
      <c r="I626" s="1">
        <v>23008</v>
      </c>
      <c r="J626" s="1">
        <v>198.804</v>
      </c>
      <c r="K626" s="1">
        <v>-1.9259999999999999</v>
      </c>
      <c r="L626" s="1">
        <v>23.675999999999998</v>
      </c>
      <c r="M626" s="1" t="s">
        <v>1089</v>
      </c>
      <c r="N626" s="1" t="s">
        <v>725</v>
      </c>
      <c r="O626" s="1" t="s">
        <v>1090</v>
      </c>
      <c r="P626" s="1" t="s">
        <v>1091</v>
      </c>
      <c r="Q626" s="1" t="s">
        <v>46</v>
      </c>
      <c r="R626" s="1" t="s">
        <v>90</v>
      </c>
      <c r="S626" s="1" t="s">
        <v>152</v>
      </c>
    </row>
    <row r="627" spans="1:19" x14ac:dyDescent="0.25">
      <c r="A627" s="1">
        <v>90</v>
      </c>
      <c r="B627" s="1" t="s">
        <v>1086</v>
      </c>
      <c r="C627" s="1" t="s">
        <v>1087</v>
      </c>
      <c r="D627" s="1" t="s">
        <v>1088</v>
      </c>
      <c r="E627" s="1">
        <v>7</v>
      </c>
      <c r="F627" s="1">
        <v>188.791</v>
      </c>
      <c r="G627" s="1">
        <v>15383</v>
      </c>
      <c r="H627" s="1">
        <v>18538</v>
      </c>
      <c r="I627" s="1">
        <v>21397</v>
      </c>
      <c r="J627" s="1">
        <v>185.785</v>
      </c>
      <c r="K627" s="1">
        <v>-1.8660000000000001</v>
      </c>
      <c r="L627" s="1">
        <v>23.724</v>
      </c>
      <c r="M627" s="1" t="s">
        <v>1089</v>
      </c>
      <c r="N627" s="1" t="s">
        <v>725</v>
      </c>
      <c r="O627" s="1" t="s">
        <v>1090</v>
      </c>
      <c r="P627" s="1" t="s">
        <v>1091</v>
      </c>
      <c r="Q627" s="1" t="s">
        <v>338</v>
      </c>
      <c r="R627" s="1" t="s">
        <v>1092</v>
      </c>
      <c r="S627" s="1" t="s">
        <v>1093</v>
      </c>
    </row>
    <row r="628" spans="1:19" hidden="1" x14ac:dyDescent="0.25">
      <c r="A628" s="1">
        <v>91</v>
      </c>
      <c r="B628" s="1" t="s">
        <v>1094</v>
      </c>
      <c r="C628" s="1" t="s">
        <v>1006</v>
      </c>
      <c r="D628" s="1" t="s">
        <v>1095</v>
      </c>
      <c r="E628" s="1">
        <v>1</v>
      </c>
      <c r="F628" s="1">
        <v>173.92</v>
      </c>
      <c r="G628" s="1">
        <v>8890</v>
      </c>
      <c r="H628" s="1">
        <v>10636</v>
      </c>
      <c r="I628" s="1">
        <v>12314</v>
      </c>
      <c r="J628" s="1">
        <v>171.161</v>
      </c>
      <c r="K628" s="1">
        <v>-5.3970000000000002</v>
      </c>
      <c r="L628" s="1">
        <v>19.085000000000001</v>
      </c>
      <c r="M628" s="1" t="s">
        <v>1096</v>
      </c>
      <c r="N628" s="1" t="s">
        <v>725</v>
      </c>
      <c r="O628" s="1" t="s">
        <v>1097</v>
      </c>
      <c r="P628" s="1" t="s">
        <v>1098</v>
      </c>
      <c r="Q628" s="1" t="s">
        <v>91</v>
      </c>
      <c r="R628" s="1" t="s">
        <v>107</v>
      </c>
      <c r="S628" s="1" t="s">
        <v>138</v>
      </c>
    </row>
    <row r="629" spans="1:19" hidden="1" x14ac:dyDescent="0.25">
      <c r="A629" s="1">
        <v>91</v>
      </c>
      <c r="B629" s="1" t="s">
        <v>1094</v>
      </c>
      <c r="C629" s="1" t="s">
        <v>1006</v>
      </c>
      <c r="D629" s="1" t="s">
        <v>1095</v>
      </c>
      <c r="E629" s="1">
        <v>2</v>
      </c>
      <c r="F629" s="1">
        <v>171.86099999999999</v>
      </c>
      <c r="G629" s="1">
        <v>8907</v>
      </c>
      <c r="H629" s="1">
        <v>10656</v>
      </c>
      <c r="I629" s="1">
        <v>12338</v>
      </c>
      <c r="J629" s="1">
        <v>169.13499999999999</v>
      </c>
      <c r="K629" s="1">
        <v>-5.3940000000000001</v>
      </c>
      <c r="L629" s="1">
        <v>19.071000000000002</v>
      </c>
      <c r="M629" s="1" t="s">
        <v>1096</v>
      </c>
      <c r="N629" s="1" t="s">
        <v>725</v>
      </c>
      <c r="O629" s="1" t="s">
        <v>1097</v>
      </c>
      <c r="P629" s="1" t="s">
        <v>1098</v>
      </c>
      <c r="Q629" s="1" t="s">
        <v>254</v>
      </c>
      <c r="R629" s="1" t="s">
        <v>149</v>
      </c>
      <c r="S629" s="1" t="s">
        <v>259</v>
      </c>
    </row>
    <row r="630" spans="1:19" hidden="1" x14ac:dyDescent="0.25">
      <c r="A630" s="1">
        <v>91</v>
      </c>
      <c r="B630" s="1" t="s">
        <v>1094</v>
      </c>
      <c r="C630" s="1" t="s">
        <v>1006</v>
      </c>
      <c r="D630" s="1" t="s">
        <v>1095</v>
      </c>
      <c r="E630" s="1">
        <v>3</v>
      </c>
      <c r="F630" s="1">
        <v>173.28899999999999</v>
      </c>
      <c r="G630" s="1">
        <v>8962</v>
      </c>
      <c r="H630" s="1">
        <v>10721</v>
      </c>
      <c r="I630" s="1">
        <v>12415</v>
      </c>
      <c r="J630" s="1">
        <v>170.54</v>
      </c>
      <c r="K630" s="1">
        <v>-5.3979999999999997</v>
      </c>
      <c r="L630" s="1">
        <v>19.074999999999999</v>
      </c>
      <c r="M630" s="1" t="s">
        <v>1096</v>
      </c>
      <c r="N630" s="1" t="s">
        <v>725</v>
      </c>
      <c r="O630" s="1" t="s">
        <v>1097</v>
      </c>
      <c r="P630" s="1" t="s">
        <v>1098</v>
      </c>
      <c r="Q630" s="1" t="s">
        <v>159</v>
      </c>
      <c r="R630" s="1" t="s">
        <v>234</v>
      </c>
      <c r="S630" s="1" t="s">
        <v>324</v>
      </c>
    </row>
    <row r="631" spans="1:19" hidden="1" x14ac:dyDescent="0.25">
      <c r="A631" s="1">
        <v>91</v>
      </c>
      <c r="B631" s="1" t="s">
        <v>1094</v>
      </c>
      <c r="C631" s="1" t="s">
        <v>1006</v>
      </c>
      <c r="D631" s="1" t="s">
        <v>1095</v>
      </c>
      <c r="E631" s="1">
        <v>4</v>
      </c>
      <c r="F631" s="1">
        <v>173.166</v>
      </c>
      <c r="G631" s="1">
        <v>8911</v>
      </c>
      <c r="H631" s="1">
        <v>10659</v>
      </c>
      <c r="I631" s="1">
        <v>12340</v>
      </c>
      <c r="J631" s="1">
        <v>170.41900000000001</v>
      </c>
      <c r="K631" s="1">
        <v>-5.399</v>
      </c>
      <c r="L631" s="1">
        <v>19.082999999999998</v>
      </c>
      <c r="M631" s="1" t="s">
        <v>1096</v>
      </c>
      <c r="N631" s="1" t="s">
        <v>725</v>
      </c>
      <c r="O631" s="1" t="s">
        <v>1097</v>
      </c>
      <c r="P631" s="1" t="s">
        <v>1098</v>
      </c>
      <c r="Q631" s="1" t="s">
        <v>158</v>
      </c>
      <c r="R631" s="1" t="s">
        <v>166</v>
      </c>
      <c r="S631" s="1" t="s">
        <v>304</v>
      </c>
    </row>
    <row r="632" spans="1:19" hidden="1" x14ac:dyDescent="0.25">
      <c r="A632" s="1">
        <v>91</v>
      </c>
      <c r="B632" s="1" t="s">
        <v>1094</v>
      </c>
      <c r="C632" s="1" t="s">
        <v>1006</v>
      </c>
      <c r="D632" s="1" t="s">
        <v>1095</v>
      </c>
      <c r="E632" s="1">
        <v>5</v>
      </c>
      <c r="F632" s="1">
        <v>103.73699999999999</v>
      </c>
      <c r="G632" s="1">
        <v>8143</v>
      </c>
      <c r="H632" s="1">
        <v>9803</v>
      </c>
      <c r="I632" s="1">
        <v>11335</v>
      </c>
      <c r="J632" s="1">
        <v>102.08499999999999</v>
      </c>
      <c r="K632" s="1">
        <v>-1.95</v>
      </c>
      <c r="L632" s="1">
        <v>23.838999999999999</v>
      </c>
      <c r="M632" s="1" t="s">
        <v>1096</v>
      </c>
      <c r="N632" s="1" t="s">
        <v>725</v>
      </c>
      <c r="O632" s="1" t="s">
        <v>1097</v>
      </c>
      <c r="P632" s="1" t="s">
        <v>1098</v>
      </c>
      <c r="Q632" s="1" t="s">
        <v>196</v>
      </c>
      <c r="R632" s="1" t="s">
        <v>218</v>
      </c>
      <c r="S632" s="1" t="s">
        <v>227</v>
      </c>
    </row>
    <row r="633" spans="1:19" x14ac:dyDescent="0.25">
      <c r="A633" s="1">
        <v>91</v>
      </c>
      <c r="B633" s="1" t="s">
        <v>1094</v>
      </c>
      <c r="C633" s="1" t="s">
        <v>1006</v>
      </c>
      <c r="D633" s="1" t="s">
        <v>1095</v>
      </c>
      <c r="E633" s="1">
        <v>6</v>
      </c>
      <c r="F633" s="1">
        <v>234.90700000000001</v>
      </c>
      <c r="G633" s="1">
        <v>19019</v>
      </c>
      <c r="H633" s="1">
        <v>22966</v>
      </c>
      <c r="I633" s="1">
        <v>26474</v>
      </c>
      <c r="J633" s="1">
        <v>231.167</v>
      </c>
      <c r="K633" s="1">
        <v>-1.97</v>
      </c>
      <c r="L633" s="1">
        <v>24.111000000000001</v>
      </c>
      <c r="M633" s="1" t="s">
        <v>1096</v>
      </c>
      <c r="N633" s="1" t="s">
        <v>725</v>
      </c>
      <c r="O633" s="1" t="s">
        <v>1097</v>
      </c>
      <c r="P633" s="1" t="s">
        <v>1098</v>
      </c>
      <c r="Q633" s="1" t="s">
        <v>51</v>
      </c>
      <c r="R633" s="1" t="s">
        <v>276</v>
      </c>
      <c r="S633" s="1" t="s">
        <v>245</v>
      </c>
    </row>
    <row r="634" spans="1:19" x14ac:dyDescent="0.25">
      <c r="A634" s="1">
        <v>91</v>
      </c>
      <c r="B634" s="1" t="s">
        <v>1094</v>
      </c>
      <c r="C634" s="1" t="s">
        <v>1006</v>
      </c>
      <c r="D634" s="1" t="s">
        <v>1095</v>
      </c>
      <c r="E634" s="1">
        <v>7</v>
      </c>
      <c r="F634" s="1">
        <v>223.483</v>
      </c>
      <c r="G634" s="1">
        <v>18059</v>
      </c>
      <c r="H634" s="1">
        <v>21800</v>
      </c>
      <c r="I634" s="1">
        <v>25137</v>
      </c>
      <c r="J634" s="1">
        <v>219.92400000000001</v>
      </c>
      <c r="K634" s="1">
        <v>-2.0379999999999998</v>
      </c>
      <c r="L634" s="1">
        <v>24.143999999999998</v>
      </c>
      <c r="M634" s="1" t="s">
        <v>1096</v>
      </c>
      <c r="N634" s="1" t="s">
        <v>725</v>
      </c>
      <c r="O634" s="1" t="s">
        <v>1097</v>
      </c>
      <c r="P634" s="1" t="s">
        <v>1098</v>
      </c>
      <c r="Q634" s="1" t="s">
        <v>51</v>
      </c>
      <c r="R634" s="1" t="s">
        <v>276</v>
      </c>
      <c r="S634" s="1" t="s">
        <v>245</v>
      </c>
    </row>
    <row r="635" spans="1:19" hidden="1" x14ac:dyDescent="0.25">
      <c r="A635" s="1">
        <v>92</v>
      </c>
      <c r="B635" s="1" t="s">
        <v>1099</v>
      </c>
      <c r="C635" s="1" t="s">
        <v>601</v>
      </c>
      <c r="D635" s="1" t="s">
        <v>1100</v>
      </c>
      <c r="E635" s="1">
        <v>1</v>
      </c>
      <c r="F635" s="1">
        <v>173.75899999999999</v>
      </c>
      <c r="G635" s="1">
        <v>8889</v>
      </c>
      <c r="H635" s="1">
        <v>10635</v>
      </c>
      <c r="I635" s="1">
        <v>12307</v>
      </c>
      <c r="J635" s="1">
        <v>171.00299999999999</v>
      </c>
      <c r="K635" s="1">
        <v>-5.4</v>
      </c>
      <c r="L635" s="1">
        <v>19.065000000000001</v>
      </c>
      <c r="M635" s="1" t="s">
        <v>1101</v>
      </c>
      <c r="N635" s="1" t="s">
        <v>725</v>
      </c>
      <c r="O635" s="1" t="s">
        <v>1102</v>
      </c>
      <c r="P635" s="1" t="s">
        <v>1103</v>
      </c>
      <c r="Q635" s="1" t="s">
        <v>51</v>
      </c>
      <c r="R635" s="1" t="s">
        <v>276</v>
      </c>
      <c r="S635" s="1" t="s">
        <v>245</v>
      </c>
    </row>
    <row r="636" spans="1:19" hidden="1" x14ac:dyDescent="0.25">
      <c r="A636" s="1">
        <v>92</v>
      </c>
      <c r="B636" s="1" t="s">
        <v>1099</v>
      </c>
      <c r="C636" s="1" t="s">
        <v>601</v>
      </c>
      <c r="D636" s="1" t="s">
        <v>1100</v>
      </c>
      <c r="E636" s="1">
        <v>2</v>
      </c>
      <c r="F636" s="1">
        <v>171.81899999999999</v>
      </c>
      <c r="G636" s="1">
        <v>8881</v>
      </c>
      <c r="H636" s="1">
        <v>10625</v>
      </c>
      <c r="I636" s="1">
        <v>12296</v>
      </c>
      <c r="J636" s="1">
        <v>169.09399999999999</v>
      </c>
      <c r="K636" s="1">
        <v>-5.4059999999999997</v>
      </c>
      <c r="L636" s="1">
        <v>19.071000000000002</v>
      </c>
      <c r="M636" s="1" t="s">
        <v>1101</v>
      </c>
      <c r="N636" s="1" t="s">
        <v>725</v>
      </c>
      <c r="O636" s="1" t="s">
        <v>1102</v>
      </c>
      <c r="P636" s="1" t="s">
        <v>1103</v>
      </c>
      <c r="Q636" s="1" t="s">
        <v>158</v>
      </c>
      <c r="R636" s="1" t="s">
        <v>166</v>
      </c>
      <c r="S636" s="1" t="s">
        <v>201</v>
      </c>
    </row>
    <row r="637" spans="1:19" hidden="1" x14ac:dyDescent="0.25">
      <c r="A637" s="1">
        <v>92</v>
      </c>
      <c r="B637" s="1" t="s">
        <v>1099</v>
      </c>
      <c r="C637" s="1" t="s">
        <v>601</v>
      </c>
      <c r="D637" s="1" t="s">
        <v>1100</v>
      </c>
      <c r="E637" s="1">
        <v>3</v>
      </c>
      <c r="F637" s="1">
        <v>172.86500000000001</v>
      </c>
      <c r="G637" s="1">
        <v>8933</v>
      </c>
      <c r="H637" s="1">
        <v>10686</v>
      </c>
      <c r="I637" s="1">
        <v>12367</v>
      </c>
      <c r="J637" s="1">
        <v>170.12299999999999</v>
      </c>
      <c r="K637" s="1">
        <v>-5.4130000000000003</v>
      </c>
      <c r="L637" s="1">
        <v>19.062000000000001</v>
      </c>
      <c r="M637" s="1" t="s">
        <v>1101</v>
      </c>
      <c r="N637" s="1" t="s">
        <v>725</v>
      </c>
      <c r="O637" s="1" t="s">
        <v>1102</v>
      </c>
      <c r="P637" s="1" t="s">
        <v>1103</v>
      </c>
      <c r="Q637" s="1" t="s">
        <v>139</v>
      </c>
      <c r="R637" s="1" t="s">
        <v>266</v>
      </c>
      <c r="S637" s="1" t="s">
        <v>413</v>
      </c>
    </row>
    <row r="638" spans="1:19" hidden="1" x14ac:dyDescent="0.25">
      <c r="A638" s="1">
        <v>92</v>
      </c>
      <c r="B638" s="1" t="s">
        <v>1099</v>
      </c>
      <c r="C638" s="1" t="s">
        <v>601</v>
      </c>
      <c r="D638" s="1" t="s">
        <v>1100</v>
      </c>
      <c r="E638" s="1">
        <v>4</v>
      </c>
      <c r="F638" s="1">
        <v>172.65700000000001</v>
      </c>
      <c r="G638" s="1">
        <v>8877</v>
      </c>
      <c r="H638" s="1">
        <v>10621</v>
      </c>
      <c r="I638" s="1">
        <v>12290</v>
      </c>
      <c r="J638" s="1">
        <v>169.91800000000001</v>
      </c>
      <c r="K638" s="1">
        <v>-5.399</v>
      </c>
      <c r="L638" s="1">
        <v>19.082999999999998</v>
      </c>
      <c r="M638" s="1" t="s">
        <v>1101</v>
      </c>
      <c r="N638" s="1" t="s">
        <v>725</v>
      </c>
      <c r="O638" s="1" t="s">
        <v>1102</v>
      </c>
      <c r="P638" s="1" t="s">
        <v>1103</v>
      </c>
      <c r="Q638" s="1" t="s">
        <v>165</v>
      </c>
      <c r="R638" s="1" t="s">
        <v>236</v>
      </c>
      <c r="S638" s="1" t="s">
        <v>238</v>
      </c>
    </row>
    <row r="639" spans="1:19" hidden="1" x14ac:dyDescent="0.25">
      <c r="A639" s="1">
        <v>92</v>
      </c>
      <c r="B639" s="1" t="s">
        <v>1099</v>
      </c>
      <c r="C639" s="1" t="s">
        <v>601</v>
      </c>
      <c r="D639" s="1" t="s">
        <v>1100</v>
      </c>
      <c r="E639" s="1">
        <v>5</v>
      </c>
      <c r="F639" s="1">
        <v>124.81399999999999</v>
      </c>
      <c r="G639" s="1">
        <v>9783</v>
      </c>
      <c r="H639" s="1">
        <v>11771</v>
      </c>
      <c r="I639" s="1">
        <v>13616</v>
      </c>
      <c r="J639" s="1">
        <v>122.827</v>
      </c>
      <c r="K639" s="1">
        <v>-2.0409999999999999</v>
      </c>
      <c r="L639" s="1">
        <v>24.132999999999999</v>
      </c>
      <c r="M639" s="1" t="s">
        <v>1101</v>
      </c>
      <c r="N639" s="1" t="s">
        <v>725</v>
      </c>
      <c r="O639" s="1" t="s">
        <v>1102</v>
      </c>
      <c r="P639" s="1" t="s">
        <v>1103</v>
      </c>
      <c r="Q639" s="1" t="s">
        <v>202</v>
      </c>
      <c r="R639" s="1" t="s">
        <v>137</v>
      </c>
      <c r="S639" s="1" t="s">
        <v>191</v>
      </c>
    </row>
    <row r="640" spans="1:19" x14ac:dyDescent="0.25">
      <c r="A640" s="1">
        <v>92</v>
      </c>
      <c r="B640" s="1" t="s">
        <v>1099</v>
      </c>
      <c r="C640" s="1" t="s">
        <v>601</v>
      </c>
      <c r="D640" s="1" t="s">
        <v>1100</v>
      </c>
      <c r="E640" s="1">
        <v>6</v>
      </c>
      <c r="F640" s="1">
        <v>181.161</v>
      </c>
      <c r="G640" s="1">
        <v>14415</v>
      </c>
      <c r="H640" s="1">
        <v>17362</v>
      </c>
      <c r="I640" s="1">
        <v>20055</v>
      </c>
      <c r="J640" s="1">
        <v>178.27600000000001</v>
      </c>
      <c r="K640" s="1">
        <v>-2.0619999999999998</v>
      </c>
      <c r="L640" s="1">
        <v>23.864000000000001</v>
      </c>
      <c r="M640" s="1" t="s">
        <v>1101</v>
      </c>
      <c r="N640" s="1" t="s">
        <v>725</v>
      </c>
      <c r="O640" s="1" t="s">
        <v>1102</v>
      </c>
      <c r="P640" s="1" t="s">
        <v>1103</v>
      </c>
      <c r="Q640" s="1" t="s">
        <v>131</v>
      </c>
      <c r="R640" s="1" t="s">
        <v>176</v>
      </c>
      <c r="S640" s="1" t="s">
        <v>328</v>
      </c>
    </row>
    <row r="641" spans="1:19" x14ac:dyDescent="0.25">
      <c r="A641" s="1">
        <v>92</v>
      </c>
      <c r="B641" s="1" t="s">
        <v>1099</v>
      </c>
      <c r="C641" s="1" t="s">
        <v>601</v>
      </c>
      <c r="D641" s="1" t="s">
        <v>1100</v>
      </c>
      <c r="E641" s="1">
        <v>7</v>
      </c>
      <c r="F641" s="1">
        <v>169.73699999999999</v>
      </c>
      <c r="G641" s="1">
        <v>13505</v>
      </c>
      <c r="H641" s="1">
        <v>16264</v>
      </c>
      <c r="I641" s="1">
        <v>18789</v>
      </c>
      <c r="J641" s="1">
        <v>167.03399999999999</v>
      </c>
      <c r="K641" s="1">
        <v>-2.0209999999999999</v>
      </c>
      <c r="L641" s="1">
        <v>23.937999999999999</v>
      </c>
      <c r="M641" s="1" t="s">
        <v>1101</v>
      </c>
      <c r="N641" s="1" t="s">
        <v>725</v>
      </c>
      <c r="O641" s="1" t="s">
        <v>1102</v>
      </c>
      <c r="P641" s="1" t="s">
        <v>1103</v>
      </c>
      <c r="Q641" s="1" t="s">
        <v>1104</v>
      </c>
      <c r="R641" s="1" t="s">
        <v>315</v>
      </c>
      <c r="S641" s="1" t="s">
        <v>1105</v>
      </c>
    </row>
    <row r="642" spans="1:19" hidden="1" x14ac:dyDescent="0.25">
      <c r="A642" s="1">
        <v>93</v>
      </c>
      <c r="B642" s="1" t="s">
        <v>1106</v>
      </c>
      <c r="C642" s="1" t="s">
        <v>406</v>
      </c>
      <c r="D642" s="1" t="s">
        <v>1107</v>
      </c>
      <c r="E642" s="1">
        <v>1</v>
      </c>
      <c r="F642" s="1">
        <v>173.95599999999999</v>
      </c>
      <c r="G642" s="1">
        <v>8884</v>
      </c>
      <c r="H642" s="1">
        <v>10630</v>
      </c>
      <c r="I642" s="1">
        <v>12298</v>
      </c>
      <c r="J642" s="1">
        <v>171.196</v>
      </c>
      <c r="K642" s="1">
        <v>-5.3970000000000002</v>
      </c>
      <c r="L642" s="1">
        <v>19.084</v>
      </c>
      <c r="M642" s="1" t="s">
        <v>1108</v>
      </c>
      <c r="N642" s="1" t="s">
        <v>725</v>
      </c>
      <c r="O642" s="1" t="s">
        <v>1109</v>
      </c>
      <c r="P642" s="1" t="s">
        <v>1110</v>
      </c>
      <c r="Q642" s="1" t="s">
        <v>71</v>
      </c>
      <c r="R642" s="1" t="s">
        <v>258</v>
      </c>
      <c r="S642" s="1" t="s">
        <v>139</v>
      </c>
    </row>
    <row r="643" spans="1:19" hidden="1" x14ac:dyDescent="0.25">
      <c r="A643" s="1">
        <v>93</v>
      </c>
      <c r="B643" s="1" t="s">
        <v>1106</v>
      </c>
      <c r="C643" s="1" t="s">
        <v>406</v>
      </c>
      <c r="D643" s="1" t="s">
        <v>1107</v>
      </c>
      <c r="E643" s="1">
        <v>2</v>
      </c>
      <c r="F643" s="1">
        <v>171.66800000000001</v>
      </c>
      <c r="G643" s="1">
        <v>8880</v>
      </c>
      <c r="H643" s="1">
        <v>10624</v>
      </c>
      <c r="I643" s="1">
        <v>12296</v>
      </c>
      <c r="J643" s="1">
        <v>168.94499999999999</v>
      </c>
      <c r="K643" s="1">
        <v>-5.39</v>
      </c>
      <c r="L643" s="1">
        <v>19.081</v>
      </c>
      <c r="M643" s="1" t="s">
        <v>1108</v>
      </c>
      <c r="N643" s="1" t="s">
        <v>725</v>
      </c>
      <c r="O643" s="1" t="s">
        <v>1109</v>
      </c>
      <c r="P643" s="1" t="s">
        <v>1110</v>
      </c>
      <c r="Q643" s="1" t="s">
        <v>89</v>
      </c>
      <c r="R643" s="1" t="s">
        <v>156</v>
      </c>
      <c r="S643" s="1" t="s">
        <v>376</v>
      </c>
    </row>
    <row r="644" spans="1:19" hidden="1" x14ac:dyDescent="0.25">
      <c r="A644" s="1">
        <v>93</v>
      </c>
      <c r="B644" s="1" t="s">
        <v>1106</v>
      </c>
      <c r="C644" s="1" t="s">
        <v>406</v>
      </c>
      <c r="D644" s="1" t="s">
        <v>1107</v>
      </c>
      <c r="E644" s="1">
        <v>3</v>
      </c>
      <c r="F644" s="1">
        <v>172.999</v>
      </c>
      <c r="G644" s="1">
        <v>8945</v>
      </c>
      <c r="H644" s="1">
        <v>10702</v>
      </c>
      <c r="I644" s="1">
        <v>12383</v>
      </c>
      <c r="J644" s="1">
        <v>170.255</v>
      </c>
      <c r="K644" s="1">
        <v>-5.3890000000000002</v>
      </c>
      <c r="L644" s="1">
        <v>19.087</v>
      </c>
      <c r="M644" s="1" t="s">
        <v>1108</v>
      </c>
      <c r="N644" s="1" t="s">
        <v>725</v>
      </c>
      <c r="O644" s="1" t="s">
        <v>1109</v>
      </c>
      <c r="P644" s="1" t="s">
        <v>1110</v>
      </c>
      <c r="Q644" s="1" t="s">
        <v>158</v>
      </c>
      <c r="R644" s="1" t="s">
        <v>194</v>
      </c>
      <c r="S644" s="1" t="s">
        <v>201</v>
      </c>
    </row>
    <row r="645" spans="1:19" hidden="1" x14ac:dyDescent="0.25">
      <c r="A645" s="1">
        <v>93</v>
      </c>
      <c r="B645" s="1" t="s">
        <v>1106</v>
      </c>
      <c r="C645" s="1" t="s">
        <v>406</v>
      </c>
      <c r="D645" s="1" t="s">
        <v>1107</v>
      </c>
      <c r="E645" s="1">
        <v>4</v>
      </c>
      <c r="F645" s="1">
        <v>173.09700000000001</v>
      </c>
      <c r="G645" s="1">
        <v>8907</v>
      </c>
      <c r="H645" s="1">
        <v>10657</v>
      </c>
      <c r="I645" s="1">
        <v>12331</v>
      </c>
      <c r="J645" s="1">
        <v>170.351</v>
      </c>
      <c r="K645" s="1">
        <v>-5.399</v>
      </c>
      <c r="L645" s="1">
        <v>19.082999999999998</v>
      </c>
      <c r="M645" s="1" t="s">
        <v>1108</v>
      </c>
      <c r="N645" s="1" t="s">
        <v>725</v>
      </c>
      <c r="O645" s="1" t="s">
        <v>1109</v>
      </c>
      <c r="P645" s="1" t="s">
        <v>1110</v>
      </c>
      <c r="Q645" s="1" t="s">
        <v>167</v>
      </c>
      <c r="R645" s="1" t="s">
        <v>237</v>
      </c>
      <c r="S645" s="1" t="s">
        <v>282</v>
      </c>
    </row>
    <row r="646" spans="1:19" hidden="1" x14ac:dyDescent="0.25">
      <c r="A646" s="1">
        <v>93</v>
      </c>
      <c r="B646" s="1" t="s">
        <v>1106</v>
      </c>
      <c r="C646" s="1" t="s">
        <v>406</v>
      </c>
      <c r="D646" s="1" t="s">
        <v>1107</v>
      </c>
      <c r="E646" s="1">
        <v>5</v>
      </c>
      <c r="F646" s="1">
        <v>94.659000000000006</v>
      </c>
      <c r="G646" s="1">
        <v>7534</v>
      </c>
      <c r="H646" s="1">
        <v>9069</v>
      </c>
      <c r="I646" s="1">
        <v>10483</v>
      </c>
      <c r="J646" s="1">
        <v>93.152000000000001</v>
      </c>
      <c r="K646" s="1">
        <v>-2.077</v>
      </c>
      <c r="L646" s="1">
        <v>24.164999999999999</v>
      </c>
      <c r="M646" s="1" t="s">
        <v>1108</v>
      </c>
      <c r="N646" s="1" t="s">
        <v>725</v>
      </c>
      <c r="O646" s="1" t="s">
        <v>1109</v>
      </c>
      <c r="P646" s="1" t="s">
        <v>1110</v>
      </c>
      <c r="Q646" s="1" t="s">
        <v>217</v>
      </c>
      <c r="R646" s="1" t="s">
        <v>218</v>
      </c>
      <c r="S646" s="1" t="s">
        <v>195</v>
      </c>
    </row>
    <row r="647" spans="1:19" x14ac:dyDescent="0.25">
      <c r="A647" s="1">
        <v>93</v>
      </c>
      <c r="B647" s="1" t="s">
        <v>1106</v>
      </c>
      <c r="C647" s="1" t="s">
        <v>406</v>
      </c>
      <c r="D647" s="1" t="s">
        <v>1107</v>
      </c>
      <c r="E647" s="1">
        <v>6</v>
      </c>
      <c r="F647" s="1">
        <v>164.29400000000001</v>
      </c>
      <c r="G647" s="1">
        <v>13481</v>
      </c>
      <c r="H647" s="1">
        <v>16251</v>
      </c>
      <c r="I647" s="1">
        <v>18757</v>
      </c>
      <c r="J647" s="1">
        <v>161.679</v>
      </c>
      <c r="K647" s="1">
        <v>-2.242</v>
      </c>
      <c r="L647" s="1">
        <v>24.172999999999998</v>
      </c>
      <c r="M647" s="1" t="s">
        <v>1108</v>
      </c>
      <c r="N647" s="1" t="s">
        <v>725</v>
      </c>
      <c r="O647" s="1" t="s">
        <v>1109</v>
      </c>
      <c r="P647" s="1" t="s">
        <v>1110</v>
      </c>
      <c r="Q647" s="1" t="s">
        <v>60</v>
      </c>
      <c r="R647" s="1" t="s">
        <v>172</v>
      </c>
      <c r="S647" s="1" t="s">
        <v>153</v>
      </c>
    </row>
    <row r="648" spans="1:19" x14ac:dyDescent="0.25">
      <c r="A648" s="1">
        <v>93</v>
      </c>
      <c r="B648" s="1" t="s">
        <v>1106</v>
      </c>
      <c r="C648" s="1" t="s">
        <v>406</v>
      </c>
      <c r="D648" s="1" t="s">
        <v>1107</v>
      </c>
      <c r="E648" s="1">
        <v>7</v>
      </c>
      <c r="F648" s="1">
        <v>154.58699999999999</v>
      </c>
      <c r="G648" s="1">
        <v>12784</v>
      </c>
      <c r="H648" s="1">
        <v>15408</v>
      </c>
      <c r="I648" s="1">
        <v>17793</v>
      </c>
      <c r="J648" s="1">
        <v>152.126</v>
      </c>
      <c r="K648" s="1">
        <v>-2.1669999999999998</v>
      </c>
      <c r="L648" s="1">
        <v>24.201000000000001</v>
      </c>
      <c r="M648" s="1" t="s">
        <v>1108</v>
      </c>
      <c r="N648" s="1" t="s">
        <v>725</v>
      </c>
      <c r="O648" s="1" t="s">
        <v>1109</v>
      </c>
      <c r="P648" s="1" t="s">
        <v>1110</v>
      </c>
      <c r="Q648" s="1" t="s">
        <v>1111</v>
      </c>
      <c r="R648" s="1" t="s">
        <v>541</v>
      </c>
      <c r="S648" s="1" t="s">
        <v>1112</v>
      </c>
    </row>
    <row r="649" spans="1:19" hidden="1" x14ac:dyDescent="0.25">
      <c r="A649" s="1">
        <v>94</v>
      </c>
      <c r="B649" s="1" t="s">
        <v>1113</v>
      </c>
      <c r="C649" s="1" t="s">
        <v>436</v>
      </c>
      <c r="D649" s="1" t="s">
        <v>1114</v>
      </c>
      <c r="E649" s="1">
        <v>1</v>
      </c>
      <c r="F649" s="1">
        <v>173.46100000000001</v>
      </c>
      <c r="G649" s="1">
        <v>8860</v>
      </c>
      <c r="H649" s="1">
        <v>10600</v>
      </c>
      <c r="I649" s="1">
        <v>12273</v>
      </c>
      <c r="J649" s="1">
        <v>170.709</v>
      </c>
      <c r="K649" s="1">
        <v>-5.3979999999999997</v>
      </c>
      <c r="L649" s="1">
        <v>19.097999999999999</v>
      </c>
      <c r="M649" s="1" t="s">
        <v>1115</v>
      </c>
      <c r="N649" s="1" t="s">
        <v>725</v>
      </c>
      <c r="O649" s="1" t="s">
        <v>1116</v>
      </c>
      <c r="P649" s="1" t="s">
        <v>1117</v>
      </c>
      <c r="Q649" s="1" t="s">
        <v>91</v>
      </c>
      <c r="R649" s="1" t="s">
        <v>107</v>
      </c>
      <c r="S649" s="1" t="s">
        <v>138</v>
      </c>
    </row>
    <row r="650" spans="1:19" hidden="1" x14ac:dyDescent="0.25">
      <c r="A650" s="1">
        <v>94</v>
      </c>
      <c r="B650" s="1" t="s">
        <v>1113</v>
      </c>
      <c r="C650" s="1" t="s">
        <v>436</v>
      </c>
      <c r="D650" s="1" t="s">
        <v>1114</v>
      </c>
      <c r="E650" s="1">
        <v>2</v>
      </c>
      <c r="F650" s="1">
        <v>171.98599999999999</v>
      </c>
      <c r="G650" s="1">
        <v>8899</v>
      </c>
      <c r="H650" s="1">
        <v>10646</v>
      </c>
      <c r="I650" s="1">
        <v>12330</v>
      </c>
      <c r="J650" s="1">
        <v>169.25700000000001</v>
      </c>
      <c r="K650" s="1">
        <v>-5.3959999999999999</v>
      </c>
      <c r="L650" s="1">
        <v>19.093</v>
      </c>
      <c r="M650" s="1" t="s">
        <v>1115</v>
      </c>
      <c r="N650" s="1" t="s">
        <v>725</v>
      </c>
      <c r="O650" s="1" t="s">
        <v>1116</v>
      </c>
      <c r="P650" s="1" t="s">
        <v>1117</v>
      </c>
      <c r="Q650" s="1" t="s">
        <v>152</v>
      </c>
      <c r="R650" s="1" t="s">
        <v>156</v>
      </c>
      <c r="S650" s="1" t="s">
        <v>376</v>
      </c>
    </row>
    <row r="651" spans="1:19" hidden="1" x14ac:dyDescent="0.25">
      <c r="A651" s="1">
        <v>94</v>
      </c>
      <c r="B651" s="1" t="s">
        <v>1113</v>
      </c>
      <c r="C651" s="1" t="s">
        <v>436</v>
      </c>
      <c r="D651" s="1" t="s">
        <v>1114</v>
      </c>
      <c r="E651" s="1">
        <v>3</v>
      </c>
      <c r="F651" s="1">
        <v>172.84100000000001</v>
      </c>
      <c r="G651" s="1">
        <v>8926</v>
      </c>
      <c r="H651" s="1">
        <v>10678</v>
      </c>
      <c r="I651" s="1">
        <v>12362</v>
      </c>
      <c r="J651" s="1">
        <v>170.09899999999999</v>
      </c>
      <c r="K651" s="1">
        <v>-5.3849999999999998</v>
      </c>
      <c r="L651" s="1">
        <v>19.088000000000001</v>
      </c>
      <c r="M651" s="1" t="s">
        <v>1115</v>
      </c>
      <c r="N651" s="1" t="s">
        <v>725</v>
      </c>
      <c r="O651" s="1" t="s">
        <v>1116</v>
      </c>
      <c r="P651" s="1" t="s">
        <v>1117</v>
      </c>
      <c r="Q651" s="1" t="s">
        <v>249</v>
      </c>
      <c r="R651" s="1" t="s">
        <v>179</v>
      </c>
      <c r="S651" s="1" t="s">
        <v>274</v>
      </c>
    </row>
    <row r="652" spans="1:19" hidden="1" x14ac:dyDescent="0.25">
      <c r="A652" s="1">
        <v>94</v>
      </c>
      <c r="B652" s="1" t="s">
        <v>1113</v>
      </c>
      <c r="C652" s="1" t="s">
        <v>436</v>
      </c>
      <c r="D652" s="1" t="s">
        <v>1114</v>
      </c>
      <c r="E652" s="1">
        <v>4</v>
      </c>
      <c r="F652" s="1">
        <v>172.84200000000001</v>
      </c>
      <c r="G652" s="1">
        <v>8883</v>
      </c>
      <c r="H652" s="1">
        <v>10626</v>
      </c>
      <c r="I652" s="1">
        <v>12302</v>
      </c>
      <c r="J652" s="1">
        <v>170.1</v>
      </c>
      <c r="K652" s="1">
        <v>-5.399</v>
      </c>
      <c r="L652" s="1">
        <v>19.082999999999998</v>
      </c>
      <c r="M652" s="1" t="s">
        <v>1115</v>
      </c>
      <c r="N652" s="1" t="s">
        <v>725</v>
      </c>
      <c r="O652" s="1" t="s">
        <v>1116</v>
      </c>
      <c r="P652" s="1" t="s">
        <v>1117</v>
      </c>
      <c r="Q652" s="1" t="s">
        <v>138</v>
      </c>
      <c r="R652" s="1" t="s">
        <v>170</v>
      </c>
      <c r="S652" s="1" t="s">
        <v>206</v>
      </c>
    </row>
    <row r="653" spans="1:19" s="152" customFormat="1" hidden="1" x14ac:dyDescent="0.25">
      <c r="A653" s="174">
        <v>94</v>
      </c>
      <c r="B653" s="174" t="s">
        <v>1113</v>
      </c>
      <c r="C653" s="174" t="s">
        <v>436</v>
      </c>
      <c r="D653" s="174" t="s">
        <v>1114</v>
      </c>
      <c r="E653" s="174">
        <v>5</v>
      </c>
      <c r="F653" s="174">
        <v>87.207999999999998</v>
      </c>
      <c r="G653" s="174">
        <v>6752</v>
      </c>
      <c r="H653" s="174">
        <v>8119</v>
      </c>
      <c r="I653" s="174">
        <v>9403</v>
      </c>
      <c r="J653" s="174">
        <v>85.819000000000003</v>
      </c>
      <c r="K653" s="174">
        <v>-2.1909999999999998</v>
      </c>
      <c r="L653" s="174">
        <v>24.315999999999999</v>
      </c>
      <c r="M653" s="174" t="s">
        <v>1115</v>
      </c>
      <c r="N653" s="174" t="s">
        <v>725</v>
      </c>
      <c r="O653" s="174" t="s">
        <v>1116</v>
      </c>
      <c r="P653" s="174" t="s">
        <v>1117</v>
      </c>
      <c r="Q653" s="174" t="s">
        <v>186</v>
      </c>
      <c r="R653" s="174" t="s">
        <v>211</v>
      </c>
      <c r="S653" s="174" t="s">
        <v>184</v>
      </c>
    </row>
    <row r="654" spans="1:19" hidden="1" x14ac:dyDescent="0.25">
      <c r="A654" s="1">
        <v>95</v>
      </c>
      <c r="B654" s="1" t="s">
        <v>1118</v>
      </c>
      <c r="C654" s="1" t="s">
        <v>503</v>
      </c>
      <c r="D654" s="1" t="s">
        <v>1119</v>
      </c>
      <c r="E654" s="1">
        <v>1</v>
      </c>
      <c r="F654" s="1">
        <v>172.91900000000001</v>
      </c>
      <c r="G654" s="1">
        <v>8861</v>
      </c>
      <c r="H654" s="1">
        <v>10600</v>
      </c>
      <c r="I654" s="1">
        <v>12275</v>
      </c>
      <c r="J654" s="1">
        <v>170.17599999999999</v>
      </c>
      <c r="K654" s="1">
        <v>-5.3940000000000001</v>
      </c>
      <c r="L654" s="1">
        <v>19.100000000000001</v>
      </c>
      <c r="M654" s="1" t="s">
        <v>1120</v>
      </c>
      <c r="N654" s="1" t="s">
        <v>725</v>
      </c>
      <c r="O654" s="1" t="s">
        <v>1121</v>
      </c>
      <c r="P654" s="1" t="s">
        <v>1122</v>
      </c>
      <c r="Q654" s="1" t="s">
        <v>109</v>
      </c>
      <c r="R654" s="1" t="s">
        <v>87</v>
      </c>
      <c r="S654" s="1" t="s">
        <v>69</v>
      </c>
    </row>
    <row r="655" spans="1:19" hidden="1" x14ac:dyDescent="0.25">
      <c r="A655" s="1">
        <v>95</v>
      </c>
      <c r="B655" s="1" t="s">
        <v>1118</v>
      </c>
      <c r="C655" s="1" t="s">
        <v>503</v>
      </c>
      <c r="D655" s="1" t="s">
        <v>1119</v>
      </c>
      <c r="E655" s="1">
        <v>2</v>
      </c>
      <c r="F655" s="1">
        <v>170.76599999999999</v>
      </c>
      <c r="G655" s="1">
        <v>8821</v>
      </c>
      <c r="H655" s="1">
        <v>10553</v>
      </c>
      <c r="I655" s="1">
        <v>12218</v>
      </c>
      <c r="J655" s="1">
        <v>168.05600000000001</v>
      </c>
      <c r="K655" s="1">
        <v>-5.3979999999999997</v>
      </c>
      <c r="L655" s="1">
        <v>19.084</v>
      </c>
      <c r="M655" s="1" t="s">
        <v>1120</v>
      </c>
      <c r="N655" s="1" t="s">
        <v>725</v>
      </c>
      <c r="O655" s="1" t="s">
        <v>1121</v>
      </c>
      <c r="P655" s="1" t="s">
        <v>1122</v>
      </c>
      <c r="Q655" s="1" t="s">
        <v>88</v>
      </c>
      <c r="R655" s="1" t="s">
        <v>139</v>
      </c>
      <c r="S655" s="1" t="s">
        <v>262</v>
      </c>
    </row>
    <row r="656" spans="1:19" hidden="1" x14ac:dyDescent="0.25">
      <c r="A656" s="1">
        <v>95</v>
      </c>
      <c r="B656" s="1" t="s">
        <v>1118</v>
      </c>
      <c r="C656" s="1" t="s">
        <v>503</v>
      </c>
      <c r="D656" s="1" t="s">
        <v>1119</v>
      </c>
      <c r="E656" s="1">
        <v>3</v>
      </c>
      <c r="F656" s="1">
        <v>172.249</v>
      </c>
      <c r="G656" s="1">
        <v>8875</v>
      </c>
      <c r="H656" s="1">
        <v>10618</v>
      </c>
      <c r="I656" s="1">
        <v>12295</v>
      </c>
      <c r="J656" s="1">
        <v>169.517</v>
      </c>
      <c r="K656" s="1">
        <v>-5.4039999999999999</v>
      </c>
      <c r="L656" s="1">
        <v>19.088999999999999</v>
      </c>
      <c r="M656" s="1" t="s">
        <v>1120</v>
      </c>
      <c r="N656" s="1" t="s">
        <v>725</v>
      </c>
      <c r="O656" s="1" t="s">
        <v>1121</v>
      </c>
      <c r="P656" s="1" t="s">
        <v>1122</v>
      </c>
      <c r="Q656" s="1" t="s">
        <v>107</v>
      </c>
      <c r="R656" s="1" t="s">
        <v>290</v>
      </c>
      <c r="S656" s="1" t="s">
        <v>177</v>
      </c>
    </row>
    <row r="657" spans="1:19" hidden="1" x14ac:dyDescent="0.25">
      <c r="A657" s="1">
        <v>95</v>
      </c>
      <c r="B657" s="1" t="s">
        <v>1118</v>
      </c>
      <c r="C657" s="1" t="s">
        <v>503</v>
      </c>
      <c r="D657" s="1" t="s">
        <v>1119</v>
      </c>
      <c r="E657" s="1">
        <v>4</v>
      </c>
      <c r="F657" s="1">
        <v>170.94200000000001</v>
      </c>
      <c r="G657" s="1">
        <v>8790</v>
      </c>
      <c r="H657" s="1">
        <v>10515</v>
      </c>
      <c r="I657" s="1">
        <v>12173</v>
      </c>
      <c r="J657" s="1">
        <v>168.23</v>
      </c>
      <c r="K657" s="1">
        <v>-5.399</v>
      </c>
      <c r="L657" s="1">
        <v>19.082999999999998</v>
      </c>
      <c r="M657" s="1" t="s">
        <v>1120</v>
      </c>
      <c r="N657" s="1" t="s">
        <v>725</v>
      </c>
      <c r="O657" s="1" t="s">
        <v>1121</v>
      </c>
      <c r="P657" s="1" t="s">
        <v>1122</v>
      </c>
      <c r="Q657" s="1" t="s">
        <v>267</v>
      </c>
      <c r="R657" s="1" t="s">
        <v>366</v>
      </c>
      <c r="S657" s="1" t="s">
        <v>354</v>
      </c>
    </row>
    <row r="658" spans="1:19" s="152" customFormat="1" hidden="1" x14ac:dyDescent="0.25">
      <c r="A658" s="174">
        <v>95</v>
      </c>
      <c r="B658" s="174" t="s">
        <v>1118</v>
      </c>
      <c r="C658" s="174" t="s">
        <v>503</v>
      </c>
      <c r="D658" s="174" t="s">
        <v>1119</v>
      </c>
      <c r="E658" s="174">
        <v>5</v>
      </c>
      <c r="F658" s="174">
        <v>141.83600000000001</v>
      </c>
      <c r="G658" s="174">
        <v>11480</v>
      </c>
      <c r="H658" s="174">
        <v>13832</v>
      </c>
      <c r="I658" s="174">
        <v>15991</v>
      </c>
      <c r="J658" s="174">
        <v>139.578</v>
      </c>
      <c r="K658" s="174">
        <v>-2.3279999999999998</v>
      </c>
      <c r="L658" s="174">
        <v>24.411999999999999</v>
      </c>
      <c r="M658" s="174" t="s">
        <v>1120</v>
      </c>
      <c r="N658" s="174" t="s">
        <v>725</v>
      </c>
      <c r="O658" s="174" t="s">
        <v>1121</v>
      </c>
      <c r="P658" s="174" t="s">
        <v>1122</v>
      </c>
      <c r="Q658" s="174" t="s">
        <v>212</v>
      </c>
      <c r="R658" s="174" t="s">
        <v>208</v>
      </c>
      <c r="S658" s="174" t="s">
        <v>218</v>
      </c>
    </row>
    <row r="659" spans="1:19" hidden="1" x14ac:dyDescent="0.25">
      <c r="A659" s="1">
        <v>96</v>
      </c>
      <c r="B659" s="1" t="s">
        <v>1123</v>
      </c>
      <c r="C659" s="1" t="s">
        <v>443</v>
      </c>
      <c r="D659" s="1" t="s">
        <v>1124</v>
      </c>
      <c r="E659" s="1">
        <v>1</v>
      </c>
      <c r="F659" s="1">
        <v>173.75800000000001</v>
      </c>
      <c r="G659" s="1">
        <v>8879</v>
      </c>
      <c r="H659" s="1">
        <v>10623</v>
      </c>
      <c r="I659" s="1">
        <v>12293</v>
      </c>
      <c r="J659" s="1">
        <v>171.001</v>
      </c>
      <c r="K659" s="1">
        <v>-5.3819999999999997</v>
      </c>
      <c r="L659" s="1">
        <v>19.082999999999998</v>
      </c>
      <c r="M659" s="1" t="s">
        <v>1125</v>
      </c>
      <c r="N659" s="1" t="s">
        <v>725</v>
      </c>
      <c r="O659" s="1" t="s">
        <v>1126</v>
      </c>
      <c r="P659" s="1" t="s">
        <v>1127</v>
      </c>
      <c r="Q659" s="1" t="s">
        <v>55</v>
      </c>
      <c r="R659" s="1" t="s">
        <v>85</v>
      </c>
      <c r="S659" s="1" t="s">
        <v>256</v>
      </c>
    </row>
    <row r="660" spans="1:19" hidden="1" x14ac:dyDescent="0.25">
      <c r="A660" s="1">
        <v>96</v>
      </c>
      <c r="B660" s="1" t="s">
        <v>1123</v>
      </c>
      <c r="C660" s="1" t="s">
        <v>443</v>
      </c>
      <c r="D660" s="1" t="s">
        <v>1124</v>
      </c>
      <c r="E660" s="1">
        <v>2</v>
      </c>
      <c r="F660" s="1">
        <v>172.00800000000001</v>
      </c>
      <c r="G660" s="1">
        <v>8900</v>
      </c>
      <c r="H660" s="1">
        <v>10648</v>
      </c>
      <c r="I660" s="1">
        <v>12323</v>
      </c>
      <c r="J660" s="1">
        <v>169.28</v>
      </c>
      <c r="K660" s="1">
        <v>-5.39</v>
      </c>
      <c r="L660" s="1">
        <v>19.097000000000001</v>
      </c>
      <c r="M660" s="1" t="s">
        <v>1125</v>
      </c>
      <c r="N660" s="1" t="s">
        <v>725</v>
      </c>
      <c r="O660" s="1" t="s">
        <v>1126</v>
      </c>
      <c r="P660" s="1" t="s">
        <v>1127</v>
      </c>
      <c r="Q660" s="1" t="s">
        <v>267</v>
      </c>
      <c r="R660" s="1" t="s">
        <v>101</v>
      </c>
      <c r="S660" s="1" t="s">
        <v>354</v>
      </c>
    </row>
    <row r="661" spans="1:19" hidden="1" x14ac:dyDescent="0.25">
      <c r="A661" s="1">
        <v>96</v>
      </c>
      <c r="B661" s="1" t="s">
        <v>1123</v>
      </c>
      <c r="C661" s="1" t="s">
        <v>443</v>
      </c>
      <c r="D661" s="1" t="s">
        <v>1124</v>
      </c>
      <c r="E661" s="1">
        <v>3</v>
      </c>
      <c r="F661" s="1">
        <v>173.08699999999999</v>
      </c>
      <c r="G661" s="1">
        <v>8954</v>
      </c>
      <c r="H661" s="1">
        <v>10712</v>
      </c>
      <c r="I661" s="1">
        <v>12399</v>
      </c>
      <c r="J661" s="1">
        <v>170.34100000000001</v>
      </c>
      <c r="K661" s="1">
        <v>-5.39</v>
      </c>
      <c r="L661" s="1">
        <v>19.111000000000001</v>
      </c>
      <c r="M661" s="1" t="s">
        <v>1125</v>
      </c>
      <c r="N661" s="1" t="s">
        <v>725</v>
      </c>
      <c r="O661" s="1" t="s">
        <v>1126</v>
      </c>
      <c r="P661" s="1" t="s">
        <v>1127</v>
      </c>
      <c r="Q661" s="1" t="s">
        <v>254</v>
      </c>
      <c r="R661" s="1" t="s">
        <v>149</v>
      </c>
      <c r="S661" s="1" t="s">
        <v>150</v>
      </c>
    </row>
    <row r="662" spans="1:19" hidden="1" x14ac:dyDescent="0.25">
      <c r="A662" s="1">
        <v>96</v>
      </c>
      <c r="B662" s="1" t="s">
        <v>1123</v>
      </c>
      <c r="C662" s="1" t="s">
        <v>443</v>
      </c>
      <c r="D662" s="1" t="s">
        <v>1124</v>
      </c>
      <c r="E662" s="1">
        <v>4</v>
      </c>
      <c r="F662" s="1">
        <v>172.923</v>
      </c>
      <c r="G662" s="1">
        <v>8874</v>
      </c>
      <c r="H662" s="1">
        <v>10617</v>
      </c>
      <c r="I662" s="1">
        <v>12284</v>
      </c>
      <c r="J662" s="1">
        <v>170.18</v>
      </c>
      <c r="K662" s="1">
        <v>-5.399</v>
      </c>
      <c r="L662" s="1">
        <v>19.082999999999998</v>
      </c>
      <c r="M662" s="1" t="s">
        <v>1125</v>
      </c>
      <c r="N662" s="1" t="s">
        <v>725</v>
      </c>
      <c r="O662" s="1" t="s">
        <v>1126</v>
      </c>
      <c r="P662" s="1" t="s">
        <v>1127</v>
      </c>
      <c r="Q662" s="1" t="s">
        <v>147</v>
      </c>
      <c r="R662" s="1" t="s">
        <v>198</v>
      </c>
      <c r="S662" s="1" t="s">
        <v>180</v>
      </c>
    </row>
    <row r="663" spans="1:19" s="152" customFormat="1" hidden="1" x14ac:dyDescent="0.25">
      <c r="A663" s="174">
        <v>96</v>
      </c>
      <c r="B663" s="174" t="s">
        <v>1123</v>
      </c>
      <c r="C663" s="174" t="s">
        <v>443</v>
      </c>
      <c r="D663" s="174" t="s">
        <v>1124</v>
      </c>
      <c r="E663" s="174">
        <v>5</v>
      </c>
      <c r="F663" s="174">
        <v>134.64400000000001</v>
      </c>
      <c r="G663" s="174">
        <v>10476</v>
      </c>
      <c r="H663" s="174">
        <v>12681</v>
      </c>
      <c r="I663" s="174">
        <v>14596</v>
      </c>
      <c r="J663" s="174">
        <v>132.49100000000001</v>
      </c>
      <c r="K663" s="174">
        <v>3.9129999999999998</v>
      </c>
      <c r="L663" s="174">
        <v>25.385000000000002</v>
      </c>
      <c r="M663" s="174" t="s">
        <v>1125</v>
      </c>
      <c r="N663" s="174" t="s">
        <v>725</v>
      </c>
      <c r="O663" s="174" t="s">
        <v>1126</v>
      </c>
      <c r="P663" s="174" t="s">
        <v>1127</v>
      </c>
      <c r="Q663" s="174" t="s">
        <v>203</v>
      </c>
      <c r="R663" s="174" t="s">
        <v>221</v>
      </c>
      <c r="S663" s="174" t="s">
        <v>182</v>
      </c>
    </row>
    <row r="664" spans="1:19" hidden="1" x14ac:dyDescent="0.25">
      <c r="A664" s="1">
        <v>97</v>
      </c>
      <c r="B664" s="1" t="s">
        <v>272</v>
      </c>
      <c r="C664" s="1" t="s">
        <v>241</v>
      </c>
      <c r="D664" s="1" t="s">
        <v>419</v>
      </c>
      <c r="E664" s="1">
        <v>1</v>
      </c>
      <c r="F664" s="1">
        <v>165.041</v>
      </c>
      <c r="G664" s="1">
        <v>8432</v>
      </c>
      <c r="H664" s="1">
        <v>10089</v>
      </c>
      <c r="I664" s="1">
        <v>11677</v>
      </c>
      <c r="J664" s="1">
        <v>162.422</v>
      </c>
      <c r="K664" s="1">
        <v>-5.4059999999999997</v>
      </c>
      <c r="L664" s="1">
        <v>19.126999999999999</v>
      </c>
      <c r="M664" s="1" t="s">
        <v>491</v>
      </c>
      <c r="N664" s="1" t="s">
        <v>725</v>
      </c>
      <c r="O664" s="1" t="s">
        <v>1128</v>
      </c>
      <c r="P664" s="1" t="s">
        <v>1129</v>
      </c>
      <c r="Q664" s="1" t="s">
        <v>69</v>
      </c>
      <c r="R664" s="1" t="s">
        <v>152</v>
      </c>
      <c r="S664" s="1" t="s">
        <v>141</v>
      </c>
    </row>
    <row r="665" spans="1:19" hidden="1" x14ac:dyDescent="0.25">
      <c r="A665" s="1">
        <v>97</v>
      </c>
      <c r="B665" s="1" t="s">
        <v>272</v>
      </c>
      <c r="C665" s="1" t="s">
        <v>241</v>
      </c>
      <c r="D665" s="1" t="s">
        <v>419</v>
      </c>
      <c r="E665" s="1">
        <v>2</v>
      </c>
      <c r="F665" s="1">
        <v>163.285</v>
      </c>
      <c r="G665" s="1">
        <v>8445</v>
      </c>
      <c r="H665" s="1">
        <v>10104</v>
      </c>
      <c r="I665" s="1">
        <v>11694</v>
      </c>
      <c r="J665" s="1">
        <v>160.69399999999999</v>
      </c>
      <c r="K665" s="1">
        <v>-5.3879999999999999</v>
      </c>
      <c r="L665" s="1">
        <v>19.114999999999998</v>
      </c>
      <c r="M665" s="1" t="s">
        <v>491</v>
      </c>
      <c r="N665" s="1" t="s">
        <v>725</v>
      </c>
      <c r="O665" s="1" t="s">
        <v>1128</v>
      </c>
      <c r="P665" s="1" t="s">
        <v>1129</v>
      </c>
      <c r="Q665" s="1" t="s">
        <v>249</v>
      </c>
      <c r="R665" s="1" t="s">
        <v>194</v>
      </c>
      <c r="S665" s="1" t="s">
        <v>304</v>
      </c>
    </row>
    <row r="666" spans="1:19" hidden="1" x14ac:dyDescent="0.25">
      <c r="A666" s="1">
        <v>97</v>
      </c>
      <c r="B666" s="1" t="s">
        <v>272</v>
      </c>
      <c r="C666" s="1" t="s">
        <v>241</v>
      </c>
      <c r="D666" s="1" t="s">
        <v>419</v>
      </c>
      <c r="E666" s="1">
        <v>3</v>
      </c>
      <c r="F666" s="1">
        <v>164.06399999999999</v>
      </c>
      <c r="G666" s="1">
        <v>8498</v>
      </c>
      <c r="H666" s="1">
        <v>10168</v>
      </c>
      <c r="I666" s="1">
        <v>11767</v>
      </c>
      <c r="J666" s="1">
        <v>161.46199999999999</v>
      </c>
      <c r="K666" s="1">
        <v>-5.39</v>
      </c>
      <c r="L666" s="1">
        <v>19.091000000000001</v>
      </c>
      <c r="M666" s="1" t="s">
        <v>491</v>
      </c>
      <c r="N666" s="1" t="s">
        <v>725</v>
      </c>
      <c r="O666" s="1" t="s">
        <v>1128</v>
      </c>
      <c r="P666" s="1" t="s">
        <v>1129</v>
      </c>
      <c r="Q666" s="1" t="s">
        <v>146</v>
      </c>
      <c r="R666" s="1" t="s">
        <v>299</v>
      </c>
      <c r="S666" s="1" t="s">
        <v>413</v>
      </c>
    </row>
    <row r="667" spans="1:19" hidden="1" x14ac:dyDescent="0.25">
      <c r="A667" s="1">
        <v>97</v>
      </c>
      <c r="B667" s="1" t="s">
        <v>272</v>
      </c>
      <c r="C667" s="1" t="s">
        <v>241</v>
      </c>
      <c r="D667" s="1" t="s">
        <v>419</v>
      </c>
      <c r="E667" s="1">
        <v>4</v>
      </c>
      <c r="F667" s="1">
        <v>163.60599999999999</v>
      </c>
      <c r="G667" s="1">
        <v>8417</v>
      </c>
      <c r="H667" s="1">
        <v>10069</v>
      </c>
      <c r="I667" s="1">
        <v>11654</v>
      </c>
      <c r="J667" s="1">
        <v>161.01</v>
      </c>
      <c r="K667" s="1">
        <v>-5.399</v>
      </c>
      <c r="L667" s="1">
        <v>19.082999999999998</v>
      </c>
      <c r="M667" s="1" t="s">
        <v>491</v>
      </c>
      <c r="N667" s="1" t="s">
        <v>725</v>
      </c>
      <c r="O667" s="1" t="s">
        <v>1128</v>
      </c>
      <c r="P667" s="1" t="s">
        <v>1129</v>
      </c>
      <c r="Q667" s="1" t="s">
        <v>146</v>
      </c>
      <c r="R667" s="1" t="s">
        <v>177</v>
      </c>
      <c r="S667" s="1" t="s">
        <v>305</v>
      </c>
    </row>
    <row r="668" spans="1:19" hidden="1" x14ac:dyDescent="0.25">
      <c r="A668" s="1">
        <v>97</v>
      </c>
      <c r="B668" s="1" t="s">
        <v>272</v>
      </c>
      <c r="C668" s="1" t="s">
        <v>241</v>
      </c>
      <c r="D668" s="1" t="s">
        <v>419</v>
      </c>
      <c r="E668" s="1">
        <v>1</v>
      </c>
      <c r="F668" s="1">
        <v>165.499</v>
      </c>
      <c r="G668" s="1">
        <v>8429</v>
      </c>
      <c r="H668" s="1">
        <v>10084</v>
      </c>
      <c r="I668" s="1">
        <v>11675</v>
      </c>
      <c r="J668" s="1">
        <v>162.874</v>
      </c>
      <c r="K668" s="1">
        <v>-5.3840000000000003</v>
      </c>
      <c r="L668" s="1">
        <v>19.085000000000001</v>
      </c>
      <c r="M668" s="1" t="s">
        <v>273</v>
      </c>
      <c r="N668" s="1" t="s">
        <v>725</v>
      </c>
      <c r="O668" s="1" t="s">
        <v>1130</v>
      </c>
      <c r="P668" s="1" t="s">
        <v>1131</v>
      </c>
      <c r="Q668" s="1" t="s">
        <v>118</v>
      </c>
      <c r="R668" s="1" t="s">
        <v>64</v>
      </c>
      <c r="S668" s="1" t="s">
        <v>96</v>
      </c>
    </row>
    <row r="669" spans="1:19" hidden="1" x14ac:dyDescent="0.25">
      <c r="A669" s="1">
        <v>97</v>
      </c>
      <c r="B669" s="1" t="s">
        <v>272</v>
      </c>
      <c r="C669" s="1" t="s">
        <v>241</v>
      </c>
      <c r="D669" s="1" t="s">
        <v>419</v>
      </c>
      <c r="E669" s="1">
        <v>2</v>
      </c>
      <c r="F669" s="1">
        <v>162.29</v>
      </c>
      <c r="G669" s="1">
        <v>8429</v>
      </c>
      <c r="H669" s="1">
        <v>10084</v>
      </c>
      <c r="I669" s="1">
        <v>11677</v>
      </c>
      <c r="J669" s="1">
        <v>159.715</v>
      </c>
      <c r="K669" s="1">
        <v>-5.3890000000000002</v>
      </c>
      <c r="L669" s="1">
        <v>19.062999999999999</v>
      </c>
      <c r="M669" s="1" t="s">
        <v>273</v>
      </c>
      <c r="N669" s="1" t="s">
        <v>725</v>
      </c>
      <c r="O669" s="1" t="s">
        <v>1130</v>
      </c>
      <c r="P669" s="1" t="s">
        <v>1131</v>
      </c>
      <c r="Q669" s="1" t="s">
        <v>67</v>
      </c>
      <c r="R669" s="1" t="s">
        <v>253</v>
      </c>
      <c r="S669" s="1" t="s">
        <v>366</v>
      </c>
    </row>
    <row r="670" spans="1:19" hidden="1" x14ac:dyDescent="0.25">
      <c r="A670" s="1">
        <v>97</v>
      </c>
      <c r="B670" s="1" t="s">
        <v>272</v>
      </c>
      <c r="C670" s="1" t="s">
        <v>241</v>
      </c>
      <c r="D670" s="1" t="s">
        <v>419</v>
      </c>
      <c r="E670" s="1">
        <v>3</v>
      </c>
      <c r="F670" s="1">
        <v>164.095</v>
      </c>
      <c r="G670" s="1">
        <v>8506</v>
      </c>
      <c r="H670" s="1">
        <v>10176</v>
      </c>
      <c r="I670" s="1">
        <v>11782</v>
      </c>
      <c r="J670" s="1">
        <v>161.49100000000001</v>
      </c>
      <c r="K670" s="1">
        <v>-5.3860000000000001</v>
      </c>
      <c r="L670" s="1">
        <v>19.076000000000001</v>
      </c>
      <c r="M670" s="1" t="s">
        <v>273</v>
      </c>
      <c r="N670" s="1" t="s">
        <v>725</v>
      </c>
      <c r="O670" s="1" t="s">
        <v>1130</v>
      </c>
      <c r="P670" s="1" t="s">
        <v>1131</v>
      </c>
      <c r="Q670" s="1" t="s">
        <v>90</v>
      </c>
      <c r="R670" s="1" t="s">
        <v>153</v>
      </c>
      <c r="S670" s="1" t="s">
        <v>198</v>
      </c>
    </row>
    <row r="671" spans="1:19" hidden="1" x14ac:dyDescent="0.25">
      <c r="A671" s="1">
        <v>97</v>
      </c>
      <c r="B671" s="1" t="s">
        <v>272</v>
      </c>
      <c r="C671" s="1" t="s">
        <v>241</v>
      </c>
      <c r="D671" s="1" t="s">
        <v>419</v>
      </c>
      <c r="E671" s="1">
        <v>4</v>
      </c>
      <c r="F671" s="1">
        <v>163.78200000000001</v>
      </c>
      <c r="G671" s="1">
        <v>8445</v>
      </c>
      <c r="H671" s="1">
        <v>10103</v>
      </c>
      <c r="I671" s="1">
        <v>11697</v>
      </c>
      <c r="J671" s="1">
        <v>161.18299999999999</v>
      </c>
      <c r="K671" s="1">
        <v>-5.399</v>
      </c>
      <c r="L671" s="1">
        <v>19.082999999999998</v>
      </c>
      <c r="M671" s="1" t="s">
        <v>273</v>
      </c>
      <c r="N671" s="1" t="s">
        <v>725</v>
      </c>
      <c r="O671" s="1" t="s">
        <v>1130</v>
      </c>
      <c r="P671" s="1" t="s">
        <v>1131</v>
      </c>
      <c r="Q671" s="1" t="s">
        <v>75</v>
      </c>
      <c r="R671" s="1" t="s">
        <v>162</v>
      </c>
      <c r="S671" s="1" t="s">
        <v>170</v>
      </c>
    </row>
    <row r="672" spans="1:19" hidden="1" x14ac:dyDescent="0.25">
      <c r="A672" s="1">
        <f>A664+1</f>
        <v>98</v>
      </c>
      <c r="B672" s="1" t="s">
        <v>1106</v>
      </c>
      <c r="C672" s="1" t="s">
        <v>406</v>
      </c>
      <c r="D672" s="1" t="s">
        <v>1107</v>
      </c>
      <c r="E672" s="1">
        <v>1</v>
      </c>
      <c r="F672" s="1">
        <v>163.78700000000001</v>
      </c>
      <c r="G672" s="1">
        <v>8365</v>
      </c>
      <c r="H672" s="1">
        <v>10008</v>
      </c>
      <c r="I672" s="1">
        <v>11588</v>
      </c>
      <c r="J672" s="1">
        <v>161.18899999999999</v>
      </c>
      <c r="K672" s="1">
        <v>-5.3890000000000002</v>
      </c>
      <c r="L672" s="1">
        <v>19.108000000000001</v>
      </c>
      <c r="M672" s="1" t="s">
        <v>1132</v>
      </c>
      <c r="N672" s="1" t="s">
        <v>725</v>
      </c>
      <c r="O672" s="1" t="s">
        <v>1133</v>
      </c>
      <c r="P672" s="1" t="s">
        <v>1134</v>
      </c>
      <c r="Q672" s="1" t="s">
        <v>47</v>
      </c>
      <c r="R672" s="1" t="s">
        <v>73</v>
      </c>
      <c r="S672" s="1" t="s">
        <v>87</v>
      </c>
    </row>
    <row r="673" spans="1:19" hidden="1" x14ac:dyDescent="0.25">
      <c r="A673" s="1">
        <f t="shared" ref="A673:A678" si="0">A665+1</f>
        <v>98</v>
      </c>
      <c r="B673" s="1" t="s">
        <v>1106</v>
      </c>
      <c r="C673" s="1" t="s">
        <v>406</v>
      </c>
      <c r="D673" s="1" t="s">
        <v>1107</v>
      </c>
      <c r="E673" s="1">
        <v>2</v>
      </c>
      <c r="F673" s="1">
        <v>163.036</v>
      </c>
      <c r="G673" s="1">
        <v>8419</v>
      </c>
      <c r="H673" s="1">
        <v>10074</v>
      </c>
      <c r="I673" s="1">
        <v>11665</v>
      </c>
      <c r="J673" s="1">
        <v>160.44900000000001</v>
      </c>
      <c r="K673" s="1">
        <v>-5.4059999999999997</v>
      </c>
      <c r="L673" s="1">
        <v>19.100000000000001</v>
      </c>
      <c r="M673" s="1" t="s">
        <v>1132</v>
      </c>
      <c r="N673" s="1" t="s">
        <v>725</v>
      </c>
      <c r="O673" s="1" t="s">
        <v>1133</v>
      </c>
      <c r="P673" s="1" t="s">
        <v>1134</v>
      </c>
      <c r="Q673" s="1" t="s">
        <v>51</v>
      </c>
      <c r="R673" s="1" t="s">
        <v>68</v>
      </c>
      <c r="S673" s="1" t="s">
        <v>245</v>
      </c>
    </row>
    <row r="674" spans="1:19" hidden="1" x14ac:dyDescent="0.25">
      <c r="A674" s="1">
        <f t="shared" si="0"/>
        <v>98</v>
      </c>
      <c r="B674" s="1" t="s">
        <v>1106</v>
      </c>
      <c r="C674" s="1" t="s">
        <v>406</v>
      </c>
      <c r="D674" s="1" t="s">
        <v>1107</v>
      </c>
      <c r="E674" s="1">
        <v>3</v>
      </c>
      <c r="F674" s="1">
        <v>163.19300000000001</v>
      </c>
      <c r="G674" s="1">
        <v>8451</v>
      </c>
      <c r="H674" s="1">
        <v>10110</v>
      </c>
      <c r="I674" s="1">
        <v>11706</v>
      </c>
      <c r="J674" s="1">
        <v>160.60300000000001</v>
      </c>
      <c r="K674" s="1">
        <v>-5.4130000000000003</v>
      </c>
      <c r="L674" s="1">
        <v>19.082000000000001</v>
      </c>
      <c r="M674" s="1" t="s">
        <v>1132</v>
      </c>
      <c r="N674" s="1" t="s">
        <v>725</v>
      </c>
      <c r="O674" s="1" t="s">
        <v>1133</v>
      </c>
      <c r="P674" s="1" t="s">
        <v>1134</v>
      </c>
      <c r="Q674" s="1" t="s">
        <v>85</v>
      </c>
      <c r="R674" s="1" t="s">
        <v>146</v>
      </c>
      <c r="S674" s="1" t="s">
        <v>171</v>
      </c>
    </row>
    <row r="675" spans="1:19" hidden="1" x14ac:dyDescent="0.25">
      <c r="A675" s="1">
        <f t="shared" si="0"/>
        <v>98</v>
      </c>
      <c r="B675" s="1" t="s">
        <v>1106</v>
      </c>
      <c r="C675" s="1" t="s">
        <v>406</v>
      </c>
      <c r="D675" s="1" t="s">
        <v>1107</v>
      </c>
      <c r="E675" s="1">
        <v>4</v>
      </c>
      <c r="F675" s="1">
        <v>163.26599999999999</v>
      </c>
      <c r="G675" s="1">
        <v>8382</v>
      </c>
      <c r="H675" s="1">
        <v>10028</v>
      </c>
      <c r="I675" s="1">
        <v>11609</v>
      </c>
      <c r="J675" s="1">
        <v>160.67500000000001</v>
      </c>
      <c r="K675" s="1">
        <v>-5.399</v>
      </c>
      <c r="L675" s="1">
        <v>19.082999999999998</v>
      </c>
      <c r="M675" s="1" t="s">
        <v>1132</v>
      </c>
      <c r="N675" s="1" t="s">
        <v>725</v>
      </c>
      <c r="O675" s="1" t="s">
        <v>1133</v>
      </c>
      <c r="P675" s="1" t="s">
        <v>1134</v>
      </c>
      <c r="Q675" s="1" t="s">
        <v>131</v>
      </c>
      <c r="R675" s="1" t="s">
        <v>164</v>
      </c>
      <c r="S675" s="1" t="s">
        <v>234</v>
      </c>
    </row>
    <row r="676" spans="1:19" hidden="1" x14ac:dyDescent="0.25">
      <c r="A676" s="1">
        <f t="shared" si="0"/>
        <v>98</v>
      </c>
      <c r="B676" s="1" t="s">
        <v>1106</v>
      </c>
      <c r="C676" s="1" t="s">
        <v>406</v>
      </c>
      <c r="D676" s="1" t="s">
        <v>1107</v>
      </c>
      <c r="E676" s="1">
        <v>5</v>
      </c>
      <c r="F676" s="1">
        <v>76.028000000000006</v>
      </c>
      <c r="G676" s="1">
        <v>6316</v>
      </c>
      <c r="H676" s="1">
        <v>7595</v>
      </c>
      <c r="I676" s="1">
        <v>8795</v>
      </c>
      <c r="J676" s="1">
        <v>74.817999999999998</v>
      </c>
      <c r="K676" s="1">
        <v>-2.3330000000000002</v>
      </c>
      <c r="L676" s="1">
        <v>24.15</v>
      </c>
      <c r="M676" s="1" t="s">
        <v>1132</v>
      </c>
      <c r="N676" s="1" t="s">
        <v>725</v>
      </c>
      <c r="O676" s="1" t="s">
        <v>1133</v>
      </c>
      <c r="P676" s="1" t="s">
        <v>1134</v>
      </c>
      <c r="Q676" s="1" t="s">
        <v>207</v>
      </c>
      <c r="R676" s="1" t="s">
        <v>192</v>
      </c>
      <c r="S676" s="1" t="s">
        <v>204</v>
      </c>
    </row>
    <row r="677" spans="1:19" hidden="1" x14ac:dyDescent="0.25">
      <c r="A677" s="1">
        <f t="shared" si="0"/>
        <v>98</v>
      </c>
      <c r="B677" s="1" t="s">
        <v>1106</v>
      </c>
      <c r="C677" s="1" t="s">
        <v>406</v>
      </c>
      <c r="D677" s="1" t="s">
        <v>1107</v>
      </c>
      <c r="E677" s="1">
        <v>6</v>
      </c>
      <c r="F677" s="1">
        <v>67.137</v>
      </c>
      <c r="G677" s="1">
        <v>5620</v>
      </c>
      <c r="H677" s="1">
        <v>6758</v>
      </c>
      <c r="I677" s="1">
        <v>7826</v>
      </c>
      <c r="J677" s="1">
        <v>66.067999999999998</v>
      </c>
      <c r="K677" s="1">
        <v>-2.25</v>
      </c>
      <c r="L677" s="1">
        <v>24.187000000000001</v>
      </c>
      <c r="M677" s="1" t="s">
        <v>1132</v>
      </c>
      <c r="N677" s="1" t="s">
        <v>725</v>
      </c>
      <c r="O677" s="1" t="s">
        <v>1133</v>
      </c>
      <c r="P677" s="1" t="s">
        <v>1134</v>
      </c>
      <c r="Q677" s="1" t="s">
        <v>116</v>
      </c>
      <c r="R677" s="1" t="s">
        <v>71</v>
      </c>
      <c r="S677" s="1" t="s">
        <v>95</v>
      </c>
    </row>
    <row r="678" spans="1:19" hidden="1" x14ac:dyDescent="0.25">
      <c r="A678" s="1">
        <f t="shared" si="0"/>
        <v>98</v>
      </c>
      <c r="B678" s="1" t="s">
        <v>1106</v>
      </c>
      <c r="C678" s="1" t="s">
        <v>406</v>
      </c>
      <c r="D678" s="1" t="s">
        <v>1107</v>
      </c>
      <c r="E678" s="1">
        <v>7</v>
      </c>
      <c r="F678" s="1">
        <v>62.085999999999999</v>
      </c>
      <c r="G678" s="1">
        <v>5220</v>
      </c>
      <c r="H678" s="1">
        <v>6276</v>
      </c>
      <c r="I678" s="1">
        <v>7268</v>
      </c>
      <c r="J678" s="1">
        <v>61.097000000000001</v>
      </c>
      <c r="K678" s="1">
        <v>-2.2240000000000002</v>
      </c>
      <c r="L678" s="1">
        <v>24.254999999999999</v>
      </c>
      <c r="M678" s="1" t="s">
        <v>1132</v>
      </c>
      <c r="N678" s="1" t="s">
        <v>725</v>
      </c>
      <c r="O678" s="1" t="s">
        <v>1133</v>
      </c>
      <c r="P678" s="1" t="s">
        <v>1134</v>
      </c>
      <c r="Q678" s="1" t="s">
        <v>143</v>
      </c>
      <c r="R678" s="1" t="s">
        <v>296</v>
      </c>
      <c r="S678" s="1" t="s">
        <v>333</v>
      </c>
    </row>
    <row r="679" spans="1:19" hidden="1" x14ac:dyDescent="0.25">
      <c r="A679" s="1">
        <f>A672+1</f>
        <v>99</v>
      </c>
      <c r="B679" s="1" t="s">
        <v>1113</v>
      </c>
      <c r="C679" s="1" t="s">
        <v>436</v>
      </c>
      <c r="D679" s="1" t="s">
        <v>1114</v>
      </c>
      <c r="E679" s="1">
        <v>1</v>
      </c>
      <c r="F679" s="1">
        <v>164.21299999999999</v>
      </c>
      <c r="G679" s="1">
        <v>8377</v>
      </c>
      <c r="H679" s="1">
        <v>10022</v>
      </c>
      <c r="I679" s="1">
        <v>11596</v>
      </c>
      <c r="J679" s="1">
        <v>161.608</v>
      </c>
      <c r="K679" s="1">
        <v>-5.4130000000000003</v>
      </c>
      <c r="L679" s="1">
        <v>19.065999999999999</v>
      </c>
      <c r="M679" s="1" t="s">
        <v>1135</v>
      </c>
      <c r="N679" s="1" t="s">
        <v>725</v>
      </c>
      <c r="O679" s="1" t="s">
        <v>1136</v>
      </c>
      <c r="P679" s="1" t="s">
        <v>1137</v>
      </c>
      <c r="Q679" s="1" t="s">
        <v>54</v>
      </c>
      <c r="R679" s="1" t="s">
        <v>102</v>
      </c>
      <c r="S679" s="1" t="s">
        <v>67</v>
      </c>
    </row>
    <row r="680" spans="1:19" hidden="1" x14ac:dyDescent="0.25">
      <c r="A680" s="1">
        <f t="shared" ref="A680:A699" si="1">A673+1</f>
        <v>99</v>
      </c>
      <c r="B680" s="1" t="s">
        <v>1113</v>
      </c>
      <c r="C680" s="1" t="s">
        <v>436</v>
      </c>
      <c r="D680" s="1" t="s">
        <v>1114</v>
      </c>
      <c r="E680" s="1">
        <v>2</v>
      </c>
      <c r="F680" s="1">
        <v>162.565</v>
      </c>
      <c r="G680" s="1">
        <v>8408</v>
      </c>
      <c r="H680" s="1">
        <v>10059</v>
      </c>
      <c r="I680" s="1">
        <v>11639</v>
      </c>
      <c r="J680" s="1">
        <v>159.98599999999999</v>
      </c>
      <c r="K680" s="1">
        <v>-5.4169999999999998</v>
      </c>
      <c r="L680" s="1">
        <v>19.065000000000001</v>
      </c>
      <c r="M680" s="1" t="s">
        <v>1135</v>
      </c>
      <c r="N680" s="1" t="s">
        <v>725</v>
      </c>
      <c r="O680" s="1" t="s">
        <v>1136</v>
      </c>
      <c r="P680" s="1" t="s">
        <v>1137</v>
      </c>
      <c r="Q680" s="1" t="s">
        <v>85</v>
      </c>
      <c r="R680" s="1" t="s">
        <v>139</v>
      </c>
      <c r="S680" s="1" t="s">
        <v>257</v>
      </c>
    </row>
    <row r="681" spans="1:19" hidden="1" x14ac:dyDescent="0.25">
      <c r="A681" s="1">
        <f t="shared" si="1"/>
        <v>99</v>
      </c>
      <c r="B681" s="1" t="s">
        <v>1113</v>
      </c>
      <c r="C681" s="1" t="s">
        <v>436</v>
      </c>
      <c r="D681" s="1" t="s">
        <v>1114</v>
      </c>
      <c r="E681" s="1">
        <v>3</v>
      </c>
      <c r="F681" s="1">
        <v>163.315</v>
      </c>
      <c r="G681" s="1">
        <v>8455</v>
      </c>
      <c r="H681" s="1">
        <v>10115</v>
      </c>
      <c r="I681" s="1">
        <v>11706</v>
      </c>
      <c r="J681" s="1">
        <v>160.72399999999999</v>
      </c>
      <c r="K681" s="1">
        <v>-5.4180000000000001</v>
      </c>
      <c r="L681" s="1">
        <v>19.067</v>
      </c>
      <c r="M681" s="1" t="s">
        <v>1135</v>
      </c>
      <c r="N681" s="1" t="s">
        <v>725</v>
      </c>
      <c r="O681" s="1" t="s">
        <v>1136</v>
      </c>
      <c r="P681" s="1" t="s">
        <v>1137</v>
      </c>
      <c r="Q681" s="1" t="s">
        <v>75</v>
      </c>
      <c r="R681" s="1" t="s">
        <v>162</v>
      </c>
      <c r="S681" s="1" t="s">
        <v>170</v>
      </c>
    </row>
    <row r="682" spans="1:19" hidden="1" x14ac:dyDescent="0.25">
      <c r="A682" s="1">
        <f t="shared" si="1"/>
        <v>99</v>
      </c>
      <c r="B682" s="1" t="s">
        <v>1113</v>
      </c>
      <c r="C682" s="1" t="s">
        <v>436</v>
      </c>
      <c r="D682" s="1" t="s">
        <v>1114</v>
      </c>
      <c r="E682" s="1">
        <v>4</v>
      </c>
      <c r="F682" s="1">
        <v>164.25800000000001</v>
      </c>
      <c r="G682" s="1">
        <v>8392</v>
      </c>
      <c r="H682" s="1">
        <v>10040</v>
      </c>
      <c r="I682" s="1">
        <v>11617</v>
      </c>
      <c r="J682" s="1">
        <v>161.65299999999999</v>
      </c>
      <c r="K682" s="1">
        <v>-5.399</v>
      </c>
      <c r="L682" s="1">
        <v>19.082999999999998</v>
      </c>
      <c r="M682" s="1" t="s">
        <v>1135</v>
      </c>
      <c r="N682" s="1" t="s">
        <v>725</v>
      </c>
      <c r="O682" s="1" t="s">
        <v>1136</v>
      </c>
      <c r="P682" s="1" t="s">
        <v>1137</v>
      </c>
      <c r="Q682" s="1" t="s">
        <v>258</v>
      </c>
      <c r="R682" s="1" t="s">
        <v>141</v>
      </c>
      <c r="S682" s="1" t="s">
        <v>155</v>
      </c>
    </row>
    <row r="683" spans="1:19" hidden="1" x14ac:dyDescent="0.25">
      <c r="A683" s="1">
        <f t="shared" si="1"/>
        <v>99</v>
      </c>
      <c r="B683" s="1" t="s">
        <v>1113</v>
      </c>
      <c r="C683" s="1" t="s">
        <v>436</v>
      </c>
      <c r="D683" s="1" t="s">
        <v>1114</v>
      </c>
      <c r="E683" s="1">
        <v>5</v>
      </c>
      <c r="F683" s="1">
        <v>122.765</v>
      </c>
      <c r="G683" s="1">
        <v>10672</v>
      </c>
      <c r="H683" s="1">
        <v>12848</v>
      </c>
      <c r="I683" s="1">
        <v>14857</v>
      </c>
      <c r="J683" s="1">
        <v>120.81100000000001</v>
      </c>
      <c r="K683" s="1">
        <v>-2.423</v>
      </c>
      <c r="L683" s="1">
        <v>24.239000000000001</v>
      </c>
      <c r="M683" s="1" t="s">
        <v>1135</v>
      </c>
      <c r="N683" s="1" t="s">
        <v>725</v>
      </c>
      <c r="O683" s="1" t="s">
        <v>1136</v>
      </c>
      <c r="P683" s="1" t="s">
        <v>1137</v>
      </c>
      <c r="Q683" s="1" t="s">
        <v>210</v>
      </c>
      <c r="R683" s="1" t="s">
        <v>214</v>
      </c>
      <c r="S683" s="1" t="s">
        <v>184</v>
      </c>
    </row>
    <row r="684" spans="1:19" x14ac:dyDescent="0.25">
      <c r="A684" s="1">
        <f t="shared" si="1"/>
        <v>99</v>
      </c>
      <c r="B684" s="1" t="s">
        <v>1113</v>
      </c>
      <c r="C684" s="1" t="s">
        <v>436</v>
      </c>
      <c r="D684" s="1" t="s">
        <v>1114</v>
      </c>
      <c r="E684" s="1">
        <v>6</v>
      </c>
      <c r="F684" s="1">
        <v>109.45399999999999</v>
      </c>
      <c r="G684" s="1">
        <v>9479</v>
      </c>
      <c r="H684" s="1">
        <v>11407</v>
      </c>
      <c r="I684" s="1">
        <v>13195</v>
      </c>
      <c r="J684" s="1">
        <v>107.711</v>
      </c>
      <c r="K684" s="1">
        <v>-2.3719999999999999</v>
      </c>
      <c r="L684" s="1">
        <v>24.346</v>
      </c>
      <c r="M684" s="1" t="s">
        <v>1135</v>
      </c>
      <c r="N684" s="1" t="s">
        <v>725</v>
      </c>
      <c r="O684" s="1" t="s">
        <v>1136</v>
      </c>
      <c r="P684" s="1" t="s">
        <v>1137</v>
      </c>
      <c r="Q684" s="1" t="s">
        <v>65</v>
      </c>
      <c r="R684" s="1" t="s">
        <v>68</v>
      </c>
      <c r="S684" s="1" t="s">
        <v>162</v>
      </c>
    </row>
    <row r="685" spans="1:19" x14ac:dyDescent="0.25">
      <c r="A685" s="1">
        <f t="shared" si="1"/>
        <v>99</v>
      </c>
      <c r="B685" s="1" t="s">
        <v>1113</v>
      </c>
      <c r="C685" s="1" t="s">
        <v>436</v>
      </c>
      <c r="D685" s="1" t="s">
        <v>1114</v>
      </c>
      <c r="E685" s="1">
        <v>7</v>
      </c>
      <c r="F685" s="1">
        <v>101.354</v>
      </c>
      <c r="G685" s="1">
        <v>8750</v>
      </c>
      <c r="H685" s="1">
        <v>10528</v>
      </c>
      <c r="I685" s="1">
        <v>12182</v>
      </c>
      <c r="J685" s="1">
        <v>99.74</v>
      </c>
      <c r="K685" s="1">
        <v>-2.2759999999999998</v>
      </c>
      <c r="L685" s="1">
        <v>24.370999999999999</v>
      </c>
      <c r="M685" s="1" t="s">
        <v>1135</v>
      </c>
      <c r="N685" s="1" t="s">
        <v>725</v>
      </c>
      <c r="O685" s="1" t="s">
        <v>1136</v>
      </c>
      <c r="P685" s="1" t="s">
        <v>1137</v>
      </c>
      <c r="Q685" s="1" t="s">
        <v>369</v>
      </c>
      <c r="R685" s="1" t="s">
        <v>1138</v>
      </c>
      <c r="S685" s="1" t="s">
        <v>851</v>
      </c>
    </row>
    <row r="686" spans="1:19" hidden="1" x14ac:dyDescent="0.25">
      <c r="A686" s="1">
        <f t="shared" si="1"/>
        <v>100</v>
      </c>
      <c r="B686" s="1" t="s">
        <v>1118</v>
      </c>
      <c r="C686" s="1" t="s">
        <v>503</v>
      </c>
      <c r="D686" s="1" t="s">
        <v>1119</v>
      </c>
      <c r="E686" s="1">
        <v>1</v>
      </c>
      <c r="F686" s="1">
        <v>165.09</v>
      </c>
      <c r="G686" s="1">
        <v>8428</v>
      </c>
      <c r="H686" s="1">
        <v>10084</v>
      </c>
      <c r="I686" s="1">
        <v>11676</v>
      </c>
      <c r="J686" s="1">
        <v>162.471</v>
      </c>
      <c r="K686" s="1">
        <v>-5.3959999999999999</v>
      </c>
      <c r="L686" s="1">
        <v>19.062000000000001</v>
      </c>
      <c r="M686" s="1" t="s">
        <v>1120</v>
      </c>
      <c r="N686" s="1" t="s">
        <v>725</v>
      </c>
      <c r="O686" s="1" t="s">
        <v>1139</v>
      </c>
      <c r="P686" s="1" t="s">
        <v>1140</v>
      </c>
      <c r="Q686" s="1" t="s">
        <v>72</v>
      </c>
      <c r="R686" s="1" t="s">
        <v>86</v>
      </c>
      <c r="S686" s="1" t="s">
        <v>93</v>
      </c>
    </row>
    <row r="687" spans="1:19" hidden="1" x14ac:dyDescent="0.25">
      <c r="A687" s="1">
        <f t="shared" si="1"/>
        <v>100</v>
      </c>
      <c r="B687" s="1" t="s">
        <v>1118</v>
      </c>
      <c r="C687" s="1" t="s">
        <v>503</v>
      </c>
      <c r="D687" s="1" t="s">
        <v>1119</v>
      </c>
      <c r="E687" s="1">
        <v>2</v>
      </c>
      <c r="F687" s="1">
        <v>163.22900000000001</v>
      </c>
      <c r="G687" s="1">
        <v>8440</v>
      </c>
      <c r="H687" s="1">
        <v>10098</v>
      </c>
      <c r="I687" s="1">
        <v>11692</v>
      </c>
      <c r="J687" s="1">
        <v>160.63900000000001</v>
      </c>
      <c r="K687" s="1">
        <v>-5.3970000000000002</v>
      </c>
      <c r="L687" s="1">
        <v>19.073</v>
      </c>
      <c r="M687" s="1" t="s">
        <v>1120</v>
      </c>
      <c r="N687" s="1" t="s">
        <v>725</v>
      </c>
      <c r="O687" s="1" t="s">
        <v>1139</v>
      </c>
      <c r="P687" s="1" t="s">
        <v>1140</v>
      </c>
      <c r="Q687" s="1" t="s">
        <v>108</v>
      </c>
      <c r="R687" s="1" t="s">
        <v>157</v>
      </c>
      <c r="S687" s="1" t="s">
        <v>179</v>
      </c>
    </row>
    <row r="688" spans="1:19" hidden="1" x14ac:dyDescent="0.25">
      <c r="A688" s="1">
        <f t="shared" si="1"/>
        <v>100</v>
      </c>
      <c r="B688" s="1" t="s">
        <v>1118</v>
      </c>
      <c r="C688" s="1" t="s">
        <v>503</v>
      </c>
      <c r="D688" s="1" t="s">
        <v>1119</v>
      </c>
      <c r="E688" s="1">
        <v>3</v>
      </c>
      <c r="F688" s="1">
        <v>164.27500000000001</v>
      </c>
      <c r="G688" s="1">
        <v>8510</v>
      </c>
      <c r="H688" s="1">
        <v>10181</v>
      </c>
      <c r="I688" s="1">
        <v>11787</v>
      </c>
      <c r="J688" s="1">
        <v>161.66800000000001</v>
      </c>
      <c r="K688" s="1">
        <v>-5.4009999999999998</v>
      </c>
      <c r="L688" s="1">
        <v>19.074999999999999</v>
      </c>
      <c r="M688" s="1" t="s">
        <v>1120</v>
      </c>
      <c r="N688" s="1" t="s">
        <v>725</v>
      </c>
      <c r="O688" s="1" t="s">
        <v>1139</v>
      </c>
      <c r="P688" s="1" t="s">
        <v>1140</v>
      </c>
      <c r="Q688" s="1" t="s">
        <v>104</v>
      </c>
      <c r="R688" s="1" t="s">
        <v>148</v>
      </c>
      <c r="S688" s="1" t="s">
        <v>155</v>
      </c>
    </row>
    <row r="689" spans="1:19" hidden="1" x14ac:dyDescent="0.25">
      <c r="A689" s="1">
        <f t="shared" si="1"/>
        <v>100</v>
      </c>
      <c r="B689" s="1" t="s">
        <v>1118</v>
      </c>
      <c r="C689" s="1" t="s">
        <v>503</v>
      </c>
      <c r="D689" s="1" t="s">
        <v>1119</v>
      </c>
      <c r="E689" s="1">
        <v>4</v>
      </c>
      <c r="F689" s="1">
        <v>164.08199999999999</v>
      </c>
      <c r="G689" s="1">
        <v>8435</v>
      </c>
      <c r="H689" s="1">
        <v>10090</v>
      </c>
      <c r="I689" s="1">
        <v>11684</v>
      </c>
      <c r="J689" s="1">
        <v>161.47900000000001</v>
      </c>
      <c r="K689" s="1">
        <v>-5.399</v>
      </c>
      <c r="L689" s="1">
        <v>19.082999999999998</v>
      </c>
      <c r="M689" s="1" t="s">
        <v>1120</v>
      </c>
      <c r="N689" s="1" t="s">
        <v>725</v>
      </c>
      <c r="O689" s="1" t="s">
        <v>1139</v>
      </c>
      <c r="P689" s="1" t="s">
        <v>1140</v>
      </c>
      <c r="Q689" s="1" t="s">
        <v>77</v>
      </c>
      <c r="R689" s="1" t="s">
        <v>246</v>
      </c>
      <c r="S689" s="1" t="s">
        <v>341</v>
      </c>
    </row>
    <row r="690" spans="1:19" hidden="1" x14ac:dyDescent="0.25">
      <c r="A690" s="1">
        <f t="shared" si="1"/>
        <v>100</v>
      </c>
      <c r="B690" s="1" t="s">
        <v>1118</v>
      </c>
      <c r="C690" s="1" t="s">
        <v>503</v>
      </c>
      <c r="D690" s="1" t="s">
        <v>1119</v>
      </c>
      <c r="E690" s="1">
        <v>5</v>
      </c>
      <c r="F690" s="1">
        <v>114.879</v>
      </c>
      <c r="G690" s="1">
        <v>9619</v>
      </c>
      <c r="H690" s="1">
        <v>11649</v>
      </c>
      <c r="I690" s="1">
        <v>13406</v>
      </c>
      <c r="J690" s="1">
        <v>113.042</v>
      </c>
      <c r="K690" s="1">
        <v>3.8079999999999998</v>
      </c>
      <c r="L690" s="1">
        <v>25.181999999999999</v>
      </c>
      <c r="M690" s="1" t="s">
        <v>1120</v>
      </c>
      <c r="N690" s="1" t="s">
        <v>725</v>
      </c>
      <c r="O690" s="1" t="s">
        <v>1139</v>
      </c>
      <c r="P690" s="1" t="s">
        <v>1140</v>
      </c>
      <c r="Q690" s="1" t="s">
        <v>212</v>
      </c>
      <c r="R690" s="1" t="s">
        <v>202</v>
      </c>
      <c r="S690" s="1" t="s">
        <v>218</v>
      </c>
    </row>
    <row r="691" spans="1:19" x14ac:dyDescent="0.25">
      <c r="A691" s="1">
        <f t="shared" si="1"/>
        <v>100</v>
      </c>
      <c r="B691" s="1" t="s">
        <v>1118</v>
      </c>
      <c r="C691" s="1" t="s">
        <v>503</v>
      </c>
      <c r="D691" s="1" t="s">
        <v>1119</v>
      </c>
      <c r="E691" s="1">
        <v>6</v>
      </c>
      <c r="F691" s="1">
        <v>102.399</v>
      </c>
      <c r="G691" s="1">
        <v>8691</v>
      </c>
      <c r="H691" s="1">
        <v>10523</v>
      </c>
      <c r="I691" s="1">
        <v>12117</v>
      </c>
      <c r="J691" s="1">
        <v>100.762</v>
      </c>
      <c r="K691" s="1">
        <v>3.8290000000000002</v>
      </c>
      <c r="L691" s="1">
        <v>25.234999999999999</v>
      </c>
      <c r="M691" s="1" t="s">
        <v>1120</v>
      </c>
      <c r="N691" s="1" t="s">
        <v>725</v>
      </c>
      <c r="O691" s="1" t="s">
        <v>1139</v>
      </c>
      <c r="P691" s="1" t="s">
        <v>1140</v>
      </c>
      <c r="Q691" s="1" t="s">
        <v>96</v>
      </c>
      <c r="R691" s="1" t="s">
        <v>104</v>
      </c>
      <c r="S691" s="1" t="s">
        <v>139</v>
      </c>
    </row>
    <row r="692" spans="1:19" x14ac:dyDescent="0.25">
      <c r="A692" s="1">
        <f t="shared" si="1"/>
        <v>100</v>
      </c>
      <c r="B692" s="1" t="s">
        <v>1118</v>
      </c>
      <c r="C692" s="1" t="s">
        <v>503</v>
      </c>
      <c r="D692" s="1" t="s">
        <v>1119</v>
      </c>
      <c r="E692" s="1">
        <v>7</v>
      </c>
      <c r="F692" s="1">
        <v>95.069000000000003</v>
      </c>
      <c r="G692" s="1">
        <v>8143</v>
      </c>
      <c r="H692" s="1">
        <v>9858</v>
      </c>
      <c r="I692" s="1">
        <v>11353</v>
      </c>
      <c r="J692" s="1">
        <v>93.548000000000002</v>
      </c>
      <c r="K692" s="1">
        <v>3.8769999999999998</v>
      </c>
      <c r="L692" s="1">
        <v>25.266999999999999</v>
      </c>
      <c r="M692" s="1" t="s">
        <v>1120</v>
      </c>
      <c r="N692" s="1" t="s">
        <v>725</v>
      </c>
      <c r="O692" s="1" t="s">
        <v>1139</v>
      </c>
      <c r="P692" s="1" t="s">
        <v>1140</v>
      </c>
      <c r="Q692" s="1" t="s">
        <v>335</v>
      </c>
      <c r="R692" s="1" t="s">
        <v>1141</v>
      </c>
      <c r="S692" s="1" t="s">
        <v>1142</v>
      </c>
    </row>
    <row r="693" spans="1:19" hidden="1" x14ac:dyDescent="0.25">
      <c r="A693" s="1">
        <f t="shared" si="1"/>
        <v>101</v>
      </c>
      <c r="B693" s="1" t="s">
        <v>1123</v>
      </c>
      <c r="C693" s="1" t="s">
        <v>443</v>
      </c>
      <c r="D693" s="1" t="s">
        <v>1124</v>
      </c>
      <c r="E693" s="1">
        <v>1</v>
      </c>
      <c r="F693" s="1">
        <v>164.11799999999999</v>
      </c>
      <c r="G693" s="1">
        <v>8357</v>
      </c>
      <c r="H693" s="1">
        <v>10000</v>
      </c>
      <c r="I693" s="1">
        <v>11575</v>
      </c>
      <c r="J693" s="1">
        <v>161.51400000000001</v>
      </c>
      <c r="K693" s="1">
        <v>-5.3869999999999996</v>
      </c>
      <c r="L693" s="1">
        <v>19.064</v>
      </c>
      <c r="M693" s="1" t="s">
        <v>1125</v>
      </c>
      <c r="N693" s="1" t="s">
        <v>725</v>
      </c>
      <c r="O693" s="1" t="s">
        <v>1143</v>
      </c>
      <c r="P693" s="1" t="s">
        <v>1144</v>
      </c>
      <c r="Q693" s="1" t="s">
        <v>73</v>
      </c>
      <c r="R693" s="1" t="s">
        <v>65</v>
      </c>
      <c r="S693" s="1" t="s">
        <v>108</v>
      </c>
    </row>
    <row r="694" spans="1:19" hidden="1" x14ac:dyDescent="0.25">
      <c r="A694" s="1">
        <f t="shared" si="1"/>
        <v>101</v>
      </c>
      <c r="B694" s="1" t="s">
        <v>1123</v>
      </c>
      <c r="C694" s="1" t="s">
        <v>443</v>
      </c>
      <c r="D694" s="1" t="s">
        <v>1124</v>
      </c>
      <c r="E694" s="1">
        <v>2</v>
      </c>
      <c r="F694" s="1">
        <v>161.41499999999999</v>
      </c>
      <c r="G694" s="1">
        <v>8353</v>
      </c>
      <c r="H694" s="1">
        <v>9993</v>
      </c>
      <c r="I694" s="1">
        <v>11564</v>
      </c>
      <c r="J694" s="1">
        <v>158.85400000000001</v>
      </c>
      <c r="K694" s="1">
        <v>-5.3959999999999999</v>
      </c>
      <c r="L694" s="1">
        <v>19.079000000000001</v>
      </c>
      <c r="M694" s="1" t="s">
        <v>1125</v>
      </c>
      <c r="N694" s="1" t="s">
        <v>725</v>
      </c>
      <c r="O694" s="1" t="s">
        <v>1143</v>
      </c>
      <c r="P694" s="1" t="s">
        <v>1144</v>
      </c>
      <c r="Q694" s="1" t="s">
        <v>99</v>
      </c>
      <c r="R694" s="1" t="s">
        <v>162</v>
      </c>
      <c r="S694" s="1" t="s">
        <v>194</v>
      </c>
    </row>
    <row r="695" spans="1:19" hidden="1" x14ac:dyDescent="0.25">
      <c r="A695" s="1">
        <f t="shared" si="1"/>
        <v>101</v>
      </c>
      <c r="B695" s="1" t="s">
        <v>1123</v>
      </c>
      <c r="C695" s="1" t="s">
        <v>443</v>
      </c>
      <c r="D695" s="1" t="s">
        <v>1124</v>
      </c>
      <c r="E695" s="1">
        <v>3</v>
      </c>
      <c r="F695" s="1">
        <v>167.095</v>
      </c>
      <c r="G695" s="1">
        <v>8431</v>
      </c>
      <c r="H695" s="1">
        <v>10088</v>
      </c>
      <c r="I695" s="1">
        <v>11674</v>
      </c>
      <c r="J695" s="1">
        <v>164.44399999999999</v>
      </c>
      <c r="K695" s="1">
        <v>-5.4</v>
      </c>
      <c r="L695" s="1">
        <v>19.088000000000001</v>
      </c>
      <c r="M695" s="1" t="s">
        <v>1125</v>
      </c>
      <c r="N695" s="1" t="s">
        <v>725</v>
      </c>
      <c r="O695" s="1" t="s">
        <v>1143</v>
      </c>
      <c r="P695" s="1" t="s">
        <v>1144</v>
      </c>
      <c r="Q695" s="1" t="s">
        <v>283</v>
      </c>
      <c r="R695" s="1" t="s">
        <v>103</v>
      </c>
      <c r="S695" s="1" t="s">
        <v>252</v>
      </c>
    </row>
    <row r="696" spans="1:19" hidden="1" x14ac:dyDescent="0.25">
      <c r="A696" s="1">
        <f t="shared" si="1"/>
        <v>101</v>
      </c>
      <c r="B696" s="1" t="s">
        <v>1123</v>
      </c>
      <c r="C696" s="1" t="s">
        <v>443</v>
      </c>
      <c r="D696" s="1" t="s">
        <v>1124</v>
      </c>
      <c r="E696" s="1">
        <v>4</v>
      </c>
      <c r="F696" s="1">
        <v>162.65600000000001</v>
      </c>
      <c r="G696" s="1">
        <v>8360</v>
      </c>
      <c r="H696" s="1">
        <v>10002</v>
      </c>
      <c r="I696" s="1">
        <v>11574</v>
      </c>
      <c r="J696" s="1">
        <v>160.07599999999999</v>
      </c>
      <c r="K696" s="1">
        <v>-5.399</v>
      </c>
      <c r="L696" s="1">
        <v>19.082999999999998</v>
      </c>
      <c r="M696" s="1" t="s">
        <v>1125</v>
      </c>
      <c r="N696" s="1" t="s">
        <v>725</v>
      </c>
      <c r="O696" s="1" t="s">
        <v>1143</v>
      </c>
      <c r="P696" s="1" t="s">
        <v>1144</v>
      </c>
      <c r="Q696" s="1" t="s">
        <v>276</v>
      </c>
      <c r="R696" s="1" t="s">
        <v>257</v>
      </c>
      <c r="S696" s="1" t="s">
        <v>277</v>
      </c>
    </row>
    <row r="697" spans="1:19" hidden="1" x14ac:dyDescent="0.25">
      <c r="A697" s="1">
        <f t="shared" si="1"/>
        <v>101</v>
      </c>
      <c r="B697" s="1" t="s">
        <v>1123</v>
      </c>
      <c r="C697" s="1" t="s">
        <v>443</v>
      </c>
      <c r="D697" s="1" t="s">
        <v>1124</v>
      </c>
      <c r="E697" s="1">
        <v>5</v>
      </c>
      <c r="F697" s="1">
        <v>95.81</v>
      </c>
      <c r="G697" s="1">
        <v>8031</v>
      </c>
      <c r="H697" s="1">
        <v>9716</v>
      </c>
      <c r="I697" s="1">
        <v>11191</v>
      </c>
      <c r="J697" s="1">
        <v>94.278000000000006</v>
      </c>
      <c r="K697" s="1">
        <v>3.9060000000000001</v>
      </c>
      <c r="L697" s="1">
        <v>25.177</v>
      </c>
      <c r="M697" s="1" t="s">
        <v>1125</v>
      </c>
      <c r="N697" s="1" t="s">
        <v>725</v>
      </c>
      <c r="O697" s="1" t="s">
        <v>1143</v>
      </c>
      <c r="P697" s="1" t="s">
        <v>1144</v>
      </c>
      <c r="Q697" s="1" t="s">
        <v>200</v>
      </c>
      <c r="R697" s="1" t="s">
        <v>145</v>
      </c>
      <c r="S697" s="1" t="s">
        <v>106</v>
      </c>
    </row>
    <row r="698" spans="1:19" x14ac:dyDescent="0.25">
      <c r="A698" s="1">
        <f t="shared" si="1"/>
        <v>101</v>
      </c>
      <c r="B698" s="1" t="s">
        <v>1123</v>
      </c>
      <c r="C698" s="1" t="s">
        <v>443</v>
      </c>
      <c r="D698" s="1" t="s">
        <v>1124</v>
      </c>
      <c r="E698" s="1">
        <v>6</v>
      </c>
      <c r="F698" s="1">
        <v>84.671000000000006</v>
      </c>
      <c r="G698" s="1">
        <v>7115</v>
      </c>
      <c r="H698" s="1">
        <v>8605</v>
      </c>
      <c r="I698" s="1">
        <v>9914</v>
      </c>
      <c r="J698" s="1">
        <v>83.316999999999993</v>
      </c>
      <c r="K698" s="1">
        <v>3.96</v>
      </c>
      <c r="L698" s="1">
        <v>25.4</v>
      </c>
      <c r="M698" s="1" t="s">
        <v>1125</v>
      </c>
      <c r="N698" s="1" t="s">
        <v>725</v>
      </c>
      <c r="O698" s="1" t="s">
        <v>1143</v>
      </c>
      <c r="P698" s="1" t="s">
        <v>1144</v>
      </c>
      <c r="Q698" s="1" t="s">
        <v>81</v>
      </c>
      <c r="R698" s="1" t="s">
        <v>90</v>
      </c>
      <c r="S698" s="1" t="s">
        <v>276</v>
      </c>
    </row>
    <row r="699" spans="1:19" x14ac:dyDescent="0.25">
      <c r="A699" s="173">
        <f t="shared" si="1"/>
        <v>101</v>
      </c>
      <c r="B699" s="173" t="s">
        <v>1123</v>
      </c>
      <c r="C699" s="173" t="s">
        <v>443</v>
      </c>
      <c r="D699" s="173" t="s">
        <v>1124</v>
      </c>
      <c r="E699" s="173">
        <v>7</v>
      </c>
      <c r="F699" s="173">
        <v>78.561999999999998</v>
      </c>
      <c r="G699" s="173">
        <v>6594</v>
      </c>
      <c r="H699" s="173">
        <v>7977</v>
      </c>
      <c r="I699" s="173">
        <v>9189</v>
      </c>
      <c r="J699" s="173">
        <v>77.305999999999997</v>
      </c>
      <c r="K699" s="173">
        <v>4.0129999999999999</v>
      </c>
      <c r="L699" s="173">
        <v>25.419</v>
      </c>
      <c r="M699" s="173" t="s">
        <v>1125</v>
      </c>
      <c r="N699" s="173" t="s">
        <v>725</v>
      </c>
      <c r="O699" s="173" t="s">
        <v>1143</v>
      </c>
      <c r="P699" s="173" t="s">
        <v>1144</v>
      </c>
      <c r="Q699" s="173" t="s">
        <v>872</v>
      </c>
      <c r="R699" s="173" t="s">
        <v>1145</v>
      </c>
      <c r="S699" s="173" t="s">
        <v>332</v>
      </c>
    </row>
    <row r="700" spans="1:19" hidden="1" x14ac:dyDescent="0.25">
      <c r="A700" s="2">
        <v>102</v>
      </c>
      <c r="B700" s="1" t="s">
        <v>272</v>
      </c>
      <c r="C700" s="1" t="s">
        <v>241</v>
      </c>
      <c r="D700" s="1" t="s">
        <v>1146</v>
      </c>
      <c r="E700" s="1">
        <v>1</v>
      </c>
      <c r="F700" s="1">
        <v>163.422</v>
      </c>
      <c r="G700" s="1">
        <v>8339</v>
      </c>
      <c r="H700" s="1">
        <v>9976</v>
      </c>
      <c r="I700" s="1">
        <v>11551</v>
      </c>
      <c r="J700" s="1">
        <v>160.82900000000001</v>
      </c>
      <c r="K700" s="1">
        <v>-5.4</v>
      </c>
      <c r="L700" s="1">
        <v>19.102</v>
      </c>
      <c r="M700" s="1" t="s">
        <v>273</v>
      </c>
      <c r="N700" s="1" t="s">
        <v>1147</v>
      </c>
      <c r="O700" s="1" t="s">
        <v>1148</v>
      </c>
      <c r="P700" s="1" t="s">
        <v>1149</v>
      </c>
      <c r="Q700" s="1" t="s">
        <v>64</v>
      </c>
      <c r="R700" s="1" t="s">
        <v>79</v>
      </c>
      <c r="S700" s="1" t="s">
        <v>113</v>
      </c>
    </row>
    <row r="701" spans="1:19" hidden="1" x14ac:dyDescent="0.25">
      <c r="A701" s="2">
        <v>102</v>
      </c>
      <c r="B701" s="1" t="s">
        <v>272</v>
      </c>
      <c r="C701" s="1" t="s">
        <v>241</v>
      </c>
      <c r="D701" s="1" t="s">
        <v>1146</v>
      </c>
      <c r="E701" s="1">
        <v>2</v>
      </c>
      <c r="F701" s="1">
        <v>161.05799999999999</v>
      </c>
      <c r="G701" s="1">
        <v>8315</v>
      </c>
      <c r="H701" s="1">
        <v>9946</v>
      </c>
      <c r="I701" s="1">
        <v>11517</v>
      </c>
      <c r="J701" s="1">
        <v>158.50299999999999</v>
      </c>
      <c r="K701" s="1">
        <v>-5.4119999999999999</v>
      </c>
      <c r="L701" s="1">
        <v>19.065999999999999</v>
      </c>
      <c r="M701" s="1" t="s">
        <v>273</v>
      </c>
      <c r="N701" s="1" t="s">
        <v>1147</v>
      </c>
      <c r="O701" s="1" t="s">
        <v>1148</v>
      </c>
      <c r="P701" s="1" t="s">
        <v>1149</v>
      </c>
      <c r="Q701" s="1" t="s">
        <v>172</v>
      </c>
      <c r="R701" s="1" t="s">
        <v>246</v>
      </c>
      <c r="S701" s="1" t="s">
        <v>354</v>
      </c>
    </row>
    <row r="702" spans="1:19" hidden="1" x14ac:dyDescent="0.25">
      <c r="A702" s="2">
        <v>102</v>
      </c>
      <c r="B702" s="1" t="s">
        <v>272</v>
      </c>
      <c r="C702" s="1" t="s">
        <v>241</v>
      </c>
      <c r="D702" s="1" t="s">
        <v>1146</v>
      </c>
      <c r="E702" s="1">
        <v>3</v>
      </c>
      <c r="F702" s="1">
        <v>162.28399999999999</v>
      </c>
      <c r="G702" s="1">
        <v>8378</v>
      </c>
      <c r="H702" s="1">
        <v>10022</v>
      </c>
      <c r="I702" s="1">
        <v>11603</v>
      </c>
      <c r="J702" s="1">
        <v>159.709</v>
      </c>
      <c r="K702" s="1">
        <v>-5.4210000000000003</v>
      </c>
      <c r="L702" s="1">
        <v>19.109000000000002</v>
      </c>
      <c r="M702" s="1" t="s">
        <v>273</v>
      </c>
      <c r="N702" s="1" t="s">
        <v>1147</v>
      </c>
      <c r="O702" s="1" t="s">
        <v>1148</v>
      </c>
      <c r="P702" s="1" t="s">
        <v>1149</v>
      </c>
      <c r="Q702" s="1" t="s">
        <v>89</v>
      </c>
      <c r="R702" s="1" t="s">
        <v>279</v>
      </c>
      <c r="S702" s="1" t="s">
        <v>123</v>
      </c>
    </row>
    <row r="703" spans="1:19" hidden="1" x14ac:dyDescent="0.25">
      <c r="A703" s="2">
        <v>102</v>
      </c>
      <c r="B703" s="1" t="s">
        <v>272</v>
      </c>
      <c r="C703" s="1" t="s">
        <v>241</v>
      </c>
      <c r="D703" s="1" t="s">
        <v>1146</v>
      </c>
      <c r="E703" s="1">
        <v>4</v>
      </c>
      <c r="F703" s="1">
        <v>162.02600000000001</v>
      </c>
      <c r="G703" s="1">
        <v>8319</v>
      </c>
      <c r="H703" s="1">
        <v>9952</v>
      </c>
      <c r="I703" s="1">
        <v>11522</v>
      </c>
      <c r="J703" s="1">
        <v>159.45500000000001</v>
      </c>
      <c r="K703" s="1">
        <v>-5.399</v>
      </c>
      <c r="L703" s="1">
        <v>19.082999999999998</v>
      </c>
      <c r="M703" s="1" t="s">
        <v>273</v>
      </c>
      <c r="N703" s="1" t="s">
        <v>1147</v>
      </c>
      <c r="O703" s="1" t="s">
        <v>1148</v>
      </c>
      <c r="P703" s="1" t="s">
        <v>1149</v>
      </c>
      <c r="Q703" s="1" t="s">
        <v>159</v>
      </c>
      <c r="R703" s="1" t="s">
        <v>234</v>
      </c>
      <c r="S703" s="1" t="s">
        <v>142</v>
      </c>
    </row>
    <row r="704" spans="1:19" hidden="1" x14ac:dyDescent="0.25">
      <c r="A704" s="2">
        <v>103</v>
      </c>
      <c r="B704" s="1" t="s">
        <v>1150</v>
      </c>
      <c r="C704" s="1" t="s">
        <v>654</v>
      </c>
      <c r="D704" s="1" t="s">
        <v>1151</v>
      </c>
      <c r="E704" s="1">
        <v>1</v>
      </c>
      <c r="F704" s="1">
        <v>163.08099999999999</v>
      </c>
      <c r="G704" s="1">
        <v>8285</v>
      </c>
      <c r="H704" s="1">
        <v>9912</v>
      </c>
      <c r="I704" s="1">
        <v>11475</v>
      </c>
      <c r="J704" s="1">
        <v>160.494</v>
      </c>
      <c r="K704" s="1">
        <v>-5.3860000000000001</v>
      </c>
      <c r="L704" s="1">
        <v>19.091999999999999</v>
      </c>
      <c r="M704" s="1" t="s">
        <v>1152</v>
      </c>
      <c r="N704" s="1" t="s">
        <v>1147</v>
      </c>
      <c r="O704" s="1" t="s">
        <v>1153</v>
      </c>
      <c r="P704" s="1" t="s">
        <v>1154</v>
      </c>
      <c r="Q704" s="1" t="s">
        <v>63</v>
      </c>
      <c r="R704" s="1" t="s">
        <v>134</v>
      </c>
      <c r="S704" s="1" t="s">
        <v>127</v>
      </c>
    </row>
    <row r="705" spans="1:19" hidden="1" x14ac:dyDescent="0.25">
      <c r="A705" s="2">
        <v>103</v>
      </c>
      <c r="B705" s="1" t="s">
        <v>1150</v>
      </c>
      <c r="C705" s="1" t="s">
        <v>654</v>
      </c>
      <c r="D705" s="1" t="s">
        <v>1151</v>
      </c>
      <c r="E705" s="1">
        <v>2</v>
      </c>
      <c r="F705" s="1">
        <v>160.82400000000001</v>
      </c>
      <c r="G705" s="1">
        <v>8308</v>
      </c>
      <c r="H705" s="1">
        <v>9939</v>
      </c>
      <c r="I705" s="1">
        <v>11508</v>
      </c>
      <c r="J705" s="1">
        <v>158.273</v>
      </c>
      <c r="K705" s="1">
        <v>-5.3970000000000002</v>
      </c>
      <c r="L705" s="1">
        <v>19.100999999999999</v>
      </c>
      <c r="M705" s="1" t="s">
        <v>1152</v>
      </c>
      <c r="N705" s="1" t="s">
        <v>1147</v>
      </c>
      <c r="O705" s="1" t="s">
        <v>1153</v>
      </c>
      <c r="P705" s="1" t="s">
        <v>1154</v>
      </c>
      <c r="Q705" s="1" t="s">
        <v>94</v>
      </c>
      <c r="R705" s="1" t="s">
        <v>138</v>
      </c>
      <c r="S705" s="1" t="s">
        <v>246</v>
      </c>
    </row>
    <row r="706" spans="1:19" hidden="1" x14ac:dyDescent="0.25">
      <c r="A706" s="2">
        <v>103</v>
      </c>
      <c r="B706" s="1" t="s">
        <v>1150</v>
      </c>
      <c r="C706" s="1" t="s">
        <v>654</v>
      </c>
      <c r="D706" s="1" t="s">
        <v>1151</v>
      </c>
      <c r="E706" s="1">
        <v>3</v>
      </c>
      <c r="F706" s="1">
        <v>161.642</v>
      </c>
      <c r="G706" s="1">
        <v>8365</v>
      </c>
      <c r="H706" s="1">
        <v>10007</v>
      </c>
      <c r="I706" s="1">
        <v>11585</v>
      </c>
      <c r="J706" s="1">
        <v>159.077</v>
      </c>
      <c r="K706" s="1">
        <v>-5.3959999999999999</v>
      </c>
      <c r="L706" s="1">
        <v>19.106999999999999</v>
      </c>
      <c r="M706" s="1" t="s">
        <v>1152</v>
      </c>
      <c r="N706" s="1" t="s">
        <v>1147</v>
      </c>
      <c r="O706" s="1" t="s">
        <v>1153</v>
      </c>
      <c r="P706" s="1" t="s">
        <v>1154</v>
      </c>
      <c r="Q706" s="1" t="s">
        <v>75</v>
      </c>
      <c r="R706" s="1" t="s">
        <v>162</v>
      </c>
      <c r="S706" s="1" t="s">
        <v>179</v>
      </c>
    </row>
    <row r="707" spans="1:19" hidden="1" x14ac:dyDescent="0.25">
      <c r="A707" s="2">
        <v>103</v>
      </c>
      <c r="B707" s="1" t="s">
        <v>1150</v>
      </c>
      <c r="C707" s="1" t="s">
        <v>654</v>
      </c>
      <c r="D707" s="1" t="s">
        <v>1151</v>
      </c>
      <c r="E707" s="1">
        <v>4</v>
      </c>
      <c r="F707" s="1">
        <v>162.10400000000001</v>
      </c>
      <c r="G707" s="1">
        <v>8332</v>
      </c>
      <c r="H707" s="1">
        <v>9967</v>
      </c>
      <c r="I707" s="1">
        <v>11541</v>
      </c>
      <c r="J707" s="1">
        <v>159.53299999999999</v>
      </c>
      <c r="K707" s="1">
        <v>-5.399</v>
      </c>
      <c r="L707" s="1">
        <v>19.082999999999998</v>
      </c>
      <c r="M707" s="1" t="s">
        <v>1152</v>
      </c>
      <c r="N707" s="1" t="s">
        <v>1147</v>
      </c>
      <c r="O707" s="1" t="s">
        <v>1153</v>
      </c>
      <c r="P707" s="1" t="s">
        <v>1154</v>
      </c>
      <c r="Q707" s="1" t="s">
        <v>104</v>
      </c>
      <c r="R707" s="1" t="s">
        <v>103</v>
      </c>
      <c r="S707" s="1" t="s">
        <v>155</v>
      </c>
    </row>
    <row r="708" spans="1:19" hidden="1" x14ac:dyDescent="0.25">
      <c r="A708" s="2">
        <v>103</v>
      </c>
      <c r="B708" s="1" t="s">
        <v>1150</v>
      </c>
      <c r="C708" s="1" t="s">
        <v>654</v>
      </c>
      <c r="D708" s="1" t="s">
        <v>1151</v>
      </c>
      <c r="E708" s="1">
        <v>5</v>
      </c>
      <c r="F708" s="1">
        <v>110.52200000000001</v>
      </c>
      <c r="G708" s="1">
        <v>9262</v>
      </c>
      <c r="H708" s="1">
        <v>11100</v>
      </c>
      <c r="I708" s="1">
        <v>12663</v>
      </c>
      <c r="J708" s="1">
        <v>108.77500000000001</v>
      </c>
      <c r="K708" s="1">
        <v>-5.64</v>
      </c>
      <c r="L708" s="1">
        <v>5.633</v>
      </c>
      <c r="M708" s="1" t="s">
        <v>1152</v>
      </c>
      <c r="N708" s="1" t="s">
        <v>1147</v>
      </c>
      <c r="O708" s="1" t="s">
        <v>1153</v>
      </c>
      <c r="P708" s="1" t="s">
        <v>1154</v>
      </c>
      <c r="Q708" s="1" t="s">
        <v>200</v>
      </c>
      <c r="R708" s="1" t="s">
        <v>145</v>
      </c>
      <c r="S708" s="1" t="s">
        <v>130</v>
      </c>
    </row>
    <row r="709" spans="1:19" x14ac:dyDescent="0.25">
      <c r="A709" s="2">
        <v>103</v>
      </c>
      <c r="B709" s="1" t="s">
        <v>1150</v>
      </c>
      <c r="C709" s="1" t="s">
        <v>654</v>
      </c>
      <c r="D709" s="1" t="s">
        <v>1151</v>
      </c>
      <c r="E709" s="1">
        <v>6</v>
      </c>
      <c r="F709" s="1">
        <v>97.623999999999995</v>
      </c>
      <c r="G709" s="1">
        <v>8170</v>
      </c>
      <c r="H709" s="1">
        <v>9790</v>
      </c>
      <c r="I709" s="1">
        <v>11173</v>
      </c>
      <c r="J709" s="1">
        <v>96.081000000000003</v>
      </c>
      <c r="K709" s="1">
        <v>-5.6130000000000004</v>
      </c>
      <c r="L709" s="1">
        <v>5.8940000000000001</v>
      </c>
      <c r="M709" s="1" t="s">
        <v>1152</v>
      </c>
      <c r="N709" s="1" t="s">
        <v>1147</v>
      </c>
      <c r="O709" s="1" t="s">
        <v>1153</v>
      </c>
      <c r="P709" s="1" t="s">
        <v>1154</v>
      </c>
      <c r="Q709" s="1" t="s">
        <v>52</v>
      </c>
      <c r="R709" s="1" t="s">
        <v>75</v>
      </c>
      <c r="S709" s="1" t="s">
        <v>253</v>
      </c>
    </row>
    <row r="710" spans="1:19" x14ac:dyDescent="0.25">
      <c r="A710" s="2">
        <v>103</v>
      </c>
      <c r="B710" s="1" t="s">
        <v>1150</v>
      </c>
      <c r="C710" s="1" t="s">
        <v>654</v>
      </c>
      <c r="D710" s="1" t="s">
        <v>1151</v>
      </c>
      <c r="E710" s="1">
        <v>7</v>
      </c>
      <c r="F710" s="1">
        <v>90.426000000000002</v>
      </c>
      <c r="G710" s="1">
        <v>7571</v>
      </c>
      <c r="H710" s="1">
        <v>9070</v>
      </c>
      <c r="I710" s="1">
        <v>10352</v>
      </c>
      <c r="J710" s="1">
        <v>88.997</v>
      </c>
      <c r="K710" s="1">
        <v>-5.5570000000000004</v>
      </c>
      <c r="L710" s="1">
        <v>5.8920000000000003</v>
      </c>
      <c r="M710" s="1" t="s">
        <v>1152</v>
      </c>
      <c r="N710" s="1" t="s">
        <v>1147</v>
      </c>
      <c r="O710" s="1" t="s">
        <v>1153</v>
      </c>
      <c r="P710" s="1" t="s">
        <v>1154</v>
      </c>
      <c r="Q710" s="1" t="s">
        <v>226</v>
      </c>
      <c r="R710" s="1" t="s">
        <v>306</v>
      </c>
      <c r="S710" s="1" t="s">
        <v>865</v>
      </c>
    </row>
    <row r="711" spans="1:19" hidden="1" x14ac:dyDescent="0.25">
      <c r="A711" s="2">
        <v>104</v>
      </c>
      <c r="B711" s="1" t="s">
        <v>1155</v>
      </c>
      <c r="C711" s="1" t="s">
        <v>876</v>
      </c>
      <c r="D711" s="1" t="s">
        <v>1156</v>
      </c>
      <c r="E711" s="1">
        <v>1</v>
      </c>
      <c r="F711" s="1">
        <v>162.56299999999999</v>
      </c>
      <c r="G711" s="1">
        <v>8312</v>
      </c>
      <c r="H711" s="1">
        <v>9945</v>
      </c>
      <c r="I711" s="1">
        <v>11509</v>
      </c>
      <c r="J711" s="1">
        <v>159.98400000000001</v>
      </c>
      <c r="K711" s="1">
        <v>-5.3789999999999996</v>
      </c>
      <c r="L711" s="1">
        <v>19.074999999999999</v>
      </c>
      <c r="M711" s="1" t="s">
        <v>1157</v>
      </c>
      <c r="N711" s="1" t="s">
        <v>1147</v>
      </c>
      <c r="O711" s="1" t="s">
        <v>1158</v>
      </c>
      <c r="P711" s="1" t="s">
        <v>1159</v>
      </c>
      <c r="Q711" s="1" t="s">
        <v>72</v>
      </c>
      <c r="R711" s="1" t="s">
        <v>76</v>
      </c>
      <c r="S711" s="1" t="s">
        <v>53</v>
      </c>
    </row>
    <row r="712" spans="1:19" hidden="1" x14ac:dyDescent="0.25">
      <c r="A712" s="2">
        <v>104</v>
      </c>
      <c r="B712" s="1" t="s">
        <v>1155</v>
      </c>
      <c r="C712" s="1" t="s">
        <v>876</v>
      </c>
      <c r="D712" s="1" t="s">
        <v>1156</v>
      </c>
      <c r="E712" s="1">
        <v>2</v>
      </c>
      <c r="F712" s="1">
        <v>161.69</v>
      </c>
      <c r="G712" s="1">
        <v>8373</v>
      </c>
      <c r="H712" s="1">
        <v>10017</v>
      </c>
      <c r="I712" s="1">
        <v>11594</v>
      </c>
      <c r="J712" s="1">
        <v>159.125</v>
      </c>
      <c r="K712" s="1">
        <v>-5.4</v>
      </c>
      <c r="L712" s="1">
        <v>19.082999999999998</v>
      </c>
      <c r="M712" s="1" t="s">
        <v>1157</v>
      </c>
      <c r="N712" s="1" t="s">
        <v>1147</v>
      </c>
      <c r="O712" s="1" t="s">
        <v>1158</v>
      </c>
      <c r="P712" s="1" t="s">
        <v>1159</v>
      </c>
      <c r="Q712" s="1" t="s">
        <v>258</v>
      </c>
      <c r="R712" s="1" t="s">
        <v>151</v>
      </c>
      <c r="S712" s="1" t="s">
        <v>299</v>
      </c>
    </row>
    <row r="713" spans="1:19" hidden="1" x14ac:dyDescent="0.25">
      <c r="A713" s="2">
        <v>104</v>
      </c>
      <c r="B713" s="1" t="s">
        <v>1155</v>
      </c>
      <c r="C713" s="1" t="s">
        <v>876</v>
      </c>
      <c r="D713" s="1" t="s">
        <v>1156</v>
      </c>
      <c r="E713" s="1">
        <v>3</v>
      </c>
      <c r="F713" s="1">
        <v>161.99</v>
      </c>
      <c r="G713" s="1">
        <v>8382</v>
      </c>
      <c r="H713" s="1">
        <v>10028</v>
      </c>
      <c r="I713" s="1">
        <v>11604</v>
      </c>
      <c r="J713" s="1">
        <v>159.41999999999999</v>
      </c>
      <c r="K713" s="1">
        <v>-5.4029999999999996</v>
      </c>
      <c r="L713" s="1">
        <v>19.084</v>
      </c>
      <c r="M713" s="1" t="s">
        <v>1157</v>
      </c>
      <c r="N713" s="1" t="s">
        <v>1147</v>
      </c>
      <c r="O713" s="1" t="s">
        <v>1158</v>
      </c>
      <c r="P713" s="1" t="s">
        <v>1159</v>
      </c>
      <c r="Q713" s="1" t="s">
        <v>276</v>
      </c>
      <c r="R713" s="1" t="s">
        <v>173</v>
      </c>
      <c r="S713" s="1" t="s">
        <v>318</v>
      </c>
    </row>
    <row r="714" spans="1:19" hidden="1" x14ac:dyDescent="0.25">
      <c r="A714" s="2">
        <v>104</v>
      </c>
      <c r="B714" s="1" t="s">
        <v>1155</v>
      </c>
      <c r="C714" s="1" t="s">
        <v>876</v>
      </c>
      <c r="D714" s="1" t="s">
        <v>1156</v>
      </c>
      <c r="E714" s="1">
        <v>4</v>
      </c>
      <c r="F714" s="1">
        <v>161.93199999999999</v>
      </c>
      <c r="G714" s="1">
        <v>8316</v>
      </c>
      <c r="H714" s="1">
        <v>9949</v>
      </c>
      <c r="I714" s="1">
        <v>11513</v>
      </c>
      <c r="J714" s="1">
        <v>159.363</v>
      </c>
      <c r="K714" s="1">
        <v>-5.399</v>
      </c>
      <c r="L714" s="1">
        <v>19.082999999999998</v>
      </c>
      <c r="M714" s="1" t="s">
        <v>1157</v>
      </c>
      <c r="N714" s="1" t="s">
        <v>1147</v>
      </c>
      <c r="O714" s="1" t="s">
        <v>1158</v>
      </c>
      <c r="P714" s="1" t="s">
        <v>1159</v>
      </c>
      <c r="Q714" s="1" t="s">
        <v>89</v>
      </c>
      <c r="R714" s="1" t="s">
        <v>279</v>
      </c>
      <c r="S714" s="1" t="s">
        <v>123</v>
      </c>
    </row>
    <row r="715" spans="1:19" hidden="1" x14ac:dyDescent="0.25">
      <c r="A715" s="2">
        <v>104</v>
      </c>
      <c r="B715" s="1" t="s">
        <v>1155</v>
      </c>
      <c r="C715" s="1" t="s">
        <v>876</v>
      </c>
      <c r="D715" s="1" t="s">
        <v>1156</v>
      </c>
      <c r="E715" s="1">
        <v>5</v>
      </c>
      <c r="F715" s="1">
        <v>169.49299999999999</v>
      </c>
      <c r="G715" s="1">
        <v>14548</v>
      </c>
      <c r="H715" s="1">
        <v>17480</v>
      </c>
      <c r="I715" s="1">
        <v>19875</v>
      </c>
      <c r="J715" s="1">
        <v>166.815</v>
      </c>
      <c r="K715" s="1">
        <v>-5.6449999999999996</v>
      </c>
      <c r="L715" s="1">
        <v>5.55</v>
      </c>
      <c r="M715" s="1" t="s">
        <v>1157</v>
      </c>
      <c r="N715" s="1" t="s">
        <v>1147</v>
      </c>
      <c r="O715" s="1" t="s">
        <v>1158</v>
      </c>
      <c r="P715" s="1" t="s">
        <v>1159</v>
      </c>
      <c r="Q715" s="1" t="s">
        <v>367</v>
      </c>
      <c r="R715" s="1" t="s">
        <v>208</v>
      </c>
      <c r="S715" s="1" t="s">
        <v>214</v>
      </c>
    </row>
    <row r="716" spans="1:19" x14ac:dyDescent="0.25">
      <c r="A716" s="2">
        <v>104</v>
      </c>
      <c r="B716" s="1" t="s">
        <v>1155</v>
      </c>
      <c r="C716" s="1" t="s">
        <v>876</v>
      </c>
      <c r="D716" s="1" t="s">
        <v>1156</v>
      </c>
      <c r="E716" s="1">
        <v>6</v>
      </c>
      <c r="F716" s="1">
        <v>151.32499999999999</v>
      </c>
      <c r="G716" s="1">
        <v>13211</v>
      </c>
      <c r="H716" s="1">
        <v>15867</v>
      </c>
      <c r="I716" s="1">
        <v>18048</v>
      </c>
      <c r="J716" s="1">
        <v>148.93299999999999</v>
      </c>
      <c r="K716" s="1">
        <v>-5.5540000000000003</v>
      </c>
      <c r="L716" s="1">
        <v>5.625</v>
      </c>
      <c r="M716" s="1" t="s">
        <v>1157</v>
      </c>
      <c r="N716" s="1" t="s">
        <v>1147</v>
      </c>
      <c r="O716" s="1" t="s">
        <v>1158</v>
      </c>
      <c r="P716" s="1" t="s">
        <v>1159</v>
      </c>
      <c r="Q716" s="1" t="s">
        <v>77</v>
      </c>
      <c r="R716" s="1" t="s">
        <v>140</v>
      </c>
      <c r="S716" s="1" t="s">
        <v>136</v>
      </c>
    </row>
    <row r="717" spans="1:19" x14ac:dyDescent="0.25">
      <c r="A717" s="2">
        <v>104</v>
      </c>
      <c r="B717" s="1" t="s">
        <v>1155</v>
      </c>
      <c r="C717" s="1" t="s">
        <v>876</v>
      </c>
      <c r="D717" s="1" t="s">
        <v>1156</v>
      </c>
      <c r="E717" s="1">
        <v>7</v>
      </c>
      <c r="F717" s="1">
        <v>141.238</v>
      </c>
      <c r="G717" s="1">
        <v>12399</v>
      </c>
      <c r="H717" s="1">
        <v>14887</v>
      </c>
      <c r="I717" s="1">
        <v>16945</v>
      </c>
      <c r="J717" s="1">
        <v>139.006</v>
      </c>
      <c r="K717" s="1">
        <v>-5.5060000000000002</v>
      </c>
      <c r="L717" s="1">
        <v>5.6870000000000003</v>
      </c>
      <c r="M717" s="1" t="s">
        <v>1157</v>
      </c>
      <c r="N717" s="1" t="s">
        <v>1147</v>
      </c>
      <c r="O717" s="1" t="s">
        <v>1158</v>
      </c>
      <c r="P717" s="1" t="s">
        <v>1159</v>
      </c>
      <c r="Q717" s="1" t="s">
        <v>1160</v>
      </c>
      <c r="R717" s="1" t="s">
        <v>1161</v>
      </c>
      <c r="S717" s="1" t="s">
        <v>567</v>
      </c>
    </row>
    <row r="718" spans="1:19" hidden="1" x14ac:dyDescent="0.25">
      <c r="A718" s="2">
        <v>105</v>
      </c>
      <c r="B718" s="1" t="s">
        <v>1162</v>
      </c>
      <c r="C718" s="1" t="s">
        <v>934</v>
      </c>
      <c r="D718" s="1" t="s">
        <v>1163</v>
      </c>
      <c r="E718" s="1">
        <v>1</v>
      </c>
      <c r="F718" s="1">
        <v>163.35</v>
      </c>
      <c r="G718" s="1">
        <v>8345</v>
      </c>
      <c r="H718" s="1">
        <v>9982</v>
      </c>
      <c r="I718" s="1">
        <v>11558</v>
      </c>
      <c r="J718" s="1">
        <v>160.75899999999999</v>
      </c>
      <c r="K718" s="1">
        <v>-5.3940000000000001</v>
      </c>
      <c r="L718" s="1">
        <v>19.073</v>
      </c>
      <c r="M718" s="1" t="s">
        <v>512</v>
      </c>
      <c r="N718" s="1" t="s">
        <v>1147</v>
      </c>
      <c r="O718" s="1" t="s">
        <v>1164</v>
      </c>
      <c r="P718" s="1" t="s">
        <v>1165</v>
      </c>
      <c r="Q718" s="1" t="s">
        <v>62</v>
      </c>
      <c r="R718" s="1" t="s">
        <v>88</v>
      </c>
      <c r="S718" s="1" t="s">
        <v>77</v>
      </c>
    </row>
    <row r="719" spans="1:19" hidden="1" x14ac:dyDescent="0.25">
      <c r="A719" s="2">
        <v>105</v>
      </c>
      <c r="B719" s="1" t="s">
        <v>1162</v>
      </c>
      <c r="C719" s="1" t="s">
        <v>934</v>
      </c>
      <c r="D719" s="1" t="s">
        <v>1163</v>
      </c>
      <c r="E719" s="1">
        <v>2</v>
      </c>
      <c r="F719" s="1">
        <v>161.12</v>
      </c>
      <c r="G719" s="1">
        <v>8321</v>
      </c>
      <c r="H719" s="1">
        <v>9954</v>
      </c>
      <c r="I719" s="1">
        <v>11526</v>
      </c>
      <c r="J719" s="1">
        <v>158.56399999999999</v>
      </c>
      <c r="K719" s="1">
        <v>-5.399</v>
      </c>
      <c r="L719" s="1">
        <v>19.065000000000001</v>
      </c>
      <c r="M719" s="1" t="s">
        <v>512</v>
      </c>
      <c r="N719" s="1" t="s">
        <v>1147</v>
      </c>
      <c r="O719" s="1" t="s">
        <v>1164</v>
      </c>
      <c r="P719" s="1" t="s">
        <v>1165</v>
      </c>
      <c r="Q719" s="1" t="s">
        <v>68</v>
      </c>
      <c r="R719" s="1" t="s">
        <v>171</v>
      </c>
      <c r="S719" s="1" t="s">
        <v>135</v>
      </c>
    </row>
    <row r="720" spans="1:19" hidden="1" x14ac:dyDescent="0.25">
      <c r="A720" s="2">
        <v>105</v>
      </c>
      <c r="B720" s="1" t="s">
        <v>1162</v>
      </c>
      <c r="C720" s="1" t="s">
        <v>934</v>
      </c>
      <c r="D720" s="1" t="s">
        <v>1163</v>
      </c>
      <c r="E720" s="1">
        <v>3</v>
      </c>
      <c r="F720" s="1">
        <v>162.965</v>
      </c>
      <c r="G720" s="1">
        <v>8407</v>
      </c>
      <c r="H720" s="1">
        <v>10056</v>
      </c>
      <c r="I720" s="1">
        <v>11642</v>
      </c>
      <c r="J720" s="1">
        <v>160.38</v>
      </c>
      <c r="K720" s="1">
        <v>-5.399</v>
      </c>
      <c r="L720" s="1">
        <v>19.074999999999999</v>
      </c>
      <c r="M720" s="1" t="s">
        <v>512</v>
      </c>
      <c r="N720" s="1" t="s">
        <v>1147</v>
      </c>
      <c r="O720" s="1" t="s">
        <v>1164</v>
      </c>
      <c r="P720" s="1" t="s">
        <v>1165</v>
      </c>
      <c r="Q720" s="1" t="s">
        <v>159</v>
      </c>
      <c r="R720" s="1" t="s">
        <v>234</v>
      </c>
      <c r="S720" s="1" t="s">
        <v>381</v>
      </c>
    </row>
    <row r="721" spans="1:19" hidden="1" x14ac:dyDescent="0.25">
      <c r="A721" s="2">
        <v>105</v>
      </c>
      <c r="B721" s="1" t="s">
        <v>1162</v>
      </c>
      <c r="C721" s="1" t="s">
        <v>934</v>
      </c>
      <c r="D721" s="1" t="s">
        <v>1163</v>
      </c>
      <c r="E721" s="1">
        <v>4</v>
      </c>
      <c r="F721" s="1">
        <v>162.33500000000001</v>
      </c>
      <c r="G721" s="1">
        <v>8355</v>
      </c>
      <c r="H721" s="1">
        <v>9994</v>
      </c>
      <c r="I721" s="1">
        <v>11572</v>
      </c>
      <c r="J721" s="1">
        <v>159.75899999999999</v>
      </c>
      <c r="K721" s="1">
        <v>-5.399</v>
      </c>
      <c r="L721" s="1">
        <v>19.082999999999998</v>
      </c>
      <c r="M721" s="1" t="s">
        <v>512</v>
      </c>
      <c r="N721" s="1" t="s">
        <v>1147</v>
      </c>
      <c r="O721" s="1" t="s">
        <v>1164</v>
      </c>
      <c r="P721" s="1" t="s">
        <v>1165</v>
      </c>
      <c r="Q721" s="1" t="s">
        <v>167</v>
      </c>
      <c r="R721" s="1" t="s">
        <v>237</v>
      </c>
      <c r="S721" s="1" t="s">
        <v>201</v>
      </c>
    </row>
    <row r="722" spans="1:19" hidden="1" x14ac:dyDescent="0.25">
      <c r="A722" s="2">
        <v>105</v>
      </c>
      <c r="B722" s="1" t="s">
        <v>1162</v>
      </c>
      <c r="C722" s="1" t="s">
        <v>934</v>
      </c>
      <c r="D722" s="1" t="s">
        <v>1163</v>
      </c>
      <c r="E722" s="1">
        <v>5</v>
      </c>
      <c r="F722" s="1">
        <v>135.05699999999999</v>
      </c>
      <c r="G722" s="1">
        <v>11204</v>
      </c>
      <c r="H722" s="1">
        <v>13436</v>
      </c>
      <c r="I722" s="1">
        <v>15319</v>
      </c>
      <c r="J722" s="1">
        <v>132.922</v>
      </c>
      <c r="K722" s="1">
        <v>-5.6</v>
      </c>
      <c r="L722" s="1">
        <v>5.6559999999999997</v>
      </c>
      <c r="M722" s="1" t="s">
        <v>512</v>
      </c>
      <c r="N722" s="1" t="s">
        <v>1147</v>
      </c>
      <c r="O722" s="1" t="s">
        <v>1164</v>
      </c>
      <c r="P722" s="1" t="s">
        <v>1165</v>
      </c>
      <c r="Q722" s="1" t="s">
        <v>199</v>
      </c>
      <c r="R722" s="1" t="s">
        <v>184</v>
      </c>
      <c r="S722" s="1" t="s">
        <v>130</v>
      </c>
    </row>
    <row r="723" spans="1:19" x14ac:dyDescent="0.25">
      <c r="A723" s="2">
        <v>105</v>
      </c>
      <c r="B723" s="1" t="s">
        <v>1162</v>
      </c>
      <c r="C723" s="1" t="s">
        <v>934</v>
      </c>
      <c r="D723" s="1" t="s">
        <v>1163</v>
      </c>
      <c r="E723" s="1">
        <v>6</v>
      </c>
      <c r="F723" s="1">
        <v>119.417</v>
      </c>
      <c r="G723" s="1">
        <v>9978</v>
      </c>
      <c r="H723" s="1">
        <v>11963</v>
      </c>
      <c r="I723" s="1">
        <v>13642</v>
      </c>
      <c r="J723" s="1">
        <v>117.53</v>
      </c>
      <c r="K723" s="1">
        <v>-5.5670000000000002</v>
      </c>
      <c r="L723" s="1">
        <v>5.82</v>
      </c>
      <c r="M723" s="1" t="s">
        <v>512</v>
      </c>
      <c r="N723" s="1" t="s">
        <v>1147</v>
      </c>
      <c r="O723" s="1" t="s">
        <v>1164</v>
      </c>
      <c r="P723" s="1" t="s">
        <v>1165</v>
      </c>
      <c r="Q723" s="1" t="s">
        <v>94</v>
      </c>
      <c r="R723" s="1" t="s">
        <v>158</v>
      </c>
      <c r="S723" s="1" t="s">
        <v>148</v>
      </c>
    </row>
    <row r="724" spans="1:19" x14ac:dyDescent="0.25">
      <c r="A724" s="2">
        <v>105</v>
      </c>
      <c r="B724" s="1" t="s">
        <v>1162</v>
      </c>
      <c r="C724" s="1" t="s">
        <v>934</v>
      </c>
      <c r="D724" s="1" t="s">
        <v>1163</v>
      </c>
      <c r="E724" s="1">
        <v>7</v>
      </c>
      <c r="F724" s="1">
        <v>110.63</v>
      </c>
      <c r="G724" s="1">
        <v>9278</v>
      </c>
      <c r="H724" s="1">
        <v>11123</v>
      </c>
      <c r="I724" s="1">
        <v>12686</v>
      </c>
      <c r="J724" s="1">
        <v>108.88200000000001</v>
      </c>
      <c r="K724" s="1">
        <v>-5.5090000000000003</v>
      </c>
      <c r="L724" s="1">
        <v>5.806</v>
      </c>
      <c r="M724" s="1" t="s">
        <v>512</v>
      </c>
      <c r="N724" s="1" t="s">
        <v>1147</v>
      </c>
      <c r="O724" s="1" t="s">
        <v>1164</v>
      </c>
      <c r="P724" s="1" t="s">
        <v>1165</v>
      </c>
      <c r="Q724" s="1" t="s">
        <v>330</v>
      </c>
      <c r="R724" s="1" t="s">
        <v>500</v>
      </c>
      <c r="S724" s="1" t="s">
        <v>1166</v>
      </c>
    </row>
    <row r="725" spans="1:19" hidden="1" x14ac:dyDescent="0.25">
      <c r="A725" s="2">
        <v>106</v>
      </c>
      <c r="B725" s="1" t="s">
        <v>1167</v>
      </c>
      <c r="C725" s="1" t="s">
        <v>433</v>
      </c>
      <c r="D725" s="1" t="s">
        <v>1168</v>
      </c>
      <c r="E725" s="1">
        <v>1</v>
      </c>
      <c r="F725" s="1">
        <v>163.54900000000001</v>
      </c>
      <c r="G725" s="1">
        <v>8352</v>
      </c>
      <c r="H725" s="1">
        <v>9991</v>
      </c>
      <c r="I725" s="1">
        <v>11567</v>
      </c>
      <c r="J725" s="1">
        <v>160.95500000000001</v>
      </c>
      <c r="K725" s="1">
        <v>-5.3869999999999996</v>
      </c>
      <c r="L725" s="1">
        <v>19.079000000000001</v>
      </c>
      <c r="M725" s="1" t="s">
        <v>522</v>
      </c>
      <c r="N725" s="1" t="s">
        <v>1147</v>
      </c>
      <c r="O725" s="1" t="s">
        <v>1169</v>
      </c>
      <c r="P725" s="1" t="s">
        <v>1170</v>
      </c>
      <c r="Q725" s="1" t="s">
        <v>50</v>
      </c>
      <c r="R725" s="1" t="s">
        <v>95</v>
      </c>
      <c r="S725" s="1" t="s">
        <v>113</v>
      </c>
    </row>
    <row r="726" spans="1:19" hidden="1" x14ac:dyDescent="0.25">
      <c r="A726" s="2">
        <v>106</v>
      </c>
      <c r="B726" s="1" t="s">
        <v>1167</v>
      </c>
      <c r="C726" s="1" t="s">
        <v>433</v>
      </c>
      <c r="D726" s="1" t="s">
        <v>1168</v>
      </c>
      <c r="E726" s="1">
        <v>2</v>
      </c>
      <c r="F726" s="1">
        <v>161.70599999999999</v>
      </c>
      <c r="G726" s="1">
        <v>8388</v>
      </c>
      <c r="H726" s="1">
        <v>10034</v>
      </c>
      <c r="I726" s="1">
        <v>11617</v>
      </c>
      <c r="J726" s="1">
        <v>159.13999999999999</v>
      </c>
      <c r="K726" s="1">
        <v>-5.4109999999999996</v>
      </c>
      <c r="L726" s="1">
        <v>19.068999999999999</v>
      </c>
      <c r="M726" s="1" t="s">
        <v>522</v>
      </c>
      <c r="N726" s="1" t="s">
        <v>1147</v>
      </c>
      <c r="O726" s="1" t="s">
        <v>1169</v>
      </c>
      <c r="P726" s="1" t="s">
        <v>1170</v>
      </c>
      <c r="Q726" s="1" t="s">
        <v>223</v>
      </c>
      <c r="R726" s="1" t="s">
        <v>154</v>
      </c>
      <c r="S726" s="1" t="s">
        <v>341</v>
      </c>
    </row>
    <row r="727" spans="1:19" hidden="1" x14ac:dyDescent="0.25">
      <c r="A727" s="2">
        <v>106</v>
      </c>
      <c r="B727" s="1" t="s">
        <v>1167</v>
      </c>
      <c r="C727" s="1" t="s">
        <v>433</v>
      </c>
      <c r="D727" s="1" t="s">
        <v>1168</v>
      </c>
      <c r="E727" s="1">
        <v>3</v>
      </c>
      <c r="F727" s="1">
        <v>162.71600000000001</v>
      </c>
      <c r="G727" s="1">
        <v>8443</v>
      </c>
      <c r="H727" s="1">
        <v>10101</v>
      </c>
      <c r="I727" s="1">
        <v>11694</v>
      </c>
      <c r="J727" s="1">
        <v>160.13399999999999</v>
      </c>
      <c r="K727" s="1">
        <v>-5.4160000000000004</v>
      </c>
      <c r="L727" s="1">
        <v>19.087</v>
      </c>
      <c r="M727" s="1" t="s">
        <v>522</v>
      </c>
      <c r="N727" s="1" t="s">
        <v>1147</v>
      </c>
      <c r="O727" s="1" t="s">
        <v>1169</v>
      </c>
      <c r="P727" s="1" t="s">
        <v>1170</v>
      </c>
      <c r="Q727" s="1" t="s">
        <v>253</v>
      </c>
      <c r="R727" s="1" t="s">
        <v>297</v>
      </c>
      <c r="S727" s="1" t="s">
        <v>376</v>
      </c>
    </row>
    <row r="728" spans="1:19" hidden="1" x14ac:dyDescent="0.25">
      <c r="A728" s="2">
        <v>106</v>
      </c>
      <c r="B728" s="1" t="s">
        <v>1167</v>
      </c>
      <c r="C728" s="1" t="s">
        <v>433</v>
      </c>
      <c r="D728" s="1" t="s">
        <v>1168</v>
      </c>
      <c r="E728" s="1">
        <v>4</v>
      </c>
      <c r="F728" s="1">
        <v>162.429</v>
      </c>
      <c r="G728" s="1">
        <v>8355</v>
      </c>
      <c r="H728" s="1">
        <v>9994</v>
      </c>
      <c r="I728" s="1">
        <v>11573</v>
      </c>
      <c r="J728" s="1">
        <v>159.852</v>
      </c>
      <c r="K728" s="1">
        <v>-5.399</v>
      </c>
      <c r="L728" s="1">
        <v>19.082999999999998</v>
      </c>
      <c r="M728" s="1" t="s">
        <v>522</v>
      </c>
      <c r="N728" s="1" t="s">
        <v>1147</v>
      </c>
      <c r="O728" s="1" t="s">
        <v>1169</v>
      </c>
      <c r="P728" s="1" t="s">
        <v>1170</v>
      </c>
      <c r="Q728" s="1" t="s">
        <v>158</v>
      </c>
      <c r="R728" s="1" t="s">
        <v>166</v>
      </c>
      <c r="S728" s="1" t="s">
        <v>274</v>
      </c>
    </row>
    <row r="729" spans="1:19" hidden="1" x14ac:dyDescent="0.25">
      <c r="A729" s="2">
        <v>106</v>
      </c>
      <c r="B729" s="1" t="s">
        <v>1167</v>
      </c>
      <c r="C729" s="1" t="s">
        <v>433</v>
      </c>
      <c r="D729" s="1" t="s">
        <v>1168</v>
      </c>
      <c r="E729" s="1">
        <v>5</v>
      </c>
      <c r="F729" s="1">
        <v>174.64500000000001</v>
      </c>
      <c r="G729" s="1">
        <v>15261</v>
      </c>
      <c r="H729" s="1">
        <v>18334</v>
      </c>
      <c r="I729" s="1">
        <v>20863</v>
      </c>
      <c r="J729" s="1">
        <v>171.88499999999999</v>
      </c>
      <c r="K729" s="1">
        <v>-5.5750000000000002</v>
      </c>
      <c r="L729" s="1">
        <v>5.6420000000000003</v>
      </c>
      <c r="M729" s="1" t="s">
        <v>522</v>
      </c>
      <c r="N729" s="1" t="s">
        <v>1147</v>
      </c>
      <c r="O729" s="1" t="s">
        <v>1169</v>
      </c>
      <c r="P729" s="1" t="s">
        <v>1170</v>
      </c>
      <c r="Q729" s="1" t="s">
        <v>213</v>
      </c>
      <c r="R729" s="1" t="s">
        <v>204</v>
      </c>
      <c r="S729" s="1" t="s">
        <v>222</v>
      </c>
    </row>
    <row r="730" spans="1:19" x14ac:dyDescent="0.25">
      <c r="A730" s="2">
        <v>106</v>
      </c>
      <c r="B730" s="1" t="s">
        <v>1167</v>
      </c>
      <c r="C730" s="1" t="s">
        <v>433</v>
      </c>
      <c r="D730" s="1" t="s">
        <v>1168</v>
      </c>
      <c r="E730" s="1">
        <v>6</v>
      </c>
      <c r="F730" s="1">
        <v>155.184</v>
      </c>
      <c r="G730" s="1">
        <v>13689</v>
      </c>
      <c r="H730" s="1">
        <v>16437</v>
      </c>
      <c r="I730" s="1">
        <v>18718</v>
      </c>
      <c r="J730" s="1">
        <v>152.732</v>
      </c>
      <c r="K730" s="1">
        <v>-5.5339999999999998</v>
      </c>
      <c r="L730" s="1">
        <v>5.7220000000000004</v>
      </c>
      <c r="M730" s="1" t="s">
        <v>522</v>
      </c>
      <c r="N730" s="1" t="s">
        <v>1147</v>
      </c>
      <c r="O730" s="1" t="s">
        <v>1169</v>
      </c>
      <c r="P730" s="1" t="s">
        <v>1170</v>
      </c>
      <c r="Q730" s="1" t="s">
        <v>147</v>
      </c>
      <c r="R730" s="1" t="s">
        <v>279</v>
      </c>
      <c r="S730" s="1" t="s">
        <v>277</v>
      </c>
    </row>
    <row r="731" spans="1:19" x14ac:dyDescent="0.25">
      <c r="A731" s="2">
        <v>106</v>
      </c>
      <c r="B731" s="1" t="s">
        <v>1167</v>
      </c>
      <c r="C731" s="1" t="s">
        <v>433</v>
      </c>
      <c r="D731" s="1" t="s">
        <v>1168</v>
      </c>
      <c r="E731" s="1">
        <v>7</v>
      </c>
      <c r="F731" s="1">
        <v>144.22999999999999</v>
      </c>
      <c r="G731" s="1">
        <v>12780</v>
      </c>
      <c r="H731" s="1">
        <v>15341</v>
      </c>
      <c r="I731" s="1">
        <v>17472</v>
      </c>
      <c r="J731" s="1">
        <v>141.95099999999999</v>
      </c>
      <c r="K731" s="1">
        <v>-5.47</v>
      </c>
      <c r="L731" s="1">
        <v>5.7160000000000002</v>
      </c>
      <c r="M731" s="1" t="s">
        <v>522</v>
      </c>
      <c r="N731" s="1" t="s">
        <v>1147</v>
      </c>
      <c r="O731" s="1" t="s">
        <v>1169</v>
      </c>
      <c r="P731" s="1" t="s">
        <v>1170</v>
      </c>
      <c r="Q731" s="1" t="s">
        <v>703</v>
      </c>
      <c r="R731" s="1" t="s">
        <v>1171</v>
      </c>
      <c r="S731" s="1" t="s">
        <v>637</v>
      </c>
    </row>
    <row r="732" spans="1:19" hidden="1" x14ac:dyDescent="0.25">
      <c r="A732" s="2">
        <v>107</v>
      </c>
      <c r="B732" s="1" t="s">
        <v>1172</v>
      </c>
      <c r="C732" s="1" t="s">
        <v>280</v>
      </c>
      <c r="D732" s="1" t="s">
        <v>1173</v>
      </c>
      <c r="E732" s="1">
        <v>1</v>
      </c>
      <c r="F732" s="1">
        <v>162.93799999999999</v>
      </c>
      <c r="G732" s="1">
        <v>8331</v>
      </c>
      <c r="H732" s="1">
        <v>9967</v>
      </c>
      <c r="I732" s="1">
        <v>11533</v>
      </c>
      <c r="J732" s="1">
        <v>160.35300000000001</v>
      </c>
      <c r="K732" s="1">
        <v>-5.4009999999999998</v>
      </c>
      <c r="L732" s="1">
        <v>19.067</v>
      </c>
      <c r="M732" s="1" t="s">
        <v>1174</v>
      </c>
      <c r="N732" s="1" t="s">
        <v>1147</v>
      </c>
      <c r="O732" s="1" t="s">
        <v>1175</v>
      </c>
      <c r="P732" s="1" t="s">
        <v>1176</v>
      </c>
      <c r="Q732" s="1" t="s">
        <v>81</v>
      </c>
      <c r="R732" s="1" t="s">
        <v>90</v>
      </c>
      <c r="S732" s="1" t="s">
        <v>256</v>
      </c>
    </row>
    <row r="733" spans="1:19" hidden="1" x14ac:dyDescent="0.25">
      <c r="A733" s="2">
        <v>107</v>
      </c>
      <c r="B733" s="1" t="s">
        <v>1172</v>
      </c>
      <c r="C733" s="1" t="s">
        <v>280</v>
      </c>
      <c r="D733" s="1" t="s">
        <v>1173</v>
      </c>
      <c r="E733" s="1">
        <v>2</v>
      </c>
      <c r="F733" s="1">
        <v>161.34700000000001</v>
      </c>
      <c r="G733" s="1">
        <v>8337</v>
      </c>
      <c r="H733" s="1">
        <v>9975</v>
      </c>
      <c r="I733" s="1">
        <v>11543</v>
      </c>
      <c r="J733" s="1">
        <v>158.78700000000001</v>
      </c>
      <c r="K733" s="1">
        <v>-5.4089999999999998</v>
      </c>
      <c r="L733" s="1">
        <v>19.065000000000001</v>
      </c>
      <c r="M733" s="1" t="s">
        <v>1174</v>
      </c>
      <c r="N733" s="1" t="s">
        <v>1147</v>
      </c>
      <c r="O733" s="1" t="s">
        <v>1175</v>
      </c>
      <c r="P733" s="1" t="s">
        <v>1176</v>
      </c>
      <c r="Q733" s="1" t="s">
        <v>254</v>
      </c>
      <c r="R733" s="1" t="s">
        <v>149</v>
      </c>
      <c r="S733" s="1" t="s">
        <v>163</v>
      </c>
    </row>
    <row r="734" spans="1:19" hidden="1" x14ac:dyDescent="0.25">
      <c r="A734" s="2">
        <v>107</v>
      </c>
      <c r="B734" s="1" t="s">
        <v>1172</v>
      </c>
      <c r="C734" s="1" t="s">
        <v>280</v>
      </c>
      <c r="D734" s="1" t="s">
        <v>1173</v>
      </c>
      <c r="E734" s="1">
        <v>3</v>
      </c>
      <c r="F734" s="1">
        <v>162.48099999999999</v>
      </c>
      <c r="G734" s="1">
        <v>8377</v>
      </c>
      <c r="H734" s="1">
        <v>10022</v>
      </c>
      <c r="I734" s="1">
        <v>11598</v>
      </c>
      <c r="J734" s="1">
        <v>159.90299999999999</v>
      </c>
      <c r="K734" s="1">
        <v>-5.4</v>
      </c>
      <c r="L734" s="1">
        <v>19.076000000000001</v>
      </c>
      <c r="M734" s="1" t="s">
        <v>1174</v>
      </c>
      <c r="N734" s="1" t="s">
        <v>1147</v>
      </c>
      <c r="O734" s="1" t="s">
        <v>1175</v>
      </c>
      <c r="P734" s="1" t="s">
        <v>1176</v>
      </c>
      <c r="Q734" s="1" t="s">
        <v>158</v>
      </c>
      <c r="R734" s="1" t="s">
        <v>194</v>
      </c>
      <c r="S734" s="1" t="s">
        <v>168</v>
      </c>
    </row>
    <row r="735" spans="1:19" hidden="1" x14ac:dyDescent="0.25">
      <c r="A735" s="2">
        <v>107</v>
      </c>
      <c r="B735" s="1" t="s">
        <v>1172</v>
      </c>
      <c r="C735" s="1" t="s">
        <v>280</v>
      </c>
      <c r="D735" s="1" t="s">
        <v>1173</v>
      </c>
      <c r="E735" s="1">
        <v>4</v>
      </c>
      <c r="F735" s="1">
        <v>162.42400000000001</v>
      </c>
      <c r="G735" s="1">
        <v>8340</v>
      </c>
      <c r="H735" s="1">
        <v>9978</v>
      </c>
      <c r="I735" s="1">
        <v>11545</v>
      </c>
      <c r="J735" s="1">
        <v>159.84700000000001</v>
      </c>
      <c r="K735" s="1">
        <v>-5.399</v>
      </c>
      <c r="L735" s="1">
        <v>19.082999999999998</v>
      </c>
      <c r="M735" s="1" t="s">
        <v>1174</v>
      </c>
      <c r="N735" s="1" t="s">
        <v>1147</v>
      </c>
      <c r="O735" s="1" t="s">
        <v>1175</v>
      </c>
      <c r="P735" s="1" t="s">
        <v>1176</v>
      </c>
      <c r="Q735" s="1" t="s">
        <v>146</v>
      </c>
      <c r="R735" s="1" t="s">
        <v>299</v>
      </c>
      <c r="S735" s="1" t="s">
        <v>304</v>
      </c>
    </row>
    <row r="736" spans="1:19" hidden="1" x14ac:dyDescent="0.25">
      <c r="A736" s="2">
        <v>107</v>
      </c>
      <c r="B736" s="1" t="s">
        <v>1172</v>
      </c>
      <c r="C736" s="1" t="s">
        <v>280</v>
      </c>
      <c r="D736" s="1" t="s">
        <v>1173</v>
      </c>
      <c r="E736" s="1">
        <v>5</v>
      </c>
      <c r="F736" s="1">
        <v>147.524</v>
      </c>
      <c r="G736" s="1">
        <v>12270</v>
      </c>
      <c r="H736" s="1">
        <v>14829</v>
      </c>
      <c r="I736" s="1">
        <v>17120</v>
      </c>
      <c r="J736" s="1">
        <v>145.16800000000001</v>
      </c>
      <c r="K736" s="1">
        <v>1.33</v>
      </c>
      <c r="L736" s="1">
        <v>26.998000000000001</v>
      </c>
      <c r="M736" s="1" t="s">
        <v>1174</v>
      </c>
      <c r="N736" s="1" t="s">
        <v>1147</v>
      </c>
      <c r="O736" s="1" t="s">
        <v>1175</v>
      </c>
      <c r="P736" s="1" t="s">
        <v>1176</v>
      </c>
      <c r="Q736" s="1" t="s">
        <v>183</v>
      </c>
      <c r="R736" s="1" t="s">
        <v>515</v>
      </c>
      <c r="S736" s="1" t="s">
        <v>106</v>
      </c>
    </row>
    <row r="737" spans="1:19" x14ac:dyDescent="0.25">
      <c r="A737" s="2">
        <v>107</v>
      </c>
      <c r="B737" s="1" t="s">
        <v>1172</v>
      </c>
      <c r="C737" s="1" t="s">
        <v>280</v>
      </c>
      <c r="D737" s="1" t="s">
        <v>1173</v>
      </c>
      <c r="E737" s="1">
        <v>6</v>
      </c>
      <c r="F737" s="1">
        <v>130.02600000000001</v>
      </c>
      <c r="G737" s="1">
        <v>10906</v>
      </c>
      <c r="H737" s="1">
        <v>13178</v>
      </c>
      <c r="I737" s="1">
        <v>15219</v>
      </c>
      <c r="J737" s="1">
        <v>127.949</v>
      </c>
      <c r="K737" s="1">
        <v>1.397</v>
      </c>
      <c r="L737" s="1">
        <v>27.173999999999999</v>
      </c>
      <c r="M737" s="1" t="s">
        <v>1174</v>
      </c>
      <c r="N737" s="1" t="s">
        <v>1147</v>
      </c>
      <c r="O737" s="1" t="s">
        <v>1175</v>
      </c>
      <c r="P737" s="1" t="s">
        <v>1176</v>
      </c>
      <c r="Q737" s="1" t="s">
        <v>131</v>
      </c>
      <c r="R737" s="1" t="s">
        <v>176</v>
      </c>
      <c r="S737" s="1" t="s">
        <v>198</v>
      </c>
    </row>
    <row r="738" spans="1:19" x14ac:dyDescent="0.25">
      <c r="A738" s="2">
        <v>107</v>
      </c>
      <c r="B738" s="1" t="s">
        <v>1172</v>
      </c>
      <c r="C738" s="1" t="s">
        <v>280</v>
      </c>
      <c r="D738" s="1" t="s">
        <v>1173</v>
      </c>
      <c r="E738" s="1">
        <v>7</v>
      </c>
      <c r="F738" s="1">
        <v>120.54</v>
      </c>
      <c r="G738" s="1">
        <v>10142</v>
      </c>
      <c r="H738" s="1">
        <v>12254</v>
      </c>
      <c r="I738" s="1">
        <v>14153</v>
      </c>
      <c r="J738" s="1">
        <v>118.61499999999999</v>
      </c>
      <c r="K738" s="1">
        <v>1.456</v>
      </c>
      <c r="L738" s="1">
        <v>27.279</v>
      </c>
      <c r="M738" s="1" t="s">
        <v>1174</v>
      </c>
      <c r="N738" s="1" t="s">
        <v>1147</v>
      </c>
      <c r="O738" s="1" t="s">
        <v>1175</v>
      </c>
      <c r="P738" s="1" t="s">
        <v>1176</v>
      </c>
      <c r="Q738" s="1" t="s">
        <v>470</v>
      </c>
      <c r="R738" s="1" t="s">
        <v>1177</v>
      </c>
      <c r="S738" s="1" t="s">
        <v>421</v>
      </c>
    </row>
    <row r="739" spans="1:19" hidden="1" x14ac:dyDescent="0.25">
      <c r="A739" s="2">
        <v>108</v>
      </c>
      <c r="B739" s="1" t="s">
        <v>1178</v>
      </c>
      <c r="C739" s="1" t="s">
        <v>671</v>
      </c>
      <c r="D739" s="1" t="s">
        <v>1179</v>
      </c>
      <c r="E739" s="1">
        <v>1</v>
      </c>
      <c r="F739" s="1">
        <v>163.41999999999999</v>
      </c>
      <c r="G739" s="1">
        <v>8362</v>
      </c>
      <c r="H739" s="1">
        <v>10004</v>
      </c>
      <c r="I739" s="1">
        <v>11574</v>
      </c>
      <c r="J739" s="1">
        <v>160.827</v>
      </c>
      <c r="K739" s="1">
        <v>-5.3920000000000003</v>
      </c>
      <c r="L739" s="1">
        <v>19.042000000000002</v>
      </c>
      <c r="M739" s="1" t="s">
        <v>1180</v>
      </c>
      <c r="N739" s="1" t="s">
        <v>1147</v>
      </c>
      <c r="O739" s="1" t="s">
        <v>1181</v>
      </c>
      <c r="P739" s="1" t="s">
        <v>1182</v>
      </c>
      <c r="Q739" s="1" t="s">
        <v>55</v>
      </c>
      <c r="R739" s="1" t="s">
        <v>88</v>
      </c>
      <c r="S739" s="1" t="s">
        <v>77</v>
      </c>
    </row>
    <row r="740" spans="1:19" hidden="1" x14ac:dyDescent="0.25">
      <c r="A740" s="2">
        <v>108</v>
      </c>
      <c r="B740" s="1" t="s">
        <v>1178</v>
      </c>
      <c r="C740" s="1" t="s">
        <v>671</v>
      </c>
      <c r="D740" s="1" t="s">
        <v>1179</v>
      </c>
      <c r="E740" s="1">
        <v>2</v>
      </c>
      <c r="F740" s="1">
        <v>161.964</v>
      </c>
      <c r="G740" s="1">
        <v>8384</v>
      </c>
      <c r="H740" s="1">
        <v>10030</v>
      </c>
      <c r="I740" s="1">
        <v>11606</v>
      </c>
      <c r="J740" s="1">
        <v>159.39500000000001</v>
      </c>
      <c r="K740" s="1">
        <v>-5.3929999999999998</v>
      </c>
      <c r="L740" s="1">
        <v>19.056999999999999</v>
      </c>
      <c r="M740" s="1" t="s">
        <v>1180</v>
      </c>
      <c r="N740" s="1" t="s">
        <v>1147</v>
      </c>
      <c r="O740" s="1" t="s">
        <v>1181</v>
      </c>
      <c r="P740" s="1" t="s">
        <v>1182</v>
      </c>
      <c r="Q740" s="1" t="s">
        <v>68</v>
      </c>
      <c r="R740" s="1" t="s">
        <v>257</v>
      </c>
      <c r="S740" s="1" t="s">
        <v>277</v>
      </c>
    </row>
    <row r="741" spans="1:19" hidden="1" x14ac:dyDescent="0.25">
      <c r="A741" s="2">
        <v>108</v>
      </c>
      <c r="B741" s="1" t="s">
        <v>1178</v>
      </c>
      <c r="C741" s="1" t="s">
        <v>671</v>
      </c>
      <c r="D741" s="1" t="s">
        <v>1179</v>
      </c>
      <c r="E741" s="1">
        <v>3</v>
      </c>
      <c r="F741" s="1">
        <v>162.88399999999999</v>
      </c>
      <c r="G741" s="1">
        <v>8409</v>
      </c>
      <c r="H741" s="1">
        <v>10061</v>
      </c>
      <c r="I741" s="1">
        <v>11643</v>
      </c>
      <c r="J741" s="1">
        <v>160.30000000000001</v>
      </c>
      <c r="K741" s="1">
        <v>-5.3920000000000003</v>
      </c>
      <c r="L741" s="1">
        <v>19.068999999999999</v>
      </c>
      <c r="M741" s="1" t="s">
        <v>1180</v>
      </c>
      <c r="N741" s="1" t="s">
        <v>1147</v>
      </c>
      <c r="O741" s="1" t="s">
        <v>1181</v>
      </c>
      <c r="P741" s="1" t="s">
        <v>1182</v>
      </c>
      <c r="Q741" s="1" t="s">
        <v>249</v>
      </c>
      <c r="R741" s="1" t="s">
        <v>179</v>
      </c>
      <c r="S741" s="1" t="s">
        <v>168</v>
      </c>
    </row>
    <row r="742" spans="1:19" hidden="1" x14ac:dyDescent="0.25">
      <c r="A742" s="2">
        <v>108</v>
      </c>
      <c r="B742" s="1" t="s">
        <v>1178</v>
      </c>
      <c r="C742" s="1" t="s">
        <v>671</v>
      </c>
      <c r="D742" s="1" t="s">
        <v>1179</v>
      </c>
      <c r="E742" s="1">
        <v>4</v>
      </c>
      <c r="F742" s="1">
        <v>163.21799999999999</v>
      </c>
      <c r="G742" s="1">
        <v>8390</v>
      </c>
      <c r="H742" s="1">
        <v>10037</v>
      </c>
      <c r="I742" s="1">
        <v>11614</v>
      </c>
      <c r="J742" s="1">
        <v>160.62899999999999</v>
      </c>
      <c r="K742" s="1">
        <v>-5.399</v>
      </c>
      <c r="L742" s="1">
        <v>19.082999999999998</v>
      </c>
      <c r="M742" s="1" t="s">
        <v>1180</v>
      </c>
      <c r="N742" s="1" t="s">
        <v>1147</v>
      </c>
      <c r="O742" s="1" t="s">
        <v>1181</v>
      </c>
      <c r="P742" s="1" t="s">
        <v>1182</v>
      </c>
      <c r="Q742" s="1" t="s">
        <v>167</v>
      </c>
      <c r="R742" s="1" t="s">
        <v>299</v>
      </c>
      <c r="S742" s="1" t="s">
        <v>174</v>
      </c>
    </row>
    <row r="743" spans="1:19" hidden="1" x14ac:dyDescent="0.25">
      <c r="A743" s="2">
        <v>108</v>
      </c>
      <c r="B743" s="1" t="s">
        <v>1178</v>
      </c>
      <c r="C743" s="1" t="s">
        <v>671</v>
      </c>
      <c r="D743" s="1" t="s">
        <v>1179</v>
      </c>
      <c r="E743" s="1">
        <v>5</v>
      </c>
      <c r="F743" s="1">
        <v>160.18</v>
      </c>
      <c r="G743" s="1">
        <v>14063</v>
      </c>
      <c r="H743" s="1">
        <v>17010</v>
      </c>
      <c r="I743" s="1">
        <v>19622</v>
      </c>
      <c r="J743" s="1">
        <v>157.62200000000001</v>
      </c>
      <c r="K743" s="1">
        <v>1.27</v>
      </c>
      <c r="L743" s="1">
        <v>27.085000000000001</v>
      </c>
      <c r="M743" s="1" t="s">
        <v>1180</v>
      </c>
      <c r="N743" s="1" t="s">
        <v>1147</v>
      </c>
      <c r="O743" s="1" t="s">
        <v>1181</v>
      </c>
      <c r="P743" s="1" t="s">
        <v>1182</v>
      </c>
      <c r="Q743" s="1" t="s">
        <v>196</v>
      </c>
      <c r="R743" s="1" t="s">
        <v>218</v>
      </c>
      <c r="S743" s="1" t="s">
        <v>215</v>
      </c>
    </row>
    <row r="744" spans="1:19" x14ac:dyDescent="0.25">
      <c r="A744" s="2">
        <v>108</v>
      </c>
      <c r="B744" s="1" t="s">
        <v>1178</v>
      </c>
      <c r="C744" s="1" t="s">
        <v>671</v>
      </c>
      <c r="D744" s="1" t="s">
        <v>1179</v>
      </c>
      <c r="E744" s="1">
        <v>6</v>
      </c>
      <c r="F744" s="1">
        <v>142.53899999999999</v>
      </c>
      <c r="G744" s="1">
        <v>12575</v>
      </c>
      <c r="H744" s="1">
        <v>15203</v>
      </c>
      <c r="I744" s="1">
        <v>17554</v>
      </c>
      <c r="J744" s="1">
        <v>140.262</v>
      </c>
      <c r="K744" s="1">
        <v>1.3480000000000001</v>
      </c>
      <c r="L744" s="1">
        <v>27.201000000000001</v>
      </c>
      <c r="M744" s="1" t="s">
        <v>1180</v>
      </c>
      <c r="N744" s="1" t="s">
        <v>1147</v>
      </c>
      <c r="O744" s="1" t="s">
        <v>1181</v>
      </c>
      <c r="P744" s="1" t="s">
        <v>1182</v>
      </c>
      <c r="Q744" s="1" t="s">
        <v>256</v>
      </c>
      <c r="R744" s="1" t="s">
        <v>173</v>
      </c>
      <c r="S744" s="1" t="s">
        <v>261</v>
      </c>
    </row>
    <row r="745" spans="1:19" x14ac:dyDescent="0.25">
      <c r="A745" s="2">
        <v>108</v>
      </c>
      <c r="B745" s="1" t="s">
        <v>1178</v>
      </c>
      <c r="C745" s="1" t="s">
        <v>671</v>
      </c>
      <c r="D745" s="1" t="s">
        <v>1179</v>
      </c>
      <c r="E745" s="1">
        <v>7</v>
      </c>
      <c r="F745" s="1">
        <v>132.43899999999999</v>
      </c>
      <c r="G745" s="1">
        <v>11683</v>
      </c>
      <c r="H745" s="1">
        <v>14115</v>
      </c>
      <c r="I745" s="1">
        <v>16303</v>
      </c>
      <c r="J745" s="1">
        <v>130.32400000000001</v>
      </c>
      <c r="K745" s="1">
        <v>1.413</v>
      </c>
      <c r="L745" s="1">
        <v>27.265000000000001</v>
      </c>
      <c r="M745" s="1" t="s">
        <v>1180</v>
      </c>
      <c r="N745" s="1" t="s">
        <v>1147</v>
      </c>
      <c r="O745" s="1" t="s">
        <v>1181</v>
      </c>
      <c r="P745" s="1" t="s">
        <v>1182</v>
      </c>
      <c r="Q745" s="1" t="s">
        <v>486</v>
      </c>
      <c r="R745" s="1" t="s">
        <v>348</v>
      </c>
      <c r="S745" s="1" t="s">
        <v>362</v>
      </c>
    </row>
    <row r="746" spans="1:19" hidden="1" x14ac:dyDescent="0.25">
      <c r="A746" s="2">
        <v>109</v>
      </c>
      <c r="B746" s="1" t="s">
        <v>1183</v>
      </c>
      <c r="C746" s="1" t="s">
        <v>317</v>
      </c>
      <c r="D746" s="1" t="s">
        <v>1184</v>
      </c>
      <c r="E746" s="1">
        <v>1</v>
      </c>
      <c r="F746" s="1">
        <v>163.36799999999999</v>
      </c>
      <c r="G746" s="1">
        <v>8337</v>
      </c>
      <c r="H746" s="1">
        <v>9974</v>
      </c>
      <c r="I746" s="1">
        <v>11541</v>
      </c>
      <c r="J746" s="1">
        <v>160.77600000000001</v>
      </c>
      <c r="K746" s="1">
        <v>-5.3920000000000003</v>
      </c>
      <c r="L746" s="1">
        <v>19.062999999999999</v>
      </c>
      <c r="M746" s="1" t="s">
        <v>544</v>
      </c>
      <c r="N746" s="1" t="s">
        <v>1147</v>
      </c>
      <c r="O746" s="1" t="s">
        <v>1185</v>
      </c>
      <c r="P746" s="1" t="s">
        <v>1186</v>
      </c>
      <c r="Q746" s="1" t="s">
        <v>62</v>
      </c>
      <c r="R746" s="1" t="s">
        <v>92</v>
      </c>
      <c r="S746" s="1" t="s">
        <v>223</v>
      </c>
    </row>
    <row r="747" spans="1:19" hidden="1" x14ac:dyDescent="0.25">
      <c r="A747" s="2">
        <v>109</v>
      </c>
      <c r="B747" s="1" t="s">
        <v>1183</v>
      </c>
      <c r="C747" s="1" t="s">
        <v>317</v>
      </c>
      <c r="D747" s="1" t="s">
        <v>1184</v>
      </c>
      <c r="E747" s="1">
        <v>2</v>
      </c>
      <c r="F747" s="1">
        <v>161.66800000000001</v>
      </c>
      <c r="G747" s="1">
        <v>8365</v>
      </c>
      <c r="H747" s="1">
        <v>10008</v>
      </c>
      <c r="I747" s="1">
        <v>11580</v>
      </c>
      <c r="J747" s="1">
        <v>159.10300000000001</v>
      </c>
      <c r="K747" s="1">
        <v>-5.3959999999999999</v>
      </c>
      <c r="L747" s="1">
        <v>19.062999999999999</v>
      </c>
      <c r="M747" s="1" t="s">
        <v>544</v>
      </c>
      <c r="N747" s="1" t="s">
        <v>1147</v>
      </c>
      <c r="O747" s="1" t="s">
        <v>1185</v>
      </c>
      <c r="P747" s="1" t="s">
        <v>1186</v>
      </c>
      <c r="Q747" s="1" t="s">
        <v>254</v>
      </c>
      <c r="R747" s="1" t="s">
        <v>149</v>
      </c>
      <c r="S747" s="1" t="s">
        <v>163</v>
      </c>
    </row>
    <row r="748" spans="1:19" hidden="1" x14ac:dyDescent="0.25">
      <c r="A748" s="2">
        <v>109</v>
      </c>
      <c r="B748" s="1" t="s">
        <v>1183</v>
      </c>
      <c r="C748" s="1" t="s">
        <v>317</v>
      </c>
      <c r="D748" s="1" t="s">
        <v>1184</v>
      </c>
      <c r="E748" s="1">
        <v>3</v>
      </c>
      <c r="F748" s="1">
        <v>162.71199999999999</v>
      </c>
      <c r="G748" s="1">
        <v>8387</v>
      </c>
      <c r="H748" s="1">
        <v>10035</v>
      </c>
      <c r="I748" s="1">
        <v>11615</v>
      </c>
      <c r="J748" s="1">
        <v>160.13</v>
      </c>
      <c r="K748" s="1">
        <v>-5.4009999999999998</v>
      </c>
      <c r="L748" s="1">
        <v>19.056999999999999</v>
      </c>
      <c r="M748" s="1" t="s">
        <v>544</v>
      </c>
      <c r="N748" s="1" t="s">
        <v>1147</v>
      </c>
      <c r="O748" s="1" t="s">
        <v>1185</v>
      </c>
      <c r="P748" s="1" t="s">
        <v>1186</v>
      </c>
      <c r="Q748" s="1" t="s">
        <v>158</v>
      </c>
      <c r="R748" s="1" t="s">
        <v>194</v>
      </c>
      <c r="S748" s="1" t="s">
        <v>274</v>
      </c>
    </row>
    <row r="749" spans="1:19" hidden="1" x14ac:dyDescent="0.25">
      <c r="A749" s="2">
        <v>109</v>
      </c>
      <c r="B749" s="1" t="s">
        <v>1183</v>
      </c>
      <c r="C749" s="1" t="s">
        <v>317</v>
      </c>
      <c r="D749" s="1" t="s">
        <v>1184</v>
      </c>
      <c r="E749" s="1">
        <v>4</v>
      </c>
      <c r="F749" s="1">
        <v>162.39400000000001</v>
      </c>
      <c r="G749" s="1">
        <v>8344</v>
      </c>
      <c r="H749" s="1">
        <v>9983</v>
      </c>
      <c r="I749" s="1">
        <v>11552</v>
      </c>
      <c r="J749" s="1">
        <v>159.81800000000001</v>
      </c>
      <c r="K749" s="1">
        <v>-5.399</v>
      </c>
      <c r="L749" s="1">
        <v>19.082999999999998</v>
      </c>
      <c r="M749" s="1" t="s">
        <v>544</v>
      </c>
      <c r="N749" s="1" t="s">
        <v>1147</v>
      </c>
      <c r="O749" s="1" t="s">
        <v>1185</v>
      </c>
      <c r="P749" s="1" t="s">
        <v>1186</v>
      </c>
      <c r="Q749" s="1" t="s">
        <v>146</v>
      </c>
      <c r="R749" s="1" t="s">
        <v>299</v>
      </c>
      <c r="S749" s="1" t="s">
        <v>206</v>
      </c>
    </row>
    <row r="750" spans="1:19" hidden="1" x14ac:dyDescent="0.25">
      <c r="A750" s="2">
        <v>109</v>
      </c>
      <c r="B750" s="1" t="s">
        <v>1183</v>
      </c>
      <c r="C750" s="1" t="s">
        <v>317</v>
      </c>
      <c r="D750" s="1" t="s">
        <v>1184</v>
      </c>
      <c r="E750" s="1">
        <v>5</v>
      </c>
      <c r="F750" s="1">
        <v>187.78399999999999</v>
      </c>
      <c r="G750" s="1">
        <v>15713</v>
      </c>
      <c r="H750" s="1">
        <v>19008</v>
      </c>
      <c r="I750" s="1">
        <v>21925</v>
      </c>
      <c r="J750" s="1">
        <v>184.785</v>
      </c>
      <c r="K750" s="1">
        <v>1.327</v>
      </c>
      <c r="L750" s="1">
        <v>26.959</v>
      </c>
      <c r="M750" s="1" t="s">
        <v>544</v>
      </c>
      <c r="N750" s="1" t="s">
        <v>1147</v>
      </c>
      <c r="O750" s="1" t="s">
        <v>1185</v>
      </c>
      <c r="P750" s="1" t="s">
        <v>1186</v>
      </c>
      <c r="Q750" s="1" t="s">
        <v>189</v>
      </c>
      <c r="R750" s="1" t="s">
        <v>222</v>
      </c>
      <c r="S750" s="1" t="s">
        <v>227</v>
      </c>
    </row>
    <row r="751" spans="1:19" x14ac:dyDescent="0.25">
      <c r="A751" s="2">
        <v>109</v>
      </c>
      <c r="B751" s="1" t="s">
        <v>1183</v>
      </c>
      <c r="C751" s="1" t="s">
        <v>317</v>
      </c>
      <c r="D751" s="1" t="s">
        <v>1184</v>
      </c>
      <c r="E751" s="1">
        <v>6</v>
      </c>
      <c r="F751" s="1">
        <v>164.97200000000001</v>
      </c>
      <c r="G751" s="1">
        <v>13910</v>
      </c>
      <c r="H751" s="1">
        <v>16824</v>
      </c>
      <c r="I751" s="1">
        <v>19409</v>
      </c>
      <c r="J751" s="1">
        <v>162.33799999999999</v>
      </c>
      <c r="K751" s="1">
        <v>1.383</v>
      </c>
      <c r="L751" s="1">
        <v>27.116</v>
      </c>
      <c r="M751" s="1" t="s">
        <v>544</v>
      </c>
      <c r="N751" s="1" t="s">
        <v>1147</v>
      </c>
      <c r="O751" s="1" t="s">
        <v>1185</v>
      </c>
      <c r="P751" s="1" t="s">
        <v>1186</v>
      </c>
      <c r="Q751" s="1" t="s">
        <v>291</v>
      </c>
      <c r="R751" s="1" t="s">
        <v>328</v>
      </c>
      <c r="S751" s="1" t="s">
        <v>180</v>
      </c>
    </row>
    <row r="752" spans="1:19" x14ac:dyDescent="0.25">
      <c r="A752" s="2">
        <v>109</v>
      </c>
      <c r="B752" s="1" t="s">
        <v>1183</v>
      </c>
      <c r="C752" s="1" t="s">
        <v>317</v>
      </c>
      <c r="D752" s="1" t="s">
        <v>1184</v>
      </c>
      <c r="E752" s="1">
        <v>7</v>
      </c>
      <c r="F752" s="1">
        <v>152.57900000000001</v>
      </c>
      <c r="G752" s="1">
        <v>12915</v>
      </c>
      <c r="H752" s="1">
        <v>15619</v>
      </c>
      <c r="I752" s="1">
        <v>18028</v>
      </c>
      <c r="J752" s="1">
        <v>150.142</v>
      </c>
      <c r="K752" s="1">
        <v>1.4419999999999999</v>
      </c>
      <c r="L752" s="1">
        <v>27.167999999999999</v>
      </c>
      <c r="M752" s="1" t="s">
        <v>544</v>
      </c>
      <c r="N752" s="1" t="s">
        <v>1147</v>
      </c>
      <c r="O752" s="1" t="s">
        <v>1185</v>
      </c>
      <c r="P752" s="1" t="s">
        <v>1186</v>
      </c>
      <c r="Q752" s="1" t="s">
        <v>1187</v>
      </c>
      <c r="R752" s="1" t="s">
        <v>390</v>
      </c>
      <c r="S752" s="1" t="s">
        <v>1188</v>
      </c>
    </row>
    <row r="753" spans="1:19" hidden="1" x14ac:dyDescent="0.25">
      <c r="A753" s="2">
        <v>110</v>
      </c>
      <c r="B753" s="1" t="s">
        <v>1189</v>
      </c>
      <c r="C753" s="1" t="s">
        <v>654</v>
      </c>
      <c r="D753" s="1" t="s">
        <v>1190</v>
      </c>
      <c r="E753" s="1">
        <v>1</v>
      </c>
      <c r="F753" s="1">
        <v>163.03299999999999</v>
      </c>
      <c r="G753" s="1">
        <v>8316</v>
      </c>
      <c r="H753" s="1">
        <v>9949</v>
      </c>
      <c r="I753" s="1">
        <v>11512</v>
      </c>
      <c r="J753" s="1">
        <v>160.447</v>
      </c>
      <c r="K753" s="1">
        <v>-5.391</v>
      </c>
      <c r="L753" s="1">
        <v>19.067</v>
      </c>
      <c r="M753" s="1" t="s">
        <v>1191</v>
      </c>
      <c r="N753" s="1" t="s">
        <v>1147</v>
      </c>
      <c r="O753" s="1" t="s">
        <v>1192</v>
      </c>
      <c r="P753" s="1" t="s">
        <v>1193</v>
      </c>
      <c r="Q753" s="1" t="s">
        <v>127</v>
      </c>
      <c r="R753" s="1" t="s">
        <v>108</v>
      </c>
      <c r="S753" s="1" t="s">
        <v>147</v>
      </c>
    </row>
    <row r="754" spans="1:19" hidden="1" x14ac:dyDescent="0.25">
      <c r="A754" s="2">
        <v>110</v>
      </c>
      <c r="B754" s="1" t="s">
        <v>1189</v>
      </c>
      <c r="C754" s="1" t="s">
        <v>654</v>
      </c>
      <c r="D754" s="1" t="s">
        <v>1190</v>
      </c>
      <c r="E754" s="1">
        <v>2</v>
      </c>
      <c r="F754" s="1">
        <v>161.73699999999999</v>
      </c>
      <c r="G754" s="1">
        <v>8363</v>
      </c>
      <c r="H754" s="1">
        <v>10006</v>
      </c>
      <c r="I754" s="1">
        <v>11579</v>
      </c>
      <c r="J754" s="1">
        <v>159.17099999999999</v>
      </c>
      <c r="K754" s="1">
        <v>-5.3979999999999997</v>
      </c>
      <c r="L754" s="1">
        <v>19.048999999999999</v>
      </c>
      <c r="M754" s="1" t="s">
        <v>1191</v>
      </c>
      <c r="N754" s="1" t="s">
        <v>1147</v>
      </c>
      <c r="O754" s="1" t="s">
        <v>1192</v>
      </c>
      <c r="P754" s="1" t="s">
        <v>1193</v>
      </c>
      <c r="Q754" s="1" t="s">
        <v>147</v>
      </c>
      <c r="R754" s="1" t="s">
        <v>198</v>
      </c>
      <c r="S754" s="1" t="s">
        <v>376</v>
      </c>
    </row>
    <row r="755" spans="1:19" hidden="1" x14ac:dyDescent="0.25">
      <c r="A755" s="2">
        <v>110</v>
      </c>
      <c r="B755" s="1" t="s">
        <v>1189</v>
      </c>
      <c r="C755" s="1" t="s">
        <v>654</v>
      </c>
      <c r="D755" s="1" t="s">
        <v>1190</v>
      </c>
      <c r="E755" s="1">
        <v>3</v>
      </c>
      <c r="F755" s="1">
        <v>162.95099999999999</v>
      </c>
      <c r="G755" s="1">
        <v>8413</v>
      </c>
      <c r="H755" s="1">
        <v>10065</v>
      </c>
      <c r="I755" s="1">
        <v>11646</v>
      </c>
      <c r="J755" s="1">
        <v>160.36600000000001</v>
      </c>
      <c r="K755" s="1">
        <v>-5.3810000000000002</v>
      </c>
      <c r="L755" s="1">
        <v>19.050999999999998</v>
      </c>
      <c r="M755" s="1" t="s">
        <v>1191</v>
      </c>
      <c r="N755" s="1" t="s">
        <v>1147</v>
      </c>
      <c r="O755" s="1" t="s">
        <v>1192</v>
      </c>
      <c r="P755" s="1" t="s">
        <v>1193</v>
      </c>
      <c r="Q755" s="1" t="s">
        <v>167</v>
      </c>
      <c r="R755" s="1" t="s">
        <v>237</v>
      </c>
      <c r="S755" s="1" t="s">
        <v>174</v>
      </c>
    </row>
    <row r="756" spans="1:19" hidden="1" x14ac:dyDescent="0.25">
      <c r="A756" s="2">
        <v>110</v>
      </c>
      <c r="B756" s="1" t="s">
        <v>1189</v>
      </c>
      <c r="C756" s="1" t="s">
        <v>654</v>
      </c>
      <c r="D756" s="1" t="s">
        <v>1190</v>
      </c>
      <c r="E756" s="1">
        <v>4</v>
      </c>
      <c r="F756" s="1">
        <v>162.75800000000001</v>
      </c>
      <c r="G756" s="1">
        <v>8368</v>
      </c>
      <c r="H756" s="1">
        <v>10011</v>
      </c>
      <c r="I756" s="1">
        <v>11585</v>
      </c>
      <c r="J756" s="1">
        <v>160.17599999999999</v>
      </c>
      <c r="K756" s="1">
        <v>-5.399</v>
      </c>
      <c r="L756" s="1">
        <v>19.082999999999998</v>
      </c>
      <c r="M756" s="1" t="s">
        <v>1191</v>
      </c>
      <c r="N756" s="1" t="s">
        <v>1147</v>
      </c>
      <c r="O756" s="1" t="s">
        <v>1192</v>
      </c>
      <c r="P756" s="1" t="s">
        <v>1193</v>
      </c>
      <c r="Q756" s="1" t="s">
        <v>165</v>
      </c>
      <c r="R756" s="1" t="s">
        <v>143</v>
      </c>
      <c r="S756" s="1" t="s">
        <v>413</v>
      </c>
    </row>
    <row r="757" spans="1:19" hidden="1" x14ac:dyDescent="0.25">
      <c r="A757" s="2">
        <v>110</v>
      </c>
      <c r="B757" s="1" t="s">
        <v>1189</v>
      </c>
      <c r="C757" s="1" t="s">
        <v>654</v>
      </c>
      <c r="D757" s="1" t="s">
        <v>1190</v>
      </c>
      <c r="E757" s="1">
        <v>5</v>
      </c>
      <c r="F757" s="1">
        <v>166.49199999999999</v>
      </c>
      <c r="G757" s="1">
        <v>14589</v>
      </c>
      <c r="H757" s="1">
        <v>17643</v>
      </c>
      <c r="I757" s="1">
        <v>20358</v>
      </c>
      <c r="J757" s="1">
        <v>163.833</v>
      </c>
      <c r="K757" s="1">
        <v>1.3440000000000001</v>
      </c>
      <c r="L757" s="1">
        <v>27.06</v>
      </c>
      <c r="M757" s="1" t="s">
        <v>1191</v>
      </c>
      <c r="N757" s="1" t="s">
        <v>1147</v>
      </c>
      <c r="O757" s="1" t="s">
        <v>1192</v>
      </c>
      <c r="P757" s="1" t="s">
        <v>1193</v>
      </c>
      <c r="Q757" s="1" t="s">
        <v>199</v>
      </c>
      <c r="R757" s="1" t="s">
        <v>184</v>
      </c>
      <c r="S757" s="1" t="s">
        <v>117</v>
      </c>
    </row>
    <row r="758" spans="1:19" x14ac:dyDescent="0.25">
      <c r="A758" s="2">
        <v>110</v>
      </c>
      <c r="B758" s="1" t="s">
        <v>1189</v>
      </c>
      <c r="C758" s="1" t="s">
        <v>654</v>
      </c>
      <c r="D758" s="1" t="s">
        <v>1190</v>
      </c>
      <c r="E758" s="1">
        <v>6</v>
      </c>
      <c r="F758" s="1">
        <v>147.05699999999999</v>
      </c>
      <c r="G758" s="1">
        <v>12839</v>
      </c>
      <c r="H758" s="1">
        <v>15519</v>
      </c>
      <c r="I758" s="1">
        <v>17922</v>
      </c>
      <c r="J758" s="1">
        <v>144.708</v>
      </c>
      <c r="K758" s="1">
        <v>1.446</v>
      </c>
      <c r="L758" s="1">
        <v>27.228999999999999</v>
      </c>
      <c r="M758" s="1" t="s">
        <v>1191</v>
      </c>
      <c r="N758" s="1" t="s">
        <v>1147</v>
      </c>
      <c r="O758" s="1" t="s">
        <v>1192</v>
      </c>
      <c r="P758" s="1" t="s">
        <v>1193</v>
      </c>
      <c r="Q758" s="1" t="s">
        <v>89</v>
      </c>
      <c r="R758" s="1" t="s">
        <v>156</v>
      </c>
      <c r="S758" s="1" t="s">
        <v>163</v>
      </c>
    </row>
    <row r="759" spans="1:19" x14ac:dyDescent="0.25">
      <c r="A759" s="2">
        <v>110</v>
      </c>
      <c r="B759" s="1" t="s">
        <v>1189</v>
      </c>
      <c r="C759" s="1" t="s">
        <v>654</v>
      </c>
      <c r="D759" s="1" t="s">
        <v>1190</v>
      </c>
      <c r="E759" s="1">
        <v>7</v>
      </c>
      <c r="F759" s="1">
        <v>136.05600000000001</v>
      </c>
      <c r="G759" s="1">
        <v>11834</v>
      </c>
      <c r="H759" s="1">
        <v>14298</v>
      </c>
      <c r="I759" s="1">
        <v>16519</v>
      </c>
      <c r="J759" s="1">
        <v>133.88300000000001</v>
      </c>
      <c r="K759" s="1">
        <v>1.4850000000000001</v>
      </c>
      <c r="L759" s="1">
        <v>27.260999999999999</v>
      </c>
      <c r="M759" s="1" t="s">
        <v>1191</v>
      </c>
      <c r="N759" s="1" t="s">
        <v>1147</v>
      </c>
      <c r="O759" s="1" t="s">
        <v>1192</v>
      </c>
      <c r="P759" s="1" t="s">
        <v>1193</v>
      </c>
      <c r="Q759" s="1" t="s">
        <v>301</v>
      </c>
      <c r="R759" s="1" t="s">
        <v>1194</v>
      </c>
      <c r="S759" s="1" t="s">
        <v>1195</v>
      </c>
    </row>
    <row r="760" spans="1:19" hidden="1" x14ac:dyDescent="0.25">
      <c r="A760" s="2">
        <v>111</v>
      </c>
      <c r="B760" s="1" t="s">
        <v>1196</v>
      </c>
      <c r="C760" s="1" t="s">
        <v>281</v>
      </c>
      <c r="D760" s="1" t="s">
        <v>1197</v>
      </c>
      <c r="E760" s="1">
        <v>1</v>
      </c>
      <c r="F760" s="1">
        <v>163.08199999999999</v>
      </c>
      <c r="G760" s="1">
        <v>8324</v>
      </c>
      <c r="H760" s="1">
        <v>9958</v>
      </c>
      <c r="I760" s="1">
        <v>11530</v>
      </c>
      <c r="J760" s="1">
        <v>160.495</v>
      </c>
      <c r="K760" s="1">
        <v>-5.4119999999999999</v>
      </c>
      <c r="L760" s="1">
        <v>19.074000000000002</v>
      </c>
      <c r="M760" s="1" t="s">
        <v>559</v>
      </c>
      <c r="N760" s="1" t="s">
        <v>1147</v>
      </c>
      <c r="O760" s="1" t="s">
        <v>1198</v>
      </c>
      <c r="P760" s="1" t="s">
        <v>1199</v>
      </c>
      <c r="Q760" s="1" t="s">
        <v>46</v>
      </c>
      <c r="R760" s="1" t="s">
        <v>93</v>
      </c>
      <c r="S760" s="1" t="s">
        <v>254</v>
      </c>
    </row>
    <row r="761" spans="1:19" hidden="1" x14ac:dyDescent="0.25">
      <c r="A761" s="2">
        <v>111</v>
      </c>
      <c r="B761" s="1" t="s">
        <v>1196</v>
      </c>
      <c r="C761" s="1" t="s">
        <v>281</v>
      </c>
      <c r="D761" s="1" t="s">
        <v>1197</v>
      </c>
      <c r="E761" s="1">
        <v>2</v>
      </c>
      <c r="F761" s="1">
        <v>161.68199999999999</v>
      </c>
      <c r="G761" s="1">
        <v>8364</v>
      </c>
      <c r="H761" s="1">
        <v>10006</v>
      </c>
      <c r="I761" s="1">
        <v>11587</v>
      </c>
      <c r="J761" s="1">
        <v>159.11699999999999</v>
      </c>
      <c r="K761" s="1">
        <v>-5.4039999999999999</v>
      </c>
      <c r="L761" s="1">
        <v>19.064</v>
      </c>
      <c r="M761" s="1" t="s">
        <v>559</v>
      </c>
      <c r="N761" s="1" t="s">
        <v>1147</v>
      </c>
      <c r="O761" s="1" t="s">
        <v>1198</v>
      </c>
      <c r="P761" s="1" t="s">
        <v>1199</v>
      </c>
      <c r="Q761" s="1" t="s">
        <v>152</v>
      </c>
      <c r="R761" s="1" t="s">
        <v>156</v>
      </c>
      <c r="S761" s="1" t="s">
        <v>150</v>
      </c>
    </row>
    <row r="762" spans="1:19" hidden="1" x14ac:dyDescent="0.25">
      <c r="A762" s="2">
        <v>111</v>
      </c>
      <c r="B762" s="1" t="s">
        <v>1196</v>
      </c>
      <c r="C762" s="1" t="s">
        <v>281</v>
      </c>
      <c r="D762" s="1" t="s">
        <v>1197</v>
      </c>
      <c r="E762" s="1">
        <v>3</v>
      </c>
      <c r="F762" s="1">
        <v>162.85300000000001</v>
      </c>
      <c r="G762" s="1">
        <v>8394</v>
      </c>
      <c r="H762" s="1">
        <v>10041</v>
      </c>
      <c r="I762" s="1">
        <v>11626</v>
      </c>
      <c r="J762" s="1">
        <v>160.26900000000001</v>
      </c>
      <c r="K762" s="1">
        <v>-5.4</v>
      </c>
      <c r="L762" s="1">
        <v>19.076000000000001</v>
      </c>
      <c r="M762" s="1" t="s">
        <v>559</v>
      </c>
      <c r="N762" s="1" t="s">
        <v>1147</v>
      </c>
      <c r="O762" s="1" t="s">
        <v>1198</v>
      </c>
      <c r="P762" s="1" t="s">
        <v>1199</v>
      </c>
      <c r="Q762" s="1" t="s">
        <v>138</v>
      </c>
      <c r="R762" s="1" t="s">
        <v>170</v>
      </c>
      <c r="S762" s="1" t="s">
        <v>201</v>
      </c>
    </row>
    <row r="763" spans="1:19" hidden="1" x14ac:dyDescent="0.25">
      <c r="A763" s="2">
        <v>111</v>
      </c>
      <c r="B763" s="1" t="s">
        <v>1196</v>
      </c>
      <c r="C763" s="1" t="s">
        <v>281</v>
      </c>
      <c r="D763" s="1" t="s">
        <v>1197</v>
      </c>
      <c r="E763" s="1">
        <v>4</v>
      </c>
      <c r="F763" s="1">
        <v>162.60499999999999</v>
      </c>
      <c r="G763" s="1">
        <v>8346</v>
      </c>
      <c r="H763" s="1">
        <v>9984</v>
      </c>
      <c r="I763" s="1">
        <v>11558</v>
      </c>
      <c r="J763" s="1">
        <v>160.02500000000001</v>
      </c>
      <c r="K763" s="1">
        <v>-5.399</v>
      </c>
      <c r="L763" s="1">
        <v>19.082999999999998</v>
      </c>
      <c r="M763" s="1" t="s">
        <v>559</v>
      </c>
      <c r="N763" s="1" t="s">
        <v>1147</v>
      </c>
      <c r="O763" s="1" t="s">
        <v>1198</v>
      </c>
      <c r="P763" s="1" t="s">
        <v>1199</v>
      </c>
      <c r="Q763" s="1" t="s">
        <v>161</v>
      </c>
      <c r="R763" s="1" t="s">
        <v>236</v>
      </c>
      <c r="S763" s="1" t="s">
        <v>305</v>
      </c>
    </row>
    <row r="764" spans="1:19" hidden="1" x14ac:dyDescent="0.25">
      <c r="A764" s="2">
        <v>111</v>
      </c>
      <c r="B764" s="1" t="s">
        <v>1196</v>
      </c>
      <c r="C764" s="1" t="s">
        <v>281</v>
      </c>
      <c r="D764" s="1" t="s">
        <v>1197</v>
      </c>
      <c r="E764" s="1">
        <v>5</v>
      </c>
      <c r="F764" s="1">
        <v>154.572</v>
      </c>
      <c r="G764" s="1">
        <v>12922</v>
      </c>
      <c r="H764" s="1">
        <v>15660</v>
      </c>
      <c r="I764" s="1">
        <v>18006</v>
      </c>
      <c r="J764" s="1">
        <v>152.101</v>
      </c>
      <c r="K764" s="1">
        <v>3.79</v>
      </c>
      <c r="L764" s="1">
        <v>25.013000000000002</v>
      </c>
      <c r="M764" s="1" t="s">
        <v>559</v>
      </c>
      <c r="N764" s="1" t="s">
        <v>1147</v>
      </c>
      <c r="O764" s="1" t="s">
        <v>1198</v>
      </c>
      <c r="P764" s="1" t="s">
        <v>1199</v>
      </c>
      <c r="Q764" s="1" t="s">
        <v>196</v>
      </c>
      <c r="R764" s="1" t="s">
        <v>218</v>
      </c>
      <c r="S764" s="1" t="s">
        <v>133</v>
      </c>
    </row>
    <row r="765" spans="1:19" x14ac:dyDescent="0.25">
      <c r="A765" s="2">
        <v>111</v>
      </c>
      <c r="B765" s="1" t="s">
        <v>1196</v>
      </c>
      <c r="C765" s="1" t="s">
        <v>281</v>
      </c>
      <c r="D765" s="1" t="s">
        <v>1197</v>
      </c>
      <c r="E765" s="1">
        <v>6</v>
      </c>
      <c r="F765" s="1">
        <v>135.999</v>
      </c>
      <c r="G765" s="1">
        <v>11467</v>
      </c>
      <c r="H765" s="1">
        <v>13895</v>
      </c>
      <c r="I765" s="1">
        <v>15980</v>
      </c>
      <c r="J765" s="1">
        <v>133.82400000000001</v>
      </c>
      <c r="K765" s="1">
        <v>3.8610000000000002</v>
      </c>
      <c r="L765" s="1">
        <v>25.125</v>
      </c>
      <c r="M765" s="1" t="s">
        <v>559</v>
      </c>
      <c r="N765" s="1" t="s">
        <v>1147</v>
      </c>
      <c r="O765" s="1" t="s">
        <v>1198</v>
      </c>
      <c r="P765" s="1" t="s">
        <v>1199</v>
      </c>
      <c r="Q765" s="1" t="s">
        <v>107</v>
      </c>
      <c r="R765" s="1" t="s">
        <v>290</v>
      </c>
      <c r="S765" s="1" t="s">
        <v>170</v>
      </c>
    </row>
    <row r="766" spans="1:19" x14ac:dyDescent="0.25">
      <c r="A766" s="2">
        <v>111</v>
      </c>
      <c r="B766" s="1" t="s">
        <v>1196</v>
      </c>
      <c r="C766" s="1" t="s">
        <v>281</v>
      </c>
      <c r="D766" s="1" t="s">
        <v>1197</v>
      </c>
      <c r="E766" s="1">
        <v>7</v>
      </c>
      <c r="F766" s="1">
        <v>125.74</v>
      </c>
      <c r="G766" s="1">
        <v>10656</v>
      </c>
      <c r="H766" s="1">
        <v>12909</v>
      </c>
      <c r="I766" s="1">
        <v>14847</v>
      </c>
      <c r="J766" s="1">
        <v>123.729</v>
      </c>
      <c r="K766" s="1">
        <v>3.8919999999999999</v>
      </c>
      <c r="L766" s="1">
        <v>25.155999999999999</v>
      </c>
      <c r="M766" s="1" t="s">
        <v>559</v>
      </c>
      <c r="N766" s="1" t="s">
        <v>1147</v>
      </c>
      <c r="O766" s="1" t="s">
        <v>1198</v>
      </c>
      <c r="P766" s="1" t="s">
        <v>1199</v>
      </c>
      <c r="Q766" s="1" t="s">
        <v>323</v>
      </c>
      <c r="R766" s="1" t="s">
        <v>481</v>
      </c>
      <c r="S766" s="1" t="s">
        <v>1200</v>
      </c>
    </row>
    <row r="767" spans="1:19" hidden="1" x14ac:dyDescent="0.25">
      <c r="A767" s="2">
        <v>112</v>
      </c>
      <c r="B767" s="1" t="s">
        <v>1201</v>
      </c>
      <c r="C767" s="1" t="s">
        <v>317</v>
      </c>
      <c r="D767" s="1" t="s">
        <v>1202</v>
      </c>
      <c r="E767" s="1">
        <v>1</v>
      </c>
      <c r="F767" s="1">
        <v>163.30600000000001</v>
      </c>
      <c r="G767" s="1">
        <v>8337</v>
      </c>
      <c r="H767" s="1">
        <v>9973</v>
      </c>
      <c r="I767" s="1">
        <v>11547</v>
      </c>
      <c r="J767" s="1">
        <v>160.715</v>
      </c>
      <c r="K767" s="1">
        <v>-5.3890000000000002</v>
      </c>
      <c r="L767" s="1">
        <v>19.097000000000001</v>
      </c>
      <c r="M767" s="1" t="s">
        <v>1203</v>
      </c>
      <c r="N767" s="1" t="s">
        <v>1147</v>
      </c>
      <c r="O767" s="1" t="s">
        <v>1204</v>
      </c>
      <c r="P767" s="1" t="s">
        <v>1205</v>
      </c>
      <c r="Q767" s="1" t="s">
        <v>46</v>
      </c>
      <c r="R767" s="1" t="s">
        <v>93</v>
      </c>
      <c r="S767" s="1" t="s">
        <v>152</v>
      </c>
    </row>
    <row r="768" spans="1:19" hidden="1" x14ac:dyDescent="0.25">
      <c r="A768" s="2">
        <v>112</v>
      </c>
      <c r="B768" s="1" t="s">
        <v>1201</v>
      </c>
      <c r="C768" s="1" t="s">
        <v>317</v>
      </c>
      <c r="D768" s="1" t="s">
        <v>1202</v>
      </c>
      <c r="E768" s="1">
        <v>2</v>
      </c>
      <c r="F768" s="1">
        <v>161.40700000000001</v>
      </c>
      <c r="G768" s="1">
        <v>8348</v>
      </c>
      <c r="H768" s="1">
        <v>9987</v>
      </c>
      <c r="I768" s="1">
        <v>11565</v>
      </c>
      <c r="J768" s="1">
        <v>158.84700000000001</v>
      </c>
      <c r="K768" s="1">
        <v>-5.4009999999999998</v>
      </c>
      <c r="L768" s="1">
        <v>19.103000000000002</v>
      </c>
      <c r="M768" s="1" t="s">
        <v>1203</v>
      </c>
      <c r="N768" s="1" t="s">
        <v>1147</v>
      </c>
      <c r="O768" s="1" t="s">
        <v>1204</v>
      </c>
      <c r="P768" s="1" t="s">
        <v>1205</v>
      </c>
      <c r="Q768" s="1" t="s">
        <v>152</v>
      </c>
      <c r="R768" s="1" t="s">
        <v>156</v>
      </c>
      <c r="S768" s="1" t="s">
        <v>150</v>
      </c>
    </row>
    <row r="769" spans="1:19" hidden="1" x14ac:dyDescent="0.25">
      <c r="A769" s="2">
        <v>112</v>
      </c>
      <c r="B769" s="1" t="s">
        <v>1201</v>
      </c>
      <c r="C769" s="1" t="s">
        <v>317</v>
      </c>
      <c r="D769" s="1" t="s">
        <v>1202</v>
      </c>
      <c r="E769" s="1">
        <v>3</v>
      </c>
      <c r="F769" s="1">
        <v>162.08000000000001</v>
      </c>
      <c r="G769" s="1">
        <v>8365</v>
      </c>
      <c r="H769" s="1">
        <v>10006</v>
      </c>
      <c r="I769" s="1">
        <v>11584</v>
      </c>
      <c r="J769" s="1">
        <v>159.50899999999999</v>
      </c>
      <c r="K769" s="1">
        <v>-5.3949999999999996</v>
      </c>
      <c r="L769" s="1">
        <v>19.077999999999999</v>
      </c>
      <c r="M769" s="1" t="s">
        <v>1203</v>
      </c>
      <c r="N769" s="1" t="s">
        <v>1147</v>
      </c>
      <c r="O769" s="1" t="s">
        <v>1204</v>
      </c>
      <c r="P769" s="1" t="s">
        <v>1205</v>
      </c>
      <c r="Q769" s="1" t="s">
        <v>138</v>
      </c>
      <c r="R769" s="1" t="s">
        <v>170</v>
      </c>
      <c r="S769" s="1" t="s">
        <v>201</v>
      </c>
    </row>
    <row r="770" spans="1:19" hidden="1" x14ac:dyDescent="0.25">
      <c r="A770" s="2">
        <v>112</v>
      </c>
      <c r="B770" s="1" t="s">
        <v>1201</v>
      </c>
      <c r="C770" s="1" t="s">
        <v>317</v>
      </c>
      <c r="D770" s="1" t="s">
        <v>1202</v>
      </c>
      <c r="E770" s="1">
        <v>4</v>
      </c>
      <c r="F770" s="1">
        <v>162.45099999999999</v>
      </c>
      <c r="G770" s="1">
        <v>8350</v>
      </c>
      <c r="H770" s="1">
        <v>9989</v>
      </c>
      <c r="I770" s="1">
        <v>11566</v>
      </c>
      <c r="J770" s="1">
        <v>159.874</v>
      </c>
      <c r="K770" s="1">
        <v>-5.399</v>
      </c>
      <c r="L770" s="1">
        <v>19.082999999999998</v>
      </c>
      <c r="M770" s="1" t="s">
        <v>1203</v>
      </c>
      <c r="N770" s="1" t="s">
        <v>1147</v>
      </c>
      <c r="O770" s="1" t="s">
        <v>1204</v>
      </c>
      <c r="P770" s="1" t="s">
        <v>1205</v>
      </c>
      <c r="Q770" s="1" t="s">
        <v>139</v>
      </c>
      <c r="R770" s="1" t="s">
        <v>266</v>
      </c>
      <c r="S770" s="1" t="s">
        <v>305</v>
      </c>
    </row>
    <row r="771" spans="1:19" hidden="1" x14ac:dyDescent="0.25">
      <c r="A771" s="2">
        <v>112</v>
      </c>
      <c r="B771" s="1" t="s">
        <v>1201</v>
      </c>
      <c r="C771" s="1" t="s">
        <v>317</v>
      </c>
      <c r="D771" s="1" t="s">
        <v>1202</v>
      </c>
      <c r="E771" s="1">
        <v>5</v>
      </c>
      <c r="F771" s="1">
        <v>200.691</v>
      </c>
      <c r="G771" s="1">
        <v>17175</v>
      </c>
      <c r="H771" s="1">
        <v>20821</v>
      </c>
      <c r="I771" s="1">
        <v>23930</v>
      </c>
      <c r="J771" s="1">
        <v>197.482</v>
      </c>
      <c r="K771" s="1">
        <v>3.8340000000000001</v>
      </c>
      <c r="L771" s="1">
        <v>24.884</v>
      </c>
      <c r="M771" s="1" t="s">
        <v>1203</v>
      </c>
      <c r="N771" s="1" t="s">
        <v>1147</v>
      </c>
      <c r="O771" s="1" t="s">
        <v>1204</v>
      </c>
      <c r="P771" s="1" t="s">
        <v>1205</v>
      </c>
      <c r="Q771" s="1" t="s">
        <v>202</v>
      </c>
      <c r="R771" s="1" t="s">
        <v>137</v>
      </c>
      <c r="S771" s="1" t="s">
        <v>197</v>
      </c>
    </row>
    <row r="772" spans="1:19" x14ac:dyDescent="0.25">
      <c r="A772" s="2">
        <v>112</v>
      </c>
      <c r="B772" s="1" t="s">
        <v>1201</v>
      </c>
      <c r="C772" s="1" t="s">
        <v>317</v>
      </c>
      <c r="D772" s="1" t="s">
        <v>1202</v>
      </c>
      <c r="E772" s="1">
        <v>6</v>
      </c>
      <c r="F772" s="1">
        <v>176.386</v>
      </c>
      <c r="G772" s="1">
        <v>15047</v>
      </c>
      <c r="H772" s="1">
        <v>18229</v>
      </c>
      <c r="I772" s="1">
        <v>20967</v>
      </c>
      <c r="J772" s="1">
        <v>173.566</v>
      </c>
      <c r="K772" s="1">
        <v>3.8420000000000001</v>
      </c>
      <c r="L772" s="1">
        <v>25.12</v>
      </c>
      <c r="M772" s="1" t="s">
        <v>1203</v>
      </c>
      <c r="N772" s="1" t="s">
        <v>1147</v>
      </c>
      <c r="O772" s="1" t="s">
        <v>1204</v>
      </c>
      <c r="P772" s="1" t="s">
        <v>1205</v>
      </c>
      <c r="Q772" s="1" t="s">
        <v>307</v>
      </c>
      <c r="R772" s="1" t="s">
        <v>178</v>
      </c>
      <c r="S772" s="1" t="s">
        <v>370</v>
      </c>
    </row>
    <row r="773" spans="1:19" x14ac:dyDescent="0.25">
      <c r="A773" s="2">
        <v>112</v>
      </c>
      <c r="B773" s="1" t="s">
        <v>1201</v>
      </c>
      <c r="C773" s="1" t="s">
        <v>317</v>
      </c>
      <c r="D773" s="1" t="s">
        <v>1202</v>
      </c>
      <c r="E773" s="1">
        <v>7</v>
      </c>
      <c r="F773" s="1">
        <v>163.00700000000001</v>
      </c>
      <c r="G773" s="1">
        <v>13865</v>
      </c>
      <c r="H773" s="1">
        <v>16794</v>
      </c>
      <c r="I773" s="1">
        <v>19318</v>
      </c>
      <c r="J773" s="1">
        <v>160.4</v>
      </c>
      <c r="K773" s="1">
        <v>3.9159999999999999</v>
      </c>
      <c r="L773" s="1">
        <v>25.158999999999999</v>
      </c>
      <c r="M773" s="1" t="s">
        <v>1203</v>
      </c>
      <c r="N773" s="1" t="s">
        <v>1147</v>
      </c>
      <c r="O773" s="1" t="s">
        <v>1204</v>
      </c>
      <c r="P773" s="1" t="s">
        <v>1205</v>
      </c>
      <c r="Q773" s="1" t="s">
        <v>481</v>
      </c>
      <c r="R773" s="1" t="s">
        <v>541</v>
      </c>
      <c r="S773" s="1" t="s">
        <v>939</v>
      </c>
    </row>
    <row r="774" spans="1:19" hidden="1" x14ac:dyDescent="0.25">
      <c r="A774" s="2">
        <v>113</v>
      </c>
      <c r="B774" s="1" t="s">
        <v>1206</v>
      </c>
      <c r="C774" s="1" t="s">
        <v>946</v>
      </c>
      <c r="D774" s="1" t="s">
        <v>1207</v>
      </c>
      <c r="E774" s="1">
        <v>1</v>
      </c>
      <c r="F774" s="1">
        <v>162.756</v>
      </c>
      <c r="G774" s="1">
        <v>8317</v>
      </c>
      <c r="H774" s="1">
        <v>9950</v>
      </c>
      <c r="I774" s="1">
        <v>11514</v>
      </c>
      <c r="J774" s="1">
        <v>160.17400000000001</v>
      </c>
      <c r="K774" s="1">
        <v>-5.4059999999999997</v>
      </c>
      <c r="L774" s="1">
        <v>19.056999999999999</v>
      </c>
      <c r="M774" s="1" t="s">
        <v>571</v>
      </c>
      <c r="N774" s="1" t="s">
        <v>1147</v>
      </c>
      <c r="O774" s="1" t="s">
        <v>1208</v>
      </c>
      <c r="P774" s="1" t="s">
        <v>1209</v>
      </c>
      <c r="Q774" s="1" t="s">
        <v>52</v>
      </c>
      <c r="R774" s="1" t="s">
        <v>59</v>
      </c>
      <c r="S774" s="1" t="s">
        <v>291</v>
      </c>
    </row>
    <row r="775" spans="1:19" hidden="1" x14ac:dyDescent="0.25">
      <c r="A775" s="2">
        <v>113</v>
      </c>
      <c r="B775" s="1" t="s">
        <v>1206</v>
      </c>
      <c r="C775" s="1" t="s">
        <v>946</v>
      </c>
      <c r="D775" s="1" t="s">
        <v>1207</v>
      </c>
      <c r="E775" s="1">
        <v>2</v>
      </c>
      <c r="F775" s="1">
        <v>161.53100000000001</v>
      </c>
      <c r="G775" s="1">
        <v>8361</v>
      </c>
      <c r="H775" s="1">
        <v>10004</v>
      </c>
      <c r="I775" s="1">
        <v>11578</v>
      </c>
      <c r="J775" s="1">
        <v>158.96899999999999</v>
      </c>
      <c r="K775" s="1">
        <v>-5.4089999999999998</v>
      </c>
      <c r="L775" s="1">
        <v>19.074999999999999</v>
      </c>
      <c r="M775" s="1" t="s">
        <v>571</v>
      </c>
      <c r="N775" s="1" t="s">
        <v>1147</v>
      </c>
      <c r="O775" s="1" t="s">
        <v>1208</v>
      </c>
      <c r="P775" s="1" t="s">
        <v>1209</v>
      </c>
      <c r="Q775" s="1" t="s">
        <v>291</v>
      </c>
      <c r="R775" s="1" t="s">
        <v>328</v>
      </c>
      <c r="S775" s="1" t="s">
        <v>295</v>
      </c>
    </row>
    <row r="776" spans="1:19" hidden="1" x14ac:dyDescent="0.25">
      <c r="A776" s="2">
        <v>113</v>
      </c>
      <c r="B776" s="1" t="s">
        <v>1206</v>
      </c>
      <c r="C776" s="1" t="s">
        <v>946</v>
      </c>
      <c r="D776" s="1" t="s">
        <v>1207</v>
      </c>
      <c r="E776" s="1">
        <v>3</v>
      </c>
      <c r="F776" s="1">
        <v>162.84200000000001</v>
      </c>
      <c r="G776" s="1">
        <v>8400</v>
      </c>
      <c r="H776" s="1">
        <v>10049</v>
      </c>
      <c r="I776" s="1">
        <v>11628</v>
      </c>
      <c r="J776" s="1">
        <v>160.25899999999999</v>
      </c>
      <c r="K776" s="1">
        <v>-5.3940000000000001</v>
      </c>
      <c r="L776" s="1">
        <v>19.077000000000002</v>
      </c>
      <c r="M776" s="1" t="s">
        <v>571</v>
      </c>
      <c r="N776" s="1" t="s">
        <v>1147</v>
      </c>
      <c r="O776" s="1" t="s">
        <v>1208</v>
      </c>
      <c r="P776" s="1" t="s">
        <v>1209</v>
      </c>
      <c r="Q776" s="1" t="s">
        <v>139</v>
      </c>
      <c r="R776" s="1" t="s">
        <v>177</v>
      </c>
      <c r="S776" s="1" t="s">
        <v>282</v>
      </c>
    </row>
    <row r="777" spans="1:19" hidden="1" x14ac:dyDescent="0.25">
      <c r="A777" s="2">
        <v>113</v>
      </c>
      <c r="B777" s="1" t="s">
        <v>1206</v>
      </c>
      <c r="C777" s="1" t="s">
        <v>946</v>
      </c>
      <c r="D777" s="1" t="s">
        <v>1207</v>
      </c>
      <c r="E777" s="1">
        <v>4</v>
      </c>
      <c r="F777" s="1">
        <v>162.745</v>
      </c>
      <c r="G777" s="1">
        <v>8357</v>
      </c>
      <c r="H777" s="1">
        <v>9997</v>
      </c>
      <c r="I777" s="1">
        <v>11569</v>
      </c>
      <c r="J777" s="1">
        <v>160.16399999999999</v>
      </c>
      <c r="K777" s="1">
        <v>-5.399</v>
      </c>
      <c r="L777" s="1">
        <v>19.082999999999998</v>
      </c>
      <c r="M777" s="1" t="s">
        <v>571</v>
      </c>
      <c r="N777" s="1" t="s">
        <v>1147</v>
      </c>
      <c r="O777" s="1" t="s">
        <v>1208</v>
      </c>
      <c r="P777" s="1" t="s">
        <v>1209</v>
      </c>
      <c r="Q777" s="1" t="s">
        <v>160</v>
      </c>
      <c r="R777" s="1" t="s">
        <v>155</v>
      </c>
      <c r="S777" s="1" t="s">
        <v>370</v>
      </c>
    </row>
    <row r="778" spans="1:19" hidden="1" x14ac:dyDescent="0.25">
      <c r="A778" s="2">
        <v>113</v>
      </c>
      <c r="B778" s="1" t="s">
        <v>1206</v>
      </c>
      <c r="C778" s="1" t="s">
        <v>946</v>
      </c>
      <c r="D778" s="1" t="s">
        <v>1207</v>
      </c>
      <c r="E778" s="1">
        <v>5</v>
      </c>
      <c r="F778" s="1">
        <v>263.58800000000002</v>
      </c>
      <c r="G778" s="1">
        <v>22714</v>
      </c>
      <c r="H778" s="1">
        <v>27615</v>
      </c>
      <c r="I778" s="1">
        <v>31626</v>
      </c>
      <c r="J778" s="1">
        <v>259.37299999999999</v>
      </c>
      <c r="K778" s="1">
        <v>3.887</v>
      </c>
      <c r="L778" s="1">
        <v>24.747</v>
      </c>
      <c r="M778" s="1" t="s">
        <v>571</v>
      </c>
      <c r="N778" s="1" t="s">
        <v>1147</v>
      </c>
      <c r="O778" s="1" t="s">
        <v>1208</v>
      </c>
      <c r="P778" s="1" t="s">
        <v>1209</v>
      </c>
      <c r="Q778" s="1" t="s">
        <v>196</v>
      </c>
      <c r="R778" s="1" t="s">
        <v>218</v>
      </c>
      <c r="S778" s="1" t="s">
        <v>215</v>
      </c>
    </row>
    <row r="779" spans="1:19" x14ac:dyDescent="0.25">
      <c r="A779" s="2">
        <v>113</v>
      </c>
      <c r="B779" s="1" t="s">
        <v>1206</v>
      </c>
      <c r="C779" s="1" t="s">
        <v>946</v>
      </c>
      <c r="D779" s="1" t="s">
        <v>1207</v>
      </c>
      <c r="E779" s="1">
        <v>6</v>
      </c>
      <c r="F779" s="1">
        <v>233.85300000000001</v>
      </c>
      <c r="G779" s="1">
        <v>20491</v>
      </c>
      <c r="H779" s="1">
        <v>24893</v>
      </c>
      <c r="I779" s="1">
        <v>28525</v>
      </c>
      <c r="J779" s="1">
        <v>230.114</v>
      </c>
      <c r="K779" s="1">
        <v>3.9590000000000001</v>
      </c>
      <c r="L779" s="1">
        <v>24.899000000000001</v>
      </c>
      <c r="M779" s="1" t="s">
        <v>571</v>
      </c>
      <c r="N779" s="1" t="s">
        <v>1147</v>
      </c>
      <c r="O779" s="1" t="s">
        <v>1208</v>
      </c>
      <c r="P779" s="1" t="s">
        <v>1209</v>
      </c>
      <c r="Q779" s="1" t="s">
        <v>170</v>
      </c>
      <c r="R779" s="1" t="s">
        <v>239</v>
      </c>
      <c r="S779" s="1" t="s">
        <v>335</v>
      </c>
    </row>
    <row r="780" spans="1:19" x14ac:dyDescent="0.25">
      <c r="A780" s="2">
        <v>113</v>
      </c>
      <c r="B780" s="1" t="s">
        <v>1206</v>
      </c>
      <c r="C780" s="1" t="s">
        <v>946</v>
      </c>
      <c r="D780" s="1" t="s">
        <v>1207</v>
      </c>
      <c r="E780" s="1">
        <v>7</v>
      </c>
      <c r="F780" s="1">
        <v>217.43799999999999</v>
      </c>
      <c r="G780" s="1">
        <v>19135</v>
      </c>
      <c r="H780" s="1">
        <v>23234</v>
      </c>
      <c r="I780" s="1">
        <v>26648</v>
      </c>
      <c r="J780" s="1">
        <v>213.96100000000001</v>
      </c>
      <c r="K780" s="1">
        <v>4.0039999999999996</v>
      </c>
      <c r="L780" s="1">
        <v>24.937999999999999</v>
      </c>
      <c r="M780" s="1" t="s">
        <v>571</v>
      </c>
      <c r="N780" s="1" t="s">
        <v>1147</v>
      </c>
      <c r="O780" s="1" t="s">
        <v>1208</v>
      </c>
      <c r="P780" s="1" t="s">
        <v>1209</v>
      </c>
      <c r="Q780" s="1" t="s">
        <v>1210</v>
      </c>
      <c r="R780" s="1" t="s">
        <v>1211</v>
      </c>
      <c r="S780" s="1" t="s">
        <v>377</v>
      </c>
    </row>
    <row r="781" spans="1:19" hidden="1" x14ac:dyDescent="0.25">
      <c r="A781" s="2">
        <v>114</v>
      </c>
      <c r="B781" s="1" t="s">
        <v>1212</v>
      </c>
      <c r="C781" s="1" t="s">
        <v>325</v>
      </c>
      <c r="D781" s="1" t="s">
        <v>1213</v>
      </c>
      <c r="E781" s="1">
        <v>1</v>
      </c>
      <c r="F781" s="1">
        <v>162.27000000000001</v>
      </c>
      <c r="G781" s="1">
        <v>8287</v>
      </c>
      <c r="H781" s="1">
        <v>9916</v>
      </c>
      <c r="I781" s="1">
        <v>11476</v>
      </c>
      <c r="J781" s="1">
        <v>159.696</v>
      </c>
      <c r="K781" s="1">
        <v>-5.3949999999999996</v>
      </c>
      <c r="L781" s="1">
        <v>19.102</v>
      </c>
      <c r="M781" s="1" t="s">
        <v>1214</v>
      </c>
      <c r="N781" s="1" t="s">
        <v>1147</v>
      </c>
      <c r="O781" s="1" t="s">
        <v>1215</v>
      </c>
      <c r="P781" s="1" t="s">
        <v>1216</v>
      </c>
      <c r="Q781" s="1" t="s">
        <v>51</v>
      </c>
      <c r="R781" s="1" t="s">
        <v>68</v>
      </c>
      <c r="S781" s="1" t="s">
        <v>157</v>
      </c>
    </row>
    <row r="782" spans="1:19" hidden="1" x14ac:dyDescent="0.25">
      <c r="A782" s="2">
        <v>114</v>
      </c>
      <c r="B782" s="1" t="s">
        <v>1212</v>
      </c>
      <c r="C782" s="1" t="s">
        <v>325</v>
      </c>
      <c r="D782" s="1" t="s">
        <v>1213</v>
      </c>
      <c r="E782" s="1">
        <v>2</v>
      </c>
      <c r="F782" s="1">
        <v>160.94900000000001</v>
      </c>
      <c r="G782" s="1">
        <v>8333</v>
      </c>
      <c r="H782" s="1">
        <v>9970</v>
      </c>
      <c r="I782" s="1">
        <v>11537</v>
      </c>
      <c r="J782" s="1">
        <v>158.39500000000001</v>
      </c>
      <c r="K782" s="1">
        <v>-5.4080000000000004</v>
      </c>
      <c r="L782" s="1">
        <v>19.109000000000002</v>
      </c>
      <c r="M782" s="1" t="s">
        <v>1214</v>
      </c>
      <c r="N782" s="1" t="s">
        <v>1147</v>
      </c>
      <c r="O782" s="1" t="s">
        <v>1215</v>
      </c>
      <c r="P782" s="1" t="s">
        <v>1216</v>
      </c>
      <c r="Q782" s="1" t="s">
        <v>161</v>
      </c>
      <c r="R782" s="1" t="s">
        <v>143</v>
      </c>
      <c r="S782" s="1" t="s">
        <v>305</v>
      </c>
    </row>
    <row r="783" spans="1:19" hidden="1" x14ac:dyDescent="0.25">
      <c r="A783" s="2">
        <v>114</v>
      </c>
      <c r="B783" s="1" t="s">
        <v>1212</v>
      </c>
      <c r="C783" s="1" t="s">
        <v>325</v>
      </c>
      <c r="D783" s="1" t="s">
        <v>1213</v>
      </c>
      <c r="E783" s="1">
        <v>3</v>
      </c>
      <c r="F783" s="1">
        <v>161.911</v>
      </c>
      <c r="G783" s="1">
        <v>8358</v>
      </c>
      <c r="H783" s="1">
        <v>9999</v>
      </c>
      <c r="I783" s="1">
        <v>11570</v>
      </c>
      <c r="J783" s="1">
        <v>159.34200000000001</v>
      </c>
      <c r="K783" s="1">
        <v>-5.4089999999999998</v>
      </c>
      <c r="L783" s="1">
        <v>19.103999999999999</v>
      </c>
      <c r="M783" s="1" t="s">
        <v>1214</v>
      </c>
      <c r="N783" s="1" t="s">
        <v>1147</v>
      </c>
      <c r="O783" s="1" t="s">
        <v>1215</v>
      </c>
      <c r="P783" s="1" t="s">
        <v>1216</v>
      </c>
      <c r="Q783" s="1" t="s">
        <v>176</v>
      </c>
      <c r="R783" s="1" t="s">
        <v>359</v>
      </c>
      <c r="S783" s="1" t="s">
        <v>219</v>
      </c>
    </row>
    <row r="784" spans="1:19" hidden="1" x14ac:dyDescent="0.25">
      <c r="A784" s="2">
        <v>114</v>
      </c>
      <c r="B784" s="1" t="s">
        <v>1212</v>
      </c>
      <c r="C784" s="1" t="s">
        <v>325</v>
      </c>
      <c r="D784" s="1" t="s">
        <v>1213</v>
      </c>
      <c r="E784" s="1">
        <v>4</v>
      </c>
      <c r="F784" s="1">
        <v>162.01300000000001</v>
      </c>
      <c r="G784" s="1">
        <v>8317</v>
      </c>
      <c r="H784" s="1">
        <v>9951</v>
      </c>
      <c r="I784" s="1">
        <v>11514</v>
      </c>
      <c r="J784" s="1">
        <v>159.44300000000001</v>
      </c>
      <c r="K784" s="1">
        <v>-5.399</v>
      </c>
      <c r="L784" s="1">
        <v>19.082999999999998</v>
      </c>
      <c r="M784" s="1" t="s">
        <v>1214</v>
      </c>
      <c r="N784" s="1" t="s">
        <v>1147</v>
      </c>
      <c r="O784" s="1" t="s">
        <v>1215</v>
      </c>
      <c r="P784" s="1" t="s">
        <v>1216</v>
      </c>
      <c r="Q784" s="1" t="s">
        <v>250</v>
      </c>
      <c r="R784" s="1" t="s">
        <v>261</v>
      </c>
      <c r="S784" s="1" t="s">
        <v>368</v>
      </c>
    </row>
    <row r="785" spans="1:19" hidden="1" x14ac:dyDescent="0.25">
      <c r="A785" s="2">
        <v>114</v>
      </c>
      <c r="B785" s="1" t="s">
        <v>1212</v>
      </c>
      <c r="C785" s="1" t="s">
        <v>325</v>
      </c>
      <c r="D785" s="1" t="s">
        <v>1213</v>
      </c>
      <c r="E785" s="1">
        <v>5</v>
      </c>
      <c r="F785" s="1">
        <v>154.47800000000001</v>
      </c>
      <c r="G785" s="1">
        <v>12831</v>
      </c>
      <c r="H785" s="1">
        <v>15449</v>
      </c>
      <c r="I785" s="1">
        <v>17855</v>
      </c>
      <c r="J785" s="1">
        <v>152.01900000000001</v>
      </c>
      <c r="K785" s="1">
        <v>-2.3849999999999998</v>
      </c>
      <c r="L785" s="1">
        <v>24.055</v>
      </c>
      <c r="M785" s="1" t="s">
        <v>1214</v>
      </c>
      <c r="N785" s="1" t="s">
        <v>1147</v>
      </c>
      <c r="O785" s="1" t="s">
        <v>1215</v>
      </c>
      <c r="P785" s="1" t="s">
        <v>1216</v>
      </c>
      <c r="Q785" s="1" t="s">
        <v>204</v>
      </c>
      <c r="R785" s="1" t="s">
        <v>130</v>
      </c>
      <c r="S785" s="1" t="s">
        <v>185</v>
      </c>
    </row>
    <row r="786" spans="1:19" x14ac:dyDescent="0.25">
      <c r="A786" s="2">
        <v>114</v>
      </c>
      <c r="B786" s="1" t="s">
        <v>1212</v>
      </c>
      <c r="C786" s="1" t="s">
        <v>325</v>
      </c>
      <c r="D786" s="1" t="s">
        <v>1213</v>
      </c>
      <c r="E786" s="1">
        <v>6</v>
      </c>
      <c r="F786" s="1">
        <v>135.89699999999999</v>
      </c>
      <c r="G786" s="1">
        <v>11376</v>
      </c>
      <c r="H786" s="1">
        <v>13694</v>
      </c>
      <c r="I786" s="1">
        <v>15830</v>
      </c>
      <c r="J786" s="1">
        <v>133.73400000000001</v>
      </c>
      <c r="K786" s="1">
        <v>-2.35</v>
      </c>
      <c r="L786" s="1">
        <v>24.292000000000002</v>
      </c>
      <c r="M786" s="1" t="s">
        <v>1214</v>
      </c>
      <c r="N786" s="1" t="s">
        <v>1147</v>
      </c>
      <c r="O786" s="1" t="s">
        <v>1215</v>
      </c>
      <c r="P786" s="1" t="s">
        <v>1216</v>
      </c>
      <c r="Q786" s="1" t="s">
        <v>113</v>
      </c>
      <c r="R786" s="1" t="s">
        <v>193</v>
      </c>
      <c r="S786" s="1" t="s">
        <v>266</v>
      </c>
    </row>
    <row r="787" spans="1:19" x14ac:dyDescent="0.25">
      <c r="A787" s="2">
        <v>114</v>
      </c>
      <c r="B787" s="1" t="s">
        <v>1212</v>
      </c>
      <c r="C787" s="1" t="s">
        <v>325</v>
      </c>
      <c r="D787" s="1" t="s">
        <v>1213</v>
      </c>
      <c r="E787" s="1">
        <v>7</v>
      </c>
      <c r="F787" s="1">
        <v>125.747</v>
      </c>
      <c r="G787" s="1">
        <v>10558</v>
      </c>
      <c r="H787" s="1">
        <v>12708</v>
      </c>
      <c r="I787" s="1">
        <v>14692</v>
      </c>
      <c r="J787" s="1">
        <v>123.745</v>
      </c>
      <c r="K787" s="1">
        <v>-2.29</v>
      </c>
      <c r="L787" s="1">
        <v>24.295999999999999</v>
      </c>
      <c r="M787" s="1" t="s">
        <v>1214</v>
      </c>
      <c r="N787" s="1" t="s">
        <v>1147</v>
      </c>
      <c r="O787" s="1" t="s">
        <v>1215</v>
      </c>
      <c r="P787" s="1" t="s">
        <v>1216</v>
      </c>
      <c r="Q787" s="1" t="s">
        <v>675</v>
      </c>
      <c r="R787" s="1" t="s">
        <v>1217</v>
      </c>
      <c r="S787" s="1" t="s">
        <v>400</v>
      </c>
    </row>
    <row r="788" spans="1:19" hidden="1" x14ac:dyDescent="0.25">
      <c r="A788" s="2">
        <v>115</v>
      </c>
      <c r="B788" s="1" t="s">
        <v>1218</v>
      </c>
      <c r="C788" s="1" t="s">
        <v>1219</v>
      </c>
      <c r="D788" s="1" t="s">
        <v>1220</v>
      </c>
      <c r="E788" s="1">
        <v>1</v>
      </c>
      <c r="F788" s="1">
        <v>162.38499999999999</v>
      </c>
      <c r="G788" s="1">
        <v>8301</v>
      </c>
      <c r="H788" s="1">
        <v>9932</v>
      </c>
      <c r="I788" s="1">
        <v>11499</v>
      </c>
      <c r="J788" s="1">
        <v>159.809</v>
      </c>
      <c r="K788" s="1">
        <v>-5.3739999999999997</v>
      </c>
      <c r="L788" s="1">
        <v>19.059999999999999</v>
      </c>
      <c r="M788" s="1" t="s">
        <v>1221</v>
      </c>
      <c r="N788" s="1" t="s">
        <v>1147</v>
      </c>
      <c r="O788" s="1" t="s">
        <v>1222</v>
      </c>
      <c r="P788" s="1" t="s">
        <v>1223</v>
      </c>
      <c r="Q788" s="1" t="s">
        <v>46</v>
      </c>
      <c r="R788" s="1" t="s">
        <v>90</v>
      </c>
      <c r="S788" s="1" t="s">
        <v>68</v>
      </c>
    </row>
    <row r="789" spans="1:19" hidden="1" x14ac:dyDescent="0.25">
      <c r="A789" s="2">
        <v>115</v>
      </c>
      <c r="B789" s="1" t="s">
        <v>1218</v>
      </c>
      <c r="C789" s="1" t="s">
        <v>1219</v>
      </c>
      <c r="D789" s="1" t="s">
        <v>1220</v>
      </c>
      <c r="E789" s="1">
        <v>2</v>
      </c>
      <c r="F789" s="1">
        <v>161.23599999999999</v>
      </c>
      <c r="G789" s="1">
        <v>8336</v>
      </c>
      <c r="H789" s="1">
        <v>9973</v>
      </c>
      <c r="I789" s="1">
        <v>11548</v>
      </c>
      <c r="J789" s="1">
        <v>158.679</v>
      </c>
      <c r="K789" s="1">
        <v>-5.3840000000000003</v>
      </c>
      <c r="L789" s="1">
        <v>19.096</v>
      </c>
      <c r="M789" s="1" t="s">
        <v>1221</v>
      </c>
      <c r="N789" s="1" t="s">
        <v>1147</v>
      </c>
      <c r="O789" s="1" t="s">
        <v>1222</v>
      </c>
      <c r="P789" s="1" t="s">
        <v>1223</v>
      </c>
      <c r="Q789" s="1" t="s">
        <v>152</v>
      </c>
      <c r="R789" s="1" t="s">
        <v>262</v>
      </c>
      <c r="S789" s="1" t="s">
        <v>286</v>
      </c>
    </row>
    <row r="790" spans="1:19" hidden="1" x14ac:dyDescent="0.25">
      <c r="A790" s="2">
        <v>115</v>
      </c>
      <c r="B790" s="1" t="s">
        <v>1218</v>
      </c>
      <c r="C790" s="1" t="s">
        <v>1219</v>
      </c>
      <c r="D790" s="1" t="s">
        <v>1220</v>
      </c>
      <c r="E790" s="1">
        <v>3</v>
      </c>
      <c r="F790" s="1">
        <v>162.066</v>
      </c>
      <c r="G790" s="1">
        <v>8395</v>
      </c>
      <c r="H790" s="1">
        <v>10042</v>
      </c>
      <c r="I790" s="1">
        <v>11627</v>
      </c>
      <c r="J790" s="1">
        <v>159.495</v>
      </c>
      <c r="K790" s="1">
        <v>-5.4029999999999996</v>
      </c>
      <c r="L790" s="1">
        <v>19.081</v>
      </c>
      <c r="M790" s="1" t="s">
        <v>1221</v>
      </c>
      <c r="N790" s="1" t="s">
        <v>1147</v>
      </c>
      <c r="O790" s="1" t="s">
        <v>1222</v>
      </c>
      <c r="P790" s="1" t="s">
        <v>1223</v>
      </c>
      <c r="Q790" s="1" t="s">
        <v>138</v>
      </c>
      <c r="R790" s="1" t="s">
        <v>170</v>
      </c>
      <c r="S790" s="1" t="s">
        <v>201</v>
      </c>
    </row>
    <row r="791" spans="1:19" hidden="1" x14ac:dyDescent="0.25">
      <c r="A791" s="2">
        <v>115</v>
      </c>
      <c r="B791" s="1" t="s">
        <v>1218</v>
      </c>
      <c r="C791" s="1" t="s">
        <v>1219</v>
      </c>
      <c r="D791" s="1" t="s">
        <v>1220</v>
      </c>
      <c r="E791" s="1">
        <v>4</v>
      </c>
      <c r="F791" s="1">
        <v>161.76900000000001</v>
      </c>
      <c r="G791" s="1">
        <v>8315</v>
      </c>
      <c r="H791" s="1">
        <v>9947</v>
      </c>
      <c r="I791" s="1">
        <v>11517</v>
      </c>
      <c r="J791" s="1">
        <v>159.202</v>
      </c>
      <c r="K791" s="1">
        <v>-5.399</v>
      </c>
      <c r="L791" s="1">
        <v>19.082999999999998</v>
      </c>
      <c r="M791" s="1" t="s">
        <v>1221</v>
      </c>
      <c r="N791" s="1" t="s">
        <v>1147</v>
      </c>
      <c r="O791" s="1" t="s">
        <v>1222</v>
      </c>
      <c r="P791" s="1" t="s">
        <v>1223</v>
      </c>
      <c r="Q791" s="1" t="s">
        <v>139</v>
      </c>
      <c r="R791" s="1" t="s">
        <v>266</v>
      </c>
      <c r="S791" s="1" t="s">
        <v>282</v>
      </c>
    </row>
    <row r="792" spans="1:19" hidden="1" x14ac:dyDescent="0.25">
      <c r="A792" s="2">
        <v>115</v>
      </c>
      <c r="B792" s="1" t="s">
        <v>1218</v>
      </c>
      <c r="C792" s="1" t="s">
        <v>1219</v>
      </c>
      <c r="D792" s="1" t="s">
        <v>1220</v>
      </c>
      <c r="E792" s="1">
        <v>5</v>
      </c>
      <c r="F792" s="1">
        <v>203.33</v>
      </c>
      <c r="G792" s="1">
        <v>17781</v>
      </c>
      <c r="H792" s="1">
        <v>21454</v>
      </c>
      <c r="I792" s="1">
        <v>24753</v>
      </c>
      <c r="J792" s="1">
        <v>200.09399999999999</v>
      </c>
      <c r="K792" s="1">
        <v>-2.536</v>
      </c>
      <c r="L792" s="1">
        <v>23.893999999999998</v>
      </c>
      <c r="M792" s="1" t="s">
        <v>1221</v>
      </c>
      <c r="N792" s="1" t="s">
        <v>1147</v>
      </c>
      <c r="O792" s="1" t="s">
        <v>1222</v>
      </c>
      <c r="P792" s="1" t="s">
        <v>1223</v>
      </c>
      <c r="Q792" s="1" t="s">
        <v>196</v>
      </c>
      <c r="R792" s="1" t="s">
        <v>218</v>
      </c>
      <c r="S792" s="1" t="s">
        <v>227</v>
      </c>
    </row>
    <row r="793" spans="1:19" x14ac:dyDescent="0.25">
      <c r="A793" s="2">
        <v>115</v>
      </c>
      <c r="B793" s="1" t="s">
        <v>1218</v>
      </c>
      <c r="C793" s="1" t="s">
        <v>1219</v>
      </c>
      <c r="D793" s="1" t="s">
        <v>1220</v>
      </c>
      <c r="E793" s="1">
        <v>6</v>
      </c>
      <c r="F793" s="1">
        <v>180.697</v>
      </c>
      <c r="G793" s="1">
        <v>15978</v>
      </c>
      <c r="H793" s="1">
        <v>19266</v>
      </c>
      <c r="I793" s="1">
        <v>22246</v>
      </c>
      <c r="J793" s="1">
        <v>177.821</v>
      </c>
      <c r="K793" s="1">
        <v>-2.4630000000000001</v>
      </c>
      <c r="L793" s="1">
        <v>24.02</v>
      </c>
      <c r="M793" s="1" t="s">
        <v>1221</v>
      </c>
      <c r="N793" s="1" t="s">
        <v>1147</v>
      </c>
      <c r="O793" s="1" t="s">
        <v>1222</v>
      </c>
      <c r="P793" s="1" t="s">
        <v>1223</v>
      </c>
      <c r="Q793" s="1" t="s">
        <v>289</v>
      </c>
      <c r="R793" s="1" t="s">
        <v>277</v>
      </c>
      <c r="S793" s="1" t="s">
        <v>260</v>
      </c>
    </row>
    <row r="794" spans="1:19" x14ac:dyDescent="0.25">
      <c r="A794" s="2">
        <v>115</v>
      </c>
      <c r="B794" s="1" t="s">
        <v>1218</v>
      </c>
      <c r="C794" s="1" t="s">
        <v>1219</v>
      </c>
      <c r="D794" s="1" t="s">
        <v>1220</v>
      </c>
      <c r="E794" s="1">
        <v>7</v>
      </c>
      <c r="F794" s="1">
        <v>167.76499999999999</v>
      </c>
      <c r="G794" s="1">
        <v>14882</v>
      </c>
      <c r="H794" s="1">
        <v>17932</v>
      </c>
      <c r="I794" s="1">
        <v>20714</v>
      </c>
      <c r="J794" s="1">
        <v>165.09399999999999</v>
      </c>
      <c r="K794" s="1">
        <v>-2.4430000000000001</v>
      </c>
      <c r="L794" s="1">
        <v>24.062999999999999</v>
      </c>
      <c r="M794" s="1" t="s">
        <v>1221</v>
      </c>
      <c r="N794" s="1" t="s">
        <v>1147</v>
      </c>
      <c r="O794" s="1" t="s">
        <v>1222</v>
      </c>
      <c r="P794" s="1" t="s">
        <v>1223</v>
      </c>
      <c r="Q794" s="1" t="s">
        <v>1224</v>
      </c>
      <c r="R794" s="1" t="s">
        <v>343</v>
      </c>
      <c r="S794" s="1" t="s">
        <v>1225</v>
      </c>
    </row>
    <row r="795" spans="1:19" hidden="1" x14ac:dyDescent="0.25">
      <c r="A795" s="2">
        <v>116</v>
      </c>
      <c r="B795" s="1" t="s">
        <v>1226</v>
      </c>
      <c r="C795" s="1" t="s">
        <v>586</v>
      </c>
      <c r="D795" s="1" t="s">
        <v>1227</v>
      </c>
      <c r="E795" s="1">
        <v>1</v>
      </c>
      <c r="F795" s="1">
        <v>162.83799999999999</v>
      </c>
      <c r="G795" s="1">
        <v>8323</v>
      </c>
      <c r="H795" s="1">
        <v>9956</v>
      </c>
      <c r="I795" s="1">
        <v>11526</v>
      </c>
      <c r="J795" s="1">
        <v>160.255</v>
      </c>
      <c r="K795" s="1">
        <v>-5.39</v>
      </c>
      <c r="L795" s="1">
        <v>19.07</v>
      </c>
      <c r="M795" s="1" t="s">
        <v>1228</v>
      </c>
      <c r="N795" s="1" t="s">
        <v>1147</v>
      </c>
      <c r="O795" s="1" t="s">
        <v>1229</v>
      </c>
      <c r="P795" s="1" t="s">
        <v>1230</v>
      </c>
      <c r="Q795" s="1" t="s">
        <v>91</v>
      </c>
      <c r="R795" s="1" t="s">
        <v>107</v>
      </c>
      <c r="S795" s="1" t="s">
        <v>158</v>
      </c>
    </row>
    <row r="796" spans="1:19" hidden="1" x14ac:dyDescent="0.25">
      <c r="A796" s="2">
        <v>116</v>
      </c>
      <c r="B796" s="1" t="s">
        <v>1226</v>
      </c>
      <c r="C796" s="1" t="s">
        <v>586</v>
      </c>
      <c r="D796" s="1" t="s">
        <v>1227</v>
      </c>
      <c r="E796" s="1">
        <v>2</v>
      </c>
      <c r="F796" s="1">
        <v>161.27500000000001</v>
      </c>
      <c r="G796" s="1">
        <v>8340</v>
      </c>
      <c r="H796" s="1">
        <v>9977</v>
      </c>
      <c r="I796" s="1">
        <v>11551</v>
      </c>
      <c r="J796" s="1">
        <v>158.71700000000001</v>
      </c>
      <c r="K796" s="1">
        <v>-5.3869999999999996</v>
      </c>
      <c r="L796" s="1">
        <v>19.074999999999999</v>
      </c>
      <c r="M796" s="1" t="s">
        <v>1228</v>
      </c>
      <c r="N796" s="1" t="s">
        <v>1147</v>
      </c>
      <c r="O796" s="1" t="s">
        <v>1229</v>
      </c>
      <c r="P796" s="1" t="s">
        <v>1230</v>
      </c>
      <c r="Q796" s="1" t="s">
        <v>159</v>
      </c>
      <c r="R796" s="1" t="s">
        <v>234</v>
      </c>
      <c r="S796" s="1" t="s">
        <v>142</v>
      </c>
    </row>
    <row r="797" spans="1:19" hidden="1" x14ac:dyDescent="0.25">
      <c r="A797" s="2">
        <v>116</v>
      </c>
      <c r="B797" s="1" t="s">
        <v>1226</v>
      </c>
      <c r="C797" s="1" t="s">
        <v>586</v>
      </c>
      <c r="D797" s="1" t="s">
        <v>1227</v>
      </c>
      <c r="E797" s="1">
        <v>3</v>
      </c>
      <c r="F797" s="1">
        <v>161.86500000000001</v>
      </c>
      <c r="G797" s="1">
        <v>8383</v>
      </c>
      <c r="H797" s="1">
        <v>10029</v>
      </c>
      <c r="I797" s="1">
        <v>11614</v>
      </c>
      <c r="J797" s="1">
        <v>159.298</v>
      </c>
      <c r="K797" s="1">
        <v>-5.41</v>
      </c>
      <c r="L797" s="1">
        <v>19.042999999999999</v>
      </c>
      <c r="M797" s="1" t="s">
        <v>1228</v>
      </c>
      <c r="N797" s="1" t="s">
        <v>1147</v>
      </c>
      <c r="O797" s="1" t="s">
        <v>1229</v>
      </c>
      <c r="P797" s="1" t="s">
        <v>1230</v>
      </c>
      <c r="Q797" s="1" t="s">
        <v>161</v>
      </c>
      <c r="R797" s="1" t="s">
        <v>266</v>
      </c>
      <c r="S797" s="1" t="s">
        <v>305</v>
      </c>
    </row>
    <row r="798" spans="1:19" hidden="1" x14ac:dyDescent="0.25">
      <c r="A798" s="2">
        <v>116</v>
      </c>
      <c r="B798" s="1" t="s">
        <v>1226</v>
      </c>
      <c r="C798" s="1" t="s">
        <v>586</v>
      </c>
      <c r="D798" s="1" t="s">
        <v>1227</v>
      </c>
      <c r="E798" s="1">
        <v>4</v>
      </c>
      <c r="F798" s="1">
        <v>161.37100000000001</v>
      </c>
      <c r="G798" s="1">
        <v>8301</v>
      </c>
      <c r="H798" s="1">
        <v>9930</v>
      </c>
      <c r="I798" s="1">
        <v>11497</v>
      </c>
      <c r="J798" s="1">
        <v>158.81100000000001</v>
      </c>
      <c r="K798" s="1">
        <v>-5.399</v>
      </c>
      <c r="L798" s="1">
        <v>19.082999999999998</v>
      </c>
      <c r="M798" s="1" t="s">
        <v>1228</v>
      </c>
      <c r="N798" s="1" t="s">
        <v>1147</v>
      </c>
      <c r="O798" s="1" t="s">
        <v>1229</v>
      </c>
      <c r="P798" s="1" t="s">
        <v>1230</v>
      </c>
      <c r="Q798" s="1" t="s">
        <v>160</v>
      </c>
      <c r="R798" s="1" t="s">
        <v>155</v>
      </c>
      <c r="S798" s="1" t="s">
        <v>370</v>
      </c>
    </row>
    <row r="799" spans="1:19" hidden="1" x14ac:dyDescent="0.25">
      <c r="A799" s="2">
        <v>116</v>
      </c>
      <c r="B799" s="1" t="s">
        <v>1226</v>
      </c>
      <c r="C799" s="1" t="s">
        <v>586</v>
      </c>
      <c r="D799" s="1" t="s">
        <v>1227</v>
      </c>
      <c r="E799" s="1">
        <v>5</v>
      </c>
      <c r="F799" s="1">
        <v>188.63300000000001</v>
      </c>
      <c r="G799" s="1">
        <v>15741</v>
      </c>
      <c r="H799" s="1">
        <v>18968</v>
      </c>
      <c r="I799" s="1">
        <v>21910</v>
      </c>
      <c r="J799" s="1">
        <v>185.63</v>
      </c>
      <c r="K799" s="1">
        <v>-2.484</v>
      </c>
      <c r="L799" s="1">
        <v>23.835000000000001</v>
      </c>
      <c r="M799" s="1" t="s">
        <v>1228</v>
      </c>
      <c r="N799" s="1" t="s">
        <v>1147</v>
      </c>
      <c r="O799" s="1" t="s">
        <v>1229</v>
      </c>
      <c r="P799" s="1" t="s">
        <v>1230</v>
      </c>
      <c r="Q799" s="1" t="s">
        <v>188</v>
      </c>
      <c r="R799" s="1" t="s">
        <v>133</v>
      </c>
      <c r="S799" s="1" t="s">
        <v>112</v>
      </c>
    </row>
    <row r="800" spans="1:19" x14ac:dyDescent="0.25">
      <c r="A800" s="2">
        <v>116</v>
      </c>
      <c r="B800" s="1" t="s">
        <v>1226</v>
      </c>
      <c r="C800" s="1" t="s">
        <v>586</v>
      </c>
      <c r="D800" s="1" t="s">
        <v>1227</v>
      </c>
      <c r="E800" s="1">
        <v>6</v>
      </c>
      <c r="F800" s="1">
        <v>165.53299999999999</v>
      </c>
      <c r="G800" s="1">
        <v>13924</v>
      </c>
      <c r="H800" s="1">
        <v>16776</v>
      </c>
      <c r="I800" s="1">
        <v>19384</v>
      </c>
      <c r="J800" s="1">
        <v>162.898</v>
      </c>
      <c r="K800" s="1">
        <v>-2.4329999999999998</v>
      </c>
      <c r="L800" s="1">
        <v>24.009</v>
      </c>
      <c r="M800" s="1" t="s">
        <v>1228</v>
      </c>
      <c r="N800" s="1" t="s">
        <v>1147</v>
      </c>
      <c r="O800" s="1" t="s">
        <v>1229</v>
      </c>
      <c r="P800" s="1" t="s">
        <v>1230</v>
      </c>
      <c r="Q800" s="1" t="s">
        <v>158</v>
      </c>
      <c r="R800" s="1" t="s">
        <v>194</v>
      </c>
      <c r="S800" s="1" t="s">
        <v>381</v>
      </c>
    </row>
    <row r="801" spans="1:19" x14ac:dyDescent="0.25">
      <c r="A801" s="2">
        <v>116</v>
      </c>
      <c r="B801" s="1" t="s">
        <v>1226</v>
      </c>
      <c r="C801" s="1" t="s">
        <v>586</v>
      </c>
      <c r="D801" s="1" t="s">
        <v>1227</v>
      </c>
      <c r="E801" s="1">
        <v>7</v>
      </c>
      <c r="F801" s="1">
        <v>152.78800000000001</v>
      </c>
      <c r="G801" s="1">
        <v>12897</v>
      </c>
      <c r="H801" s="1">
        <v>15536</v>
      </c>
      <c r="I801" s="1">
        <v>17952</v>
      </c>
      <c r="J801" s="1">
        <v>150.35499999999999</v>
      </c>
      <c r="K801" s="1">
        <v>-2.3820000000000001</v>
      </c>
      <c r="L801" s="1">
        <v>24.042999999999999</v>
      </c>
      <c r="M801" s="1" t="s">
        <v>1228</v>
      </c>
      <c r="N801" s="1" t="s">
        <v>1147</v>
      </c>
      <c r="O801" s="1" t="s">
        <v>1229</v>
      </c>
      <c r="P801" s="1" t="s">
        <v>1230</v>
      </c>
      <c r="Q801" s="1" t="s">
        <v>709</v>
      </c>
      <c r="R801" s="1" t="s">
        <v>1231</v>
      </c>
      <c r="S801" s="1" t="s">
        <v>1232</v>
      </c>
    </row>
    <row r="802" spans="1:19" hidden="1" x14ac:dyDescent="0.25">
      <c r="A802" s="2">
        <v>117</v>
      </c>
      <c r="B802" s="1" t="s">
        <v>1233</v>
      </c>
      <c r="C802" s="1" t="s">
        <v>317</v>
      </c>
      <c r="D802" s="1" t="s">
        <v>1234</v>
      </c>
      <c r="E802" s="1">
        <v>1</v>
      </c>
      <c r="F802" s="1">
        <v>162.524</v>
      </c>
      <c r="G802" s="1">
        <v>8299</v>
      </c>
      <c r="H802" s="1">
        <v>9928</v>
      </c>
      <c r="I802" s="1">
        <v>11495</v>
      </c>
      <c r="J802" s="1">
        <v>159.94499999999999</v>
      </c>
      <c r="K802" s="1">
        <v>-5.3819999999999997</v>
      </c>
      <c r="L802" s="1">
        <v>19.082000000000001</v>
      </c>
      <c r="M802" s="1" t="s">
        <v>1235</v>
      </c>
      <c r="N802" s="1" t="s">
        <v>1147</v>
      </c>
      <c r="O802" s="1" t="s">
        <v>1236</v>
      </c>
      <c r="P802" s="1" t="s">
        <v>1237</v>
      </c>
      <c r="Q802" s="1" t="s">
        <v>102</v>
      </c>
      <c r="R802" s="1" t="s">
        <v>75</v>
      </c>
      <c r="S802" s="1" t="s">
        <v>291</v>
      </c>
    </row>
    <row r="803" spans="1:19" hidden="1" x14ac:dyDescent="0.25">
      <c r="A803" s="2">
        <v>117</v>
      </c>
      <c r="B803" s="1" t="s">
        <v>1233</v>
      </c>
      <c r="C803" s="1" t="s">
        <v>317</v>
      </c>
      <c r="D803" s="1" t="s">
        <v>1234</v>
      </c>
      <c r="E803" s="1">
        <v>2</v>
      </c>
      <c r="F803" s="1">
        <v>161.155</v>
      </c>
      <c r="G803" s="1">
        <v>8337</v>
      </c>
      <c r="H803" s="1">
        <v>9973</v>
      </c>
      <c r="I803" s="1">
        <v>11547</v>
      </c>
      <c r="J803" s="1">
        <v>158.59800000000001</v>
      </c>
      <c r="K803" s="1">
        <v>-5.4020000000000001</v>
      </c>
      <c r="L803" s="1">
        <v>19.079999999999998</v>
      </c>
      <c r="M803" s="1" t="s">
        <v>1235</v>
      </c>
      <c r="N803" s="1" t="s">
        <v>1147</v>
      </c>
      <c r="O803" s="1" t="s">
        <v>1236</v>
      </c>
      <c r="P803" s="1" t="s">
        <v>1237</v>
      </c>
      <c r="Q803" s="1" t="s">
        <v>253</v>
      </c>
      <c r="R803" s="1" t="s">
        <v>297</v>
      </c>
      <c r="S803" s="1" t="s">
        <v>180</v>
      </c>
    </row>
    <row r="804" spans="1:19" hidden="1" x14ac:dyDescent="0.25">
      <c r="A804" s="2">
        <v>117</v>
      </c>
      <c r="B804" s="1" t="s">
        <v>1233</v>
      </c>
      <c r="C804" s="1" t="s">
        <v>317</v>
      </c>
      <c r="D804" s="1" t="s">
        <v>1234</v>
      </c>
      <c r="E804" s="1">
        <v>3</v>
      </c>
      <c r="F804" s="1">
        <v>162.44200000000001</v>
      </c>
      <c r="G804" s="1">
        <v>8391</v>
      </c>
      <c r="H804" s="1">
        <v>10038</v>
      </c>
      <c r="I804" s="1">
        <v>11622</v>
      </c>
      <c r="J804" s="1">
        <v>159.86500000000001</v>
      </c>
      <c r="K804" s="1">
        <v>-5.4089999999999998</v>
      </c>
      <c r="L804" s="1">
        <v>19.085000000000001</v>
      </c>
      <c r="M804" s="1" t="s">
        <v>1235</v>
      </c>
      <c r="N804" s="1" t="s">
        <v>1147</v>
      </c>
      <c r="O804" s="1" t="s">
        <v>1236</v>
      </c>
      <c r="P804" s="1" t="s">
        <v>1237</v>
      </c>
      <c r="Q804" s="1" t="s">
        <v>146</v>
      </c>
      <c r="R804" s="1" t="s">
        <v>177</v>
      </c>
      <c r="S804" s="1" t="s">
        <v>282</v>
      </c>
    </row>
    <row r="805" spans="1:19" hidden="1" x14ac:dyDescent="0.25">
      <c r="A805" s="2">
        <v>117</v>
      </c>
      <c r="B805" s="1" t="s">
        <v>1233</v>
      </c>
      <c r="C805" s="1" t="s">
        <v>317</v>
      </c>
      <c r="D805" s="1" t="s">
        <v>1234</v>
      </c>
      <c r="E805" s="1">
        <v>4</v>
      </c>
      <c r="F805" s="1">
        <v>162.51900000000001</v>
      </c>
      <c r="G805" s="1">
        <v>8330</v>
      </c>
      <c r="H805" s="1">
        <v>9965</v>
      </c>
      <c r="I805" s="1">
        <v>11536</v>
      </c>
      <c r="J805" s="1">
        <v>159.941</v>
      </c>
      <c r="K805" s="1">
        <v>-5.399</v>
      </c>
      <c r="L805" s="1">
        <v>19.082999999999998</v>
      </c>
      <c r="M805" s="1" t="s">
        <v>1235</v>
      </c>
      <c r="N805" s="1" t="s">
        <v>1147</v>
      </c>
      <c r="O805" s="1" t="s">
        <v>1236</v>
      </c>
      <c r="P805" s="1" t="s">
        <v>1237</v>
      </c>
      <c r="Q805" s="1" t="s">
        <v>165</v>
      </c>
      <c r="R805" s="1" t="s">
        <v>143</v>
      </c>
      <c r="S805" s="1" t="s">
        <v>238</v>
      </c>
    </row>
    <row r="806" spans="1:19" hidden="1" x14ac:dyDescent="0.25">
      <c r="A806" s="2">
        <v>117</v>
      </c>
      <c r="B806" s="1" t="s">
        <v>1233</v>
      </c>
      <c r="C806" s="1" t="s">
        <v>317</v>
      </c>
      <c r="D806" s="1" t="s">
        <v>1234</v>
      </c>
      <c r="E806" s="1">
        <v>5</v>
      </c>
      <c r="F806" s="1">
        <v>202.60300000000001</v>
      </c>
      <c r="G806" s="1">
        <v>17840</v>
      </c>
      <c r="H806" s="1">
        <v>21520</v>
      </c>
      <c r="I806" s="1">
        <v>24831</v>
      </c>
      <c r="J806" s="1">
        <v>199.37799999999999</v>
      </c>
      <c r="K806" s="1">
        <v>-2.2509999999999999</v>
      </c>
      <c r="L806" s="1">
        <v>23.864999999999998</v>
      </c>
      <c r="M806" s="1" t="s">
        <v>1235</v>
      </c>
      <c r="N806" s="1" t="s">
        <v>1147</v>
      </c>
      <c r="O806" s="1" t="s">
        <v>1236</v>
      </c>
      <c r="P806" s="1" t="s">
        <v>1237</v>
      </c>
      <c r="Q806" s="1" t="s">
        <v>200</v>
      </c>
      <c r="R806" s="1" t="s">
        <v>145</v>
      </c>
      <c r="S806" s="1" t="s">
        <v>106</v>
      </c>
    </row>
    <row r="807" spans="1:19" x14ac:dyDescent="0.25">
      <c r="A807" s="2">
        <v>117</v>
      </c>
      <c r="B807" s="1" t="s">
        <v>1233</v>
      </c>
      <c r="C807" s="1" t="s">
        <v>317</v>
      </c>
      <c r="D807" s="1" t="s">
        <v>1234</v>
      </c>
      <c r="E807" s="1">
        <v>6</v>
      </c>
      <c r="F807" s="1">
        <v>179.13499999999999</v>
      </c>
      <c r="G807" s="1">
        <v>15821</v>
      </c>
      <c r="H807" s="1">
        <v>19070</v>
      </c>
      <c r="I807" s="1">
        <v>22018</v>
      </c>
      <c r="J807" s="1">
        <v>176.28399999999999</v>
      </c>
      <c r="K807" s="1">
        <v>-2.1960000000000002</v>
      </c>
      <c r="L807" s="1">
        <v>24.009</v>
      </c>
      <c r="M807" s="1" t="s">
        <v>1235</v>
      </c>
      <c r="N807" s="1" t="s">
        <v>1147</v>
      </c>
      <c r="O807" s="1" t="s">
        <v>1236</v>
      </c>
      <c r="P807" s="1" t="s">
        <v>1237</v>
      </c>
      <c r="Q807" s="1" t="s">
        <v>289</v>
      </c>
      <c r="R807" s="1" t="s">
        <v>277</v>
      </c>
      <c r="S807" s="1" t="s">
        <v>239</v>
      </c>
    </row>
    <row r="808" spans="1:19" x14ac:dyDescent="0.25">
      <c r="A808" s="2">
        <v>117</v>
      </c>
      <c r="B808" s="1" t="s">
        <v>1233</v>
      </c>
      <c r="C808" s="1" t="s">
        <v>317</v>
      </c>
      <c r="D808" s="1" t="s">
        <v>1234</v>
      </c>
      <c r="E808" s="1">
        <v>7</v>
      </c>
      <c r="F808" s="1">
        <v>165.68199999999999</v>
      </c>
      <c r="G808" s="1">
        <v>14613</v>
      </c>
      <c r="H808" s="1">
        <v>17609</v>
      </c>
      <c r="I808" s="1">
        <v>20337</v>
      </c>
      <c r="J808" s="1">
        <v>163.04400000000001</v>
      </c>
      <c r="K808" s="1">
        <v>-2.1309999999999998</v>
      </c>
      <c r="L808" s="1">
        <v>24.056000000000001</v>
      </c>
      <c r="M808" s="1" t="s">
        <v>1235</v>
      </c>
      <c r="N808" s="1" t="s">
        <v>1147</v>
      </c>
      <c r="O808" s="1" t="s">
        <v>1236</v>
      </c>
      <c r="P808" s="1" t="s">
        <v>1237</v>
      </c>
      <c r="Q808" s="1" t="s">
        <v>574</v>
      </c>
      <c r="R808" s="1" t="s">
        <v>384</v>
      </c>
      <c r="S808" s="1" t="s">
        <v>1238</v>
      </c>
    </row>
    <row r="809" spans="1:19" hidden="1" x14ac:dyDescent="0.25">
      <c r="A809" s="2">
        <v>118</v>
      </c>
      <c r="B809" s="1" t="s">
        <v>1239</v>
      </c>
      <c r="C809" s="1" t="s">
        <v>671</v>
      </c>
      <c r="D809" s="1" t="s">
        <v>1240</v>
      </c>
      <c r="E809" s="1">
        <v>1</v>
      </c>
      <c r="F809" s="1">
        <v>162.99299999999999</v>
      </c>
      <c r="G809" s="1">
        <v>8276</v>
      </c>
      <c r="H809" s="1">
        <v>9901</v>
      </c>
      <c r="I809" s="1">
        <v>11457</v>
      </c>
      <c r="J809" s="1">
        <v>160.40700000000001</v>
      </c>
      <c r="K809" s="1">
        <v>-5.3940000000000001</v>
      </c>
      <c r="L809" s="1">
        <v>19.053000000000001</v>
      </c>
      <c r="M809" s="1" t="s">
        <v>1241</v>
      </c>
      <c r="N809" s="1" t="s">
        <v>1147</v>
      </c>
      <c r="O809" s="1" t="s">
        <v>1242</v>
      </c>
      <c r="P809" s="1" t="s">
        <v>1243</v>
      </c>
      <c r="Q809" s="1" t="s">
        <v>91</v>
      </c>
      <c r="R809" s="1" t="s">
        <v>107</v>
      </c>
      <c r="S809" s="1" t="s">
        <v>158</v>
      </c>
    </row>
    <row r="810" spans="1:19" hidden="1" x14ac:dyDescent="0.25">
      <c r="A810" s="2">
        <v>118</v>
      </c>
      <c r="B810" s="1" t="s">
        <v>1239</v>
      </c>
      <c r="C810" s="1" t="s">
        <v>671</v>
      </c>
      <c r="D810" s="1" t="s">
        <v>1240</v>
      </c>
      <c r="E810" s="1">
        <v>2</v>
      </c>
      <c r="F810" s="1">
        <v>162.018</v>
      </c>
      <c r="G810" s="1">
        <v>8386</v>
      </c>
      <c r="H810" s="1">
        <v>10033</v>
      </c>
      <c r="I810" s="1">
        <v>11610</v>
      </c>
      <c r="J810" s="1">
        <v>159.44800000000001</v>
      </c>
      <c r="K810" s="1">
        <v>-5.4</v>
      </c>
      <c r="L810" s="1">
        <v>19.077000000000002</v>
      </c>
      <c r="M810" s="1" t="s">
        <v>1241</v>
      </c>
      <c r="N810" s="1" t="s">
        <v>1147</v>
      </c>
      <c r="O810" s="1" t="s">
        <v>1242</v>
      </c>
      <c r="P810" s="1" t="s">
        <v>1243</v>
      </c>
      <c r="Q810" s="1" t="s">
        <v>159</v>
      </c>
      <c r="R810" s="1" t="s">
        <v>234</v>
      </c>
      <c r="S810" s="1" t="s">
        <v>381</v>
      </c>
    </row>
    <row r="811" spans="1:19" hidden="1" x14ac:dyDescent="0.25">
      <c r="A811" s="2">
        <v>118</v>
      </c>
      <c r="B811" s="1" t="s">
        <v>1239</v>
      </c>
      <c r="C811" s="1" t="s">
        <v>671</v>
      </c>
      <c r="D811" s="1" t="s">
        <v>1240</v>
      </c>
      <c r="E811" s="1">
        <v>3</v>
      </c>
      <c r="F811" s="1">
        <v>162.66499999999999</v>
      </c>
      <c r="G811" s="1">
        <v>8406</v>
      </c>
      <c r="H811" s="1">
        <v>10057</v>
      </c>
      <c r="I811" s="1">
        <v>11637</v>
      </c>
      <c r="J811" s="1">
        <v>160.084</v>
      </c>
      <c r="K811" s="1">
        <v>-5.3970000000000002</v>
      </c>
      <c r="L811" s="1">
        <v>19.079000000000001</v>
      </c>
      <c r="M811" s="1" t="s">
        <v>1241</v>
      </c>
      <c r="N811" s="1" t="s">
        <v>1147</v>
      </c>
      <c r="O811" s="1" t="s">
        <v>1242</v>
      </c>
      <c r="P811" s="1" t="s">
        <v>1243</v>
      </c>
      <c r="Q811" s="1" t="s">
        <v>161</v>
      </c>
      <c r="R811" s="1" t="s">
        <v>266</v>
      </c>
      <c r="S811" s="1" t="s">
        <v>292</v>
      </c>
    </row>
    <row r="812" spans="1:19" hidden="1" x14ac:dyDescent="0.25">
      <c r="A812" s="2">
        <v>118</v>
      </c>
      <c r="B812" s="1" t="s">
        <v>1239</v>
      </c>
      <c r="C812" s="1" t="s">
        <v>671</v>
      </c>
      <c r="D812" s="1" t="s">
        <v>1240</v>
      </c>
      <c r="E812" s="1">
        <v>4</v>
      </c>
      <c r="F812" s="1">
        <v>162.80099999999999</v>
      </c>
      <c r="G812" s="1">
        <v>8356</v>
      </c>
      <c r="H812" s="1">
        <v>9997</v>
      </c>
      <c r="I812" s="1">
        <v>11569</v>
      </c>
      <c r="J812" s="1">
        <v>160.21799999999999</v>
      </c>
      <c r="K812" s="1">
        <v>-5.399</v>
      </c>
      <c r="L812" s="1">
        <v>19.082999999999998</v>
      </c>
      <c r="M812" s="1" t="s">
        <v>1241</v>
      </c>
      <c r="N812" s="1" t="s">
        <v>1147</v>
      </c>
      <c r="O812" s="1" t="s">
        <v>1242</v>
      </c>
      <c r="P812" s="1" t="s">
        <v>1243</v>
      </c>
      <c r="Q812" s="1" t="s">
        <v>153</v>
      </c>
      <c r="R812" s="1" t="s">
        <v>136</v>
      </c>
      <c r="S812" s="1" t="s">
        <v>247</v>
      </c>
    </row>
    <row r="813" spans="1:19" hidden="1" x14ac:dyDescent="0.25">
      <c r="A813" s="2">
        <v>118</v>
      </c>
      <c r="B813" s="1" t="s">
        <v>1239</v>
      </c>
      <c r="C813" s="1" t="s">
        <v>671</v>
      </c>
      <c r="D813" s="1" t="s">
        <v>1240</v>
      </c>
      <c r="E813" s="1">
        <v>5</v>
      </c>
      <c r="F813" s="1">
        <v>161.91999999999999</v>
      </c>
      <c r="G813" s="1">
        <v>13505</v>
      </c>
      <c r="H813" s="1">
        <v>16268</v>
      </c>
      <c r="I813" s="1">
        <v>18786</v>
      </c>
      <c r="J813" s="1">
        <v>159.34299999999999</v>
      </c>
      <c r="K813" s="1">
        <v>-2.6619999999999999</v>
      </c>
      <c r="L813" s="1">
        <v>23.914000000000001</v>
      </c>
      <c r="M813" s="1" t="s">
        <v>1241</v>
      </c>
      <c r="N813" s="1" t="s">
        <v>1147</v>
      </c>
      <c r="O813" s="1" t="s">
        <v>1242</v>
      </c>
      <c r="P813" s="1" t="s">
        <v>1243</v>
      </c>
      <c r="Q813" s="1" t="s">
        <v>200</v>
      </c>
      <c r="R813" s="1" t="s">
        <v>145</v>
      </c>
      <c r="S813" s="1" t="s">
        <v>44</v>
      </c>
    </row>
    <row r="814" spans="1:19" x14ac:dyDescent="0.25">
      <c r="A814" s="2">
        <v>118</v>
      </c>
      <c r="B814" s="1" t="s">
        <v>1239</v>
      </c>
      <c r="C814" s="1" t="s">
        <v>671</v>
      </c>
      <c r="D814" s="1" t="s">
        <v>1240</v>
      </c>
      <c r="E814" s="1">
        <v>6</v>
      </c>
      <c r="F814" s="1">
        <v>142.845</v>
      </c>
      <c r="G814" s="1">
        <v>12006</v>
      </c>
      <c r="H814" s="1">
        <v>14460</v>
      </c>
      <c r="I814" s="1">
        <v>16703</v>
      </c>
      <c r="J814" s="1">
        <v>140.571</v>
      </c>
      <c r="K814" s="1">
        <v>-2.59</v>
      </c>
      <c r="L814" s="1">
        <v>24.012</v>
      </c>
      <c r="M814" s="1" t="s">
        <v>1241</v>
      </c>
      <c r="N814" s="1" t="s">
        <v>1147</v>
      </c>
      <c r="O814" s="1" t="s">
        <v>1242</v>
      </c>
      <c r="P814" s="1" t="s">
        <v>1243</v>
      </c>
      <c r="Q814" s="1" t="s">
        <v>283</v>
      </c>
      <c r="R814" s="1" t="s">
        <v>366</v>
      </c>
      <c r="S814" s="1" t="s">
        <v>155</v>
      </c>
    </row>
    <row r="815" spans="1:19" x14ac:dyDescent="0.25">
      <c r="A815" s="2">
        <v>118</v>
      </c>
      <c r="B815" s="1" t="s">
        <v>1239</v>
      </c>
      <c r="C815" s="1" t="s">
        <v>671</v>
      </c>
      <c r="D815" s="1" t="s">
        <v>1240</v>
      </c>
      <c r="E815" s="1">
        <v>7</v>
      </c>
      <c r="F815" s="1">
        <v>122.21899999999999</v>
      </c>
      <c r="G815" s="1">
        <v>11144</v>
      </c>
      <c r="H815" s="1">
        <v>13421</v>
      </c>
      <c r="I815" s="1">
        <v>15507</v>
      </c>
      <c r="J815" s="1">
        <v>120.26900000000001</v>
      </c>
      <c r="K815" s="1">
        <v>1.3360000000000001</v>
      </c>
      <c r="L815" s="1">
        <v>22.564</v>
      </c>
      <c r="M815" s="1" t="s">
        <v>1241</v>
      </c>
      <c r="N815" s="1" t="s">
        <v>1147</v>
      </c>
      <c r="O815" s="1" t="s">
        <v>1242</v>
      </c>
      <c r="P815" s="1" t="s">
        <v>1243</v>
      </c>
      <c r="Q815" s="1" t="s">
        <v>144</v>
      </c>
      <c r="R815" s="1" t="s">
        <v>393</v>
      </c>
      <c r="S815" s="1" t="s">
        <v>407</v>
      </c>
    </row>
    <row r="816" spans="1:19" hidden="1" x14ac:dyDescent="0.25">
      <c r="A816" s="2">
        <v>119</v>
      </c>
      <c r="B816" s="1" t="s">
        <v>1244</v>
      </c>
      <c r="C816" s="1" t="s">
        <v>1006</v>
      </c>
      <c r="D816" s="1" t="s">
        <v>1245</v>
      </c>
      <c r="E816" s="1">
        <v>1</v>
      </c>
      <c r="F816" s="1">
        <v>161.602</v>
      </c>
      <c r="G816" s="1">
        <v>8261</v>
      </c>
      <c r="H816" s="1">
        <v>9882</v>
      </c>
      <c r="I816" s="1">
        <v>11444</v>
      </c>
      <c r="J816" s="1">
        <v>159.03899999999999</v>
      </c>
      <c r="K816" s="1">
        <v>-5.407</v>
      </c>
      <c r="L816" s="1">
        <v>19.085999999999999</v>
      </c>
      <c r="M816" s="1" t="s">
        <v>1246</v>
      </c>
      <c r="N816" s="1" t="s">
        <v>1147</v>
      </c>
      <c r="O816" s="1" t="s">
        <v>1247</v>
      </c>
      <c r="P816" s="1" t="s">
        <v>1248</v>
      </c>
      <c r="Q816" s="1" t="s">
        <v>87</v>
      </c>
      <c r="R816" s="1" t="s">
        <v>131</v>
      </c>
      <c r="S816" s="1" t="s">
        <v>152</v>
      </c>
    </row>
    <row r="817" spans="1:19" hidden="1" x14ac:dyDescent="0.25">
      <c r="A817" s="2">
        <v>119</v>
      </c>
      <c r="B817" s="1" t="s">
        <v>1244</v>
      </c>
      <c r="C817" s="1" t="s">
        <v>1006</v>
      </c>
      <c r="D817" s="1" t="s">
        <v>1245</v>
      </c>
      <c r="E817" s="1">
        <v>2</v>
      </c>
      <c r="F817" s="1">
        <v>159.97499999999999</v>
      </c>
      <c r="G817" s="1">
        <v>8300</v>
      </c>
      <c r="H817" s="1">
        <v>9929</v>
      </c>
      <c r="I817" s="1">
        <v>11496</v>
      </c>
      <c r="J817" s="1">
        <v>157.43700000000001</v>
      </c>
      <c r="K817" s="1">
        <v>-5.4180000000000001</v>
      </c>
      <c r="L817" s="1">
        <v>19.087</v>
      </c>
      <c r="M817" s="1" t="s">
        <v>1246</v>
      </c>
      <c r="N817" s="1" t="s">
        <v>1147</v>
      </c>
      <c r="O817" s="1" t="s">
        <v>1247</v>
      </c>
      <c r="P817" s="1" t="s">
        <v>1248</v>
      </c>
      <c r="Q817" s="1" t="s">
        <v>152</v>
      </c>
      <c r="R817" s="1" t="s">
        <v>156</v>
      </c>
      <c r="S817" s="1" t="s">
        <v>150</v>
      </c>
    </row>
    <row r="818" spans="1:19" hidden="1" x14ac:dyDescent="0.25">
      <c r="A818" s="2">
        <v>119</v>
      </c>
      <c r="B818" s="1" t="s">
        <v>1244</v>
      </c>
      <c r="C818" s="1" t="s">
        <v>1006</v>
      </c>
      <c r="D818" s="1" t="s">
        <v>1245</v>
      </c>
      <c r="E818" s="1">
        <v>3</v>
      </c>
      <c r="F818" s="1">
        <v>161.34299999999999</v>
      </c>
      <c r="G818" s="1">
        <v>8338</v>
      </c>
      <c r="H818" s="1">
        <v>9974</v>
      </c>
      <c r="I818" s="1">
        <v>11548</v>
      </c>
      <c r="J818" s="1">
        <v>158.78399999999999</v>
      </c>
      <c r="K818" s="1">
        <v>-5.4219999999999997</v>
      </c>
      <c r="L818" s="1">
        <v>19.076000000000001</v>
      </c>
      <c r="M818" s="1" t="s">
        <v>1246</v>
      </c>
      <c r="N818" s="1" t="s">
        <v>1147</v>
      </c>
      <c r="O818" s="1" t="s">
        <v>1247</v>
      </c>
      <c r="P818" s="1" t="s">
        <v>1248</v>
      </c>
      <c r="Q818" s="1" t="s">
        <v>138</v>
      </c>
      <c r="R818" s="1" t="s">
        <v>170</v>
      </c>
      <c r="S818" s="1" t="s">
        <v>201</v>
      </c>
    </row>
    <row r="819" spans="1:19" hidden="1" x14ac:dyDescent="0.25">
      <c r="A819" s="2">
        <v>119</v>
      </c>
      <c r="B819" s="1" t="s">
        <v>1244</v>
      </c>
      <c r="C819" s="1" t="s">
        <v>1006</v>
      </c>
      <c r="D819" s="1" t="s">
        <v>1245</v>
      </c>
      <c r="E819" s="1">
        <v>4</v>
      </c>
      <c r="F819" s="1">
        <v>161.01</v>
      </c>
      <c r="G819" s="1">
        <v>8257</v>
      </c>
      <c r="H819" s="1">
        <v>9878</v>
      </c>
      <c r="I819" s="1">
        <v>11436</v>
      </c>
      <c r="J819" s="1">
        <v>158.45500000000001</v>
      </c>
      <c r="K819" s="1">
        <v>-5.399</v>
      </c>
      <c r="L819" s="1">
        <v>19.082999999999998</v>
      </c>
      <c r="M819" s="1" t="s">
        <v>1246</v>
      </c>
      <c r="N819" s="1" t="s">
        <v>1147</v>
      </c>
      <c r="O819" s="1" t="s">
        <v>1247</v>
      </c>
      <c r="P819" s="1" t="s">
        <v>1248</v>
      </c>
      <c r="Q819" s="1" t="s">
        <v>161</v>
      </c>
      <c r="R819" s="1" t="s">
        <v>266</v>
      </c>
      <c r="S819" s="1" t="s">
        <v>292</v>
      </c>
    </row>
    <row r="820" spans="1:19" hidden="1" x14ac:dyDescent="0.25">
      <c r="A820" s="2">
        <v>119</v>
      </c>
      <c r="B820" s="1" t="s">
        <v>1244</v>
      </c>
      <c r="C820" s="1" t="s">
        <v>1006</v>
      </c>
      <c r="D820" s="1" t="s">
        <v>1245</v>
      </c>
      <c r="E820" s="1">
        <v>5</v>
      </c>
      <c r="F820" s="1">
        <v>235.096</v>
      </c>
      <c r="G820" s="1">
        <v>20466</v>
      </c>
      <c r="H820" s="1">
        <v>24684</v>
      </c>
      <c r="I820" s="1">
        <v>28486</v>
      </c>
      <c r="J820" s="1">
        <v>231.35400000000001</v>
      </c>
      <c r="K820" s="1">
        <v>-2.5219999999999998</v>
      </c>
      <c r="L820" s="1">
        <v>23.734000000000002</v>
      </c>
      <c r="M820" s="1" t="s">
        <v>1246</v>
      </c>
      <c r="N820" s="1" t="s">
        <v>1147</v>
      </c>
      <c r="O820" s="1" t="s">
        <v>1247</v>
      </c>
      <c r="P820" s="1" t="s">
        <v>1248</v>
      </c>
      <c r="Q820" s="1" t="s">
        <v>202</v>
      </c>
      <c r="R820" s="1" t="s">
        <v>137</v>
      </c>
      <c r="S820" s="1" t="s">
        <v>115</v>
      </c>
    </row>
    <row r="821" spans="1:19" x14ac:dyDescent="0.25">
      <c r="A821" s="2">
        <v>119</v>
      </c>
      <c r="B821" s="1" t="s">
        <v>1244</v>
      </c>
      <c r="C821" s="1" t="s">
        <v>1006</v>
      </c>
      <c r="D821" s="1" t="s">
        <v>1245</v>
      </c>
      <c r="E821" s="1">
        <v>6</v>
      </c>
      <c r="F821" s="1">
        <v>206.33199999999999</v>
      </c>
      <c r="G821" s="1">
        <v>17846</v>
      </c>
      <c r="H821" s="1">
        <v>21507</v>
      </c>
      <c r="I821" s="1">
        <v>24836</v>
      </c>
      <c r="J821" s="1">
        <v>203.048</v>
      </c>
      <c r="K821" s="1">
        <v>-2.4590000000000001</v>
      </c>
      <c r="L821" s="1">
        <v>23.936</v>
      </c>
      <c r="M821" s="1" t="s">
        <v>1246</v>
      </c>
      <c r="N821" s="1" t="s">
        <v>1147</v>
      </c>
      <c r="O821" s="1" t="s">
        <v>1247</v>
      </c>
      <c r="P821" s="1" t="s">
        <v>1248</v>
      </c>
      <c r="Q821" s="1" t="s">
        <v>173</v>
      </c>
      <c r="R821" s="1" t="s">
        <v>304</v>
      </c>
      <c r="S821" s="1" t="s">
        <v>242</v>
      </c>
    </row>
    <row r="822" spans="1:19" x14ac:dyDescent="0.25">
      <c r="A822" s="2">
        <v>119</v>
      </c>
      <c r="B822" s="1" t="s">
        <v>1244</v>
      </c>
      <c r="C822" s="1" t="s">
        <v>1006</v>
      </c>
      <c r="D822" s="1" t="s">
        <v>1245</v>
      </c>
      <c r="E822" s="1">
        <v>7</v>
      </c>
      <c r="F822" s="1">
        <v>190.51499999999999</v>
      </c>
      <c r="G822" s="1">
        <v>16405</v>
      </c>
      <c r="H822" s="1">
        <v>19764</v>
      </c>
      <c r="I822" s="1">
        <v>22838</v>
      </c>
      <c r="J822" s="1">
        <v>187.482</v>
      </c>
      <c r="K822" s="1">
        <v>-2.44</v>
      </c>
      <c r="L822" s="1">
        <v>23.977</v>
      </c>
      <c r="M822" s="1" t="s">
        <v>1246</v>
      </c>
      <c r="N822" s="1" t="s">
        <v>1147</v>
      </c>
      <c r="O822" s="1" t="s">
        <v>1247</v>
      </c>
      <c r="P822" s="1" t="s">
        <v>1248</v>
      </c>
      <c r="Q822" s="1" t="s">
        <v>390</v>
      </c>
      <c r="R822" s="1" t="s">
        <v>319</v>
      </c>
      <c r="S822" s="1" t="s">
        <v>1249</v>
      </c>
    </row>
    <row r="823" spans="1:19" hidden="1" x14ac:dyDescent="0.25">
      <c r="A823" s="2">
        <v>120</v>
      </c>
      <c r="B823" s="1" t="s">
        <v>1250</v>
      </c>
      <c r="C823" s="1" t="s">
        <v>946</v>
      </c>
      <c r="D823" s="1" t="s">
        <v>1251</v>
      </c>
      <c r="E823" s="1">
        <v>1</v>
      </c>
      <c r="F823" s="1">
        <v>162.45400000000001</v>
      </c>
      <c r="G823" s="1">
        <v>8300</v>
      </c>
      <c r="H823" s="1">
        <v>9931</v>
      </c>
      <c r="I823" s="1">
        <v>11474</v>
      </c>
      <c r="J823" s="1">
        <v>159.87799999999999</v>
      </c>
      <c r="K823" s="1">
        <v>-5.3979999999999997</v>
      </c>
      <c r="L823" s="1">
        <v>19.085999999999999</v>
      </c>
      <c r="M823" s="1" t="s">
        <v>1252</v>
      </c>
      <c r="N823" s="1" t="s">
        <v>1147</v>
      </c>
      <c r="O823" s="1" t="s">
        <v>1253</v>
      </c>
      <c r="P823" s="1" t="s">
        <v>1254</v>
      </c>
      <c r="Q823" s="1" t="s">
        <v>57</v>
      </c>
      <c r="R823" s="1" t="s">
        <v>113</v>
      </c>
      <c r="S823" s="1" t="s">
        <v>167</v>
      </c>
    </row>
    <row r="824" spans="1:19" hidden="1" x14ac:dyDescent="0.25">
      <c r="A824" s="2">
        <v>120</v>
      </c>
      <c r="B824" s="1" t="s">
        <v>1250</v>
      </c>
      <c r="C824" s="1" t="s">
        <v>946</v>
      </c>
      <c r="D824" s="1" t="s">
        <v>1251</v>
      </c>
      <c r="E824" s="1">
        <v>2</v>
      </c>
      <c r="F824" s="1">
        <v>161.328</v>
      </c>
      <c r="G824" s="1">
        <v>8351</v>
      </c>
      <c r="H824" s="1">
        <v>9992</v>
      </c>
      <c r="I824" s="1">
        <v>11545</v>
      </c>
      <c r="J824" s="1">
        <v>158.76900000000001</v>
      </c>
      <c r="K824" s="1">
        <v>-5.3739999999999997</v>
      </c>
      <c r="L824" s="1">
        <v>19.036999999999999</v>
      </c>
      <c r="M824" s="1" t="s">
        <v>1252</v>
      </c>
      <c r="N824" s="1" t="s">
        <v>1147</v>
      </c>
      <c r="O824" s="1" t="s">
        <v>1253</v>
      </c>
      <c r="P824" s="1" t="s">
        <v>1254</v>
      </c>
      <c r="Q824" s="1" t="s">
        <v>249</v>
      </c>
      <c r="R824" s="1" t="s">
        <v>194</v>
      </c>
      <c r="S824" s="1" t="s">
        <v>168</v>
      </c>
    </row>
    <row r="825" spans="1:19" hidden="1" x14ac:dyDescent="0.25">
      <c r="A825" s="2">
        <v>120</v>
      </c>
      <c r="B825" s="1" t="s">
        <v>1250</v>
      </c>
      <c r="C825" s="1" t="s">
        <v>946</v>
      </c>
      <c r="D825" s="1" t="s">
        <v>1251</v>
      </c>
      <c r="E825" s="1">
        <v>3</v>
      </c>
      <c r="F825" s="1">
        <v>162.24799999999999</v>
      </c>
      <c r="G825" s="1">
        <v>8406</v>
      </c>
      <c r="H825" s="1">
        <v>10057</v>
      </c>
      <c r="I825" s="1">
        <v>11618</v>
      </c>
      <c r="J825" s="1">
        <v>159.67500000000001</v>
      </c>
      <c r="K825" s="1">
        <v>-5.399</v>
      </c>
      <c r="L825" s="1">
        <v>19.04</v>
      </c>
      <c r="M825" s="1" t="s">
        <v>1252</v>
      </c>
      <c r="N825" s="1" t="s">
        <v>1147</v>
      </c>
      <c r="O825" s="1" t="s">
        <v>1253</v>
      </c>
      <c r="P825" s="1" t="s">
        <v>1254</v>
      </c>
      <c r="Q825" s="1" t="s">
        <v>165</v>
      </c>
      <c r="R825" s="1" t="s">
        <v>155</v>
      </c>
      <c r="S825" s="1" t="s">
        <v>238</v>
      </c>
    </row>
    <row r="826" spans="1:19" hidden="1" x14ac:dyDescent="0.25">
      <c r="A826" s="2">
        <v>120</v>
      </c>
      <c r="B826" s="1" t="s">
        <v>1250</v>
      </c>
      <c r="C826" s="1" t="s">
        <v>946</v>
      </c>
      <c r="D826" s="1" t="s">
        <v>1251</v>
      </c>
      <c r="E826" s="1">
        <v>4</v>
      </c>
      <c r="F826" s="1">
        <v>162.13</v>
      </c>
      <c r="G826" s="1">
        <v>8338</v>
      </c>
      <c r="H826" s="1">
        <v>9976</v>
      </c>
      <c r="I826" s="1">
        <v>11527</v>
      </c>
      <c r="J826" s="1">
        <v>159.559</v>
      </c>
      <c r="K826" s="1">
        <v>-5.399</v>
      </c>
      <c r="L826" s="1">
        <v>19.082999999999998</v>
      </c>
      <c r="M826" s="1" t="s">
        <v>1252</v>
      </c>
      <c r="N826" s="1" t="s">
        <v>1147</v>
      </c>
      <c r="O826" s="1" t="s">
        <v>1253</v>
      </c>
      <c r="P826" s="1" t="s">
        <v>1254</v>
      </c>
      <c r="Q826" s="1" t="s">
        <v>307</v>
      </c>
      <c r="R826" s="1" t="s">
        <v>178</v>
      </c>
      <c r="S826" s="1" t="s">
        <v>228</v>
      </c>
    </row>
    <row r="827" spans="1:19" hidden="1" x14ac:dyDescent="0.25">
      <c r="A827" s="2">
        <v>120</v>
      </c>
      <c r="B827" s="1" t="s">
        <v>1250</v>
      </c>
      <c r="C827" s="1" t="s">
        <v>946</v>
      </c>
      <c r="D827" s="1" t="s">
        <v>1251</v>
      </c>
      <c r="E827" s="1">
        <v>5</v>
      </c>
      <c r="F827" s="1">
        <v>241.12200000000001</v>
      </c>
      <c r="G827" s="1">
        <v>20404</v>
      </c>
      <c r="H827" s="1">
        <v>24637</v>
      </c>
      <c r="I827" s="1">
        <v>28325</v>
      </c>
      <c r="J827" s="1">
        <v>237.28700000000001</v>
      </c>
      <c r="K827" s="1">
        <v>-2.8439999999999999</v>
      </c>
      <c r="L827" s="1">
        <v>23.448</v>
      </c>
      <c r="M827" s="1" t="s">
        <v>1252</v>
      </c>
      <c r="N827" s="1" t="s">
        <v>1147</v>
      </c>
      <c r="O827" s="1" t="s">
        <v>1253</v>
      </c>
      <c r="P827" s="1" t="s">
        <v>1254</v>
      </c>
      <c r="Q827" s="1" t="s">
        <v>189</v>
      </c>
      <c r="R827" s="1" t="s">
        <v>222</v>
      </c>
      <c r="S827" s="1" t="s">
        <v>227</v>
      </c>
    </row>
    <row r="828" spans="1:19" x14ac:dyDescent="0.25">
      <c r="A828" s="2">
        <v>120</v>
      </c>
      <c r="B828" s="1" t="s">
        <v>1250</v>
      </c>
      <c r="C828" s="1" t="s">
        <v>946</v>
      </c>
      <c r="D828" s="1" t="s">
        <v>1251</v>
      </c>
      <c r="E828" s="1">
        <v>6</v>
      </c>
      <c r="F828" s="1">
        <v>212.203</v>
      </c>
      <c r="G828" s="1">
        <v>18249</v>
      </c>
      <c r="H828" s="1">
        <v>22023</v>
      </c>
      <c r="I828" s="1">
        <v>25330</v>
      </c>
      <c r="J828" s="1">
        <v>208.828</v>
      </c>
      <c r="K828" s="1">
        <v>-2.8119999999999998</v>
      </c>
      <c r="L828" s="1">
        <v>23.664000000000001</v>
      </c>
      <c r="M828" s="1" t="s">
        <v>1252</v>
      </c>
      <c r="N828" s="1" t="s">
        <v>1147</v>
      </c>
      <c r="O828" s="1" t="s">
        <v>1253</v>
      </c>
      <c r="P828" s="1" t="s">
        <v>1254</v>
      </c>
      <c r="Q828" s="1" t="s">
        <v>173</v>
      </c>
      <c r="R828" s="1" t="s">
        <v>304</v>
      </c>
      <c r="S828" s="1" t="s">
        <v>242</v>
      </c>
    </row>
    <row r="829" spans="1:19" x14ac:dyDescent="0.25">
      <c r="A829" s="2">
        <v>120</v>
      </c>
      <c r="B829" s="1" t="s">
        <v>1250</v>
      </c>
      <c r="C829" s="1" t="s">
        <v>946</v>
      </c>
      <c r="D829" s="1" t="s">
        <v>1251</v>
      </c>
      <c r="E829" s="1">
        <v>7</v>
      </c>
      <c r="F829" s="1">
        <v>196.447</v>
      </c>
      <c r="G829" s="1">
        <v>17036</v>
      </c>
      <c r="H829" s="1">
        <v>20554</v>
      </c>
      <c r="I829" s="1">
        <v>23657</v>
      </c>
      <c r="J829" s="1">
        <v>193.322</v>
      </c>
      <c r="K829" s="1">
        <v>-2.7709999999999999</v>
      </c>
      <c r="L829" s="1">
        <v>23.765999999999998</v>
      </c>
      <c r="M829" s="1" t="s">
        <v>1252</v>
      </c>
      <c r="N829" s="1" t="s">
        <v>1147</v>
      </c>
      <c r="O829" s="1" t="s">
        <v>1253</v>
      </c>
      <c r="P829" s="1" t="s">
        <v>1254</v>
      </c>
      <c r="Q829" s="1" t="s">
        <v>387</v>
      </c>
      <c r="R829" s="1" t="s">
        <v>401</v>
      </c>
      <c r="S829" s="1" t="s">
        <v>1255</v>
      </c>
    </row>
    <row r="830" spans="1:19" hidden="1" x14ac:dyDescent="0.25">
      <c r="A830" s="2">
        <v>121</v>
      </c>
      <c r="B830" s="1" t="s">
        <v>1256</v>
      </c>
      <c r="C830" s="1" t="s">
        <v>281</v>
      </c>
      <c r="D830" s="1" t="s">
        <v>1257</v>
      </c>
      <c r="E830" s="1">
        <v>1</v>
      </c>
      <c r="F830" s="1">
        <v>162.33000000000001</v>
      </c>
      <c r="G830" s="1">
        <v>8274</v>
      </c>
      <c r="H830" s="1">
        <v>9899</v>
      </c>
      <c r="I830" s="1">
        <v>11454</v>
      </c>
      <c r="J830" s="1">
        <v>159.755</v>
      </c>
      <c r="K830" s="1">
        <v>-5.4009999999999998</v>
      </c>
      <c r="L830" s="1">
        <v>19.077999999999999</v>
      </c>
      <c r="M830" s="1" t="s">
        <v>1258</v>
      </c>
      <c r="N830" s="1" t="s">
        <v>1147</v>
      </c>
      <c r="O830" s="1" t="s">
        <v>1259</v>
      </c>
      <c r="P830" s="1" t="s">
        <v>1260</v>
      </c>
      <c r="Q830" s="1" t="s">
        <v>76</v>
      </c>
      <c r="R830" s="1" t="s">
        <v>223</v>
      </c>
      <c r="S830" s="1" t="s">
        <v>164</v>
      </c>
    </row>
    <row r="831" spans="1:19" hidden="1" x14ac:dyDescent="0.25">
      <c r="A831" s="2">
        <v>121</v>
      </c>
      <c r="B831" s="1" t="s">
        <v>1256</v>
      </c>
      <c r="C831" s="1" t="s">
        <v>281</v>
      </c>
      <c r="D831" s="1" t="s">
        <v>1257</v>
      </c>
      <c r="E831" s="1">
        <v>2</v>
      </c>
      <c r="F831" s="1">
        <v>160.36600000000001</v>
      </c>
      <c r="G831" s="1">
        <v>8286</v>
      </c>
      <c r="H831" s="1">
        <v>9913</v>
      </c>
      <c r="I831" s="1">
        <v>11473</v>
      </c>
      <c r="J831" s="1">
        <v>157.822</v>
      </c>
      <c r="K831" s="1">
        <v>-5.3949999999999996</v>
      </c>
      <c r="L831" s="1">
        <v>19.071999999999999</v>
      </c>
      <c r="M831" s="1" t="s">
        <v>1258</v>
      </c>
      <c r="N831" s="1" t="s">
        <v>1147</v>
      </c>
      <c r="O831" s="1" t="s">
        <v>1259</v>
      </c>
      <c r="P831" s="1" t="s">
        <v>1260</v>
      </c>
      <c r="Q831" s="1" t="s">
        <v>139</v>
      </c>
      <c r="R831" s="1" t="s">
        <v>177</v>
      </c>
      <c r="S831" s="1" t="s">
        <v>282</v>
      </c>
    </row>
    <row r="832" spans="1:19" hidden="1" x14ac:dyDescent="0.25">
      <c r="A832" s="2">
        <v>121</v>
      </c>
      <c r="B832" s="1" t="s">
        <v>1256</v>
      </c>
      <c r="C832" s="1" t="s">
        <v>281</v>
      </c>
      <c r="D832" s="1" t="s">
        <v>1257</v>
      </c>
      <c r="E832" s="1">
        <v>3</v>
      </c>
      <c r="F832" s="1">
        <v>161.55799999999999</v>
      </c>
      <c r="G832" s="1">
        <v>8358</v>
      </c>
      <c r="H832" s="1">
        <v>9999</v>
      </c>
      <c r="I832" s="1">
        <v>11571</v>
      </c>
      <c r="J832" s="1">
        <v>158.995</v>
      </c>
      <c r="K832" s="1">
        <v>-5.4080000000000004</v>
      </c>
      <c r="L832" s="1">
        <v>19.093</v>
      </c>
      <c r="M832" s="1" t="s">
        <v>1258</v>
      </c>
      <c r="N832" s="1" t="s">
        <v>1147</v>
      </c>
      <c r="O832" s="1" t="s">
        <v>1259</v>
      </c>
      <c r="P832" s="1" t="s">
        <v>1260</v>
      </c>
      <c r="Q832" s="1" t="s">
        <v>307</v>
      </c>
      <c r="R832" s="1" t="s">
        <v>178</v>
      </c>
      <c r="S832" s="1" t="s">
        <v>228</v>
      </c>
    </row>
    <row r="833" spans="1:19" hidden="1" x14ac:dyDescent="0.25">
      <c r="A833" s="2">
        <v>121</v>
      </c>
      <c r="B833" s="1" t="s">
        <v>1256</v>
      </c>
      <c r="C833" s="1" t="s">
        <v>281</v>
      </c>
      <c r="D833" s="1" t="s">
        <v>1257</v>
      </c>
      <c r="E833" s="1">
        <v>4</v>
      </c>
      <c r="F833" s="1">
        <v>161.893</v>
      </c>
      <c r="G833" s="1">
        <v>8321</v>
      </c>
      <c r="H833" s="1">
        <v>9955</v>
      </c>
      <c r="I833" s="1">
        <v>11519</v>
      </c>
      <c r="J833" s="1">
        <v>159.32499999999999</v>
      </c>
      <c r="K833" s="1">
        <v>-5.399</v>
      </c>
      <c r="L833" s="1">
        <v>19.082999999999998</v>
      </c>
      <c r="M833" s="1" t="s">
        <v>1258</v>
      </c>
      <c r="N833" s="1" t="s">
        <v>1147</v>
      </c>
      <c r="O833" s="1" t="s">
        <v>1259</v>
      </c>
      <c r="P833" s="1" t="s">
        <v>1260</v>
      </c>
      <c r="Q833" s="1" t="s">
        <v>176</v>
      </c>
      <c r="R833" s="1" t="s">
        <v>341</v>
      </c>
      <c r="S833" s="1" t="s">
        <v>287</v>
      </c>
    </row>
    <row r="834" spans="1:19" hidden="1" x14ac:dyDescent="0.25">
      <c r="A834" s="2">
        <v>121</v>
      </c>
      <c r="B834" s="1" t="s">
        <v>1256</v>
      </c>
      <c r="C834" s="1" t="s">
        <v>281</v>
      </c>
      <c r="D834" s="1" t="s">
        <v>1257</v>
      </c>
      <c r="E834" s="1">
        <v>5</v>
      </c>
      <c r="F834" s="1">
        <v>147.99600000000001</v>
      </c>
      <c r="G834" s="1">
        <v>12381</v>
      </c>
      <c r="H834" s="1">
        <v>14900</v>
      </c>
      <c r="I834" s="1">
        <v>17228</v>
      </c>
      <c r="J834" s="1">
        <v>145.64099999999999</v>
      </c>
      <c r="K834" s="1">
        <v>-2.6019999999999999</v>
      </c>
      <c r="L834" s="1">
        <v>23.864999999999998</v>
      </c>
      <c r="M834" s="1" t="s">
        <v>1258</v>
      </c>
      <c r="N834" s="1" t="s">
        <v>1147</v>
      </c>
      <c r="O834" s="1" t="s">
        <v>1259</v>
      </c>
      <c r="P834" s="1" t="s">
        <v>1260</v>
      </c>
      <c r="Q834" s="1" t="s">
        <v>222</v>
      </c>
      <c r="R834" s="1" t="s">
        <v>63</v>
      </c>
      <c r="S834" s="1" t="s">
        <v>66</v>
      </c>
    </row>
    <row r="835" spans="1:19" x14ac:dyDescent="0.25">
      <c r="A835" s="2">
        <v>121</v>
      </c>
      <c r="B835" s="1" t="s">
        <v>1256</v>
      </c>
      <c r="C835" s="1" t="s">
        <v>281</v>
      </c>
      <c r="D835" s="1" t="s">
        <v>1257</v>
      </c>
      <c r="E835" s="1">
        <v>6</v>
      </c>
      <c r="F835" s="1">
        <v>130.245</v>
      </c>
      <c r="G835" s="1">
        <v>10897</v>
      </c>
      <c r="H835" s="1">
        <v>13110</v>
      </c>
      <c r="I835" s="1">
        <v>15167</v>
      </c>
      <c r="J835" s="1">
        <v>128.172</v>
      </c>
      <c r="K835" s="1">
        <v>-2.5640000000000001</v>
      </c>
      <c r="L835" s="1">
        <v>24.341000000000001</v>
      </c>
      <c r="M835" s="1" t="s">
        <v>1258</v>
      </c>
      <c r="N835" s="1" t="s">
        <v>1147</v>
      </c>
      <c r="O835" s="1" t="s">
        <v>1259</v>
      </c>
      <c r="P835" s="1" t="s">
        <v>1260</v>
      </c>
      <c r="Q835" s="1" t="s">
        <v>104</v>
      </c>
      <c r="R835" s="1" t="s">
        <v>193</v>
      </c>
      <c r="S835" s="1" t="s">
        <v>266</v>
      </c>
    </row>
    <row r="836" spans="1:19" x14ac:dyDescent="0.25">
      <c r="A836" s="2">
        <v>121</v>
      </c>
      <c r="B836" s="1" t="s">
        <v>1256</v>
      </c>
      <c r="C836" s="1" t="s">
        <v>281</v>
      </c>
      <c r="D836" s="1" t="s">
        <v>1257</v>
      </c>
      <c r="E836" s="1">
        <v>7</v>
      </c>
      <c r="F836" s="1">
        <v>120.251</v>
      </c>
      <c r="G836" s="1">
        <v>10071</v>
      </c>
      <c r="H836" s="1">
        <v>12117</v>
      </c>
      <c r="I836" s="1">
        <v>14019</v>
      </c>
      <c r="J836" s="1">
        <v>118.336</v>
      </c>
      <c r="K836" s="1">
        <v>-2.5499999999999998</v>
      </c>
      <c r="L836" s="1">
        <v>24.303000000000001</v>
      </c>
      <c r="M836" s="1" t="s">
        <v>1258</v>
      </c>
      <c r="N836" s="1" t="s">
        <v>1147</v>
      </c>
      <c r="O836" s="1" t="s">
        <v>1259</v>
      </c>
      <c r="P836" s="1" t="s">
        <v>1260</v>
      </c>
      <c r="Q836" s="1" t="s">
        <v>1261</v>
      </c>
      <c r="R836" s="1" t="s">
        <v>1262</v>
      </c>
      <c r="S836" s="1" t="s">
        <v>591</v>
      </c>
    </row>
    <row r="837" spans="1:19" hidden="1" x14ac:dyDescent="0.25">
      <c r="A837" s="2">
        <v>122</v>
      </c>
      <c r="B837" s="1" t="s">
        <v>1263</v>
      </c>
      <c r="C837" s="1" t="s">
        <v>402</v>
      </c>
      <c r="D837" s="1" t="s">
        <v>1264</v>
      </c>
      <c r="E837" s="1">
        <v>1</v>
      </c>
      <c r="F837" s="1">
        <v>162.405</v>
      </c>
      <c r="G837" s="1">
        <v>8292</v>
      </c>
      <c r="H837" s="1">
        <v>9920</v>
      </c>
      <c r="I837" s="1">
        <v>11478</v>
      </c>
      <c r="J837" s="1">
        <v>159.828</v>
      </c>
      <c r="K837" s="1">
        <v>-5.3819999999999997</v>
      </c>
      <c r="L837" s="1">
        <v>19.036000000000001</v>
      </c>
      <c r="M837" s="1" t="s">
        <v>634</v>
      </c>
      <c r="N837" s="1" t="s">
        <v>1147</v>
      </c>
      <c r="O837" s="1" t="s">
        <v>1265</v>
      </c>
      <c r="P837" s="1" t="s">
        <v>1266</v>
      </c>
      <c r="Q837" s="1" t="s">
        <v>81</v>
      </c>
      <c r="R837" s="1" t="s">
        <v>53</v>
      </c>
      <c r="S837" s="1" t="s">
        <v>68</v>
      </c>
    </row>
    <row r="838" spans="1:19" hidden="1" x14ac:dyDescent="0.25">
      <c r="A838" s="2">
        <v>122</v>
      </c>
      <c r="B838" s="1" t="s">
        <v>1263</v>
      </c>
      <c r="C838" s="1" t="s">
        <v>402</v>
      </c>
      <c r="D838" s="1" t="s">
        <v>1264</v>
      </c>
      <c r="E838" s="1">
        <v>2</v>
      </c>
      <c r="F838" s="1">
        <v>160.76400000000001</v>
      </c>
      <c r="G838" s="1">
        <v>8309</v>
      </c>
      <c r="H838" s="1">
        <v>9940</v>
      </c>
      <c r="I838" s="1">
        <v>11502</v>
      </c>
      <c r="J838" s="1">
        <v>158.21299999999999</v>
      </c>
      <c r="K838" s="1">
        <v>-5.3739999999999997</v>
      </c>
      <c r="L838" s="1">
        <v>19.036999999999999</v>
      </c>
      <c r="M838" s="1" t="s">
        <v>634</v>
      </c>
      <c r="N838" s="1" t="s">
        <v>1147</v>
      </c>
      <c r="O838" s="1" t="s">
        <v>1265</v>
      </c>
      <c r="P838" s="1" t="s">
        <v>1266</v>
      </c>
      <c r="Q838" s="1" t="s">
        <v>254</v>
      </c>
      <c r="R838" s="1" t="s">
        <v>149</v>
      </c>
      <c r="S838" s="1" t="s">
        <v>286</v>
      </c>
    </row>
    <row r="839" spans="1:19" hidden="1" x14ac:dyDescent="0.25">
      <c r="A839" s="2">
        <v>122</v>
      </c>
      <c r="B839" s="1" t="s">
        <v>1263</v>
      </c>
      <c r="C839" s="1" t="s">
        <v>402</v>
      </c>
      <c r="D839" s="1" t="s">
        <v>1264</v>
      </c>
      <c r="E839" s="1">
        <v>3</v>
      </c>
      <c r="F839" s="1">
        <v>162.21799999999999</v>
      </c>
      <c r="G839" s="1">
        <v>8379</v>
      </c>
      <c r="H839" s="1">
        <v>10024</v>
      </c>
      <c r="I839" s="1">
        <v>11601</v>
      </c>
      <c r="J839" s="1">
        <v>159.64400000000001</v>
      </c>
      <c r="K839" s="1">
        <v>-5.391</v>
      </c>
      <c r="L839" s="1">
        <v>19.058</v>
      </c>
      <c r="M839" s="1" t="s">
        <v>634</v>
      </c>
      <c r="N839" s="1" t="s">
        <v>1147</v>
      </c>
      <c r="O839" s="1" t="s">
        <v>1265</v>
      </c>
      <c r="P839" s="1" t="s">
        <v>1266</v>
      </c>
      <c r="Q839" s="1" t="s">
        <v>158</v>
      </c>
      <c r="R839" s="1" t="s">
        <v>166</v>
      </c>
      <c r="S839" s="1" t="s">
        <v>274</v>
      </c>
    </row>
    <row r="840" spans="1:19" hidden="1" x14ac:dyDescent="0.25">
      <c r="A840" s="2">
        <v>122</v>
      </c>
      <c r="B840" s="1" t="s">
        <v>1263</v>
      </c>
      <c r="C840" s="1" t="s">
        <v>402</v>
      </c>
      <c r="D840" s="1" t="s">
        <v>1264</v>
      </c>
      <c r="E840" s="1">
        <v>4</v>
      </c>
      <c r="F840" s="1">
        <v>161.25899999999999</v>
      </c>
      <c r="G840" s="1">
        <v>8319</v>
      </c>
      <c r="H840" s="1">
        <v>9952</v>
      </c>
      <c r="I840" s="1">
        <v>11519</v>
      </c>
      <c r="J840" s="1">
        <v>158.70099999999999</v>
      </c>
      <c r="K840" s="1">
        <v>-5.399</v>
      </c>
      <c r="L840" s="1">
        <v>19.082999999999998</v>
      </c>
      <c r="M840" s="1" t="s">
        <v>634</v>
      </c>
      <c r="N840" s="1" t="s">
        <v>1147</v>
      </c>
      <c r="O840" s="1" t="s">
        <v>1265</v>
      </c>
      <c r="P840" s="1" t="s">
        <v>1266</v>
      </c>
      <c r="Q840" s="1" t="s">
        <v>146</v>
      </c>
      <c r="R840" s="1" t="s">
        <v>177</v>
      </c>
      <c r="S840" s="1" t="s">
        <v>282</v>
      </c>
    </row>
    <row r="841" spans="1:19" hidden="1" x14ac:dyDescent="0.25">
      <c r="A841" s="2">
        <v>122</v>
      </c>
      <c r="B841" s="1" t="s">
        <v>1263</v>
      </c>
      <c r="C841" s="1" t="s">
        <v>402</v>
      </c>
      <c r="D841" s="1" t="s">
        <v>1264</v>
      </c>
      <c r="E841" s="1">
        <v>5</v>
      </c>
      <c r="F841" s="1">
        <v>262.089</v>
      </c>
      <c r="G841" s="1">
        <v>22416</v>
      </c>
      <c r="H841" s="1">
        <v>27107</v>
      </c>
      <c r="I841" s="1">
        <v>31174</v>
      </c>
      <c r="J841" s="1">
        <v>257.91699999999997</v>
      </c>
      <c r="K841" s="1">
        <v>-2.1819999999999999</v>
      </c>
      <c r="L841" s="1">
        <v>23.838000000000001</v>
      </c>
      <c r="M841" s="1" t="s">
        <v>634</v>
      </c>
      <c r="N841" s="1" t="s">
        <v>1147</v>
      </c>
      <c r="O841" s="1" t="s">
        <v>1265</v>
      </c>
      <c r="P841" s="1" t="s">
        <v>1266</v>
      </c>
      <c r="Q841" s="1" t="s">
        <v>196</v>
      </c>
      <c r="R841" s="1" t="s">
        <v>218</v>
      </c>
      <c r="S841" s="1" t="s">
        <v>195</v>
      </c>
    </row>
    <row r="842" spans="1:19" x14ac:dyDescent="0.25">
      <c r="A842" s="2">
        <v>122</v>
      </c>
      <c r="B842" s="1" t="s">
        <v>1263</v>
      </c>
      <c r="C842" s="1" t="s">
        <v>402</v>
      </c>
      <c r="D842" s="1" t="s">
        <v>1264</v>
      </c>
      <c r="E842" s="1">
        <v>6</v>
      </c>
      <c r="F842" s="1">
        <v>231.66300000000001</v>
      </c>
      <c r="G842" s="1">
        <v>20194</v>
      </c>
      <c r="H842" s="1">
        <v>24404</v>
      </c>
      <c r="I842" s="1">
        <v>28090</v>
      </c>
      <c r="J842" s="1">
        <v>227.97499999999999</v>
      </c>
      <c r="K842" s="1">
        <v>-2.1549999999999998</v>
      </c>
      <c r="L842" s="1">
        <v>23.981999999999999</v>
      </c>
      <c r="M842" s="1" t="s">
        <v>634</v>
      </c>
      <c r="N842" s="1" t="s">
        <v>1147</v>
      </c>
      <c r="O842" s="1" t="s">
        <v>1265</v>
      </c>
      <c r="P842" s="1" t="s">
        <v>1266</v>
      </c>
      <c r="Q842" s="1" t="s">
        <v>194</v>
      </c>
      <c r="R842" s="1" t="s">
        <v>287</v>
      </c>
      <c r="S842" s="1" t="s">
        <v>298</v>
      </c>
    </row>
    <row r="843" spans="1:19" x14ac:dyDescent="0.25">
      <c r="A843" s="2">
        <v>122</v>
      </c>
      <c r="B843" s="1" t="s">
        <v>1263</v>
      </c>
      <c r="C843" s="1" t="s">
        <v>402</v>
      </c>
      <c r="D843" s="1" t="s">
        <v>1264</v>
      </c>
      <c r="E843" s="1">
        <v>7</v>
      </c>
      <c r="F843" s="1">
        <v>215.36600000000001</v>
      </c>
      <c r="G843" s="1">
        <v>18920</v>
      </c>
      <c r="H843" s="1">
        <v>22855</v>
      </c>
      <c r="I843" s="1">
        <v>26322</v>
      </c>
      <c r="J843" s="1">
        <v>211.93700000000001</v>
      </c>
      <c r="K843" s="1">
        <v>-2.1120000000000001</v>
      </c>
      <c r="L843" s="1">
        <v>24.047999999999998</v>
      </c>
      <c r="M843" s="1" t="s">
        <v>634</v>
      </c>
      <c r="N843" s="1" t="s">
        <v>1147</v>
      </c>
      <c r="O843" s="1" t="s">
        <v>1265</v>
      </c>
      <c r="P843" s="1" t="s">
        <v>1266</v>
      </c>
      <c r="Q843" s="1" t="s">
        <v>394</v>
      </c>
      <c r="R843" s="1" t="s">
        <v>378</v>
      </c>
      <c r="S843" s="1" t="s">
        <v>1267</v>
      </c>
    </row>
    <row r="844" spans="1:19" hidden="1" x14ac:dyDescent="0.25">
      <c r="A844" s="2">
        <v>123</v>
      </c>
      <c r="B844" s="1" t="s">
        <v>1268</v>
      </c>
      <c r="C844" s="1" t="s">
        <v>406</v>
      </c>
      <c r="D844" s="1" t="s">
        <v>1269</v>
      </c>
      <c r="E844" s="1">
        <v>1</v>
      </c>
      <c r="F844" s="1">
        <v>161.636</v>
      </c>
      <c r="G844" s="1">
        <v>8261</v>
      </c>
      <c r="H844" s="1">
        <v>9884</v>
      </c>
      <c r="I844" s="1">
        <v>11437</v>
      </c>
      <c r="J844" s="1">
        <v>159.072</v>
      </c>
      <c r="K844" s="1">
        <v>-5.3869999999999996</v>
      </c>
      <c r="L844" s="1">
        <v>19.111999999999998</v>
      </c>
      <c r="M844" s="1" t="s">
        <v>1270</v>
      </c>
      <c r="N844" s="1" t="s">
        <v>1147</v>
      </c>
      <c r="O844" s="1" t="s">
        <v>1271</v>
      </c>
      <c r="P844" s="1" t="s">
        <v>1272</v>
      </c>
      <c r="Q844" s="1" t="s">
        <v>65</v>
      </c>
      <c r="R844" s="1" t="s">
        <v>68</v>
      </c>
      <c r="S844" s="1" t="s">
        <v>162</v>
      </c>
    </row>
    <row r="845" spans="1:19" hidden="1" x14ac:dyDescent="0.25">
      <c r="A845" s="2">
        <v>123</v>
      </c>
      <c r="B845" s="1" t="s">
        <v>1268</v>
      </c>
      <c r="C845" s="1" t="s">
        <v>406</v>
      </c>
      <c r="D845" s="1" t="s">
        <v>1269</v>
      </c>
      <c r="E845" s="1">
        <v>2</v>
      </c>
      <c r="F845" s="1">
        <v>161.68700000000001</v>
      </c>
      <c r="G845" s="1">
        <v>8372</v>
      </c>
      <c r="H845" s="1">
        <v>10017</v>
      </c>
      <c r="I845" s="1">
        <v>11592</v>
      </c>
      <c r="J845" s="1">
        <v>159.12200000000001</v>
      </c>
      <c r="K845" s="1">
        <v>-5.3920000000000003</v>
      </c>
      <c r="L845" s="1">
        <v>19.077999999999999</v>
      </c>
      <c r="M845" s="1" t="s">
        <v>1270</v>
      </c>
      <c r="N845" s="1" t="s">
        <v>1147</v>
      </c>
      <c r="O845" s="1" t="s">
        <v>1271</v>
      </c>
      <c r="P845" s="1" t="s">
        <v>1272</v>
      </c>
      <c r="Q845" s="1" t="s">
        <v>165</v>
      </c>
      <c r="R845" s="1" t="s">
        <v>236</v>
      </c>
      <c r="S845" s="1" t="s">
        <v>413</v>
      </c>
    </row>
    <row r="846" spans="1:19" hidden="1" x14ac:dyDescent="0.25">
      <c r="A846" s="2">
        <v>123</v>
      </c>
      <c r="B846" s="1" t="s">
        <v>1268</v>
      </c>
      <c r="C846" s="1" t="s">
        <v>406</v>
      </c>
      <c r="D846" s="1" t="s">
        <v>1269</v>
      </c>
      <c r="E846" s="1">
        <v>3</v>
      </c>
      <c r="F846" s="1">
        <v>161.59800000000001</v>
      </c>
      <c r="G846" s="1">
        <v>8359</v>
      </c>
      <c r="H846" s="1">
        <v>10000</v>
      </c>
      <c r="I846" s="1">
        <v>11575</v>
      </c>
      <c r="J846" s="1">
        <v>159.03399999999999</v>
      </c>
      <c r="K846" s="1">
        <v>-5.4029999999999996</v>
      </c>
      <c r="L846" s="1">
        <v>19.065999999999999</v>
      </c>
      <c r="M846" s="1" t="s">
        <v>1270</v>
      </c>
      <c r="N846" s="1" t="s">
        <v>1147</v>
      </c>
      <c r="O846" s="1" t="s">
        <v>1271</v>
      </c>
      <c r="P846" s="1" t="s">
        <v>1272</v>
      </c>
      <c r="Q846" s="1" t="s">
        <v>176</v>
      </c>
      <c r="R846" s="1" t="s">
        <v>359</v>
      </c>
      <c r="S846" s="1" t="s">
        <v>287</v>
      </c>
    </row>
    <row r="847" spans="1:19" hidden="1" x14ac:dyDescent="0.25">
      <c r="A847" s="2">
        <v>123</v>
      </c>
      <c r="B847" s="1" t="s">
        <v>1268</v>
      </c>
      <c r="C847" s="1" t="s">
        <v>406</v>
      </c>
      <c r="D847" s="1" t="s">
        <v>1269</v>
      </c>
      <c r="E847" s="1">
        <v>4</v>
      </c>
      <c r="F847" s="1">
        <v>161.86799999999999</v>
      </c>
      <c r="G847" s="1">
        <v>8311</v>
      </c>
      <c r="H847" s="1">
        <v>9943</v>
      </c>
      <c r="I847" s="1">
        <v>11507</v>
      </c>
      <c r="J847" s="1">
        <v>159.30000000000001</v>
      </c>
      <c r="K847" s="1">
        <v>-5.399</v>
      </c>
      <c r="L847" s="1">
        <v>19.082999999999998</v>
      </c>
      <c r="M847" s="1" t="s">
        <v>1270</v>
      </c>
      <c r="N847" s="1" t="s">
        <v>1147</v>
      </c>
      <c r="O847" s="1" t="s">
        <v>1271</v>
      </c>
      <c r="P847" s="1" t="s">
        <v>1272</v>
      </c>
      <c r="Q847" s="1" t="s">
        <v>250</v>
      </c>
      <c r="R847" s="1" t="s">
        <v>318</v>
      </c>
      <c r="S847" s="1" t="s">
        <v>368</v>
      </c>
    </row>
    <row r="848" spans="1:19" hidden="1" x14ac:dyDescent="0.25">
      <c r="A848" s="2">
        <v>123</v>
      </c>
      <c r="B848" s="1" t="s">
        <v>1268</v>
      </c>
      <c r="C848" s="1" t="s">
        <v>406</v>
      </c>
      <c r="D848" s="1" t="s">
        <v>1269</v>
      </c>
      <c r="E848" s="1">
        <v>5</v>
      </c>
      <c r="F848" s="1">
        <v>183.054</v>
      </c>
      <c r="G848" s="1">
        <v>15279</v>
      </c>
      <c r="H848" s="1">
        <v>18400</v>
      </c>
      <c r="I848" s="1">
        <v>21246</v>
      </c>
      <c r="J848" s="1">
        <v>180.14099999999999</v>
      </c>
      <c r="K848" s="1">
        <v>-2.3570000000000002</v>
      </c>
      <c r="L848" s="1">
        <v>23.405999999999999</v>
      </c>
      <c r="M848" s="1" t="s">
        <v>1270</v>
      </c>
      <c r="N848" s="1" t="s">
        <v>1147</v>
      </c>
      <c r="O848" s="1" t="s">
        <v>1271</v>
      </c>
      <c r="P848" s="1" t="s">
        <v>1272</v>
      </c>
      <c r="Q848" s="1" t="s">
        <v>182</v>
      </c>
      <c r="R848" s="1" t="s">
        <v>110</v>
      </c>
      <c r="S848" s="1" t="s">
        <v>126</v>
      </c>
    </row>
    <row r="849" spans="1:19" x14ac:dyDescent="0.25">
      <c r="A849" s="2">
        <v>123</v>
      </c>
      <c r="B849" s="1" t="s">
        <v>1268</v>
      </c>
      <c r="C849" s="1" t="s">
        <v>406</v>
      </c>
      <c r="D849" s="1" t="s">
        <v>1269</v>
      </c>
      <c r="E849" s="1">
        <v>6</v>
      </c>
      <c r="F849" s="1">
        <v>161.101</v>
      </c>
      <c r="G849" s="1">
        <v>13485</v>
      </c>
      <c r="H849" s="1">
        <v>16237</v>
      </c>
      <c r="I849" s="1">
        <v>18758</v>
      </c>
      <c r="J849" s="1">
        <v>158.53700000000001</v>
      </c>
      <c r="K849" s="1">
        <v>-2.3420000000000001</v>
      </c>
      <c r="L849" s="1">
        <v>23.699000000000002</v>
      </c>
      <c r="M849" s="1" t="s">
        <v>1270</v>
      </c>
      <c r="N849" s="1" t="s">
        <v>1147</v>
      </c>
      <c r="O849" s="1" t="s">
        <v>1271</v>
      </c>
      <c r="P849" s="1" t="s">
        <v>1272</v>
      </c>
      <c r="Q849" s="1" t="s">
        <v>158</v>
      </c>
      <c r="R849" s="1" t="s">
        <v>166</v>
      </c>
      <c r="S849" s="1" t="s">
        <v>168</v>
      </c>
    </row>
    <row r="850" spans="1:19" x14ac:dyDescent="0.25">
      <c r="A850" s="2">
        <v>123</v>
      </c>
      <c r="B850" s="1" t="s">
        <v>1268</v>
      </c>
      <c r="C850" s="1" t="s">
        <v>406</v>
      </c>
      <c r="D850" s="1" t="s">
        <v>1269</v>
      </c>
      <c r="E850" s="1">
        <v>7</v>
      </c>
      <c r="F850" s="1">
        <v>148.96700000000001</v>
      </c>
      <c r="G850" s="1">
        <v>12497</v>
      </c>
      <c r="H850" s="1">
        <v>15046</v>
      </c>
      <c r="I850" s="1">
        <v>17385</v>
      </c>
      <c r="J850" s="1">
        <v>146.596</v>
      </c>
      <c r="K850" s="1">
        <v>-2.278</v>
      </c>
      <c r="L850" s="1">
        <v>23.754000000000001</v>
      </c>
      <c r="M850" s="1" t="s">
        <v>1270</v>
      </c>
      <c r="N850" s="1" t="s">
        <v>1147</v>
      </c>
      <c r="O850" s="1" t="s">
        <v>1271</v>
      </c>
      <c r="P850" s="1" t="s">
        <v>1272</v>
      </c>
      <c r="Q850" s="1" t="s">
        <v>1273</v>
      </c>
      <c r="R850" s="1" t="s">
        <v>591</v>
      </c>
      <c r="S850" s="1" t="s">
        <v>1274</v>
      </c>
    </row>
    <row r="851" spans="1:19" hidden="1" x14ac:dyDescent="0.25">
      <c r="A851" s="2">
        <v>124</v>
      </c>
      <c r="B851" s="1" t="s">
        <v>1275</v>
      </c>
      <c r="C851" s="1" t="s">
        <v>327</v>
      </c>
      <c r="D851" s="1" t="s">
        <v>1276</v>
      </c>
      <c r="E851" s="1">
        <v>1</v>
      </c>
      <c r="F851" s="1">
        <v>161.63999999999999</v>
      </c>
      <c r="G851" s="1">
        <v>8244</v>
      </c>
      <c r="H851" s="1">
        <v>9862</v>
      </c>
      <c r="I851" s="1">
        <v>11418</v>
      </c>
      <c r="J851" s="1">
        <v>159.07499999999999</v>
      </c>
      <c r="K851" s="1">
        <v>-5.3879999999999999</v>
      </c>
      <c r="L851" s="1">
        <v>19.087</v>
      </c>
      <c r="M851" s="1" t="s">
        <v>648</v>
      </c>
      <c r="N851" s="1" t="s">
        <v>1147</v>
      </c>
      <c r="O851" s="1" t="s">
        <v>1277</v>
      </c>
      <c r="P851" s="1" t="s">
        <v>1278</v>
      </c>
      <c r="Q851" s="1" t="s">
        <v>102</v>
      </c>
      <c r="R851" s="1" t="s">
        <v>75</v>
      </c>
      <c r="S851" s="1" t="s">
        <v>291</v>
      </c>
    </row>
    <row r="852" spans="1:19" hidden="1" x14ac:dyDescent="0.25">
      <c r="A852" s="2">
        <v>124</v>
      </c>
      <c r="B852" s="1" t="s">
        <v>1275</v>
      </c>
      <c r="C852" s="1" t="s">
        <v>327</v>
      </c>
      <c r="D852" s="1" t="s">
        <v>1276</v>
      </c>
      <c r="E852" s="1">
        <v>2</v>
      </c>
      <c r="F852" s="1">
        <v>160.24700000000001</v>
      </c>
      <c r="G852" s="1">
        <v>8283</v>
      </c>
      <c r="H852" s="1">
        <v>9909</v>
      </c>
      <c r="I852" s="1">
        <v>11472</v>
      </c>
      <c r="J852" s="1">
        <v>157.70500000000001</v>
      </c>
      <c r="K852" s="1">
        <v>-5.3860000000000001</v>
      </c>
      <c r="L852" s="1">
        <v>19.094999999999999</v>
      </c>
      <c r="M852" s="1" t="s">
        <v>648</v>
      </c>
      <c r="N852" s="1" t="s">
        <v>1147</v>
      </c>
      <c r="O852" s="1" t="s">
        <v>1277</v>
      </c>
      <c r="P852" s="1" t="s">
        <v>1278</v>
      </c>
      <c r="Q852" s="1" t="s">
        <v>253</v>
      </c>
      <c r="R852" s="1" t="s">
        <v>297</v>
      </c>
      <c r="S852" s="1" t="s">
        <v>295</v>
      </c>
    </row>
    <row r="853" spans="1:19" hidden="1" x14ac:dyDescent="0.25">
      <c r="A853" s="2">
        <v>124</v>
      </c>
      <c r="B853" s="1" t="s">
        <v>1275</v>
      </c>
      <c r="C853" s="1" t="s">
        <v>327</v>
      </c>
      <c r="D853" s="1" t="s">
        <v>1276</v>
      </c>
      <c r="E853" s="1">
        <v>3</v>
      </c>
      <c r="F853" s="1">
        <v>161.506</v>
      </c>
      <c r="G853" s="1">
        <v>8334</v>
      </c>
      <c r="H853" s="1">
        <v>9970</v>
      </c>
      <c r="I853" s="1">
        <v>11546</v>
      </c>
      <c r="J853" s="1">
        <v>158.94399999999999</v>
      </c>
      <c r="K853" s="1">
        <v>-5.3879999999999999</v>
      </c>
      <c r="L853" s="1">
        <v>19.088000000000001</v>
      </c>
      <c r="M853" s="1" t="s">
        <v>648</v>
      </c>
      <c r="N853" s="1" t="s">
        <v>1147</v>
      </c>
      <c r="O853" s="1" t="s">
        <v>1277</v>
      </c>
      <c r="P853" s="1" t="s">
        <v>1278</v>
      </c>
      <c r="Q853" s="1" t="s">
        <v>146</v>
      </c>
      <c r="R853" s="1" t="s">
        <v>177</v>
      </c>
      <c r="S853" s="1" t="s">
        <v>292</v>
      </c>
    </row>
    <row r="854" spans="1:19" hidden="1" x14ac:dyDescent="0.25">
      <c r="A854" s="2">
        <v>124</v>
      </c>
      <c r="B854" s="1" t="s">
        <v>1275</v>
      </c>
      <c r="C854" s="1" t="s">
        <v>327</v>
      </c>
      <c r="D854" s="1" t="s">
        <v>1276</v>
      </c>
      <c r="E854" s="1">
        <v>4</v>
      </c>
      <c r="F854" s="1">
        <v>161.00700000000001</v>
      </c>
      <c r="G854" s="1">
        <v>8276</v>
      </c>
      <c r="H854" s="1">
        <v>9901</v>
      </c>
      <c r="I854" s="1">
        <v>11461</v>
      </c>
      <c r="J854" s="1">
        <v>158.452</v>
      </c>
      <c r="K854" s="1">
        <v>-5.399</v>
      </c>
      <c r="L854" s="1">
        <v>19.082999999999998</v>
      </c>
      <c r="M854" s="1" t="s">
        <v>648</v>
      </c>
      <c r="N854" s="1" t="s">
        <v>1147</v>
      </c>
      <c r="O854" s="1" t="s">
        <v>1277</v>
      </c>
      <c r="P854" s="1" t="s">
        <v>1278</v>
      </c>
      <c r="Q854" s="1" t="s">
        <v>165</v>
      </c>
      <c r="R854" s="1" t="s">
        <v>143</v>
      </c>
      <c r="S854" s="1" t="s">
        <v>238</v>
      </c>
    </row>
    <row r="855" spans="1:19" hidden="1" x14ac:dyDescent="0.25">
      <c r="A855" s="2">
        <v>124</v>
      </c>
      <c r="B855" s="1" t="s">
        <v>1275</v>
      </c>
      <c r="C855" s="1" t="s">
        <v>327</v>
      </c>
      <c r="D855" s="1" t="s">
        <v>1276</v>
      </c>
      <c r="E855" s="1">
        <v>5</v>
      </c>
      <c r="F855" s="1">
        <v>212.81299999999999</v>
      </c>
      <c r="G855" s="1">
        <v>18313</v>
      </c>
      <c r="H855" s="1">
        <v>22240</v>
      </c>
      <c r="I855" s="1">
        <v>25522</v>
      </c>
      <c r="J855" s="1">
        <v>209.41</v>
      </c>
      <c r="K855" s="1">
        <v>3.851</v>
      </c>
      <c r="L855" s="1">
        <v>25.052</v>
      </c>
      <c r="M855" s="1" t="s">
        <v>648</v>
      </c>
      <c r="N855" s="1" t="s">
        <v>1147</v>
      </c>
      <c r="O855" s="1" t="s">
        <v>1277</v>
      </c>
      <c r="P855" s="1" t="s">
        <v>1278</v>
      </c>
      <c r="Q855" s="1" t="s">
        <v>217</v>
      </c>
      <c r="R855" s="1" t="s">
        <v>182</v>
      </c>
      <c r="S855" s="1" t="s">
        <v>133</v>
      </c>
    </row>
    <row r="856" spans="1:19" x14ac:dyDescent="0.25">
      <c r="A856" s="2">
        <v>124</v>
      </c>
      <c r="B856" s="1" t="s">
        <v>1275</v>
      </c>
      <c r="C856" s="1" t="s">
        <v>327</v>
      </c>
      <c r="D856" s="1" t="s">
        <v>1276</v>
      </c>
      <c r="E856" s="1">
        <v>6</v>
      </c>
      <c r="F856" s="1">
        <v>189.381</v>
      </c>
      <c r="G856" s="1">
        <v>16509</v>
      </c>
      <c r="H856" s="1">
        <v>20038</v>
      </c>
      <c r="I856" s="1">
        <v>23000</v>
      </c>
      <c r="J856" s="1">
        <v>186.352</v>
      </c>
      <c r="K856" s="1">
        <v>3.895</v>
      </c>
      <c r="L856" s="1">
        <v>25.145</v>
      </c>
      <c r="M856" s="1" t="s">
        <v>648</v>
      </c>
      <c r="N856" s="1" t="s">
        <v>1147</v>
      </c>
      <c r="O856" s="1" t="s">
        <v>1277</v>
      </c>
      <c r="P856" s="1" t="s">
        <v>1278</v>
      </c>
      <c r="Q856" s="1" t="s">
        <v>290</v>
      </c>
      <c r="R856" s="1" t="s">
        <v>286</v>
      </c>
      <c r="S856" s="1" t="s">
        <v>240</v>
      </c>
    </row>
    <row r="857" spans="1:19" x14ac:dyDescent="0.25">
      <c r="A857" s="2">
        <v>124</v>
      </c>
      <c r="B857" s="1" t="s">
        <v>1275</v>
      </c>
      <c r="C857" s="1" t="s">
        <v>327</v>
      </c>
      <c r="D857" s="1" t="s">
        <v>1276</v>
      </c>
      <c r="E857" s="1">
        <v>7</v>
      </c>
      <c r="F857" s="1">
        <v>176.387</v>
      </c>
      <c r="G857" s="1">
        <v>15489</v>
      </c>
      <c r="H857" s="1">
        <v>18796</v>
      </c>
      <c r="I857" s="1">
        <v>21590</v>
      </c>
      <c r="J857" s="1">
        <v>173.566</v>
      </c>
      <c r="K857" s="1">
        <v>3.9350000000000001</v>
      </c>
      <c r="L857" s="1">
        <v>25.17</v>
      </c>
      <c r="M857" s="1" t="s">
        <v>648</v>
      </c>
      <c r="N857" s="1" t="s">
        <v>1147</v>
      </c>
      <c r="O857" s="1" t="s">
        <v>1277</v>
      </c>
      <c r="P857" s="1" t="s">
        <v>1278</v>
      </c>
      <c r="Q857" s="1" t="s">
        <v>484</v>
      </c>
      <c r="R857" s="1" t="s">
        <v>1279</v>
      </c>
      <c r="S857" s="1" t="s">
        <v>815</v>
      </c>
    </row>
    <row r="858" spans="1:19" hidden="1" x14ac:dyDescent="0.25">
      <c r="A858" s="2">
        <v>125</v>
      </c>
      <c r="B858" s="1" t="s">
        <v>1280</v>
      </c>
      <c r="C858" s="1" t="s">
        <v>601</v>
      </c>
      <c r="D858" s="1" t="s">
        <v>1281</v>
      </c>
      <c r="E858" s="1">
        <v>1</v>
      </c>
      <c r="F858" s="1">
        <v>162.589</v>
      </c>
      <c r="G858" s="1">
        <v>8289</v>
      </c>
      <c r="H858" s="1">
        <v>9917</v>
      </c>
      <c r="I858" s="1">
        <v>11484</v>
      </c>
      <c r="J858" s="1">
        <v>160.00899999999999</v>
      </c>
      <c r="K858" s="1">
        <v>-5.407</v>
      </c>
      <c r="L858" s="1">
        <v>19.09</v>
      </c>
      <c r="M858" s="1" t="s">
        <v>656</v>
      </c>
      <c r="N858" s="1" t="s">
        <v>1147</v>
      </c>
      <c r="O858" s="1" t="s">
        <v>1282</v>
      </c>
      <c r="P858" s="1" t="s">
        <v>1283</v>
      </c>
      <c r="Q858" s="1" t="s">
        <v>48</v>
      </c>
      <c r="R858" s="1" t="s">
        <v>283</v>
      </c>
      <c r="S858" s="1" t="s">
        <v>161</v>
      </c>
    </row>
    <row r="859" spans="1:19" hidden="1" x14ac:dyDescent="0.25">
      <c r="A859" s="2">
        <v>125</v>
      </c>
      <c r="B859" s="1" t="s">
        <v>1280</v>
      </c>
      <c r="C859" s="1" t="s">
        <v>601</v>
      </c>
      <c r="D859" s="1" t="s">
        <v>1281</v>
      </c>
      <c r="E859" s="1">
        <v>2</v>
      </c>
      <c r="F859" s="1">
        <v>161.411</v>
      </c>
      <c r="G859" s="1">
        <v>8330</v>
      </c>
      <c r="H859" s="1">
        <v>9965</v>
      </c>
      <c r="I859" s="1">
        <v>11539</v>
      </c>
      <c r="J859" s="1">
        <v>158.85</v>
      </c>
      <c r="K859" s="1">
        <v>-5.4119999999999999</v>
      </c>
      <c r="L859" s="1">
        <v>19.077999999999999</v>
      </c>
      <c r="M859" s="1" t="s">
        <v>656</v>
      </c>
      <c r="N859" s="1" t="s">
        <v>1147</v>
      </c>
      <c r="O859" s="1" t="s">
        <v>1282</v>
      </c>
      <c r="P859" s="1" t="s">
        <v>1283</v>
      </c>
      <c r="Q859" s="1" t="s">
        <v>138</v>
      </c>
      <c r="R859" s="1" t="s">
        <v>170</v>
      </c>
      <c r="S859" s="1" t="s">
        <v>304</v>
      </c>
    </row>
    <row r="860" spans="1:19" hidden="1" x14ac:dyDescent="0.25">
      <c r="A860" s="2">
        <v>125</v>
      </c>
      <c r="B860" s="1" t="s">
        <v>1280</v>
      </c>
      <c r="C860" s="1" t="s">
        <v>601</v>
      </c>
      <c r="D860" s="1" t="s">
        <v>1281</v>
      </c>
      <c r="E860" s="1">
        <v>3</v>
      </c>
      <c r="F860" s="1">
        <v>162.53700000000001</v>
      </c>
      <c r="G860" s="1">
        <v>8377</v>
      </c>
      <c r="H860" s="1">
        <v>10021</v>
      </c>
      <c r="I860" s="1">
        <v>11605</v>
      </c>
      <c r="J860" s="1">
        <v>159.958</v>
      </c>
      <c r="K860" s="1">
        <v>-5.4029999999999996</v>
      </c>
      <c r="L860" s="1">
        <v>19.081</v>
      </c>
      <c r="M860" s="1" t="s">
        <v>656</v>
      </c>
      <c r="N860" s="1" t="s">
        <v>1147</v>
      </c>
      <c r="O860" s="1" t="s">
        <v>1282</v>
      </c>
      <c r="P860" s="1" t="s">
        <v>1283</v>
      </c>
      <c r="Q860" s="1" t="s">
        <v>160</v>
      </c>
      <c r="R860" s="1" t="s">
        <v>136</v>
      </c>
      <c r="S860" s="1" t="s">
        <v>247</v>
      </c>
    </row>
    <row r="861" spans="1:19" hidden="1" x14ac:dyDescent="0.25">
      <c r="A861" s="2">
        <v>125</v>
      </c>
      <c r="B861" s="1" t="s">
        <v>1280</v>
      </c>
      <c r="C861" s="1" t="s">
        <v>601</v>
      </c>
      <c r="D861" s="1" t="s">
        <v>1281</v>
      </c>
      <c r="E861" s="1">
        <v>4</v>
      </c>
      <c r="F861" s="1">
        <v>162.22499999999999</v>
      </c>
      <c r="G861" s="1">
        <v>8334</v>
      </c>
      <c r="H861" s="1">
        <v>9970</v>
      </c>
      <c r="I861" s="1">
        <v>11543</v>
      </c>
      <c r="J861" s="1">
        <v>159.65100000000001</v>
      </c>
      <c r="K861" s="1">
        <v>-5.399</v>
      </c>
      <c r="L861" s="1">
        <v>19.082999999999998</v>
      </c>
      <c r="M861" s="1" t="s">
        <v>656</v>
      </c>
      <c r="N861" s="1" t="s">
        <v>1147</v>
      </c>
      <c r="O861" s="1" t="s">
        <v>1282</v>
      </c>
      <c r="P861" s="1" t="s">
        <v>1283</v>
      </c>
      <c r="Q861" s="1" t="s">
        <v>164</v>
      </c>
      <c r="R861" s="1" t="s">
        <v>354</v>
      </c>
      <c r="S861" s="1" t="s">
        <v>219</v>
      </c>
    </row>
    <row r="862" spans="1:19" hidden="1" x14ac:dyDescent="0.25">
      <c r="A862" s="2">
        <v>125</v>
      </c>
      <c r="B862" s="1" t="s">
        <v>1280</v>
      </c>
      <c r="C862" s="1" t="s">
        <v>601</v>
      </c>
      <c r="D862" s="1" t="s">
        <v>1281</v>
      </c>
      <c r="E862" s="1">
        <v>5</v>
      </c>
      <c r="F862" s="1">
        <v>205.48099999999999</v>
      </c>
      <c r="G862" s="1">
        <v>17161</v>
      </c>
      <c r="H862" s="1">
        <v>20797</v>
      </c>
      <c r="I862" s="1">
        <v>23911</v>
      </c>
      <c r="J862" s="1">
        <v>202.19499999999999</v>
      </c>
      <c r="K862" s="1">
        <v>3.8679999999999999</v>
      </c>
      <c r="L862" s="1">
        <v>24.91</v>
      </c>
      <c r="M862" s="1" t="s">
        <v>656</v>
      </c>
      <c r="N862" s="1" t="s">
        <v>1147</v>
      </c>
      <c r="O862" s="1" t="s">
        <v>1282</v>
      </c>
      <c r="P862" s="1" t="s">
        <v>1283</v>
      </c>
      <c r="Q862" s="1" t="s">
        <v>205</v>
      </c>
      <c r="R862" s="1" t="s">
        <v>106</v>
      </c>
      <c r="S862" s="1" t="s">
        <v>132</v>
      </c>
    </row>
    <row r="863" spans="1:19" x14ac:dyDescent="0.25">
      <c r="A863" s="2">
        <v>125</v>
      </c>
      <c r="B863" s="1" t="s">
        <v>1280</v>
      </c>
      <c r="C863" s="1" t="s">
        <v>601</v>
      </c>
      <c r="D863" s="1" t="s">
        <v>1281</v>
      </c>
      <c r="E863" s="1">
        <v>6</v>
      </c>
      <c r="F863" s="1">
        <v>180.161</v>
      </c>
      <c r="G863" s="1">
        <v>15110</v>
      </c>
      <c r="H863" s="1">
        <v>18310</v>
      </c>
      <c r="I863" s="1">
        <v>21062</v>
      </c>
      <c r="J863" s="1">
        <v>177.28</v>
      </c>
      <c r="K863" s="1">
        <v>3.9060000000000001</v>
      </c>
      <c r="L863" s="1">
        <v>25.154</v>
      </c>
      <c r="M863" s="1" t="s">
        <v>656</v>
      </c>
      <c r="N863" s="1" t="s">
        <v>1147</v>
      </c>
      <c r="O863" s="1" t="s">
        <v>1282</v>
      </c>
      <c r="P863" s="1" t="s">
        <v>1283</v>
      </c>
      <c r="Q863" s="1" t="s">
        <v>164</v>
      </c>
      <c r="R863" s="1" t="s">
        <v>354</v>
      </c>
      <c r="S863" s="1" t="s">
        <v>334</v>
      </c>
    </row>
    <row r="864" spans="1:19" x14ac:dyDescent="0.25">
      <c r="A864" s="2">
        <v>125</v>
      </c>
      <c r="B864" s="1" t="s">
        <v>1280</v>
      </c>
      <c r="C864" s="1" t="s">
        <v>601</v>
      </c>
      <c r="D864" s="1" t="s">
        <v>1281</v>
      </c>
      <c r="E864" s="1">
        <v>7</v>
      </c>
      <c r="F864" s="1">
        <v>166.333</v>
      </c>
      <c r="G864" s="1">
        <v>13982</v>
      </c>
      <c r="H864" s="1">
        <v>16941</v>
      </c>
      <c r="I864" s="1">
        <v>19492</v>
      </c>
      <c r="J864" s="1">
        <v>163.673</v>
      </c>
      <c r="K864" s="1">
        <v>3.9169999999999998</v>
      </c>
      <c r="L864" s="1">
        <v>25.181000000000001</v>
      </c>
      <c r="M864" s="1" t="s">
        <v>656</v>
      </c>
      <c r="N864" s="1" t="s">
        <v>1147</v>
      </c>
      <c r="O864" s="1" t="s">
        <v>1282</v>
      </c>
      <c r="P864" s="1" t="s">
        <v>1283</v>
      </c>
      <c r="Q864" s="1" t="s">
        <v>450</v>
      </c>
      <c r="R864" s="1" t="s">
        <v>1284</v>
      </c>
      <c r="S864" s="1" t="s">
        <v>939</v>
      </c>
    </row>
    <row r="865" spans="1:19" hidden="1" x14ac:dyDescent="0.25">
      <c r="A865" s="2">
        <v>126</v>
      </c>
      <c r="B865" s="1" t="s">
        <v>1285</v>
      </c>
      <c r="C865" s="1" t="s">
        <v>913</v>
      </c>
      <c r="D865" s="1" t="s">
        <v>1286</v>
      </c>
      <c r="E865" s="1">
        <v>1</v>
      </c>
      <c r="F865" s="1">
        <v>161.84899999999999</v>
      </c>
      <c r="G865" s="1">
        <v>8271</v>
      </c>
      <c r="H865" s="1">
        <v>9895</v>
      </c>
      <c r="I865" s="1">
        <v>11451</v>
      </c>
      <c r="J865" s="1">
        <v>159.28100000000001</v>
      </c>
      <c r="K865" s="1">
        <v>-5.3860000000000001</v>
      </c>
      <c r="L865" s="1">
        <v>19.077000000000002</v>
      </c>
      <c r="M865" s="1" t="s">
        <v>661</v>
      </c>
      <c r="N865" s="1" t="s">
        <v>1147</v>
      </c>
      <c r="O865" s="1" t="s">
        <v>1287</v>
      </c>
      <c r="P865" s="1" t="s">
        <v>1288</v>
      </c>
      <c r="Q865" s="1" t="s">
        <v>71</v>
      </c>
      <c r="R865" s="1" t="s">
        <v>97</v>
      </c>
      <c r="S865" s="1" t="s">
        <v>138</v>
      </c>
    </row>
    <row r="866" spans="1:19" hidden="1" x14ac:dyDescent="0.25">
      <c r="A866" s="2">
        <v>126</v>
      </c>
      <c r="B866" s="1" t="s">
        <v>1285</v>
      </c>
      <c r="C866" s="1" t="s">
        <v>913</v>
      </c>
      <c r="D866" s="1" t="s">
        <v>1286</v>
      </c>
      <c r="E866" s="1">
        <v>2</v>
      </c>
      <c r="F866" s="1">
        <v>160.708</v>
      </c>
      <c r="G866" s="1">
        <v>8319</v>
      </c>
      <c r="H866" s="1">
        <v>9952</v>
      </c>
      <c r="I866" s="1">
        <v>11519</v>
      </c>
      <c r="J866" s="1">
        <v>158.15799999999999</v>
      </c>
      <c r="K866" s="1">
        <v>-5.3840000000000003</v>
      </c>
      <c r="L866" s="1">
        <v>19.053999999999998</v>
      </c>
      <c r="M866" s="1" t="s">
        <v>661</v>
      </c>
      <c r="N866" s="1" t="s">
        <v>1147</v>
      </c>
      <c r="O866" s="1" t="s">
        <v>1287</v>
      </c>
      <c r="P866" s="1" t="s">
        <v>1288</v>
      </c>
      <c r="Q866" s="1" t="s">
        <v>159</v>
      </c>
      <c r="R866" s="1" t="s">
        <v>234</v>
      </c>
      <c r="S866" s="1" t="s">
        <v>381</v>
      </c>
    </row>
    <row r="867" spans="1:19" hidden="1" x14ac:dyDescent="0.25">
      <c r="A867" s="2">
        <v>126</v>
      </c>
      <c r="B867" s="1" t="s">
        <v>1285</v>
      </c>
      <c r="C867" s="1" t="s">
        <v>913</v>
      </c>
      <c r="D867" s="1" t="s">
        <v>1286</v>
      </c>
      <c r="E867" s="1">
        <v>3</v>
      </c>
      <c r="F867" s="1">
        <v>161.60499999999999</v>
      </c>
      <c r="G867" s="1">
        <v>8360</v>
      </c>
      <c r="H867" s="1">
        <v>10002</v>
      </c>
      <c r="I867" s="1">
        <v>11574</v>
      </c>
      <c r="J867" s="1">
        <v>159.041</v>
      </c>
      <c r="K867" s="1">
        <v>-5.3849999999999998</v>
      </c>
      <c r="L867" s="1">
        <v>19.065000000000001</v>
      </c>
      <c r="M867" s="1" t="s">
        <v>661</v>
      </c>
      <c r="N867" s="1" t="s">
        <v>1147</v>
      </c>
      <c r="O867" s="1" t="s">
        <v>1287</v>
      </c>
      <c r="P867" s="1" t="s">
        <v>1288</v>
      </c>
      <c r="Q867" s="1" t="s">
        <v>139</v>
      </c>
      <c r="R867" s="1" t="s">
        <v>266</v>
      </c>
      <c r="S867" s="1" t="s">
        <v>292</v>
      </c>
    </row>
    <row r="868" spans="1:19" hidden="1" x14ac:dyDescent="0.25">
      <c r="A868" s="2">
        <v>126</v>
      </c>
      <c r="B868" s="1" t="s">
        <v>1285</v>
      </c>
      <c r="C868" s="1" t="s">
        <v>913</v>
      </c>
      <c r="D868" s="1" t="s">
        <v>1286</v>
      </c>
      <c r="E868" s="1">
        <v>4</v>
      </c>
      <c r="F868" s="1">
        <v>161.238</v>
      </c>
      <c r="G868" s="1">
        <v>8293</v>
      </c>
      <c r="H868" s="1">
        <v>9922</v>
      </c>
      <c r="I868" s="1">
        <v>11482</v>
      </c>
      <c r="J868" s="1">
        <v>158.68</v>
      </c>
      <c r="K868" s="1">
        <v>-5.399</v>
      </c>
      <c r="L868" s="1">
        <v>19.082999999999998</v>
      </c>
      <c r="M868" s="1" t="s">
        <v>661</v>
      </c>
      <c r="N868" s="1" t="s">
        <v>1147</v>
      </c>
      <c r="O868" s="1" t="s">
        <v>1287</v>
      </c>
      <c r="P868" s="1" t="s">
        <v>1288</v>
      </c>
      <c r="Q868" s="1" t="s">
        <v>160</v>
      </c>
      <c r="R868" s="1" t="s">
        <v>136</v>
      </c>
      <c r="S868" s="1" t="s">
        <v>370</v>
      </c>
    </row>
    <row r="869" spans="1:19" hidden="1" x14ac:dyDescent="0.25">
      <c r="A869" s="2">
        <v>126</v>
      </c>
      <c r="B869" s="1" t="s">
        <v>1285</v>
      </c>
      <c r="C869" s="1" t="s">
        <v>913</v>
      </c>
      <c r="D869" s="1" t="s">
        <v>1286</v>
      </c>
      <c r="E869" s="1">
        <v>5</v>
      </c>
      <c r="F869" s="1">
        <v>236.47800000000001</v>
      </c>
      <c r="G869" s="1">
        <v>20626</v>
      </c>
      <c r="H869" s="1">
        <v>24906</v>
      </c>
      <c r="I869" s="1">
        <v>28684</v>
      </c>
      <c r="J869" s="1">
        <v>232.715</v>
      </c>
      <c r="K869" s="1">
        <v>-2.6320000000000001</v>
      </c>
      <c r="L869" s="1">
        <v>23.494</v>
      </c>
      <c r="M869" s="1" t="s">
        <v>661</v>
      </c>
      <c r="N869" s="1" t="s">
        <v>1147</v>
      </c>
      <c r="O869" s="1" t="s">
        <v>1287</v>
      </c>
      <c r="P869" s="1" t="s">
        <v>1288</v>
      </c>
      <c r="Q869" s="1" t="s">
        <v>200</v>
      </c>
      <c r="R869" s="1" t="s">
        <v>975</v>
      </c>
      <c r="S869" s="1" t="s">
        <v>137</v>
      </c>
    </row>
    <row r="870" spans="1:19" x14ac:dyDescent="0.25">
      <c r="A870" s="2">
        <v>126</v>
      </c>
      <c r="B870" s="1" t="s">
        <v>1285</v>
      </c>
      <c r="C870" s="1" t="s">
        <v>913</v>
      </c>
      <c r="D870" s="1" t="s">
        <v>1286</v>
      </c>
      <c r="E870" s="1">
        <v>6</v>
      </c>
      <c r="F870" s="1">
        <v>209.80600000000001</v>
      </c>
      <c r="G870" s="1">
        <v>18554</v>
      </c>
      <c r="H870" s="1">
        <v>22390</v>
      </c>
      <c r="I870" s="1">
        <v>25807</v>
      </c>
      <c r="J870" s="1">
        <v>206.46700000000001</v>
      </c>
      <c r="K870" s="1">
        <v>-2.5790000000000002</v>
      </c>
      <c r="L870" s="1">
        <v>23.654</v>
      </c>
      <c r="M870" s="1" t="s">
        <v>661</v>
      </c>
      <c r="N870" s="1" t="s">
        <v>1147</v>
      </c>
      <c r="O870" s="1" t="s">
        <v>1287</v>
      </c>
      <c r="P870" s="1" t="s">
        <v>1288</v>
      </c>
      <c r="Q870" s="1" t="s">
        <v>279</v>
      </c>
      <c r="R870" s="1" t="s">
        <v>238</v>
      </c>
      <c r="S870" s="1" t="s">
        <v>382</v>
      </c>
    </row>
    <row r="871" spans="1:19" x14ac:dyDescent="0.25">
      <c r="A871" s="2">
        <v>126</v>
      </c>
      <c r="B871" s="1" t="s">
        <v>1285</v>
      </c>
      <c r="C871" s="1" t="s">
        <v>913</v>
      </c>
      <c r="D871" s="1" t="s">
        <v>1286</v>
      </c>
      <c r="E871" s="1">
        <v>7</v>
      </c>
      <c r="F871" s="1">
        <v>197.03200000000001</v>
      </c>
      <c r="G871" s="1">
        <v>17334</v>
      </c>
      <c r="H871" s="1">
        <v>20905</v>
      </c>
      <c r="I871" s="1">
        <v>24109</v>
      </c>
      <c r="J871" s="1">
        <v>193.89599999999999</v>
      </c>
      <c r="K871" s="1">
        <v>-2.6190000000000002</v>
      </c>
      <c r="L871" s="1">
        <v>23.71</v>
      </c>
      <c r="M871" s="1" t="s">
        <v>661</v>
      </c>
      <c r="N871" s="1" t="s">
        <v>1147</v>
      </c>
      <c r="O871" s="1" t="s">
        <v>1287</v>
      </c>
      <c r="P871" s="1" t="s">
        <v>1288</v>
      </c>
      <c r="Q871" s="1" t="s">
        <v>279</v>
      </c>
      <c r="R871" s="1" t="s">
        <v>238</v>
      </c>
      <c r="S871" s="1" t="s">
        <v>382</v>
      </c>
    </row>
    <row r="872" spans="1:19" hidden="1" x14ac:dyDescent="0.25">
      <c r="A872" s="2">
        <v>127</v>
      </c>
      <c r="B872" s="1" t="s">
        <v>1289</v>
      </c>
      <c r="C872" s="1" t="s">
        <v>1290</v>
      </c>
      <c r="D872" s="1" t="s">
        <v>1291</v>
      </c>
      <c r="E872" s="1">
        <v>1</v>
      </c>
      <c r="F872" s="1">
        <v>162.29499999999999</v>
      </c>
      <c r="G872" s="1">
        <v>8281</v>
      </c>
      <c r="H872" s="1">
        <v>9908</v>
      </c>
      <c r="I872" s="1">
        <v>11464</v>
      </c>
      <c r="J872" s="1">
        <v>159.721</v>
      </c>
      <c r="K872" s="1">
        <v>-5.4</v>
      </c>
      <c r="L872" s="1">
        <v>19.047999999999998</v>
      </c>
      <c r="M872" s="1" t="s">
        <v>1292</v>
      </c>
      <c r="N872" s="1" t="s">
        <v>1147</v>
      </c>
      <c r="O872" s="1" t="s">
        <v>1293</v>
      </c>
      <c r="P872" s="1" t="s">
        <v>1294</v>
      </c>
      <c r="Q872" s="1" t="s">
        <v>60</v>
      </c>
      <c r="R872" s="1" t="s">
        <v>77</v>
      </c>
      <c r="S872" s="1" t="s">
        <v>307</v>
      </c>
    </row>
    <row r="873" spans="1:19" hidden="1" x14ac:dyDescent="0.25">
      <c r="A873" s="2">
        <v>127</v>
      </c>
      <c r="B873" s="1" t="s">
        <v>1289</v>
      </c>
      <c r="C873" s="1" t="s">
        <v>1290</v>
      </c>
      <c r="D873" s="1" t="s">
        <v>1291</v>
      </c>
      <c r="E873" s="1">
        <v>2</v>
      </c>
      <c r="F873" s="1">
        <v>160.773</v>
      </c>
      <c r="G873" s="1">
        <v>8321</v>
      </c>
      <c r="H873" s="1">
        <v>9956</v>
      </c>
      <c r="I873" s="1">
        <v>11521</v>
      </c>
      <c r="J873" s="1">
        <v>158.22300000000001</v>
      </c>
      <c r="K873" s="1">
        <v>-5.4009999999999998</v>
      </c>
      <c r="L873" s="1">
        <v>19.059000000000001</v>
      </c>
      <c r="M873" s="1" t="s">
        <v>1292</v>
      </c>
      <c r="N873" s="1" t="s">
        <v>1147</v>
      </c>
      <c r="O873" s="1" t="s">
        <v>1293</v>
      </c>
      <c r="P873" s="1" t="s">
        <v>1294</v>
      </c>
      <c r="Q873" s="1" t="s">
        <v>146</v>
      </c>
      <c r="R873" s="1" t="s">
        <v>299</v>
      </c>
      <c r="S873" s="1" t="s">
        <v>206</v>
      </c>
    </row>
    <row r="874" spans="1:19" hidden="1" x14ac:dyDescent="0.25">
      <c r="A874" s="2">
        <v>127</v>
      </c>
      <c r="B874" s="1" t="s">
        <v>1289</v>
      </c>
      <c r="C874" s="1" t="s">
        <v>1290</v>
      </c>
      <c r="D874" s="1" t="s">
        <v>1291</v>
      </c>
      <c r="E874" s="1">
        <v>3</v>
      </c>
      <c r="F874" s="1">
        <v>161.53</v>
      </c>
      <c r="G874" s="1">
        <v>8354</v>
      </c>
      <c r="H874" s="1">
        <v>9994</v>
      </c>
      <c r="I874" s="1">
        <v>11567</v>
      </c>
      <c r="J874" s="1">
        <v>158.96700000000001</v>
      </c>
      <c r="K874" s="1">
        <v>-5.3929999999999998</v>
      </c>
      <c r="L874" s="1">
        <v>19.103999999999999</v>
      </c>
      <c r="M874" s="1" t="s">
        <v>1292</v>
      </c>
      <c r="N874" s="1" t="s">
        <v>1147</v>
      </c>
      <c r="O874" s="1" t="s">
        <v>1293</v>
      </c>
      <c r="P874" s="1" t="s">
        <v>1294</v>
      </c>
      <c r="Q874" s="1" t="s">
        <v>153</v>
      </c>
      <c r="R874" s="1" t="s">
        <v>252</v>
      </c>
      <c r="S874" s="1" t="s">
        <v>228</v>
      </c>
    </row>
    <row r="875" spans="1:19" hidden="1" x14ac:dyDescent="0.25">
      <c r="A875" s="2">
        <v>127</v>
      </c>
      <c r="B875" s="1" t="s">
        <v>1289</v>
      </c>
      <c r="C875" s="1" t="s">
        <v>1290</v>
      </c>
      <c r="D875" s="1" t="s">
        <v>1291</v>
      </c>
      <c r="E875" s="1">
        <v>4</v>
      </c>
      <c r="F875" s="1">
        <v>162.267</v>
      </c>
      <c r="G875" s="1">
        <v>8335</v>
      </c>
      <c r="H875" s="1">
        <v>9971</v>
      </c>
      <c r="I875" s="1">
        <v>11539</v>
      </c>
      <c r="J875" s="1">
        <v>159.69300000000001</v>
      </c>
      <c r="K875" s="1">
        <v>-5.399</v>
      </c>
      <c r="L875" s="1">
        <v>19.082999999999998</v>
      </c>
      <c r="M875" s="1" t="s">
        <v>1292</v>
      </c>
      <c r="N875" s="1" t="s">
        <v>1147</v>
      </c>
      <c r="O875" s="1" t="s">
        <v>1293</v>
      </c>
      <c r="P875" s="1" t="s">
        <v>1294</v>
      </c>
      <c r="Q875" s="1" t="s">
        <v>176</v>
      </c>
      <c r="R875" s="1" t="s">
        <v>359</v>
      </c>
      <c r="S875" s="1" t="s">
        <v>287</v>
      </c>
    </row>
    <row r="876" spans="1:19" hidden="1" x14ac:dyDescent="0.25">
      <c r="A876" s="2">
        <v>127</v>
      </c>
      <c r="B876" s="1" t="s">
        <v>1289</v>
      </c>
      <c r="C876" s="1" t="s">
        <v>1290</v>
      </c>
      <c r="D876" s="1" t="s">
        <v>1291</v>
      </c>
      <c r="E876" s="1">
        <v>5</v>
      </c>
      <c r="F876" s="1">
        <v>232.25800000000001</v>
      </c>
      <c r="G876" s="1">
        <v>19471</v>
      </c>
      <c r="H876" s="1">
        <v>23486</v>
      </c>
      <c r="I876" s="1">
        <v>27078</v>
      </c>
      <c r="J876" s="1">
        <v>228.56200000000001</v>
      </c>
      <c r="K876" s="1">
        <v>-2.41</v>
      </c>
      <c r="L876" s="1">
        <v>23.422000000000001</v>
      </c>
      <c r="M876" s="1" t="s">
        <v>1292</v>
      </c>
      <c r="N876" s="1" t="s">
        <v>1147</v>
      </c>
      <c r="O876" s="1" t="s">
        <v>1293</v>
      </c>
      <c r="P876" s="1" t="s">
        <v>1294</v>
      </c>
      <c r="Q876" s="1" t="s">
        <v>208</v>
      </c>
      <c r="R876" s="1" t="s">
        <v>111</v>
      </c>
      <c r="S876" s="1" t="s">
        <v>197</v>
      </c>
    </row>
    <row r="877" spans="1:19" x14ac:dyDescent="0.25">
      <c r="A877" s="2">
        <v>127</v>
      </c>
      <c r="B877" s="1" t="s">
        <v>1289</v>
      </c>
      <c r="C877" s="1" t="s">
        <v>1290</v>
      </c>
      <c r="D877" s="1" t="s">
        <v>1291</v>
      </c>
      <c r="E877" s="1">
        <v>6</v>
      </c>
      <c r="F877" s="1">
        <v>203.643</v>
      </c>
      <c r="G877" s="1">
        <v>17203</v>
      </c>
      <c r="H877" s="1">
        <v>20743</v>
      </c>
      <c r="I877" s="1">
        <v>23919</v>
      </c>
      <c r="J877" s="1">
        <v>200.40199999999999</v>
      </c>
      <c r="K877" s="1">
        <v>-2.33</v>
      </c>
      <c r="L877" s="1">
        <v>23.664000000000001</v>
      </c>
      <c r="M877" s="1" t="s">
        <v>1292</v>
      </c>
      <c r="N877" s="1" t="s">
        <v>1147</v>
      </c>
      <c r="O877" s="1" t="s">
        <v>1293</v>
      </c>
      <c r="P877" s="1" t="s">
        <v>1294</v>
      </c>
      <c r="Q877" s="1" t="s">
        <v>246</v>
      </c>
      <c r="R877" s="1" t="s">
        <v>381</v>
      </c>
      <c r="S877" s="1" t="s">
        <v>231</v>
      </c>
    </row>
    <row r="878" spans="1:19" x14ac:dyDescent="0.25">
      <c r="A878" s="2">
        <v>127</v>
      </c>
      <c r="B878" s="1" t="s">
        <v>1289</v>
      </c>
      <c r="C878" s="1" t="s">
        <v>1290</v>
      </c>
      <c r="D878" s="1" t="s">
        <v>1291</v>
      </c>
      <c r="E878" s="1">
        <v>7</v>
      </c>
      <c r="F878" s="1">
        <v>188.06700000000001</v>
      </c>
      <c r="G878" s="1">
        <v>15922</v>
      </c>
      <c r="H878" s="1">
        <v>19194</v>
      </c>
      <c r="I878" s="1">
        <v>22144</v>
      </c>
      <c r="J878" s="1">
        <v>185.07300000000001</v>
      </c>
      <c r="K878" s="1">
        <v>-2.3079999999999998</v>
      </c>
      <c r="L878" s="1">
        <v>23.683</v>
      </c>
      <c r="M878" s="1" t="s">
        <v>1292</v>
      </c>
      <c r="N878" s="1" t="s">
        <v>1147</v>
      </c>
      <c r="O878" s="1" t="s">
        <v>1293</v>
      </c>
      <c r="P878" s="1" t="s">
        <v>1294</v>
      </c>
      <c r="Q878" s="1" t="s">
        <v>348</v>
      </c>
      <c r="R878" s="1" t="s">
        <v>1279</v>
      </c>
      <c r="S878" s="1" t="s">
        <v>1295</v>
      </c>
    </row>
    <row r="879" spans="1:19" hidden="1" x14ac:dyDescent="0.25">
      <c r="A879" s="2">
        <v>128</v>
      </c>
      <c r="B879" s="1" t="s">
        <v>1296</v>
      </c>
      <c r="C879" s="1" t="s">
        <v>756</v>
      </c>
      <c r="D879" s="1" t="s">
        <v>1297</v>
      </c>
      <c r="E879" s="1">
        <v>1</v>
      </c>
      <c r="F879" s="1">
        <v>162.58099999999999</v>
      </c>
      <c r="G879" s="1">
        <v>8321</v>
      </c>
      <c r="H879" s="1">
        <v>9955</v>
      </c>
      <c r="I879" s="1">
        <v>11522</v>
      </c>
      <c r="J879" s="1">
        <v>160.00200000000001</v>
      </c>
      <c r="K879" s="1">
        <v>-5.39</v>
      </c>
      <c r="L879" s="1">
        <v>19.067</v>
      </c>
      <c r="M879" s="1" t="s">
        <v>1298</v>
      </c>
      <c r="N879" s="1" t="s">
        <v>1147</v>
      </c>
      <c r="O879" s="1" t="s">
        <v>1299</v>
      </c>
      <c r="P879" s="1" t="s">
        <v>1300</v>
      </c>
      <c r="Q879" s="1" t="s">
        <v>58</v>
      </c>
      <c r="R879" s="1" t="s">
        <v>267</v>
      </c>
      <c r="S879" s="1" t="s">
        <v>160</v>
      </c>
    </row>
    <row r="880" spans="1:19" hidden="1" x14ac:dyDescent="0.25">
      <c r="A880" s="2">
        <v>128</v>
      </c>
      <c r="B880" s="1" t="s">
        <v>1296</v>
      </c>
      <c r="C880" s="1" t="s">
        <v>756</v>
      </c>
      <c r="D880" s="1" t="s">
        <v>1297</v>
      </c>
      <c r="E880" s="1">
        <v>2</v>
      </c>
      <c r="F880" s="1">
        <v>161.56399999999999</v>
      </c>
      <c r="G880" s="1">
        <v>8355</v>
      </c>
      <c r="H880" s="1">
        <v>9996</v>
      </c>
      <c r="I880" s="1">
        <v>11568</v>
      </c>
      <c r="J880" s="1">
        <v>159.001</v>
      </c>
      <c r="K880" s="1">
        <v>-5.3959999999999999</v>
      </c>
      <c r="L880" s="1">
        <v>19.09</v>
      </c>
      <c r="M880" s="1" t="s">
        <v>1298</v>
      </c>
      <c r="N880" s="1" t="s">
        <v>1147</v>
      </c>
      <c r="O880" s="1" t="s">
        <v>1299</v>
      </c>
      <c r="P880" s="1" t="s">
        <v>1300</v>
      </c>
      <c r="Q880" s="1" t="s">
        <v>167</v>
      </c>
      <c r="R880" s="1" t="s">
        <v>237</v>
      </c>
      <c r="S880" s="1" t="s">
        <v>174</v>
      </c>
    </row>
    <row r="881" spans="1:19" hidden="1" x14ac:dyDescent="0.25">
      <c r="A881" s="2">
        <v>128</v>
      </c>
      <c r="B881" s="1" t="s">
        <v>1296</v>
      </c>
      <c r="C881" s="1" t="s">
        <v>756</v>
      </c>
      <c r="D881" s="1" t="s">
        <v>1297</v>
      </c>
      <c r="E881" s="1">
        <v>3</v>
      </c>
      <c r="F881" s="1">
        <v>162.21</v>
      </c>
      <c r="G881" s="1">
        <v>8389</v>
      </c>
      <c r="H881" s="1">
        <v>10037</v>
      </c>
      <c r="I881" s="1">
        <v>11617</v>
      </c>
      <c r="J881" s="1">
        <v>159.637</v>
      </c>
      <c r="K881" s="1">
        <v>-5.399</v>
      </c>
      <c r="L881" s="1">
        <v>19.103000000000002</v>
      </c>
      <c r="M881" s="1" t="s">
        <v>1298</v>
      </c>
      <c r="N881" s="1" t="s">
        <v>1147</v>
      </c>
      <c r="O881" s="1" t="s">
        <v>1299</v>
      </c>
      <c r="P881" s="1" t="s">
        <v>1300</v>
      </c>
      <c r="Q881" s="1" t="s">
        <v>153</v>
      </c>
      <c r="R881" s="1" t="s">
        <v>252</v>
      </c>
      <c r="S881" s="1" t="s">
        <v>228</v>
      </c>
    </row>
    <row r="882" spans="1:19" hidden="1" x14ac:dyDescent="0.25">
      <c r="A882" s="2">
        <v>128</v>
      </c>
      <c r="B882" s="1" t="s">
        <v>1296</v>
      </c>
      <c r="C882" s="1" t="s">
        <v>756</v>
      </c>
      <c r="D882" s="1" t="s">
        <v>1297</v>
      </c>
      <c r="E882" s="1">
        <v>4</v>
      </c>
      <c r="F882" s="1">
        <v>161.893</v>
      </c>
      <c r="G882" s="1">
        <v>8322</v>
      </c>
      <c r="H882" s="1">
        <v>9956</v>
      </c>
      <c r="I882" s="1">
        <v>11522</v>
      </c>
      <c r="J882" s="1">
        <v>159.32499999999999</v>
      </c>
      <c r="K882" s="1">
        <v>-5.399</v>
      </c>
      <c r="L882" s="1">
        <v>19.082999999999998</v>
      </c>
      <c r="M882" s="1" t="s">
        <v>1298</v>
      </c>
      <c r="N882" s="1" t="s">
        <v>1147</v>
      </c>
      <c r="O882" s="1" t="s">
        <v>1299</v>
      </c>
      <c r="P882" s="1" t="s">
        <v>1300</v>
      </c>
      <c r="Q882" s="1" t="s">
        <v>176</v>
      </c>
      <c r="R882" s="1" t="s">
        <v>359</v>
      </c>
      <c r="S882" s="1" t="s">
        <v>287</v>
      </c>
    </row>
    <row r="883" spans="1:19" hidden="1" x14ac:dyDescent="0.25">
      <c r="A883" s="2">
        <v>128</v>
      </c>
      <c r="B883" s="1" t="s">
        <v>1296</v>
      </c>
      <c r="C883" s="1" t="s">
        <v>756</v>
      </c>
      <c r="D883" s="1" t="s">
        <v>1297</v>
      </c>
      <c r="E883" s="1">
        <v>5</v>
      </c>
      <c r="F883" s="1">
        <v>250.47800000000001</v>
      </c>
      <c r="G883" s="1">
        <v>22119</v>
      </c>
      <c r="H883" s="1">
        <v>26691</v>
      </c>
      <c r="I883" s="1">
        <v>30764</v>
      </c>
      <c r="J883" s="1">
        <v>246.49299999999999</v>
      </c>
      <c r="K883" s="1">
        <v>-2.9340000000000002</v>
      </c>
      <c r="L883" s="1">
        <v>23.545999999999999</v>
      </c>
      <c r="M883" s="1" t="s">
        <v>1298</v>
      </c>
      <c r="N883" s="1" t="s">
        <v>1147</v>
      </c>
      <c r="O883" s="1" t="s">
        <v>1299</v>
      </c>
      <c r="P883" s="1" t="s">
        <v>1300</v>
      </c>
      <c r="Q883" s="1" t="s">
        <v>202</v>
      </c>
      <c r="R883" s="1" t="s">
        <v>44</v>
      </c>
      <c r="S883" s="1" t="s">
        <v>185</v>
      </c>
    </row>
    <row r="884" spans="1:19" x14ac:dyDescent="0.25">
      <c r="A884" s="2">
        <v>128</v>
      </c>
      <c r="B884" s="1" t="s">
        <v>1296</v>
      </c>
      <c r="C884" s="1" t="s">
        <v>756</v>
      </c>
      <c r="D884" s="1" t="s">
        <v>1297</v>
      </c>
      <c r="E884" s="1">
        <v>6</v>
      </c>
      <c r="F884" s="1">
        <v>220.15700000000001</v>
      </c>
      <c r="G884" s="1">
        <v>19403</v>
      </c>
      <c r="H884" s="1">
        <v>23390</v>
      </c>
      <c r="I884" s="1">
        <v>26992</v>
      </c>
      <c r="J884" s="1">
        <v>216.654</v>
      </c>
      <c r="K884" s="1">
        <v>-2.8740000000000001</v>
      </c>
      <c r="L884" s="1">
        <v>23.808</v>
      </c>
      <c r="M884" s="1" t="s">
        <v>1298</v>
      </c>
      <c r="N884" s="1" t="s">
        <v>1147</v>
      </c>
      <c r="O884" s="1" t="s">
        <v>1299</v>
      </c>
      <c r="P884" s="1" t="s">
        <v>1300</v>
      </c>
      <c r="Q884" s="1" t="s">
        <v>299</v>
      </c>
      <c r="R884" s="1" t="s">
        <v>239</v>
      </c>
      <c r="S884" s="1" t="s">
        <v>331</v>
      </c>
    </row>
    <row r="885" spans="1:19" x14ac:dyDescent="0.25">
      <c r="A885" s="2">
        <v>128</v>
      </c>
      <c r="B885" s="1" t="s">
        <v>1296</v>
      </c>
      <c r="C885" s="1" t="s">
        <v>756</v>
      </c>
      <c r="D885" s="1" t="s">
        <v>1297</v>
      </c>
      <c r="E885" s="1">
        <v>7</v>
      </c>
      <c r="F885" s="1">
        <v>202.96100000000001</v>
      </c>
      <c r="G885" s="1">
        <v>17810</v>
      </c>
      <c r="H885" s="1">
        <v>21457</v>
      </c>
      <c r="I885" s="1">
        <v>24768</v>
      </c>
      <c r="J885" s="1">
        <v>199.73099999999999</v>
      </c>
      <c r="K885" s="1">
        <v>-2.8410000000000002</v>
      </c>
      <c r="L885" s="1">
        <v>23.83</v>
      </c>
      <c r="M885" s="1" t="s">
        <v>1298</v>
      </c>
      <c r="N885" s="1" t="s">
        <v>1147</v>
      </c>
      <c r="O885" s="1" t="s">
        <v>1299</v>
      </c>
      <c r="P885" s="1" t="s">
        <v>1300</v>
      </c>
      <c r="Q885" s="1" t="s">
        <v>379</v>
      </c>
      <c r="R885" s="1" t="s">
        <v>1238</v>
      </c>
      <c r="S885" s="1" t="s">
        <v>746</v>
      </c>
    </row>
    <row r="886" spans="1:19" hidden="1" x14ac:dyDescent="0.25">
      <c r="A886" s="2">
        <v>129</v>
      </c>
      <c r="B886" s="1" t="s">
        <v>1301</v>
      </c>
      <c r="C886" s="1" t="s">
        <v>1302</v>
      </c>
      <c r="D886" s="1" t="s">
        <v>1303</v>
      </c>
      <c r="E886" s="1">
        <v>1</v>
      </c>
      <c r="F886" s="1">
        <v>161.42599999999999</v>
      </c>
      <c r="G886" s="1">
        <v>8261</v>
      </c>
      <c r="H886" s="1">
        <v>9882</v>
      </c>
      <c r="I886" s="1">
        <v>11443</v>
      </c>
      <c r="J886" s="1">
        <v>158.86500000000001</v>
      </c>
      <c r="K886" s="1">
        <v>-5.3979999999999997</v>
      </c>
      <c r="L886" s="1">
        <v>19.103999999999999</v>
      </c>
      <c r="M886" s="1" t="s">
        <v>1304</v>
      </c>
      <c r="N886" s="1" t="s">
        <v>1147</v>
      </c>
      <c r="O886" s="1" t="s">
        <v>1305</v>
      </c>
      <c r="P886" s="1" t="s">
        <v>1306</v>
      </c>
      <c r="Q886" s="1" t="s">
        <v>60</v>
      </c>
      <c r="R886" s="1" t="s">
        <v>77</v>
      </c>
      <c r="S886" s="1" t="s">
        <v>307</v>
      </c>
    </row>
    <row r="887" spans="1:19" hidden="1" x14ac:dyDescent="0.25">
      <c r="A887" s="2">
        <v>129</v>
      </c>
      <c r="B887" s="1" t="s">
        <v>1301</v>
      </c>
      <c r="C887" s="1" t="s">
        <v>1302</v>
      </c>
      <c r="D887" s="1" t="s">
        <v>1303</v>
      </c>
      <c r="E887" s="1">
        <v>2</v>
      </c>
      <c r="F887" s="1">
        <v>159.43199999999999</v>
      </c>
      <c r="G887" s="1">
        <v>8262</v>
      </c>
      <c r="H887" s="1">
        <v>9884</v>
      </c>
      <c r="I887" s="1">
        <v>11447</v>
      </c>
      <c r="J887" s="1">
        <v>156.90199999999999</v>
      </c>
      <c r="K887" s="1">
        <v>-5.4009999999999998</v>
      </c>
      <c r="L887" s="1">
        <v>19.085999999999999</v>
      </c>
      <c r="M887" s="1" t="s">
        <v>1304</v>
      </c>
      <c r="N887" s="1" t="s">
        <v>1147</v>
      </c>
      <c r="O887" s="1" t="s">
        <v>1305</v>
      </c>
      <c r="P887" s="1" t="s">
        <v>1306</v>
      </c>
      <c r="Q887" s="1" t="s">
        <v>167</v>
      </c>
      <c r="R887" s="1" t="s">
        <v>237</v>
      </c>
      <c r="S887" s="1" t="s">
        <v>206</v>
      </c>
    </row>
    <row r="888" spans="1:19" hidden="1" x14ac:dyDescent="0.25">
      <c r="A888" s="2">
        <v>129</v>
      </c>
      <c r="B888" s="1" t="s">
        <v>1301</v>
      </c>
      <c r="C888" s="1" t="s">
        <v>1302</v>
      </c>
      <c r="D888" s="1" t="s">
        <v>1303</v>
      </c>
      <c r="E888" s="1">
        <v>3</v>
      </c>
      <c r="F888" s="1">
        <v>161.34399999999999</v>
      </c>
      <c r="G888" s="1">
        <v>8333</v>
      </c>
      <c r="H888" s="1">
        <v>9969</v>
      </c>
      <c r="I888" s="1">
        <v>11543</v>
      </c>
      <c r="J888" s="1">
        <v>158.78399999999999</v>
      </c>
      <c r="K888" s="1">
        <v>-5.4119999999999999</v>
      </c>
      <c r="L888" s="1">
        <v>19.073</v>
      </c>
      <c r="M888" s="1" t="s">
        <v>1304</v>
      </c>
      <c r="N888" s="1" t="s">
        <v>1147</v>
      </c>
      <c r="O888" s="1" t="s">
        <v>1305</v>
      </c>
      <c r="P888" s="1" t="s">
        <v>1306</v>
      </c>
      <c r="Q888" s="1" t="s">
        <v>153</v>
      </c>
      <c r="R888" s="1" t="s">
        <v>252</v>
      </c>
      <c r="S888" s="1" t="s">
        <v>228</v>
      </c>
    </row>
    <row r="889" spans="1:19" hidden="1" x14ac:dyDescent="0.25">
      <c r="A889" s="2">
        <v>129</v>
      </c>
      <c r="B889" s="1" t="s">
        <v>1301</v>
      </c>
      <c r="C889" s="1" t="s">
        <v>1302</v>
      </c>
      <c r="D889" s="1" t="s">
        <v>1303</v>
      </c>
      <c r="E889" s="1">
        <v>4</v>
      </c>
      <c r="F889" s="1">
        <v>160.96799999999999</v>
      </c>
      <c r="G889" s="1">
        <v>8265</v>
      </c>
      <c r="H889" s="1">
        <v>9887</v>
      </c>
      <c r="I889" s="1">
        <v>11446</v>
      </c>
      <c r="J889" s="1">
        <v>158.41399999999999</v>
      </c>
      <c r="K889" s="1">
        <v>-5.399</v>
      </c>
      <c r="L889" s="1">
        <v>19.082999999999998</v>
      </c>
      <c r="M889" s="1" t="s">
        <v>1304</v>
      </c>
      <c r="N889" s="1" t="s">
        <v>1147</v>
      </c>
      <c r="O889" s="1" t="s">
        <v>1305</v>
      </c>
      <c r="P889" s="1" t="s">
        <v>1306</v>
      </c>
      <c r="Q889" s="1" t="s">
        <v>176</v>
      </c>
      <c r="R889" s="1" t="s">
        <v>359</v>
      </c>
      <c r="S889" s="1" t="s">
        <v>287</v>
      </c>
    </row>
    <row r="890" spans="1:19" hidden="1" x14ac:dyDescent="0.25">
      <c r="A890" s="2">
        <v>129</v>
      </c>
      <c r="B890" s="1" t="s">
        <v>1301</v>
      </c>
      <c r="C890" s="1" t="s">
        <v>1302</v>
      </c>
      <c r="D890" s="1" t="s">
        <v>1303</v>
      </c>
      <c r="E890" s="1">
        <v>5</v>
      </c>
      <c r="F890" s="1">
        <v>198.351</v>
      </c>
      <c r="G890" s="1">
        <v>16643</v>
      </c>
      <c r="H890" s="1">
        <v>20052</v>
      </c>
      <c r="I890" s="1">
        <v>23165</v>
      </c>
      <c r="J890" s="1">
        <v>195.19499999999999</v>
      </c>
      <c r="K890" s="1">
        <v>-3.2240000000000002</v>
      </c>
      <c r="L890" s="1">
        <v>24.013000000000002</v>
      </c>
      <c r="M890" s="1" t="s">
        <v>1304</v>
      </c>
      <c r="N890" s="1" t="s">
        <v>1147</v>
      </c>
      <c r="O890" s="1" t="s">
        <v>1305</v>
      </c>
      <c r="P890" s="1" t="s">
        <v>1306</v>
      </c>
      <c r="Q890" s="1" t="s">
        <v>188</v>
      </c>
      <c r="R890" s="1" t="s">
        <v>215</v>
      </c>
      <c r="S890" s="1" t="s">
        <v>130</v>
      </c>
    </row>
    <row r="891" spans="1:19" x14ac:dyDescent="0.25">
      <c r="A891" s="2">
        <v>129</v>
      </c>
      <c r="B891" s="1" t="s">
        <v>1301</v>
      </c>
      <c r="C891" s="1" t="s">
        <v>1302</v>
      </c>
      <c r="D891" s="1" t="s">
        <v>1303</v>
      </c>
      <c r="E891" s="1">
        <v>6</v>
      </c>
      <c r="F891" s="1">
        <v>174.63</v>
      </c>
      <c r="G891" s="1">
        <v>14754</v>
      </c>
      <c r="H891" s="1">
        <v>17772</v>
      </c>
      <c r="I891" s="1">
        <v>20543</v>
      </c>
      <c r="J891" s="1">
        <v>171.851</v>
      </c>
      <c r="K891" s="1">
        <v>-3.1539999999999999</v>
      </c>
      <c r="L891" s="1">
        <v>24.117999999999999</v>
      </c>
      <c r="M891" s="1" t="s">
        <v>1304</v>
      </c>
      <c r="N891" s="1" t="s">
        <v>1147</v>
      </c>
      <c r="O891" s="1" t="s">
        <v>1305</v>
      </c>
      <c r="P891" s="1" t="s">
        <v>1306</v>
      </c>
      <c r="Q891" s="1" t="s">
        <v>165</v>
      </c>
      <c r="R891" s="1" t="s">
        <v>143</v>
      </c>
      <c r="S891" s="1" t="s">
        <v>305</v>
      </c>
    </row>
    <row r="892" spans="1:19" x14ac:dyDescent="0.25">
      <c r="A892" s="2">
        <v>129</v>
      </c>
      <c r="B892" s="1" t="s">
        <v>1301</v>
      </c>
      <c r="C892" s="1" t="s">
        <v>1302</v>
      </c>
      <c r="D892" s="1" t="s">
        <v>1303</v>
      </c>
      <c r="E892" s="1">
        <v>7</v>
      </c>
      <c r="F892" s="1">
        <v>161.316</v>
      </c>
      <c r="G892" s="1">
        <v>13684</v>
      </c>
      <c r="H892" s="1">
        <v>16479</v>
      </c>
      <c r="I892" s="1">
        <v>19049</v>
      </c>
      <c r="J892" s="1">
        <v>158.749</v>
      </c>
      <c r="K892" s="1">
        <v>-3.1120000000000001</v>
      </c>
      <c r="L892" s="1">
        <v>24.135000000000002</v>
      </c>
      <c r="M892" s="1" t="s">
        <v>1304</v>
      </c>
      <c r="N892" s="1" t="s">
        <v>1147</v>
      </c>
      <c r="O892" s="1" t="s">
        <v>1305</v>
      </c>
      <c r="P892" s="1" t="s">
        <v>1306</v>
      </c>
      <c r="Q892" s="1" t="s">
        <v>851</v>
      </c>
      <c r="R892" s="1" t="s">
        <v>852</v>
      </c>
      <c r="S892" s="1" t="s">
        <v>823</v>
      </c>
    </row>
    <row r="893" spans="1:19" hidden="1" x14ac:dyDescent="0.25">
      <c r="A893" s="2">
        <v>130</v>
      </c>
      <c r="B893" s="1" t="s">
        <v>1307</v>
      </c>
      <c r="C893" s="1" t="s">
        <v>496</v>
      </c>
      <c r="D893" s="1" t="s">
        <v>1308</v>
      </c>
      <c r="E893" s="1">
        <v>1</v>
      </c>
      <c r="F893" s="1">
        <v>162.39599999999999</v>
      </c>
      <c r="G893" s="1">
        <v>8281</v>
      </c>
      <c r="H893" s="1">
        <v>9906</v>
      </c>
      <c r="I893" s="1">
        <v>11469</v>
      </c>
      <c r="J893" s="1">
        <v>159.81899999999999</v>
      </c>
      <c r="K893" s="1">
        <v>-5.3860000000000001</v>
      </c>
      <c r="L893" s="1">
        <v>19.071999999999999</v>
      </c>
      <c r="M893" s="1" t="s">
        <v>1309</v>
      </c>
      <c r="N893" s="1" t="s">
        <v>1147</v>
      </c>
      <c r="O893" s="1" t="s">
        <v>1310</v>
      </c>
      <c r="P893" s="1" t="s">
        <v>1311</v>
      </c>
      <c r="Q893" s="1" t="s">
        <v>71</v>
      </c>
      <c r="R893" s="1" t="s">
        <v>97</v>
      </c>
      <c r="S893" s="1" t="s">
        <v>167</v>
      </c>
    </row>
    <row r="894" spans="1:19" hidden="1" x14ac:dyDescent="0.25">
      <c r="A894" s="2">
        <v>130</v>
      </c>
      <c r="B894" s="1" t="s">
        <v>1307</v>
      </c>
      <c r="C894" s="1" t="s">
        <v>496</v>
      </c>
      <c r="D894" s="1" t="s">
        <v>1308</v>
      </c>
      <c r="E894" s="1">
        <v>2</v>
      </c>
      <c r="F894" s="1">
        <v>160.77199999999999</v>
      </c>
      <c r="G894" s="1">
        <v>8319</v>
      </c>
      <c r="H894" s="1">
        <v>9952</v>
      </c>
      <c r="I894" s="1">
        <v>11523</v>
      </c>
      <c r="J894" s="1">
        <v>158.22200000000001</v>
      </c>
      <c r="K894" s="1">
        <v>-5.3879999999999999</v>
      </c>
      <c r="L894" s="1">
        <v>19.059000000000001</v>
      </c>
      <c r="M894" s="1" t="s">
        <v>1309</v>
      </c>
      <c r="N894" s="1" t="s">
        <v>1147</v>
      </c>
      <c r="O894" s="1" t="s">
        <v>1310</v>
      </c>
      <c r="P894" s="1" t="s">
        <v>1311</v>
      </c>
      <c r="Q894" s="1" t="s">
        <v>159</v>
      </c>
      <c r="R894" s="1" t="s">
        <v>179</v>
      </c>
      <c r="S894" s="1" t="s">
        <v>168</v>
      </c>
    </row>
    <row r="895" spans="1:19" hidden="1" x14ac:dyDescent="0.25">
      <c r="A895" s="2">
        <v>130</v>
      </c>
      <c r="B895" s="1" t="s">
        <v>1307</v>
      </c>
      <c r="C895" s="1" t="s">
        <v>496</v>
      </c>
      <c r="D895" s="1" t="s">
        <v>1308</v>
      </c>
      <c r="E895" s="1">
        <v>3</v>
      </c>
      <c r="F895" s="1">
        <v>162.06399999999999</v>
      </c>
      <c r="G895" s="1">
        <v>8396</v>
      </c>
      <c r="H895" s="1">
        <v>10045</v>
      </c>
      <c r="I895" s="1">
        <v>11629</v>
      </c>
      <c r="J895" s="1">
        <v>159.49299999999999</v>
      </c>
      <c r="K895" s="1">
        <v>-5.3970000000000002</v>
      </c>
      <c r="L895" s="1">
        <v>19.074000000000002</v>
      </c>
      <c r="M895" s="1" t="s">
        <v>1309</v>
      </c>
      <c r="N895" s="1" t="s">
        <v>1147</v>
      </c>
      <c r="O895" s="1" t="s">
        <v>1310</v>
      </c>
      <c r="P895" s="1" t="s">
        <v>1311</v>
      </c>
      <c r="Q895" s="1" t="s">
        <v>161</v>
      </c>
      <c r="R895" s="1" t="s">
        <v>236</v>
      </c>
      <c r="S895" s="1" t="s">
        <v>413</v>
      </c>
    </row>
    <row r="896" spans="1:19" hidden="1" x14ac:dyDescent="0.25">
      <c r="A896" s="2">
        <v>130</v>
      </c>
      <c r="B896" s="1" t="s">
        <v>1307</v>
      </c>
      <c r="C896" s="1" t="s">
        <v>496</v>
      </c>
      <c r="D896" s="1" t="s">
        <v>1308</v>
      </c>
      <c r="E896" s="1">
        <v>4</v>
      </c>
      <c r="F896" s="1">
        <v>161.614</v>
      </c>
      <c r="G896" s="1">
        <v>8311</v>
      </c>
      <c r="H896" s="1">
        <v>9942</v>
      </c>
      <c r="I896" s="1">
        <v>11511</v>
      </c>
      <c r="J896" s="1">
        <v>159.05000000000001</v>
      </c>
      <c r="K896" s="1">
        <v>-5.399</v>
      </c>
      <c r="L896" s="1">
        <v>19.082999999999998</v>
      </c>
      <c r="M896" s="1" t="s">
        <v>1309</v>
      </c>
      <c r="N896" s="1" t="s">
        <v>1147</v>
      </c>
      <c r="O896" s="1" t="s">
        <v>1310</v>
      </c>
      <c r="P896" s="1" t="s">
        <v>1311</v>
      </c>
      <c r="Q896" s="1" t="s">
        <v>153</v>
      </c>
      <c r="R896" s="1" t="s">
        <v>252</v>
      </c>
      <c r="S896" s="1" t="s">
        <v>228</v>
      </c>
    </row>
    <row r="897" spans="1:19" hidden="1" x14ac:dyDescent="0.25">
      <c r="A897" s="2">
        <v>130</v>
      </c>
      <c r="B897" s="1" t="s">
        <v>1307</v>
      </c>
      <c r="C897" s="1" t="s">
        <v>496</v>
      </c>
      <c r="D897" s="1" t="s">
        <v>1308</v>
      </c>
      <c r="E897" s="1">
        <v>5</v>
      </c>
      <c r="F897" s="1">
        <v>225.535</v>
      </c>
      <c r="G897" s="1">
        <v>19714</v>
      </c>
      <c r="H897" s="1">
        <v>23776</v>
      </c>
      <c r="I897" s="1">
        <v>27448</v>
      </c>
      <c r="J897" s="1">
        <v>221.94399999999999</v>
      </c>
      <c r="K897" s="1">
        <v>-2.3809999999999998</v>
      </c>
      <c r="L897" s="1">
        <v>23.946999999999999</v>
      </c>
      <c r="M897" s="1" t="s">
        <v>1309</v>
      </c>
      <c r="N897" s="1" t="s">
        <v>1147</v>
      </c>
      <c r="O897" s="1" t="s">
        <v>1310</v>
      </c>
      <c r="P897" s="1" t="s">
        <v>1311</v>
      </c>
      <c r="Q897" s="1" t="s">
        <v>214</v>
      </c>
      <c r="R897" s="1" t="s">
        <v>70</v>
      </c>
      <c r="S897" s="1" t="s">
        <v>100</v>
      </c>
    </row>
    <row r="898" spans="1:19" x14ac:dyDescent="0.25">
      <c r="A898" s="2">
        <v>130</v>
      </c>
      <c r="B898" s="1" t="s">
        <v>1307</v>
      </c>
      <c r="C898" s="1" t="s">
        <v>496</v>
      </c>
      <c r="D898" s="1" t="s">
        <v>1308</v>
      </c>
      <c r="E898" s="1">
        <v>6</v>
      </c>
      <c r="F898" s="1">
        <v>197.53</v>
      </c>
      <c r="G898" s="1">
        <v>17168</v>
      </c>
      <c r="H898" s="1">
        <v>20689</v>
      </c>
      <c r="I898" s="1">
        <v>23904</v>
      </c>
      <c r="J898" s="1">
        <v>194.38499999999999</v>
      </c>
      <c r="K898" s="1">
        <v>-2.363</v>
      </c>
      <c r="L898" s="1">
        <v>24.158999999999999</v>
      </c>
      <c r="M898" s="1" t="s">
        <v>1309</v>
      </c>
      <c r="N898" s="1" t="s">
        <v>1147</v>
      </c>
      <c r="O898" s="1" t="s">
        <v>1310</v>
      </c>
      <c r="P898" s="1" t="s">
        <v>1311</v>
      </c>
      <c r="Q898" s="1" t="s">
        <v>302</v>
      </c>
      <c r="R898" s="1" t="s">
        <v>201</v>
      </c>
      <c r="S898" s="1" t="s">
        <v>175</v>
      </c>
    </row>
    <row r="899" spans="1:19" x14ac:dyDescent="0.25">
      <c r="A899" s="2">
        <v>130</v>
      </c>
      <c r="B899" s="1" t="s">
        <v>1307</v>
      </c>
      <c r="C899" s="1" t="s">
        <v>496</v>
      </c>
      <c r="D899" s="1" t="s">
        <v>1308</v>
      </c>
      <c r="E899" s="1">
        <v>7</v>
      </c>
      <c r="F899" s="1">
        <v>181.90100000000001</v>
      </c>
      <c r="G899" s="1">
        <v>15718</v>
      </c>
      <c r="H899" s="1">
        <v>18932</v>
      </c>
      <c r="I899" s="1">
        <v>21882</v>
      </c>
      <c r="J899" s="1">
        <v>179.005</v>
      </c>
      <c r="K899" s="1">
        <v>-2.3029999999999999</v>
      </c>
      <c r="L899" s="1">
        <v>24.184999999999999</v>
      </c>
      <c r="M899" s="1" t="s">
        <v>1309</v>
      </c>
      <c r="N899" s="1" t="s">
        <v>1147</v>
      </c>
      <c r="O899" s="1" t="s">
        <v>1310</v>
      </c>
      <c r="P899" s="1" t="s">
        <v>1311</v>
      </c>
      <c r="Q899" s="1" t="s">
        <v>1312</v>
      </c>
      <c r="R899" s="1" t="s">
        <v>1313</v>
      </c>
      <c r="S899" s="1" t="s">
        <v>874</v>
      </c>
    </row>
    <row r="900" spans="1:19" hidden="1" x14ac:dyDescent="0.25">
      <c r="A900" s="2">
        <v>131</v>
      </c>
      <c r="B900" s="1" t="s">
        <v>1314</v>
      </c>
      <c r="C900" s="1" t="s">
        <v>788</v>
      </c>
      <c r="D900" s="1" t="s">
        <v>1315</v>
      </c>
      <c r="E900" s="1">
        <v>1</v>
      </c>
      <c r="F900" s="1">
        <v>162.00200000000001</v>
      </c>
      <c r="G900" s="1">
        <v>8286</v>
      </c>
      <c r="H900" s="1">
        <v>9913</v>
      </c>
      <c r="I900" s="1">
        <v>11477</v>
      </c>
      <c r="J900" s="1">
        <v>159.43199999999999</v>
      </c>
      <c r="K900" s="1">
        <v>-5.3879999999999999</v>
      </c>
      <c r="L900" s="1">
        <v>19.053999999999998</v>
      </c>
      <c r="M900" s="1" t="s">
        <v>693</v>
      </c>
      <c r="N900" s="1" t="s">
        <v>1147</v>
      </c>
      <c r="O900" s="1" t="s">
        <v>1316</v>
      </c>
      <c r="P900" s="1" t="s">
        <v>1317</v>
      </c>
      <c r="Q900" s="1" t="s">
        <v>57</v>
      </c>
      <c r="R900" s="1" t="s">
        <v>113</v>
      </c>
      <c r="S900" s="1" t="s">
        <v>146</v>
      </c>
    </row>
    <row r="901" spans="1:19" hidden="1" x14ac:dyDescent="0.25">
      <c r="A901" s="2">
        <v>131</v>
      </c>
      <c r="B901" s="1" t="s">
        <v>1314</v>
      </c>
      <c r="C901" s="1" t="s">
        <v>788</v>
      </c>
      <c r="D901" s="1" t="s">
        <v>1315</v>
      </c>
      <c r="E901" s="1">
        <v>2</v>
      </c>
      <c r="F901" s="1">
        <v>159.85499999999999</v>
      </c>
      <c r="G901" s="1">
        <v>8277</v>
      </c>
      <c r="H901" s="1">
        <v>9901</v>
      </c>
      <c r="I901" s="1">
        <v>11463</v>
      </c>
      <c r="J901" s="1">
        <v>157.31899999999999</v>
      </c>
      <c r="K901" s="1">
        <v>-5.4169999999999998</v>
      </c>
      <c r="L901" s="1">
        <v>19.061</v>
      </c>
      <c r="M901" s="1" t="s">
        <v>693</v>
      </c>
      <c r="N901" s="1" t="s">
        <v>1147</v>
      </c>
      <c r="O901" s="1" t="s">
        <v>1316</v>
      </c>
      <c r="P901" s="1" t="s">
        <v>1317</v>
      </c>
      <c r="Q901" s="1" t="s">
        <v>249</v>
      </c>
      <c r="R901" s="1" t="s">
        <v>194</v>
      </c>
      <c r="S901" s="1" t="s">
        <v>324</v>
      </c>
    </row>
    <row r="902" spans="1:19" hidden="1" x14ac:dyDescent="0.25">
      <c r="A902" s="2">
        <v>131</v>
      </c>
      <c r="B902" s="1" t="s">
        <v>1314</v>
      </c>
      <c r="C902" s="1" t="s">
        <v>788</v>
      </c>
      <c r="D902" s="1" t="s">
        <v>1315</v>
      </c>
      <c r="E902" s="1">
        <v>3</v>
      </c>
      <c r="F902" s="1">
        <v>161.43</v>
      </c>
      <c r="G902" s="1">
        <v>8352</v>
      </c>
      <c r="H902" s="1">
        <v>9992</v>
      </c>
      <c r="I902" s="1">
        <v>11570</v>
      </c>
      <c r="J902" s="1">
        <v>158.869</v>
      </c>
      <c r="K902" s="1">
        <v>-5.4029999999999996</v>
      </c>
      <c r="L902" s="1">
        <v>19.077000000000002</v>
      </c>
      <c r="M902" s="1" t="s">
        <v>693</v>
      </c>
      <c r="N902" s="1" t="s">
        <v>1147</v>
      </c>
      <c r="O902" s="1" t="s">
        <v>1316</v>
      </c>
      <c r="P902" s="1" t="s">
        <v>1317</v>
      </c>
      <c r="Q902" s="1" t="s">
        <v>165</v>
      </c>
      <c r="R902" s="1" t="s">
        <v>143</v>
      </c>
      <c r="S902" s="1" t="s">
        <v>413</v>
      </c>
    </row>
    <row r="903" spans="1:19" hidden="1" x14ac:dyDescent="0.25">
      <c r="A903" s="2">
        <v>131</v>
      </c>
      <c r="B903" s="1" t="s">
        <v>1314</v>
      </c>
      <c r="C903" s="1" t="s">
        <v>788</v>
      </c>
      <c r="D903" s="1" t="s">
        <v>1315</v>
      </c>
      <c r="E903" s="1">
        <v>4</v>
      </c>
      <c r="F903" s="1">
        <v>161.84</v>
      </c>
      <c r="G903" s="1">
        <v>8313</v>
      </c>
      <c r="H903" s="1">
        <v>9945</v>
      </c>
      <c r="I903" s="1">
        <v>11515</v>
      </c>
      <c r="J903" s="1">
        <v>159.273</v>
      </c>
      <c r="K903" s="1">
        <v>-5.399</v>
      </c>
      <c r="L903" s="1">
        <v>19.082999999999998</v>
      </c>
      <c r="M903" s="1" t="s">
        <v>693</v>
      </c>
      <c r="N903" s="1" t="s">
        <v>1147</v>
      </c>
      <c r="O903" s="1" t="s">
        <v>1316</v>
      </c>
      <c r="P903" s="1" t="s">
        <v>1317</v>
      </c>
      <c r="Q903" s="1" t="s">
        <v>153</v>
      </c>
      <c r="R903" s="1" t="s">
        <v>252</v>
      </c>
      <c r="S903" s="1" t="s">
        <v>228</v>
      </c>
    </row>
    <row r="904" spans="1:19" hidden="1" x14ac:dyDescent="0.25">
      <c r="A904" s="2">
        <v>131</v>
      </c>
      <c r="B904" s="1" t="s">
        <v>1314</v>
      </c>
      <c r="C904" s="1" t="s">
        <v>788</v>
      </c>
      <c r="D904" s="1" t="s">
        <v>1315</v>
      </c>
      <c r="E904" s="1">
        <v>5</v>
      </c>
      <c r="F904" s="1">
        <v>227.148</v>
      </c>
      <c r="G904" s="1">
        <v>19137</v>
      </c>
      <c r="H904" s="1">
        <v>23107</v>
      </c>
      <c r="I904" s="1">
        <v>26636</v>
      </c>
      <c r="J904" s="1">
        <v>223.53100000000001</v>
      </c>
      <c r="K904" s="1">
        <v>-1.9870000000000001</v>
      </c>
      <c r="L904" s="1">
        <v>23.882999999999999</v>
      </c>
      <c r="M904" s="1" t="s">
        <v>693</v>
      </c>
      <c r="N904" s="1" t="s">
        <v>1147</v>
      </c>
      <c r="O904" s="1" t="s">
        <v>1316</v>
      </c>
      <c r="P904" s="1" t="s">
        <v>1317</v>
      </c>
      <c r="Q904" s="1" t="s">
        <v>183</v>
      </c>
      <c r="R904" s="1" t="s">
        <v>515</v>
      </c>
      <c r="S904" s="1" t="s">
        <v>130</v>
      </c>
    </row>
    <row r="905" spans="1:19" x14ac:dyDescent="0.25">
      <c r="A905" s="2">
        <v>131</v>
      </c>
      <c r="B905" s="1" t="s">
        <v>1314</v>
      </c>
      <c r="C905" s="1" t="s">
        <v>788</v>
      </c>
      <c r="D905" s="1" t="s">
        <v>1315</v>
      </c>
      <c r="E905" s="1">
        <v>6</v>
      </c>
      <c r="F905" s="1">
        <v>199.43899999999999</v>
      </c>
      <c r="G905" s="1">
        <v>16930</v>
      </c>
      <c r="H905" s="1">
        <v>20435</v>
      </c>
      <c r="I905" s="1">
        <v>23570</v>
      </c>
      <c r="J905" s="1">
        <v>196.26300000000001</v>
      </c>
      <c r="K905" s="1">
        <v>-1.9339999999999999</v>
      </c>
      <c r="L905" s="1">
        <v>24.048999999999999</v>
      </c>
      <c r="M905" s="1" t="s">
        <v>693</v>
      </c>
      <c r="N905" s="1" t="s">
        <v>1147</v>
      </c>
      <c r="O905" s="1" t="s">
        <v>1316</v>
      </c>
      <c r="P905" s="1" t="s">
        <v>1317</v>
      </c>
      <c r="Q905" s="1" t="s">
        <v>103</v>
      </c>
      <c r="R905" s="1" t="s">
        <v>376</v>
      </c>
      <c r="S905" s="1" t="s">
        <v>251</v>
      </c>
    </row>
    <row r="906" spans="1:19" x14ac:dyDescent="0.25">
      <c r="A906" s="2">
        <v>131</v>
      </c>
      <c r="B906" s="1" t="s">
        <v>1314</v>
      </c>
      <c r="C906" s="1" t="s">
        <v>788</v>
      </c>
      <c r="D906" s="1" t="s">
        <v>1315</v>
      </c>
      <c r="E906" s="1">
        <v>7</v>
      </c>
      <c r="F906" s="1">
        <v>184.101</v>
      </c>
      <c r="G906" s="1">
        <v>15709</v>
      </c>
      <c r="H906" s="1">
        <v>18957</v>
      </c>
      <c r="I906" s="1">
        <v>21866</v>
      </c>
      <c r="J906" s="1">
        <v>181.16900000000001</v>
      </c>
      <c r="K906" s="1">
        <v>-1.887</v>
      </c>
      <c r="L906" s="1">
        <v>24.06</v>
      </c>
      <c r="M906" s="1" t="s">
        <v>693</v>
      </c>
      <c r="N906" s="1" t="s">
        <v>1147</v>
      </c>
      <c r="O906" s="1" t="s">
        <v>1316</v>
      </c>
      <c r="P906" s="1" t="s">
        <v>1317</v>
      </c>
      <c r="Q906" s="1" t="s">
        <v>1318</v>
      </c>
      <c r="R906" s="1" t="s">
        <v>408</v>
      </c>
      <c r="S906" s="1" t="s">
        <v>1319</v>
      </c>
    </row>
    <row r="907" spans="1:19" hidden="1" x14ac:dyDescent="0.25">
      <c r="A907" s="2">
        <v>132</v>
      </c>
      <c r="B907" s="1" t="s">
        <v>1320</v>
      </c>
      <c r="C907" s="1" t="s">
        <v>671</v>
      </c>
      <c r="D907" s="1" t="s">
        <v>1321</v>
      </c>
      <c r="E907" s="1">
        <v>1</v>
      </c>
      <c r="F907" s="1">
        <v>162.905</v>
      </c>
      <c r="G907" s="1">
        <v>8326</v>
      </c>
      <c r="H907" s="1">
        <v>9961</v>
      </c>
      <c r="I907" s="1">
        <v>11527</v>
      </c>
      <c r="J907" s="1">
        <v>160.321</v>
      </c>
      <c r="K907" s="1">
        <v>-5.3769999999999998</v>
      </c>
      <c r="L907" s="1">
        <v>19.036999999999999</v>
      </c>
      <c r="M907" s="1" t="s">
        <v>1322</v>
      </c>
      <c r="N907" s="1" t="s">
        <v>1147</v>
      </c>
      <c r="O907" s="1" t="s">
        <v>1323</v>
      </c>
      <c r="P907" s="1" t="s">
        <v>1324</v>
      </c>
      <c r="Q907" s="1" t="s">
        <v>60</v>
      </c>
      <c r="R907" s="1" t="s">
        <v>172</v>
      </c>
      <c r="S907" s="1" t="s">
        <v>153</v>
      </c>
    </row>
    <row r="908" spans="1:19" hidden="1" x14ac:dyDescent="0.25">
      <c r="A908" s="2">
        <v>132</v>
      </c>
      <c r="B908" s="1" t="s">
        <v>1320</v>
      </c>
      <c r="C908" s="1" t="s">
        <v>671</v>
      </c>
      <c r="D908" s="1" t="s">
        <v>1321</v>
      </c>
      <c r="E908" s="1">
        <v>2</v>
      </c>
      <c r="F908" s="1">
        <v>160.27799999999999</v>
      </c>
      <c r="G908" s="1">
        <v>8308</v>
      </c>
      <c r="H908" s="1">
        <v>9939</v>
      </c>
      <c r="I908" s="1">
        <v>11502</v>
      </c>
      <c r="J908" s="1">
        <v>157.73500000000001</v>
      </c>
      <c r="K908" s="1">
        <v>-5.3730000000000002</v>
      </c>
      <c r="L908" s="1">
        <v>19.010999999999999</v>
      </c>
      <c r="M908" s="1" t="s">
        <v>1322</v>
      </c>
      <c r="N908" s="1" t="s">
        <v>1147</v>
      </c>
      <c r="O908" s="1" t="s">
        <v>1323</v>
      </c>
      <c r="P908" s="1" t="s">
        <v>1324</v>
      </c>
      <c r="Q908" s="1" t="s">
        <v>167</v>
      </c>
      <c r="R908" s="1" t="s">
        <v>237</v>
      </c>
      <c r="S908" s="1" t="s">
        <v>206</v>
      </c>
    </row>
    <row r="909" spans="1:19" hidden="1" x14ac:dyDescent="0.25">
      <c r="A909" s="2">
        <v>132</v>
      </c>
      <c r="B909" s="1" t="s">
        <v>1320</v>
      </c>
      <c r="C909" s="1" t="s">
        <v>671</v>
      </c>
      <c r="D909" s="1" t="s">
        <v>1321</v>
      </c>
      <c r="E909" s="1">
        <v>3</v>
      </c>
      <c r="F909" s="1">
        <v>161.54599999999999</v>
      </c>
      <c r="G909" s="1">
        <v>8364</v>
      </c>
      <c r="H909" s="1">
        <v>10006</v>
      </c>
      <c r="I909" s="1">
        <v>11580</v>
      </c>
      <c r="J909" s="1">
        <v>158.983</v>
      </c>
      <c r="K909" s="1">
        <v>-5.391</v>
      </c>
      <c r="L909" s="1">
        <v>19.042999999999999</v>
      </c>
      <c r="M909" s="1" t="s">
        <v>1322</v>
      </c>
      <c r="N909" s="1" t="s">
        <v>1147</v>
      </c>
      <c r="O909" s="1" t="s">
        <v>1323</v>
      </c>
      <c r="P909" s="1" t="s">
        <v>1324</v>
      </c>
      <c r="Q909" s="1" t="s">
        <v>153</v>
      </c>
      <c r="R909" s="1" t="s">
        <v>252</v>
      </c>
      <c r="S909" s="1" t="s">
        <v>247</v>
      </c>
    </row>
    <row r="910" spans="1:19" hidden="1" x14ac:dyDescent="0.25">
      <c r="A910" s="2">
        <v>132</v>
      </c>
      <c r="B910" s="1" t="s">
        <v>1320</v>
      </c>
      <c r="C910" s="1" t="s">
        <v>671</v>
      </c>
      <c r="D910" s="1" t="s">
        <v>1321</v>
      </c>
      <c r="E910" s="1">
        <v>4</v>
      </c>
      <c r="F910" s="1">
        <v>161.38200000000001</v>
      </c>
      <c r="G910" s="1">
        <v>8302</v>
      </c>
      <c r="H910" s="1">
        <v>9933</v>
      </c>
      <c r="I910" s="1">
        <v>11495</v>
      </c>
      <c r="J910" s="1">
        <v>158.822</v>
      </c>
      <c r="K910" s="1">
        <v>-5.399</v>
      </c>
      <c r="L910" s="1">
        <v>19.082999999999998</v>
      </c>
      <c r="M910" s="1" t="s">
        <v>1322</v>
      </c>
      <c r="N910" s="1" t="s">
        <v>1147</v>
      </c>
      <c r="O910" s="1" t="s">
        <v>1323</v>
      </c>
      <c r="P910" s="1" t="s">
        <v>1324</v>
      </c>
      <c r="Q910" s="1" t="s">
        <v>164</v>
      </c>
      <c r="R910" s="1" t="s">
        <v>359</v>
      </c>
      <c r="S910" s="1" t="s">
        <v>219</v>
      </c>
    </row>
    <row r="911" spans="1:19" hidden="1" x14ac:dyDescent="0.25">
      <c r="A911" s="2">
        <v>132</v>
      </c>
      <c r="B911" s="1" t="s">
        <v>1320</v>
      </c>
      <c r="C911" s="1" t="s">
        <v>671</v>
      </c>
      <c r="D911" s="1" t="s">
        <v>1321</v>
      </c>
      <c r="E911" s="1">
        <v>5</v>
      </c>
      <c r="F911" s="1">
        <v>178.92099999999999</v>
      </c>
      <c r="G911" s="1">
        <v>15333</v>
      </c>
      <c r="H911" s="1">
        <v>18482</v>
      </c>
      <c r="I911" s="1">
        <v>21335</v>
      </c>
      <c r="J911" s="1">
        <v>176.072</v>
      </c>
      <c r="K911" s="1">
        <v>-1.9530000000000001</v>
      </c>
      <c r="L911" s="1">
        <v>23.696000000000002</v>
      </c>
      <c r="M911" s="1" t="s">
        <v>1322</v>
      </c>
      <c r="N911" s="1" t="s">
        <v>1147</v>
      </c>
      <c r="O911" s="1" t="s">
        <v>1323</v>
      </c>
      <c r="P911" s="1" t="s">
        <v>1324</v>
      </c>
      <c r="Q911" s="1" t="s">
        <v>182</v>
      </c>
      <c r="R911" s="1" t="s">
        <v>47</v>
      </c>
      <c r="S911" s="1" t="s">
        <v>105</v>
      </c>
    </row>
    <row r="912" spans="1:19" x14ac:dyDescent="0.25">
      <c r="A912" s="2">
        <v>132</v>
      </c>
      <c r="B912" s="1" t="s">
        <v>1320</v>
      </c>
      <c r="C912" s="1" t="s">
        <v>671</v>
      </c>
      <c r="D912" s="1" t="s">
        <v>1321</v>
      </c>
      <c r="E912" s="1">
        <v>6</v>
      </c>
      <c r="F912" s="1">
        <v>157.23500000000001</v>
      </c>
      <c r="G912" s="1">
        <v>13436</v>
      </c>
      <c r="H912" s="1">
        <v>16185</v>
      </c>
      <c r="I912" s="1">
        <v>18696</v>
      </c>
      <c r="J912" s="1">
        <v>154.73099999999999</v>
      </c>
      <c r="K912" s="1">
        <v>-1.9079999999999999</v>
      </c>
      <c r="L912" s="1">
        <v>24.042999999999999</v>
      </c>
      <c r="M912" s="1" t="s">
        <v>1322</v>
      </c>
      <c r="N912" s="1" t="s">
        <v>1147</v>
      </c>
      <c r="O912" s="1" t="s">
        <v>1323</v>
      </c>
      <c r="P912" s="1" t="s">
        <v>1324</v>
      </c>
      <c r="Q912" s="1" t="s">
        <v>138</v>
      </c>
      <c r="R912" s="1" t="s">
        <v>170</v>
      </c>
      <c r="S912" s="1" t="s">
        <v>274</v>
      </c>
    </row>
    <row r="913" spans="1:19" x14ac:dyDescent="0.25">
      <c r="A913" s="2">
        <v>132</v>
      </c>
      <c r="B913" s="1" t="s">
        <v>1320</v>
      </c>
      <c r="C913" s="1" t="s">
        <v>671</v>
      </c>
      <c r="D913" s="1" t="s">
        <v>1321</v>
      </c>
      <c r="E913" s="1">
        <v>7</v>
      </c>
      <c r="F913" s="1">
        <v>145.029</v>
      </c>
      <c r="G913" s="1">
        <v>12332</v>
      </c>
      <c r="H913" s="1">
        <v>14856</v>
      </c>
      <c r="I913" s="1">
        <v>17163</v>
      </c>
      <c r="J913" s="1">
        <v>142.71899999999999</v>
      </c>
      <c r="K913" s="1">
        <v>-1.889</v>
      </c>
      <c r="L913" s="1">
        <v>24.087</v>
      </c>
      <c r="M913" s="1" t="s">
        <v>1322</v>
      </c>
      <c r="N913" s="1" t="s">
        <v>1147</v>
      </c>
      <c r="O913" s="1" t="s">
        <v>1323</v>
      </c>
      <c r="P913" s="1" t="s">
        <v>1324</v>
      </c>
      <c r="Q913" s="1" t="s">
        <v>1273</v>
      </c>
      <c r="R913" s="1" t="s">
        <v>1325</v>
      </c>
      <c r="S913" s="1" t="s">
        <v>469</v>
      </c>
    </row>
    <row r="914" spans="1:19" hidden="1" x14ac:dyDescent="0.25">
      <c r="A914" s="2">
        <v>133</v>
      </c>
      <c r="B914" s="1" t="s">
        <v>1326</v>
      </c>
      <c r="C914" s="1" t="s">
        <v>698</v>
      </c>
      <c r="D914" s="1" t="s">
        <v>1327</v>
      </c>
      <c r="E914" s="1">
        <v>1</v>
      </c>
      <c r="F914" s="1">
        <v>163.10499999999999</v>
      </c>
      <c r="G914" s="1">
        <v>8336</v>
      </c>
      <c r="H914" s="1">
        <v>9973</v>
      </c>
      <c r="I914" s="1">
        <v>11541</v>
      </c>
      <c r="J914" s="1">
        <v>160.517</v>
      </c>
      <c r="K914" s="1">
        <v>-5.41</v>
      </c>
      <c r="L914" s="1">
        <v>19.021999999999998</v>
      </c>
      <c r="M914" s="1" t="s">
        <v>1328</v>
      </c>
      <c r="N914" s="1" t="s">
        <v>1147</v>
      </c>
      <c r="O914" s="1" t="s">
        <v>1329</v>
      </c>
      <c r="P914" s="1" t="s">
        <v>1330</v>
      </c>
      <c r="Q914" s="1" t="s">
        <v>102</v>
      </c>
      <c r="R914" s="1" t="s">
        <v>75</v>
      </c>
      <c r="S914" s="1" t="s">
        <v>291</v>
      </c>
    </row>
    <row r="915" spans="1:19" hidden="1" x14ac:dyDescent="0.25">
      <c r="A915" s="2">
        <v>133</v>
      </c>
      <c r="B915" s="1" t="s">
        <v>1326</v>
      </c>
      <c r="C915" s="1" t="s">
        <v>698</v>
      </c>
      <c r="D915" s="1" t="s">
        <v>1327</v>
      </c>
      <c r="E915" s="1">
        <v>2</v>
      </c>
      <c r="F915" s="1">
        <v>161.863</v>
      </c>
      <c r="G915" s="1">
        <v>8381</v>
      </c>
      <c r="H915" s="1">
        <v>10027</v>
      </c>
      <c r="I915" s="1">
        <v>11603</v>
      </c>
      <c r="J915" s="1">
        <v>159.29499999999999</v>
      </c>
      <c r="K915" s="1">
        <v>-5.4009999999999998</v>
      </c>
      <c r="L915" s="1">
        <v>19.04</v>
      </c>
      <c r="M915" s="1" t="s">
        <v>1328</v>
      </c>
      <c r="N915" s="1" t="s">
        <v>1147</v>
      </c>
      <c r="O915" s="1" t="s">
        <v>1329</v>
      </c>
      <c r="P915" s="1" t="s">
        <v>1330</v>
      </c>
      <c r="Q915" s="1" t="s">
        <v>253</v>
      </c>
      <c r="R915" s="1" t="s">
        <v>297</v>
      </c>
      <c r="S915" s="1" t="s">
        <v>295</v>
      </c>
    </row>
    <row r="916" spans="1:19" hidden="1" x14ac:dyDescent="0.25">
      <c r="A916" s="2">
        <v>133</v>
      </c>
      <c r="B916" s="1" t="s">
        <v>1326</v>
      </c>
      <c r="C916" s="1" t="s">
        <v>698</v>
      </c>
      <c r="D916" s="1" t="s">
        <v>1327</v>
      </c>
      <c r="E916" s="1">
        <v>3</v>
      </c>
      <c r="F916" s="1">
        <v>162.99600000000001</v>
      </c>
      <c r="G916" s="1">
        <v>8415</v>
      </c>
      <c r="H916" s="1">
        <v>10068</v>
      </c>
      <c r="I916" s="1">
        <v>11652</v>
      </c>
      <c r="J916" s="1">
        <v>160.411</v>
      </c>
      <c r="K916" s="1">
        <v>-5.399</v>
      </c>
      <c r="L916" s="1">
        <v>19.059999999999999</v>
      </c>
      <c r="M916" s="1" t="s">
        <v>1328</v>
      </c>
      <c r="N916" s="1" t="s">
        <v>1147</v>
      </c>
      <c r="O916" s="1" t="s">
        <v>1329</v>
      </c>
      <c r="P916" s="1" t="s">
        <v>1330</v>
      </c>
      <c r="Q916" s="1" t="s">
        <v>139</v>
      </c>
      <c r="R916" s="1" t="s">
        <v>177</v>
      </c>
      <c r="S916" s="1" t="s">
        <v>292</v>
      </c>
    </row>
    <row r="917" spans="1:19" hidden="1" x14ac:dyDescent="0.25">
      <c r="A917" s="2">
        <v>133</v>
      </c>
      <c r="B917" s="1" t="s">
        <v>1326</v>
      </c>
      <c r="C917" s="1" t="s">
        <v>698</v>
      </c>
      <c r="D917" s="1" t="s">
        <v>1327</v>
      </c>
      <c r="E917" s="1">
        <v>4</v>
      </c>
      <c r="F917" s="1">
        <v>162.93199999999999</v>
      </c>
      <c r="G917" s="1">
        <v>8368</v>
      </c>
      <c r="H917" s="1">
        <v>10012</v>
      </c>
      <c r="I917" s="1">
        <v>11584</v>
      </c>
      <c r="J917" s="1">
        <v>160.34700000000001</v>
      </c>
      <c r="K917" s="1">
        <v>-5.399</v>
      </c>
      <c r="L917" s="1">
        <v>19.082999999999998</v>
      </c>
      <c r="M917" s="1" t="s">
        <v>1328</v>
      </c>
      <c r="N917" s="1" t="s">
        <v>1147</v>
      </c>
      <c r="O917" s="1" t="s">
        <v>1329</v>
      </c>
      <c r="P917" s="1" t="s">
        <v>1330</v>
      </c>
      <c r="Q917" s="1" t="s">
        <v>160</v>
      </c>
      <c r="R917" s="1" t="s">
        <v>155</v>
      </c>
      <c r="S917" s="1" t="s">
        <v>370</v>
      </c>
    </row>
    <row r="918" spans="1:19" hidden="1" x14ac:dyDescent="0.25">
      <c r="A918" s="2">
        <v>133</v>
      </c>
      <c r="B918" s="1" t="s">
        <v>1326</v>
      </c>
      <c r="C918" s="1" t="s">
        <v>698</v>
      </c>
      <c r="D918" s="1" t="s">
        <v>1327</v>
      </c>
      <c r="E918" s="1">
        <v>5</v>
      </c>
      <c r="F918" s="1">
        <v>145.70400000000001</v>
      </c>
      <c r="G918" s="1">
        <v>12367</v>
      </c>
      <c r="H918" s="1">
        <v>14907</v>
      </c>
      <c r="I918" s="1">
        <v>17212</v>
      </c>
      <c r="J918" s="1">
        <v>143.38499999999999</v>
      </c>
      <c r="K918" s="1">
        <v>-2.2429999999999999</v>
      </c>
      <c r="L918" s="1">
        <v>24.047999999999998</v>
      </c>
      <c r="M918" s="1" t="s">
        <v>1328</v>
      </c>
      <c r="N918" s="1" t="s">
        <v>1147</v>
      </c>
      <c r="O918" s="1" t="s">
        <v>1329</v>
      </c>
      <c r="P918" s="1" t="s">
        <v>1330</v>
      </c>
      <c r="Q918" s="1" t="s">
        <v>189</v>
      </c>
      <c r="R918" s="1" t="s">
        <v>222</v>
      </c>
      <c r="S918" s="1" t="s">
        <v>195</v>
      </c>
    </row>
    <row r="919" spans="1:19" x14ac:dyDescent="0.25">
      <c r="A919" s="2">
        <v>133</v>
      </c>
      <c r="B919" s="1" t="s">
        <v>1326</v>
      </c>
      <c r="C919" s="1" t="s">
        <v>698</v>
      </c>
      <c r="D919" s="1" t="s">
        <v>1327</v>
      </c>
      <c r="E919" s="1">
        <v>6</v>
      </c>
      <c r="F919" s="1">
        <v>130.30199999999999</v>
      </c>
      <c r="G919" s="1">
        <v>11216</v>
      </c>
      <c r="H919" s="1">
        <v>13515</v>
      </c>
      <c r="I919" s="1">
        <v>15607</v>
      </c>
      <c r="J919" s="1">
        <v>128.227</v>
      </c>
      <c r="K919" s="1">
        <v>-2.2120000000000002</v>
      </c>
      <c r="L919" s="1">
        <v>24.154</v>
      </c>
      <c r="M919" s="1" t="s">
        <v>1328</v>
      </c>
      <c r="N919" s="1" t="s">
        <v>1147</v>
      </c>
      <c r="O919" s="1" t="s">
        <v>1329</v>
      </c>
      <c r="P919" s="1" t="s">
        <v>1330</v>
      </c>
      <c r="Q919" s="1" t="s">
        <v>107</v>
      </c>
      <c r="R919" s="1" t="s">
        <v>290</v>
      </c>
      <c r="S919" s="1" t="s">
        <v>170</v>
      </c>
    </row>
    <row r="920" spans="1:19" x14ac:dyDescent="0.25">
      <c r="A920" s="2">
        <v>133</v>
      </c>
      <c r="B920" s="1" t="s">
        <v>1326</v>
      </c>
      <c r="C920" s="1" t="s">
        <v>698</v>
      </c>
      <c r="D920" s="1" t="s">
        <v>1327</v>
      </c>
      <c r="E920" s="1">
        <v>7</v>
      </c>
      <c r="F920" s="1">
        <v>121.249</v>
      </c>
      <c r="G920" s="1">
        <v>10524</v>
      </c>
      <c r="H920" s="1">
        <v>12679</v>
      </c>
      <c r="I920" s="1">
        <v>14649</v>
      </c>
      <c r="J920" s="1">
        <v>119.319</v>
      </c>
      <c r="K920" s="1">
        <v>-2.153</v>
      </c>
      <c r="L920" s="1">
        <v>24.187999999999999</v>
      </c>
      <c r="M920" s="1" t="s">
        <v>1328</v>
      </c>
      <c r="N920" s="1" t="s">
        <v>1147</v>
      </c>
      <c r="O920" s="1" t="s">
        <v>1329</v>
      </c>
      <c r="P920" s="1" t="s">
        <v>1330</v>
      </c>
      <c r="Q920" s="1" t="s">
        <v>489</v>
      </c>
      <c r="R920" s="1" t="s">
        <v>450</v>
      </c>
      <c r="S920" s="1" t="s">
        <v>387</v>
      </c>
    </row>
    <row r="921" spans="1:19" hidden="1" x14ac:dyDescent="0.25">
      <c r="A921" s="2">
        <v>134</v>
      </c>
      <c r="B921" s="1" t="s">
        <v>1331</v>
      </c>
      <c r="C921" s="1" t="s">
        <v>436</v>
      </c>
      <c r="D921" s="1" t="s">
        <v>1332</v>
      </c>
      <c r="E921" s="1">
        <v>1</v>
      </c>
      <c r="F921" s="1">
        <v>162.154</v>
      </c>
      <c r="G921" s="1">
        <v>8282</v>
      </c>
      <c r="H921" s="1">
        <v>9909</v>
      </c>
      <c r="I921" s="1">
        <v>11467</v>
      </c>
      <c r="J921" s="1">
        <v>159.58199999999999</v>
      </c>
      <c r="K921" s="1">
        <v>-5.4180000000000001</v>
      </c>
      <c r="L921" s="1">
        <v>19.120999999999999</v>
      </c>
      <c r="M921" s="1" t="s">
        <v>1333</v>
      </c>
      <c r="N921" s="1" t="s">
        <v>1147</v>
      </c>
      <c r="O921" s="1" t="s">
        <v>1334</v>
      </c>
      <c r="P921" s="1" t="s">
        <v>1335</v>
      </c>
      <c r="Q921" s="1" t="s">
        <v>87</v>
      </c>
      <c r="R921" s="1" t="s">
        <v>93</v>
      </c>
      <c r="S921" s="1" t="s">
        <v>152</v>
      </c>
    </row>
    <row r="922" spans="1:19" hidden="1" x14ac:dyDescent="0.25">
      <c r="A922" s="2">
        <v>134</v>
      </c>
      <c r="B922" s="1" t="s">
        <v>1331</v>
      </c>
      <c r="C922" s="1" t="s">
        <v>436</v>
      </c>
      <c r="D922" s="1" t="s">
        <v>1332</v>
      </c>
      <c r="E922" s="1">
        <v>2</v>
      </c>
      <c r="F922" s="1">
        <v>161.09299999999999</v>
      </c>
      <c r="G922" s="1">
        <v>8327</v>
      </c>
      <c r="H922" s="1">
        <v>9962</v>
      </c>
      <c r="I922" s="1">
        <v>11529</v>
      </c>
      <c r="J922" s="1">
        <v>158.53800000000001</v>
      </c>
      <c r="K922" s="1">
        <v>-5.415</v>
      </c>
      <c r="L922" s="1">
        <v>19.135000000000002</v>
      </c>
      <c r="M922" s="1" t="s">
        <v>1333</v>
      </c>
      <c r="N922" s="1" t="s">
        <v>1147</v>
      </c>
      <c r="O922" s="1" t="s">
        <v>1334</v>
      </c>
      <c r="P922" s="1" t="s">
        <v>1335</v>
      </c>
      <c r="Q922" s="1" t="s">
        <v>152</v>
      </c>
      <c r="R922" s="1" t="s">
        <v>156</v>
      </c>
      <c r="S922" s="1" t="s">
        <v>150</v>
      </c>
    </row>
    <row r="923" spans="1:19" hidden="1" x14ac:dyDescent="0.25">
      <c r="A923" s="2">
        <v>134</v>
      </c>
      <c r="B923" s="1" t="s">
        <v>1331</v>
      </c>
      <c r="C923" s="1" t="s">
        <v>436</v>
      </c>
      <c r="D923" s="1" t="s">
        <v>1332</v>
      </c>
      <c r="E923" s="1">
        <v>3</v>
      </c>
      <c r="F923" s="1">
        <v>161.20500000000001</v>
      </c>
      <c r="G923" s="1">
        <v>8341</v>
      </c>
      <c r="H923" s="1">
        <v>9980</v>
      </c>
      <c r="I923" s="1">
        <v>11552</v>
      </c>
      <c r="J923" s="1">
        <v>158.648</v>
      </c>
      <c r="K923" s="1">
        <v>-5.3970000000000002</v>
      </c>
      <c r="L923" s="1">
        <v>19.091000000000001</v>
      </c>
      <c r="M923" s="1" t="s">
        <v>1333</v>
      </c>
      <c r="N923" s="1" t="s">
        <v>1147</v>
      </c>
      <c r="O923" s="1" t="s">
        <v>1334</v>
      </c>
      <c r="P923" s="1" t="s">
        <v>1335</v>
      </c>
      <c r="Q923" s="1" t="s">
        <v>138</v>
      </c>
      <c r="R923" s="1" t="s">
        <v>166</v>
      </c>
      <c r="S923" s="1" t="s">
        <v>304</v>
      </c>
    </row>
    <row r="924" spans="1:19" hidden="1" x14ac:dyDescent="0.25">
      <c r="A924" s="2">
        <v>134</v>
      </c>
      <c r="B924" s="1" t="s">
        <v>1331</v>
      </c>
      <c r="C924" s="1" t="s">
        <v>436</v>
      </c>
      <c r="D924" s="1" t="s">
        <v>1332</v>
      </c>
      <c r="E924" s="1">
        <v>4</v>
      </c>
      <c r="F924" s="1">
        <v>161.83500000000001</v>
      </c>
      <c r="G924" s="1">
        <v>8307</v>
      </c>
      <c r="H924" s="1">
        <v>9939</v>
      </c>
      <c r="I924" s="1">
        <v>11501</v>
      </c>
      <c r="J924" s="1">
        <v>159.267</v>
      </c>
      <c r="K924" s="1">
        <v>-5.399</v>
      </c>
      <c r="L924" s="1">
        <v>19.082999999999998</v>
      </c>
      <c r="M924" s="1" t="s">
        <v>1333</v>
      </c>
      <c r="N924" s="1" t="s">
        <v>1147</v>
      </c>
      <c r="O924" s="1" t="s">
        <v>1334</v>
      </c>
      <c r="P924" s="1" t="s">
        <v>1335</v>
      </c>
      <c r="Q924" s="1" t="s">
        <v>139</v>
      </c>
      <c r="R924" s="1" t="s">
        <v>266</v>
      </c>
      <c r="S924" s="1" t="s">
        <v>305</v>
      </c>
    </row>
    <row r="925" spans="1:19" hidden="1" x14ac:dyDescent="0.25">
      <c r="A925" s="2">
        <v>134</v>
      </c>
      <c r="B925" s="1" t="s">
        <v>1331</v>
      </c>
      <c r="C925" s="1" t="s">
        <v>436</v>
      </c>
      <c r="D925" s="1" t="s">
        <v>1332</v>
      </c>
      <c r="E925" s="1">
        <v>5</v>
      </c>
      <c r="F925" s="1">
        <v>274.21300000000002</v>
      </c>
      <c r="G925" s="1">
        <v>23141</v>
      </c>
      <c r="H925" s="1">
        <v>27925</v>
      </c>
      <c r="I925" s="1">
        <v>32187</v>
      </c>
      <c r="J925" s="1">
        <v>269.84800000000001</v>
      </c>
      <c r="K925" s="1">
        <v>-2.036</v>
      </c>
      <c r="L925" s="1">
        <v>23.702000000000002</v>
      </c>
      <c r="M925" s="1" t="s">
        <v>1333</v>
      </c>
      <c r="N925" s="1" t="s">
        <v>1147</v>
      </c>
      <c r="O925" s="1" t="s">
        <v>1334</v>
      </c>
      <c r="P925" s="1" t="s">
        <v>1335</v>
      </c>
      <c r="Q925" s="1" t="s">
        <v>204</v>
      </c>
      <c r="R925" s="1" t="s">
        <v>130</v>
      </c>
      <c r="S925" s="1" t="s">
        <v>54</v>
      </c>
    </row>
    <row r="926" spans="1:19" x14ac:dyDescent="0.25">
      <c r="A926" s="2">
        <v>134</v>
      </c>
      <c r="B926" s="1" t="s">
        <v>1331</v>
      </c>
      <c r="C926" s="1" t="s">
        <v>436</v>
      </c>
      <c r="D926" s="1" t="s">
        <v>1332</v>
      </c>
      <c r="E926" s="1">
        <v>6</v>
      </c>
      <c r="F926" s="1">
        <v>242.3</v>
      </c>
      <c r="G926" s="1">
        <v>20503</v>
      </c>
      <c r="H926" s="1">
        <v>24735</v>
      </c>
      <c r="I926" s="1">
        <v>28521</v>
      </c>
      <c r="J926" s="1">
        <v>238.44300000000001</v>
      </c>
      <c r="K926" s="1">
        <v>-1.982</v>
      </c>
      <c r="L926" s="1">
        <v>23.988</v>
      </c>
      <c r="M926" s="1" t="s">
        <v>1333</v>
      </c>
      <c r="N926" s="1" t="s">
        <v>1147</v>
      </c>
      <c r="O926" s="1" t="s">
        <v>1334</v>
      </c>
      <c r="P926" s="1" t="s">
        <v>1335</v>
      </c>
      <c r="Q926" s="1" t="s">
        <v>237</v>
      </c>
      <c r="R926" s="1" t="s">
        <v>260</v>
      </c>
      <c r="S926" s="1" t="s">
        <v>477</v>
      </c>
    </row>
    <row r="927" spans="1:19" x14ac:dyDescent="0.25">
      <c r="A927" s="2">
        <v>134</v>
      </c>
      <c r="B927" s="1" t="s">
        <v>1331</v>
      </c>
      <c r="C927" s="1" t="s">
        <v>436</v>
      </c>
      <c r="D927" s="1" t="s">
        <v>1332</v>
      </c>
      <c r="E927" s="1">
        <v>7</v>
      </c>
      <c r="F927" s="1">
        <v>223.833</v>
      </c>
      <c r="G927" s="1">
        <v>18965</v>
      </c>
      <c r="H927" s="1">
        <v>22878</v>
      </c>
      <c r="I927" s="1">
        <v>26392</v>
      </c>
      <c r="J927" s="1">
        <v>220.26900000000001</v>
      </c>
      <c r="K927" s="1">
        <v>-1.9870000000000001</v>
      </c>
      <c r="L927" s="1">
        <v>24.056000000000001</v>
      </c>
      <c r="M927" s="1" t="s">
        <v>1333</v>
      </c>
      <c r="N927" s="1" t="s">
        <v>1147</v>
      </c>
      <c r="O927" s="1" t="s">
        <v>1334</v>
      </c>
      <c r="P927" s="1" t="s">
        <v>1335</v>
      </c>
      <c r="Q927" s="1" t="s">
        <v>351</v>
      </c>
      <c r="R927" s="1" t="s">
        <v>1336</v>
      </c>
      <c r="S927" s="1" t="s">
        <v>1337</v>
      </c>
    </row>
    <row r="928" spans="1:19" hidden="1" x14ac:dyDescent="0.25">
      <c r="A928" s="2">
        <v>135</v>
      </c>
      <c r="B928" s="1" t="s">
        <v>1338</v>
      </c>
      <c r="C928" s="1" t="s">
        <v>436</v>
      </c>
      <c r="D928" s="1" t="s">
        <v>1339</v>
      </c>
      <c r="E928" s="1">
        <v>1</v>
      </c>
      <c r="F928" s="1">
        <v>162.87899999999999</v>
      </c>
      <c r="G928" s="1">
        <v>8325</v>
      </c>
      <c r="H928" s="1">
        <v>9960</v>
      </c>
      <c r="I928" s="1">
        <v>11532</v>
      </c>
      <c r="J928" s="1">
        <v>160.29499999999999</v>
      </c>
      <c r="K928" s="1">
        <v>-5.3860000000000001</v>
      </c>
      <c r="L928" s="1">
        <v>19.059999999999999</v>
      </c>
      <c r="M928" s="1" t="s">
        <v>300</v>
      </c>
      <c r="N928" s="1" t="s">
        <v>1147</v>
      </c>
      <c r="O928" s="1" t="s">
        <v>1340</v>
      </c>
      <c r="P928" s="1" t="s">
        <v>1341</v>
      </c>
      <c r="Q928" s="1" t="s">
        <v>86</v>
      </c>
      <c r="R928" s="1" t="s">
        <v>256</v>
      </c>
      <c r="S928" s="1" t="s">
        <v>250</v>
      </c>
    </row>
    <row r="929" spans="1:19" hidden="1" x14ac:dyDescent="0.25">
      <c r="A929" s="2">
        <v>135</v>
      </c>
      <c r="B929" s="1" t="s">
        <v>1338</v>
      </c>
      <c r="C929" s="1" t="s">
        <v>436</v>
      </c>
      <c r="D929" s="1" t="s">
        <v>1339</v>
      </c>
      <c r="E929" s="1">
        <v>2</v>
      </c>
      <c r="F929" s="1">
        <v>161.41900000000001</v>
      </c>
      <c r="G929" s="1">
        <v>8341</v>
      </c>
      <c r="H929" s="1">
        <v>9978</v>
      </c>
      <c r="I929" s="1">
        <v>11554</v>
      </c>
      <c r="J929" s="1">
        <v>158.858</v>
      </c>
      <c r="K929" s="1">
        <v>-5.3979999999999997</v>
      </c>
      <c r="L929" s="1">
        <v>19.059000000000001</v>
      </c>
      <c r="M929" s="1" t="s">
        <v>300</v>
      </c>
      <c r="N929" s="1" t="s">
        <v>1147</v>
      </c>
      <c r="O929" s="1" t="s">
        <v>1340</v>
      </c>
      <c r="P929" s="1" t="s">
        <v>1341</v>
      </c>
      <c r="Q929" s="1" t="s">
        <v>139</v>
      </c>
      <c r="R929" s="1" t="s">
        <v>266</v>
      </c>
      <c r="S929" s="1" t="s">
        <v>305</v>
      </c>
    </row>
    <row r="930" spans="1:19" hidden="1" x14ac:dyDescent="0.25">
      <c r="A930" s="2">
        <v>135</v>
      </c>
      <c r="B930" s="1" t="s">
        <v>1338</v>
      </c>
      <c r="C930" s="1" t="s">
        <v>436</v>
      </c>
      <c r="D930" s="1" t="s">
        <v>1339</v>
      </c>
      <c r="E930" s="1">
        <v>3</v>
      </c>
      <c r="F930" s="1">
        <v>162.36799999999999</v>
      </c>
      <c r="G930" s="1">
        <v>8402</v>
      </c>
      <c r="H930" s="1">
        <v>10051</v>
      </c>
      <c r="I930" s="1">
        <v>11641</v>
      </c>
      <c r="J930" s="1">
        <v>159.792</v>
      </c>
      <c r="K930" s="1">
        <v>-5.4020000000000001</v>
      </c>
      <c r="L930" s="1">
        <v>19.068000000000001</v>
      </c>
      <c r="M930" s="1" t="s">
        <v>300</v>
      </c>
      <c r="N930" s="1" t="s">
        <v>1147</v>
      </c>
      <c r="O930" s="1" t="s">
        <v>1340</v>
      </c>
      <c r="P930" s="1" t="s">
        <v>1341</v>
      </c>
      <c r="Q930" s="1" t="s">
        <v>164</v>
      </c>
      <c r="R930" s="1" t="s">
        <v>354</v>
      </c>
      <c r="S930" s="1" t="s">
        <v>219</v>
      </c>
    </row>
    <row r="931" spans="1:19" hidden="1" x14ac:dyDescent="0.25">
      <c r="A931" s="2">
        <v>135</v>
      </c>
      <c r="B931" s="1" t="s">
        <v>1338</v>
      </c>
      <c r="C931" s="1" t="s">
        <v>436</v>
      </c>
      <c r="D931" s="1" t="s">
        <v>1339</v>
      </c>
      <c r="E931" s="1">
        <v>4</v>
      </c>
      <c r="F931" s="1">
        <v>162.952</v>
      </c>
      <c r="G931" s="1">
        <v>8380</v>
      </c>
      <c r="H931" s="1">
        <v>10025</v>
      </c>
      <c r="I931" s="1">
        <v>11608</v>
      </c>
      <c r="J931" s="1">
        <v>160.36699999999999</v>
      </c>
      <c r="K931" s="1">
        <v>-5.399</v>
      </c>
      <c r="L931" s="1">
        <v>19.082999999999998</v>
      </c>
      <c r="M931" s="1" t="s">
        <v>300</v>
      </c>
      <c r="N931" s="1" t="s">
        <v>1147</v>
      </c>
      <c r="O931" s="1" t="s">
        <v>1340</v>
      </c>
      <c r="P931" s="1" t="s">
        <v>1341</v>
      </c>
      <c r="Q931" s="1" t="s">
        <v>157</v>
      </c>
      <c r="R931" s="1" t="s">
        <v>341</v>
      </c>
      <c r="S931" s="1" t="s">
        <v>329</v>
      </c>
    </row>
    <row r="932" spans="1:19" hidden="1" x14ac:dyDescent="0.25">
      <c r="A932" s="2">
        <v>135</v>
      </c>
      <c r="B932" s="1" t="s">
        <v>1338</v>
      </c>
      <c r="C932" s="1" t="s">
        <v>436</v>
      </c>
      <c r="D932" s="1" t="s">
        <v>1339</v>
      </c>
      <c r="E932" s="1">
        <v>5</v>
      </c>
      <c r="F932" s="1">
        <v>242.14599999999999</v>
      </c>
      <c r="G932" s="1">
        <v>21129</v>
      </c>
      <c r="H932" s="1">
        <v>25536</v>
      </c>
      <c r="I932" s="1">
        <v>29416</v>
      </c>
      <c r="J932" s="1">
        <v>238.29</v>
      </c>
      <c r="K932" s="1">
        <v>-2</v>
      </c>
      <c r="L932" s="1">
        <v>23.934000000000001</v>
      </c>
      <c r="M932" s="1" t="s">
        <v>300</v>
      </c>
      <c r="N932" s="1" t="s">
        <v>1147</v>
      </c>
      <c r="O932" s="1" t="s">
        <v>1340</v>
      </c>
      <c r="P932" s="1" t="s">
        <v>1341</v>
      </c>
      <c r="Q932" s="1" t="s">
        <v>183</v>
      </c>
      <c r="R932" s="1" t="s">
        <v>145</v>
      </c>
      <c r="S932" s="1" t="s">
        <v>137</v>
      </c>
    </row>
    <row r="933" spans="1:19" x14ac:dyDescent="0.25">
      <c r="A933" s="2">
        <v>135</v>
      </c>
      <c r="B933" s="1" t="s">
        <v>1338</v>
      </c>
      <c r="C933" s="1" t="s">
        <v>436</v>
      </c>
      <c r="D933" s="1" t="s">
        <v>1339</v>
      </c>
      <c r="E933" s="1">
        <v>6</v>
      </c>
      <c r="F933" s="1">
        <v>216.82</v>
      </c>
      <c r="G933" s="1">
        <v>19159</v>
      </c>
      <c r="H933" s="1">
        <v>23138</v>
      </c>
      <c r="I933" s="1">
        <v>26672</v>
      </c>
      <c r="J933" s="1">
        <v>213.36699999999999</v>
      </c>
      <c r="K933" s="1">
        <v>-1.952</v>
      </c>
      <c r="L933" s="1">
        <v>24.097999999999999</v>
      </c>
      <c r="M933" s="1" t="s">
        <v>300</v>
      </c>
      <c r="N933" s="1" t="s">
        <v>1147</v>
      </c>
      <c r="O933" s="1" t="s">
        <v>1340</v>
      </c>
      <c r="P933" s="1" t="s">
        <v>1341</v>
      </c>
      <c r="Q933" s="1" t="s">
        <v>328</v>
      </c>
      <c r="R933" s="1" t="s">
        <v>334</v>
      </c>
      <c r="S933" s="1" t="s">
        <v>265</v>
      </c>
    </row>
    <row r="934" spans="1:19" x14ac:dyDescent="0.25">
      <c r="A934" s="2">
        <v>135</v>
      </c>
      <c r="B934" s="1" t="s">
        <v>1338</v>
      </c>
      <c r="C934" s="1" t="s">
        <v>436</v>
      </c>
      <c r="D934" s="1" t="s">
        <v>1339</v>
      </c>
      <c r="E934" s="1">
        <v>7</v>
      </c>
      <c r="F934" s="1">
        <v>201.59700000000001</v>
      </c>
      <c r="G934" s="1">
        <v>17920</v>
      </c>
      <c r="H934" s="1">
        <v>21629</v>
      </c>
      <c r="I934" s="1">
        <v>24946</v>
      </c>
      <c r="J934" s="1">
        <v>198.386</v>
      </c>
      <c r="K934" s="1">
        <v>-1.893</v>
      </c>
      <c r="L934" s="1">
        <v>24.114999999999998</v>
      </c>
      <c r="M934" s="1" t="s">
        <v>300</v>
      </c>
      <c r="N934" s="1" t="s">
        <v>1147</v>
      </c>
      <c r="O934" s="1" t="s">
        <v>1340</v>
      </c>
      <c r="P934" s="1" t="s">
        <v>1341</v>
      </c>
      <c r="Q934" s="1" t="s">
        <v>487</v>
      </c>
      <c r="R934" s="1" t="s">
        <v>352</v>
      </c>
      <c r="S934" s="1" t="s">
        <v>1342</v>
      </c>
    </row>
    <row r="935" spans="1:19" hidden="1" x14ac:dyDescent="0.25">
      <c r="A935" s="2">
        <v>136</v>
      </c>
      <c r="B935" s="1" t="s">
        <v>1343</v>
      </c>
      <c r="C935" s="1" t="s">
        <v>722</v>
      </c>
      <c r="D935" s="1" t="s">
        <v>1344</v>
      </c>
      <c r="E935" s="1">
        <v>1</v>
      </c>
      <c r="F935" s="1">
        <v>162.971</v>
      </c>
      <c r="G935" s="1">
        <v>8286</v>
      </c>
      <c r="H935" s="1">
        <v>9913</v>
      </c>
      <c r="I935" s="1">
        <v>11471</v>
      </c>
      <c r="J935" s="1">
        <v>160.386</v>
      </c>
      <c r="K935" s="1">
        <v>-5.3860000000000001</v>
      </c>
      <c r="L935" s="1">
        <v>19.073</v>
      </c>
      <c r="M935" s="1" t="s">
        <v>724</v>
      </c>
      <c r="N935" s="1" t="s">
        <v>1147</v>
      </c>
      <c r="O935" s="1" t="s">
        <v>1345</v>
      </c>
      <c r="P935" s="1" t="s">
        <v>1346</v>
      </c>
      <c r="Q935" s="1" t="s">
        <v>51</v>
      </c>
      <c r="R935" s="1" t="s">
        <v>276</v>
      </c>
      <c r="S935" s="1" t="s">
        <v>157</v>
      </c>
    </row>
    <row r="936" spans="1:19" hidden="1" x14ac:dyDescent="0.25">
      <c r="A936" s="2">
        <v>136</v>
      </c>
      <c r="B936" s="1" t="s">
        <v>1343</v>
      </c>
      <c r="C936" s="1" t="s">
        <v>722</v>
      </c>
      <c r="D936" s="1" t="s">
        <v>1344</v>
      </c>
      <c r="E936" s="1">
        <v>2</v>
      </c>
      <c r="F936" s="1">
        <v>159.90799999999999</v>
      </c>
      <c r="G936" s="1">
        <v>8299</v>
      </c>
      <c r="H936" s="1">
        <v>9929</v>
      </c>
      <c r="I936" s="1">
        <v>11492</v>
      </c>
      <c r="J936" s="1">
        <v>157.37200000000001</v>
      </c>
      <c r="K936" s="1">
        <v>-5.3819999999999997</v>
      </c>
      <c r="L936" s="1">
        <v>19.05</v>
      </c>
      <c r="M936" s="1" t="s">
        <v>724</v>
      </c>
      <c r="N936" s="1" t="s">
        <v>1147</v>
      </c>
      <c r="O936" s="1" t="s">
        <v>1345</v>
      </c>
      <c r="P936" s="1" t="s">
        <v>1346</v>
      </c>
      <c r="Q936" s="1" t="s">
        <v>139</v>
      </c>
      <c r="R936" s="1" t="s">
        <v>266</v>
      </c>
      <c r="S936" s="1" t="s">
        <v>305</v>
      </c>
    </row>
    <row r="937" spans="1:19" hidden="1" x14ac:dyDescent="0.25">
      <c r="A937" s="2">
        <v>136</v>
      </c>
      <c r="B937" s="1" t="s">
        <v>1343</v>
      </c>
      <c r="C937" s="1" t="s">
        <v>722</v>
      </c>
      <c r="D937" s="1" t="s">
        <v>1344</v>
      </c>
      <c r="E937" s="1">
        <v>3</v>
      </c>
      <c r="F937" s="1">
        <v>161.76400000000001</v>
      </c>
      <c r="G937" s="1">
        <v>8371</v>
      </c>
      <c r="H937" s="1">
        <v>10015</v>
      </c>
      <c r="I937" s="1">
        <v>11590</v>
      </c>
      <c r="J937" s="1">
        <v>159.19800000000001</v>
      </c>
      <c r="K937" s="1">
        <v>-5.3959999999999999</v>
      </c>
      <c r="L937" s="1">
        <v>19.045000000000002</v>
      </c>
      <c r="M937" s="1" t="s">
        <v>724</v>
      </c>
      <c r="N937" s="1" t="s">
        <v>1147</v>
      </c>
      <c r="O937" s="1" t="s">
        <v>1345</v>
      </c>
      <c r="P937" s="1" t="s">
        <v>1346</v>
      </c>
      <c r="Q937" s="1" t="s">
        <v>164</v>
      </c>
      <c r="R937" s="1" t="s">
        <v>178</v>
      </c>
      <c r="S937" s="1" t="s">
        <v>233</v>
      </c>
    </row>
    <row r="938" spans="1:19" hidden="1" x14ac:dyDescent="0.25">
      <c r="A938" s="2">
        <v>136</v>
      </c>
      <c r="B938" s="1" t="s">
        <v>1343</v>
      </c>
      <c r="C938" s="1" t="s">
        <v>722</v>
      </c>
      <c r="D938" s="1" t="s">
        <v>1344</v>
      </c>
      <c r="E938" s="1">
        <v>4</v>
      </c>
      <c r="F938" s="1">
        <v>162.102</v>
      </c>
      <c r="G938" s="1">
        <v>8331</v>
      </c>
      <c r="H938" s="1">
        <v>9967</v>
      </c>
      <c r="I938" s="1">
        <v>11535</v>
      </c>
      <c r="J938" s="1">
        <v>159.53</v>
      </c>
      <c r="K938" s="1">
        <v>-5.399</v>
      </c>
      <c r="L938" s="1">
        <v>19.082999999999998</v>
      </c>
      <c r="M938" s="1" t="s">
        <v>724</v>
      </c>
      <c r="N938" s="1" t="s">
        <v>1147</v>
      </c>
      <c r="O938" s="1" t="s">
        <v>1345</v>
      </c>
      <c r="P938" s="1" t="s">
        <v>1346</v>
      </c>
      <c r="Q938" s="1" t="s">
        <v>157</v>
      </c>
      <c r="R938" s="1" t="s">
        <v>341</v>
      </c>
      <c r="S938" s="1" t="s">
        <v>329</v>
      </c>
    </row>
    <row r="939" spans="1:19" hidden="1" x14ac:dyDescent="0.25">
      <c r="A939" s="2">
        <v>136</v>
      </c>
      <c r="B939" s="1" t="s">
        <v>1343</v>
      </c>
      <c r="C939" s="1" t="s">
        <v>722</v>
      </c>
      <c r="D939" s="1" t="s">
        <v>1344</v>
      </c>
      <c r="E939" s="1">
        <v>5</v>
      </c>
      <c r="F939" s="1">
        <v>234.79</v>
      </c>
      <c r="G939" s="1">
        <v>19630</v>
      </c>
      <c r="H939" s="1">
        <v>23811</v>
      </c>
      <c r="I939" s="1">
        <v>27336</v>
      </c>
      <c r="J939" s="1">
        <v>231.036</v>
      </c>
      <c r="K939" s="1">
        <v>3.847</v>
      </c>
      <c r="L939" s="1">
        <v>24.620999999999999</v>
      </c>
      <c r="M939" s="1" t="s">
        <v>724</v>
      </c>
      <c r="N939" s="1" t="s">
        <v>1147</v>
      </c>
      <c r="O939" s="1" t="s">
        <v>1345</v>
      </c>
      <c r="P939" s="1" t="s">
        <v>1346</v>
      </c>
      <c r="Q939" s="1" t="s">
        <v>214</v>
      </c>
      <c r="R939" s="1" t="s">
        <v>70</v>
      </c>
      <c r="S939" s="1" t="s">
        <v>100</v>
      </c>
    </row>
    <row r="940" spans="1:19" x14ac:dyDescent="0.25">
      <c r="A940" s="2">
        <v>136</v>
      </c>
      <c r="B940" s="1" t="s">
        <v>1343</v>
      </c>
      <c r="C940" s="1" t="s">
        <v>722</v>
      </c>
      <c r="D940" s="1" t="s">
        <v>1344</v>
      </c>
      <c r="E940" s="1">
        <v>6</v>
      </c>
      <c r="F940" s="1">
        <v>207.096</v>
      </c>
      <c r="G940" s="1">
        <v>17446</v>
      </c>
      <c r="H940" s="1">
        <v>21153</v>
      </c>
      <c r="I940" s="1">
        <v>24293</v>
      </c>
      <c r="J940" s="1">
        <v>203.78399999999999</v>
      </c>
      <c r="K940" s="1">
        <v>3.903</v>
      </c>
      <c r="L940" s="1">
        <v>24.957000000000001</v>
      </c>
      <c r="M940" s="1" t="s">
        <v>724</v>
      </c>
      <c r="N940" s="1" t="s">
        <v>1147</v>
      </c>
      <c r="O940" s="1" t="s">
        <v>1345</v>
      </c>
      <c r="P940" s="1" t="s">
        <v>1346</v>
      </c>
      <c r="Q940" s="1" t="s">
        <v>154</v>
      </c>
      <c r="R940" s="1" t="s">
        <v>201</v>
      </c>
      <c r="S940" s="1" t="s">
        <v>294</v>
      </c>
    </row>
    <row r="941" spans="1:19" x14ac:dyDescent="0.25">
      <c r="A941" s="2">
        <v>136</v>
      </c>
      <c r="B941" s="1" t="s">
        <v>1343</v>
      </c>
      <c r="C941" s="1" t="s">
        <v>722</v>
      </c>
      <c r="D941" s="1" t="s">
        <v>1344</v>
      </c>
      <c r="E941" s="1">
        <v>7</v>
      </c>
      <c r="F941" s="1">
        <v>190.97300000000001</v>
      </c>
      <c r="G941" s="1">
        <v>16124</v>
      </c>
      <c r="H941" s="1">
        <v>19548</v>
      </c>
      <c r="I941" s="1">
        <v>22462</v>
      </c>
      <c r="J941" s="1">
        <v>187.91900000000001</v>
      </c>
      <c r="K941" s="1">
        <v>3.93</v>
      </c>
      <c r="L941" s="1">
        <v>25.015000000000001</v>
      </c>
      <c r="M941" s="1" t="s">
        <v>724</v>
      </c>
      <c r="N941" s="1" t="s">
        <v>1147</v>
      </c>
      <c r="O941" s="1" t="s">
        <v>1345</v>
      </c>
      <c r="P941" s="1" t="s">
        <v>1346</v>
      </c>
      <c r="Q941" s="1" t="s">
        <v>1161</v>
      </c>
      <c r="R941" s="1" t="s">
        <v>339</v>
      </c>
      <c r="S941" s="1" t="s">
        <v>427</v>
      </c>
    </row>
    <row r="942" spans="1:19" hidden="1" x14ac:dyDescent="0.25">
      <c r="A942" s="2">
        <v>137</v>
      </c>
      <c r="B942" s="1" t="s">
        <v>1347</v>
      </c>
      <c r="C942" s="1" t="s">
        <v>357</v>
      </c>
      <c r="D942" s="1" t="s">
        <v>1348</v>
      </c>
      <c r="E942" s="1">
        <v>1</v>
      </c>
      <c r="F942" s="1">
        <v>162.81899999999999</v>
      </c>
      <c r="G942" s="1">
        <v>8327</v>
      </c>
      <c r="H942" s="1">
        <v>9962</v>
      </c>
      <c r="I942" s="1">
        <v>11534</v>
      </c>
      <c r="J942" s="1">
        <v>160.23599999999999</v>
      </c>
      <c r="K942" s="1">
        <v>-5.3940000000000001</v>
      </c>
      <c r="L942" s="1">
        <v>19.079999999999998</v>
      </c>
      <c r="M942" s="1" t="s">
        <v>1349</v>
      </c>
      <c r="N942" s="1" t="s">
        <v>1147</v>
      </c>
      <c r="O942" s="1" t="s">
        <v>1350</v>
      </c>
      <c r="P942" s="1" t="s">
        <v>1351</v>
      </c>
      <c r="Q942" s="1" t="s">
        <v>58</v>
      </c>
      <c r="R942" s="1" t="s">
        <v>172</v>
      </c>
      <c r="S942" s="1" t="s">
        <v>153</v>
      </c>
    </row>
    <row r="943" spans="1:19" hidden="1" x14ac:dyDescent="0.25">
      <c r="A943" s="2">
        <v>137</v>
      </c>
      <c r="B943" s="1" t="s">
        <v>1347</v>
      </c>
      <c r="C943" s="1" t="s">
        <v>357</v>
      </c>
      <c r="D943" s="1" t="s">
        <v>1348</v>
      </c>
      <c r="E943" s="1">
        <v>2</v>
      </c>
      <c r="F943" s="1">
        <v>160.875</v>
      </c>
      <c r="G943" s="1">
        <v>8336</v>
      </c>
      <c r="H943" s="1">
        <v>9972</v>
      </c>
      <c r="I943" s="1">
        <v>11546</v>
      </c>
      <c r="J943" s="1">
        <v>158.32300000000001</v>
      </c>
      <c r="K943" s="1">
        <v>-5.3970000000000002</v>
      </c>
      <c r="L943" s="1">
        <v>19.065000000000001</v>
      </c>
      <c r="M943" s="1" t="s">
        <v>1349</v>
      </c>
      <c r="N943" s="1" t="s">
        <v>1147</v>
      </c>
      <c r="O943" s="1" t="s">
        <v>1350</v>
      </c>
      <c r="P943" s="1" t="s">
        <v>1351</v>
      </c>
      <c r="Q943" s="1" t="s">
        <v>167</v>
      </c>
      <c r="R943" s="1" t="s">
        <v>237</v>
      </c>
      <c r="S943" s="1" t="s">
        <v>174</v>
      </c>
    </row>
    <row r="944" spans="1:19" hidden="1" x14ac:dyDescent="0.25">
      <c r="A944" s="2">
        <v>137</v>
      </c>
      <c r="B944" s="1" t="s">
        <v>1347</v>
      </c>
      <c r="C944" s="1" t="s">
        <v>357</v>
      </c>
      <c r="D944" s="1" t="s">
        <v>1348</v>
      </c>
      <c r="E944" s="1">
        <v>3</v>
      </c>
      <c r="F944" s="1">
        <v>162.233</v>
      </c>
      <c r="G944" s="1">
        <v>8369</v>
      </c>
      <c r="H944" s="1">
        <v>10012</v>
      </c>
      <c r="I944" s="1">
        <v>11593</v>
      </c>
      <c r="J944" s="1">
        <v>159.66</v>
      </c>
      <c r="K944" s="1">
        <v>-5.3940000000000001</v>
      </c>
      <c r="L944" s="1">
        <v>19.074999999999999</v>
      </c>
      <c r="M944" s="1" t="s">
        <v>1349</v>
      </c>
      <c r="N944" s="1" t="s">
        <v>1147</v>
      </c>
      <c r="O944" s="1" t="s">
        <v>1350</v>
      </c>
      <c r="P944" s="1" t="s">
        <v>1351</v>
      </c>
      <c r="Q944" s="1" t="s">
        <v>153</v>
      </c>
      <c r="R944" s="1" t="s">
        <v>252</v>
      </c>
      <c r="S944" s="1" t="s">
        <v>228</v>
      </c>
    </row>
    <row r="945" spans="1:19" hidden="1" x14ac:dyDescent="0.25">
      <c r="A945" s="2">
        <v>137</v>
      </c>
      <c r="B945" s="1" t="s">
        <v>1347</v>
      </c>
      <c r="C945" s="1" t="s">
        <v>357</v>
      </c>
      <c r="D945" s="1" t="s">
        <v>1348</v>
      </c>
      <c r="E945" s="1">
        <v>4</v>
      </c>
      <c r="F945" s="1">
        <v>162.31</v>
      </c>
      <c r="G945" s="1">
        <v>8342</v>
      </c>
      <c r="H945" s="1">
        <v>9979</v>
      </c>
      <c r="I945" s="1">
        <v>11554</v>
      </c>
      <c r="J945" s="1">
        <v>159.73500000000001</v>
      </c>
      <c r="K945" s="1">
        <v>-5.399</v>
      </c>
      <c r="L945" s="1">
        <v>19.082999999999998</v>
      </c>
      <c r="M945" s="1" t="s">
        <v>1349</v>
      </c>
      <c r="N945" s="1" t="s">
        <v>1147</v>
      </c>
      <c r="O945" s="1" t="s">
        <v>1350</v>
      </c>
      <c r="P945" s="1" t="s">
        <v>1351</v>
      </c>
      <c r="Q945" s="1" t="s">
        <v>176</v>
      </c>
      <c r="R945" s="1" t="s">
        <v>359</v>
      </c>
      <c r="S945" s="1" t="s">
        <v>219</v>
      </c>
    </row>
    <row r="946" spans="1:19" hidden="1" x14ac:dyDescent="0.25">
      <c r="A946" s="2">
        <v>137</v>
      </c>
      <c r="B946" s="1" t="s">
        <v>1347</v>
      </c>
      <c r="C946" s="1" t="s">
        <v>357</v>
      </c>
      <c r="D946" s="1" t="s">
        <v>1348</v>
      </c>
      <c r="E946" s="1">
        <v>5</v>
      </c>
      <c r="F946" s="1">
        <v>150.88300000000001</v>
      </c>
      <c r="G946" s="1">
        <v>13142</v>
      </c>
      <c r="H946" s="1">
        <v>15931</v>
      </c>
      <c r="I946" s="1">
        <v>18310</v>
      </c>
      <c r="J946" s="1">
        <v>148.471</v>
      </c>
      <c r="K946" s="1">
        <v>3.6840000000000002</v>
      </c>
      <c r="L946" s="1">
        <v>24.991</v>
      </c>
      <c r="M946" s="1" t="s">
        <v>1349</v>
      </c>
      <c r="N946" s="1" t="s">
        <v>1147</v>
      </c>
      <c r="O946" s="1" t="s">
        <v>1350</v>
      </c>
      <c r="P946" s="1" t="s">
        <v>1351</v>
      </c>
      <c r="Q946" s="1" t="s">
        <v>183</v>
      </c>
      <c r="R946" s="1" t="s">
        <v>515</v>
      </c>
      <c r="S946" s="1" t="s">
        <v>44</v>
      </c>
    </row>
    <row r="947" spans="1:19" x14ac:dyDescent="0.25">
      <c r="A947" s="2">
        <v>137</v>
      </c>
      <c r="B947" s="1" t="s">
        <v>1347</v>
      </c>
      <c r="C947" s="1" t="s">
        <v>357</v>
      </c>
      <c r="D947" s="1" t="s">
        <v>1348</v>
      </c>
      <c r="E947" s="1">
        <v>6</v>
      </c>
      <c r="F947" s="1">
        <v>135.798</v>
      </c>
      <c r="G947" s="1">
        <v>11963</v>
      </c>
      <c r="H947" s="1">
        <v>14493</v>
      </c>
      <c r="I947" s="1">
        <v>16669</v>
      </c>
      <c r="J947" s="1">
        <v>133.62700000000001</v>
      </c>
      <c r="K947" s="1">
        <v>3.806</v>
      </c>
      <c r="L947" s="1">
        <v>25.167999999999999</v>
      </c>
      <c r="M947" s="1" t="s">
        <v>1349</v>
      </c>
      <c r="N947" s="1" t="s">
        <v>1147</v>
      </c>
      <c r="O947" s="1" t="s">
        <v>1350</v>
      </c>
      <c r="P947" s="1" t="s">
        <v>1351</v>
      </c>
      <c r="Q947" s="1" t="s">
        <v>223</v>
      </c>
      <c r="R947" s="1" t="s">
        <v>302</v>
      </c>
      <c r="S947" s="1" t="s">
        <v>341</v>
      </c>
    </row>
    <row r="948" spans="1:19" x14ac:dyDescent="0.25">
      <c r="A948" s="2">
        <v>137</v>
      </c>
      <c r="B948" s="1" t="s">
        <v>1347</v>
      </c>
      <c r="C948" s="1" t="s">
        <v>357</v>
      </c>
      <c r="D948" s="1" t="s">
        <v>1348</v>
      </c>
      <c r="E948" s="1">
        <v>7</v>
      </c>
      <c r="F948" s="1">
        <v>126.197</v>
      </c>
      <c r="G948" s="1">
        <v>11156</v>
      </c>
      <c r="H948" s="1">
        <v>13513</v>
      </c>
      <c r="I948" s="1">
        <v>15546</v>
      </c>
      <c r="J948" s="1">
        <v>124.178</v>
      </c>
      <c r="K948" s="1">
        <v>3.8660000000000001</v>
      </c>
      <c r="L948" s="1">
        <v>25.213999999999999</v>
      </c>
      <c r="M948" s="1" t="s">
        <v>1349</v>
      </c>
      <c r="N948" s="1" t="s">
        <v>1147</v>
      </c>
      <c r="O948" s="1" t="s">
        <v>1350</v>
      </c>
      <c r="P948" s="1" t="s">
        <v>1351</v>
      </c>
      <c r="Q948" s="1" t="s">
        <v>1352</v>
      </c>
      <c r="R948" s="1" t="s">
        <v>383</v>
      </c>
      <c r="S948" s="1" t="s">
        <v>599</v>
      </c>
    </row>
    <row r="949" spans="1:19" hidden="1" x14ac:dyDescent="0.25">
      <c r="A949" s="2">
        <v>138</v>
      </c>
      <c r="B949" s="1" t="s">
        <v>1353</v>
      </c>
      <c r="C949" s="1" t="s">
        <v>722</v>
      </c>
      <c r="D949" s="1" t="s">
        <v>1354</v>
      </c>
      <c r="E949" s="1">
        <v>1</v>
      </c>
      <c r="F949" s="1">
        <v>163.262</v>
      </c>
      <c r="G949" s="1">
        <v>8337</v>
      </c>
      <c r="H949" s="1">
        <v>9975</v>
      </c>
      <c r="I949" s="1">
        <v>11545</v>
      </c>
      <c r="J949" s="1">
        <v>160.672</v>
      </c>
      <c r="K949" s="1">
        <v>-5.383</v>
      </c>
      <c r="L949" s="1">
        <v>19.053999999999998</v>
      </c>
      <c r="M949" s="1" t="s">
        <v>1355</v>
      </c>
      <c r="N949" s="1" t="s">
        <v>1147</v>
      </c>
      <c r="O949" s="1" t="s">
        <v>1356</v>
      </c>
      <c r="P949" s="1" t="s">
        <v>1357</v>
      </c>
      <c r="Q949" s="1" t="s">
        <v>98</v>
      </c>
      <c r="R949" s="1" t="s">
        <v>108</v>
      </c>
      <c r="S949" s="1" t="s">
        <v>89</v>
      </c>
    </row>
    <row r="950" spans="1:19" hidden="1" x14ac:dyDescent="0.25">
      <c r="A950" s="2">
        <v>138</v>
      </c>
      <c r="B950" s="1" t="s">
        <v>1353</v>
      </c>
      <c r="C950" s="1" t="s">
        <v>722</v>
      </c>
      <c r="D950" s="1" t="s">
        <v>1354</v>
      </c>
      <c r="E950" s="1">
        <v>2</v>
      </c>
      <c r="F950" s="1">
        <v>161.99</v>
      </c>
      <c r="G950" s="1">
        <v>8365</v>
      </c>
      <c r="H950" s="1">
        <v>10008</v>
      </c>
      <c r="I950" s="1">
        <v>11584</v>
      </c>
      <c r="J950" s="1">
        <v>159.41999999999999</v>
      </c>
      <c r="K950" s="1">
        <v>-5.3949999999999996</v>
      </c>
      <c r="L950" s="1">
        <v>19.027000000000001</v>
      </c>
      <c r="M950" s="1" t="s">
        <v>1355</v>
      </c>
      <c r="N950" s="1" t="s">
        <v>1147</v>
      </c>
      <c r="O950" s="1" t="s">
        <v>1356</v>
      </c>
      <c r="P950" s="1" t="s">
        <v>1357</v>
      </c>
      <c r="Q950" s="1" t="s">
        <v>147</v>
      </c>
      <c r="R950" s="1" t="s">
        <v>198</v>
      </c>
      <c r="S950" s="1" t="s">
        <v>376</v>
      </c>
    </row>
    <row r="951" spans="1:19" hidden="1" x14ac:dyDescent="0.25">
      <c r="A951" s="2">
        <v>138</v>
      </c>
      <c r="B951" s="1" t="s">
        <v>1353</v>
      </c>
      <c r="C951" s="1" t="s">
        <v>722</v>
      </c>
      <c r="D951" s="1" t="s">
        <v>1354</v>
      </c>
      <c r="E951" s="1">
        <v>3</v>
      </c>
      <c r="F951" s="1">
        <v>163.114</v>
      </c>
      <c r="G951" s="1">
        <v>8418</v>
      </c>
      <c r="H951" s="1">
        <v>10071</v>
      </c>
      <c r="I951" s="1">
        <v>11654</v>
      </c>
      <c r="J951" s="1">
        <v>160.52600000000001</v>
      </c>
      <c r="K951" s="1">
        <v>-5.3979999999999997</v>
      </c>
      <c r="L951" s="1">
        <v>19.055</v>
      </c>
      <c r="M951" s="1" t="s">
        <v>1355</v>
      </c>
      <c r="N951" s="1" t="s">
        <v>1147</v>
      </c>
      <c r="O951" s="1" t="s">
        <v>1356</v>
      </c>
      <c r="P951" s="1" t="s">
        <v>1357</v>
      </c>
      <c r="Q951" s="1" t="s">
        <v>167</v>
      </c>
      <c r="R951" s="1" t="s">
        <v>237</v>
      </c>
      <c r="S951" s="1" t="s">
        <v>174</v>
      </c>
    </row>
    <row r="952" spans="1:19" hidden="1" x14ac:dyDescent="0.25">
      <c r="A952" s="2">
        <v>138</v>
      </c>
      <c r="B952" s="1" t="s">
        <v>1353</v>
      </c>
      <c r="C952" s="1" t="s">
        <v>722</v>
      </c>
      <c r="D952" s="1" t="s">
        <v>1354</v>
      </c>
      <c r="E952" s="1">
        <v>4</v>
      </c>
      <c r="F952" s="1">
        <v>163.12899999999999</v>
      </c>
      <c r="G952" s="1">
        <v>8380</v>
      </c>
      <c r="H952" s="1">
        <v>10026</v>
      </c>
      <c r="I952" s="1">
        <v>11603</v>
      </c>
      <c r="J952" s="1">
        <v>160.541</v>
      </c>
      <c r="K952" s="1">
        <v>-5.399</v>
      </c>
      <c r="L952" s="1">
        <v>19.082999999999998</v>
      </c>
      <c r="M952" s="1" t="s">
        <v>1355</v>
      </c>
      <c r="N952" s="1" t="s">
        <v>1147</v>
      </c>
      <c r="O952" s="1" t="s">
        <v>1356</v>
      </c>
      <c r="P952" s="1" t="s">
        <v>1357</v>
      </c>
      <c r="Q952" s="1" t="s">
        <v>165</v>
      </c>
      <c r="R952" s="1" t="s">
        <v>236</v>
      </c>
      <c r="S952" s="1" t="s">
        <v>413</v>
      </c>
    </row>
    <row r="953" spans="1:19" hidden="1" x14ac:dyDescent="0.25">
      <c r="A953" s="2">
        <v>138</v>
      </c>
      <c r="B953" s="1" t="s">
        <v>1353</v>
      </c>
      <c r="C953" s="1" t="s">
        <v>722</v>
      </c>
      <c r="D953" s="1" t="s">
        <v>1354</v>
      </c>
      <c r="E953" s="1">
        <v>5</v>
      </c>
      <c r="F953" s="1">
        <v>236.56299999999999</v>
      </c>
      <c r="G953" s="1">
        <v>19817</v>
      </c>
      <c r="H953" s="1">
        <v>23921</v>
      </c>
      <c r="I953" s="1">
        <v>27566</v>
      </c>
      <c r="J953" s="1">
        <v>232.797</v>
      </c>
      <c r="K953" s="1">
        <v>-1.7909999999999999</v>
      </c>
      <c r="L953" s="1">
        <v>23.466000000000001</v>
      </c>
      <c r="M953" s="1" t="s">
        <v>1355</v>
      </c>
      <c r="N953" s="1" t="s">
        <v>1147</v>
      </c>
      <c r="O953" s="1" t="s">
        <v>1356</v>
      </c>
      <c r="P953" s="1" t="s">
        <v>1357</v>
      </c>
      <c r="Q953" s="1" t="s">
        <v>202</v>
      </c>
      <c r="R953" s="1" t="s">
        <v>137</v>
      </c>
      <c r="S953" s="1" t="s">
        <v>109</v>
      </c>
    </row>
    <row r="954" spans="1:19" x14ac:dyDescent="0.25">
      <c r="A954" s="2">
        <v>138</v>
      </c>
      <c r="B954" s="1" t="s">
        <v>1353</v>
      </c>
      <c r="C954" s="1" t="s">
        <v>722</v>
      </c>
      <c r="D954" s="1" t="s">
        <v>1354</v>
      </c>
      <c r="E954" s="1">
        <v>6</v>
      </c>
      <c r="F954" s="1">
        <v>210.25399999999999</v>
      </c>
      <c r="G954" s="1">
        <v>17739</v>
      </c>
      <c r="H954" s="1">
        <v>21405</v>
      </c>
      <c r="I954" s="1">
        <v>24672</v>
      </c>
      <c r="J954" s="1">
        <v>206.90600000000001</v>
      </c>
      <c r="K954" s="1">
        <v>-1.7070000000000001</v>
      </c>
      <c r="L954" s="1">
        <v>23.826000000000001</v>
      </c>
      <c r="M954" s="1" t="s">
        <v>1355</v>
      </c>
      <c r="N954" s="1" t="s">
        <v>1147</v>
      </c>
      <c r="O954" s="1" t="s">
        <v>1356</v>
      </c>
      <c r="P954" s="1" t="s">
        <v>1357</v>
      </c>
      <c r="Q954" s="1" t="s">
        <v>246</v>
      </c>
      <c r="R954" s="1" t="s">
        <v>381</v>
      </c>
      <c r="S954" s="1" t="s">
        <v>288</v>
      </c>
    </row>
    <row r="955" spans="1:19" x14ac:dyDescent="0.25">
      <c r="A955" s="2">
        <v>138</v>
      </c>
      <c r="B955" s="1" t="s">
        <v>1353</v>
      </c>
      <c r="C955" s="1" t="s">
        <v>722</v>
      </c>
      <c r="D955" s="1" t="s">
        <v>1354</v>
      </c>
      <c r="E955" s="1">
        <v>7</v>
      </c>
      <c r="F955" s="1">
        <v>194.23699999999999</v>
      </c>
      <c r="G955" s="1">
        <v>16428</v>
      </c>
      <c r="H955" s="1">
        <v>19820</v>
      </c>
      <c r="I955" s="1">
        <v>22857</v>
      </c>
      <c r="J955" s="1">
        <v>191.14400000000001</v>
      </c>
      <c r="K955" s="1">
        <v>-1.663</v>
      </c>
      <c r="L955" s="1">
        <v>23.882000000000001</v>
      </c>
      <c r="M955" s="1" t="s">
        <v>1355</v>
      </c>
      <c r="N955" s="1" t="s">
        <v>1147</v>
      </c>
      <c r="O955" s="1" t="s">
        <v>1356</v>
      </c>
      <c r="P955" s="1" t="s">
        <v>1357</v>
      </c>
      <c r="Q955" s="1" t="s">
        <v>1312</v>
      </c>
      <c r="R955" s="1" t="s">
        <v>1358</v>
      </c>
      <c r="S955" s="1" t="s">
        <v>1359</v>
      </c>
    </row>
    <row r="956" spans="1:19" hidden="1" x14ac:dyDescent="0.25">
      <c r="A956" s="2">
        <v>139</v>
      </c>
      <c r="B956" s="1" t="s">
        <v>1360</v>
      </c>
      <c r="C956" s="1" t="s">
        <v>654</v>
      </c>
      <c r="D956" s="1" t="s">
        <v>1361</v>
      </c>
      <c r="E956" s="1">
        <v>1</v>
      </c>
      <c r="F956" s="1">
        <v>162.52699999999999</v>
      </c>
      <c r="G956" s="1">
        <v>8296</v>
      </c>
      <c r="H956" s="1">
        <v>9924</v>
      </c>
      <c r="I956" s="1">
        <v>11495</v>
      </c>
      <c r="J956" s="1">
        <v>159.94900000000001</v>
      </c>
      <c r="K956" s="1">
        <v>-5.3940000000000001</v>
      </c>
      <c r="L956" s="1">
        <v>19.106000000000002</v>
      </c>
      <c r="M956" s="1" t="s">
        <v>749</v>
      </c>
      <c r="N956" s="1" t="s">
        <v>1147</v>
      </c>
      <c r="O956" s="1" t="s">
        <v>1362</v>
      </c>
      <c r="P956" s="1" t="s">
        <v>1363</v>
      </c>
      <c r="Q956" s="1" t="s">
        <v>58</v>
      </c>
      <c r="R956" s="1" t="s">
        <v>172</v>
      </c>
      <c r="S956" s="1" t="s">
        <v>153</v>
      </c>
    </row>
    <row r="957" spans="1:19" hidden="1" x14ac:dyDescent="0.25">
      <c r="A957" s="2">
        <v>139</v>
      </c>
      <c r="B957" s="1" t="s">
        <v>1360</v>
      </c>
      <c r="C957" s="1" t="s">
        <v>654</v>
      </c>
      <c r="D957" s="1" t="s">
        <v>1361</v>
      </c>
      <c r="E957" s="1">
        <v>2</v>
      </c>
      <c r="F957" s="1">
        <v>160.702</v>
      </c>
      <c r="G957" s="1">
        <v>8319</v>
      </c>
      <c r="H957" s="1">
        <v>9952</v>
      </c>
      <c r="I957" s="1">
        <v>11526</v>
      </c>
      <c r="J957" s="1">
        <v>158.15299999999999</v>
      </c>
      <c r="K957" s="1">
        <v>-5.4119999999999999</v>
      </c>
      <c r="L957" s="1">
        <v>19.094000000000001</v>
      </c>
      <c r="M957" s="1" t="s">
        <v>749</v>
      </c>
      <c r="N957" s="1" t="s">
        <v>1147</v>
      </c>
      <c r="O957" s="1" t="s">
        <v>1362</v>
      </c>
      <c r="P957" s="1" t="s">
        <v>1363</v>
      </c>
      <c r="Q957" s="1" t="s">
        <v>167</v>
      </c>
      <c r="R957" s="1" t="s">
        <v>237</v>
      </c>
      <c r="S957" s="1" t="s">
        <v>174</v>
      </c>
    </row>
    <row r="958" spans="1:19" hidden="1" x14ac:dyDescent="0.25">
      <c r="A958" s="2">
        <v>139</v>
      </c>
      <c r="B958" s="1" t="s">
        <v>1360</v>
      </c>
      <c r="C958" s="1" t="s">
        <v>654</v>
      </c>
      <c r="D958" s="1" t="s">
        <v>1361</v>
      </c>
      <c r="E958" s="1">
        <v>3</v>
      </c>
      <c r="F958" s="1">
        <v>162.24700000000001</v>
      </c>
      <c r="G958" s="1">
        <v>8385</v>
      </c>
      <c r="H958" s="1">
        <v>10031</v>
      </c>
      <c r="I958" s="1">
        <v>11614</v>
      </c>
      <c r="J958" s="1">
        <v>159.673</v>
      </c>
      <c r="K958" s="1">
        <v>-5.399</v>
      </c>
      <c r="L958" s="1">
        <v>19.091999999999999</v>
      </c>
      <c r="M958" s="1" t="s">
        <v>749</v>
      </c>
      <c r="N958" s="1" t="s">
        <v>1147</v>
      </c>
      <c r="O958" s="1" t="s">
        <v>1362</v>
      </c>
      <c r="P958" s="1" t="s">
        <v>1363</v>
      </c>
      <c r="Q958" s="1" t="s">
        <v>153</v>
      </c>
      <c r="R958" s="1" t="s">
        <v>136</v>
      </c>
      <c r="S958" s="1" t="s">
        <v>247</v>
      </c>
    </row>
    <row r="959" spans="1:19" hidden="1" x14ac:dyDescent="0.25">
      <c r="A959" s="2">
        <v>139</v>
      </c>
      <c r="B959" s="1" t="s">
        <v>1360</v>
      </c>
      <c r="C959" s="1" t="s">
        <v>654</v>
      </c>
      <c r="D959" s="1" t="s">
        <v>1361</v>
      </c>
      <c r="E959" s="1">
        <v>4</v>
      </c>
      <c r="F959" s="1">
        <v>161.74299999999999</v>
      </c>
      <c r="G959" s="1">
        <v>8323</v>
      </c>
      <c r="H959" s="1">
        <v>9957</v>
      </c>
      <c r="I959" s="1">
        <v>11530</v>
      </c>
      <c r="J959" s="1">
        <v>159.17699999999999</v>
      </c>
      <c r="K959" s="1">
        <v>-5.399</v>
      </c>
      <c r="L959" s="1">
        <v>19.082999999999998</v>
      </c>
      <c r="M959" s="1" t="s">
        <v>749</v>
      </c>
      <c r="N959" s="1" t="s">
        <v>1147</v>
      </c>
      <c r="O959" s="1" t="s">
        <v>1362</v>
      </c>
      <c r="P959" s="1" t="s">
        <v>1363</v>
      </c>
      <c r="Q959" s="1" t="s">
        <v>164</v>
      </c>
      <c r="R959" s="1" t="s">
        <v>354</v>
      </c>
      <c r="S959" s="1" t="s">
        <v>219</v>
      </c>
    </row>
    <row r="960" spans="1:19" hidden="1" x14ac:dyDescent="0.25">
      <c r="A960" s="2">
        <v>139</v>
      </c>
      <c r="B960" s="1" t="s">
        <v>1360</v>
      </c>
      <c r="C960" s="1" t="s">
        <v>654</v>
      </c>
      <c r="D960" s="1" t="s">
        <v>1361</v>
      </c>
      <c r="E960" s="1">
        <v>5</v>
      </c>
      <c r="F960" s="1">
        <v>209.95599999999999</v>
      </c>
      <c r="G960" s="1">
        <v>18478</v>
      </c>
      <c r="H960" s="1">
        <v>22299</v>
      </c>
      <c r="I960" s="1">
        <v>25718</v>
      </c>
      <c r="J960" s="1">
        <v>206.61199999999999</v>
      </c>
      <c r="K960" s="1">
        <v>-1.871</v>
      </c>
      <c r="L960" s="1">
        <v>23.712</v>
      </c>
      <c r="M960" s="1" t="s">
        <v>749</v>
      </c>
      <c r="N960" s="1" t="s">
        <v>1147</v>
      </c>
      <c r="O960" s="1" t="s">
        <v>1362</v>
      </c>
      <c r="P960" s="1" t="s">
        <v>1363</v>
      </c>
      <c r="Q960" s="1" t="s">
        <v>208</v>
      </c>
      <c r="R960" s="1" t="s">
        <v>111</v>
      </c>
      <c r="S960" s="1" t="s">
        <v>115</v>
      </c>
    </row>
    <row r="961" spans="1:19" x14ac:dyDescent="0.25">
      <c r="A961" s="2">
        <v>139</v>
      </c>
      <c r="B961" s="1" t="s">
        <v>1360</v>
      </c>
      <c r="C961" s="1" t="s">
        <v>654</v>
      </c>
      <c r="D961" s="1" t="s">
        <v>1361</v>
      </c>
      <c r="E961" s="1">
        <v>6</v>
      </c>
      <c r="F961" s="1">
        <v>189.316</v>
      </c>
      <c r="G961" s="1">
        <v>16644</v>
      </c>
      <c r="H961" s="1">
        <v>20073</v>
      </c>
      <c r="I961" s="1">
        <v>23172</v>
      </c>
      <c r="J961" s="1">
        <v>186.30099999999999</v>
      </c>
      <c r="K961" s="1">
        <v>-1.742</v>
      </c>
      <c r="L961" s="1">
        <v>24.076000000000001</v>
      </c>
      <c r="M961" s="1" t="s">
        <v>749</v>
      </c>
      <c r="N961" s="1" t="s">
        <v>1147</v>
      </c>
      <c r="O961" s="1" t="s">
        <v>1362</v>
      </c>
      <c r="P961" s="1" t="s">
        <v>1363</v>
      </c>
      <c r="Q961" s="1" t="s">
        <v>366</v>
      </c>
      <c r="R961" s="1" t="s">
        <v>180</v>
      </c>
      <c r="S961" s="1" t="s">
        <v>216</v>
      </c>
    </row>
    <row r="962" spans="1:19" x14ac:dyDescent="0.25">
      <c r="A962" s="2">
        <v>139</v>
      </c>
      <c r="B962" s="1" t="s">
        <v>1360</v>
      </c>
      <c r="C962" s="1" t="s">
        <v>654</v>
      </c>
      <c r="D962" s="1" t="s">
        <v>1361</v>
      </c>
      <c r="E962" s="1">
        <v>7</v>
      </c>
      <c r="F962" s="1">
        <v>175.196</v>
      </c>
      <c r="G962" s="1">
        <v>15349</v>
      </c>
      <c r="H962" s="1">
        <v>18506</v>
      </c>
      <c r="I962" s="1">
        <v>21372</v>
      </c>
      <c r="J962" s="1">
        <v>172.40600000000001</v>
      </c>
      <c r="K962" s="1">
        <v>-1.6890000000000001</v>
      </c>
      <c r="L962" s="1">
        <v>24.117999999999999</v>
      </c>
      <c r="M962" s="1" t="s">
        <v>749</v>
      </c>
      <c r="N962" s="1" t="s">
        <v>1147</v>
      </c>
      <c r="O962" s="1" t="s">
        <v>1362</v>
      </c>
      <c r="P962" s="1" t="s">
        <v>1363</v>
      </c>
      <c r="Q962" s="1" t="s">
        <v>255</v>
      </c>
      <c r="R962" s="1" t="s">
        <v>458</v>
      </c>
      <c r="S962" s="1" t="s">
        <v>466</v>
      </c>
    </row>
    <row r="963" spans="1:19" hidden="1" x14ac:dyDescent="0.25">
      <c r="A963" s="2">
        <v>140</v>
      </c>
      <c r="B963" s="1" t="s">
        <v>1364</v>
      </c>
      <c r="C963" s="1" t="s">
        <v>586</v>
      </c>
      <c r="D963" s="1" t="s">
        <v>1365</v>
      </c>
      <c r="E963" s="1">
        <v>1</v>
      </c>
      <c r="F963" s="1">
        <v>162.964</v>
      </c>
      <c r="G963" s="1">
        <v>8333</v>
      </c>
      <c r="H963" s="1">
        <v>9970</v>
      </c>
      <c r="I963" s="1">
        <v>11538</v>
      </c>
      <c r="J963" s="1">
        <v>160.37899999999999</v>
      </c>
      <c r="K963" s="1">
        <v>-5.3879999999999999</v>
      </c>
      <c r="L963" s="1">
        <v>19.067</v>
      </c>
      <c r="M963" s="1" t="s">
        <v>758</v>
      </c>
      <c r="N963" s="1" t="s">
        <v>1147</v>
      </c>
      <c r="O963" s="1" t="s">
        <v>1366</v>
      </c>
      <c r="P963" s="1" t="s">
        <v>1367</v>
      </c>
      <c r="Q963" s="1" t="s">
        <v>57</v>
      </c>
      <c r="R963" s="1" t="s">
        <v>113</v>
      </c>
      <c r="S963" s="1" t="s">
        <v>139</v>
      </c>
    </row>
    <row r="964" spans="1:19" hidden="1" x14ac:dyDescent="0.25">
      <c r="A964" s="2">
        <v>140</v>
      </c>
      <c r="B964" s="1" t="s">
        <v>1364</v>
      </c>
      <c r="C964" s="1" t="s">
        <v>586</v>
      </c>
      <c r="D964" s="1" t="s">
        <v>1365</v>
      </c>
      <c r="E964" s="1">
        <v>2</v>
      </c>
      <c r="F964" s="1">
        <v>161.24600000000001</v>
      </c>
      <c r="G964" s="1">
        <v>8341</v>
      </c>
      <c r="H964" s="1">
        <v>9978</v>
      </c>
      <c r="I964" s="1">
        <v>11550</v>
      </c>
      <c r="J964" s="1">
        <v>158.68799999999999</v>
      </c>
      <c r="K964" s="1">
        <v>-5.4139999999999997</v>
      </c>
      <c r="L964" s="1">
        <v>19.048999999999999</v>
      </c>
      <c r="M964" s="1" t="s">
        <v>758</v>
      </c>
      <c r="N964" s="1" t="s">
        <v>1147</v>
      </c>
      <c r="O964" s="1" t="s">
        <v>1366</v>
      </c>
      <c r="P964" s="1" t="s">
        <v>1367</v>
      </c>
      <c r="Q964" s="1" t="s">
        <v>249</v>
      </c>
      <c r="R964" s="1" t="s">
        <v>194</v>
      </c>
      <c r="S964" s="1" t="s">
        <v>274</v>
      </c>
    </row>
    <row r="965" spans="1:19" hidden="1" x14ac:dyDescent="0.25">
      <c r="A965" s="2">
        <v>140</v>
      </c>
      <c r="B965" s="1" t="s">
        <v>1364</v>
      </c>
      <c r="C965" s="1" t="s">
        <v>586</v>
      </c>
      <c r="D965" s="1" t="s">
        <v>1365</v>
      </c>
      <c r="E965" s="1">
        <v>3</v>
      </c>
      <c r="F965" s="1">
        <v>162.69999999999999</v>
      </c>
      <c r="G965" s="1">
        <v>8413</v>
      </c>
      <c r="H965" s="1">
        <v>10064</v>
      </c>
      <c r="I965" s="1">
        <v>11647</v>
      </c>
      <c r="J965" s="1">
        <v>160.119</v>
      </c>
      <c r="K965" s="1">
        <v>-5.4050000000000002</v>
      </c>
      <c r="L965" s="1">
        <v>19.081</v>
      </c>
      <c r="M965" s="1" t="s">
        <v>758</v>
      </c>
      <c r="N965" s="1" t="s">
        <v>1147</v>
      </c>
      <c r="O965" s="1" t="s">
        <v>1366</v>
      </c>
      <c r="P965" s="1" t="s">
        <v>1367</v>
      </c>
      <c r="Q965" s="1" t="s">
        <v>165</v>
      </c>
      <c r="R965" s="1" t="s">
        <v>143</v>
      </c>
      <c r="S965" s="1" t="s">
        <v>238</v>
      </c>
    </row>
    <row r="966" spans="1:19" hidden="1" x14ac:dyDescent="0.25">
      <c r="A966" s="2">
        <v>140</v>
      </c>
      <c r="B966" s="1" t="s">
        <v>1364</v>
      </c>
      <c r="C966" s="1" t="s">
        <v>586</v>
      </c>
      <c r="D966" s="1" t="s">
        <v>1365</v>
      </c>
      <c r="E966" s="1">
        <v>4</v>
      </c>
      <c r="F966" s="1">
        <v>162.61699999999999</v>
      </c>
      <c r="G966" s="1">
        <v>8367</v>
      </c>
      <c r="H966" s="1">
        <v>10010</v>
      </c>
      <c r="I966" s="1">
        <v>11584</v>
      </c>
      <c r="J966" s="1">
        <v>160.03800000000001</v>
      </c>
      <c r="K966" s="1">
        <v>-5.399</v>
      </c>
      <c r="L966" s="1">
        <v>19.082999999999998</v>
      </c>
      <c r="M966" s="1" t="s">
        <v>758</v>
      </c>
      <c r="N966" s="1" t="s">
        <v>1147</v>
      </c>
      <c r="O966" s="1" t="s">
        <v>1366</v>
      </c>
      <c r="P966" s="1" t="s">
        <v>1367</v>
      </c>
      <c r="Q966" s="1" t="s">
        <v>307</v>
      </c>
      <c r="R966" s="1" t="s">
        <v>178</v>
      </c>
      <c r="S966" s="1" t="s">
        <v>228</v>
      </c>
    </row>
    <row r="967" spans="1:19" hidden="1" x14ac:dyDescent="0.25">
      <c r="A967" s="2">
        <v>140</v>
      </c>
      <c r="B967" s="1" t="s">
        <v>1364</v>
      </c>
      <c r="C967" s="1" t="s">
        <v>586</v>
      </c>
      <c r="D967" s="1" t="s">
        <v>1365</v>
      </c>
      <c r="E967" s="1">
        <v>5</v>
      </c>
      <c r="F967" s="1">
        <v>206.97</v>
      </c>
      <c r="G967" s="1">
        <v>17368</v>
      </c>
      <c r="H967" s="1">
        <v>20966</v>
      </c>
      <c r="I967" s="1">
        <v>24166</v>
      </c>
      <c r="J967" s="1">
        <v>203.67500000000001</v>
      </c>
      <c r="K967" s="1">
        <v>-1.877</v>
      </c>
      <c r="L967" s="1">
        <v>23.797000000000001</v>
      </c>
      <c r="M967" s="1" t="s">
        <v>758</v>
      </c>
      <c r="N967" s="1" t="s">
        <v>1147</v>
      </c>
      <c r="O967" s="1" t="s">
        <v>1366</v>
      </c>
      <c r="P967" s="1" t="s">
        <v>1367</v>
      </c>
      <c r="Q967" s="1" t="s">
        <v>183</v>
      </c>
      <c r="R967" s="1" t="s">
        <v>184</v>
      </c>
      <c r="S967" s="1" t="s">
        <v>117</v>
      </c>
    </row>
    <row r="968" spans="1:19" x14ac:dyDescent="0.25">
      <c r="A968" s="2">
        <v>140</v>
      </c>
      <c r="B968" s="1" t="s">
        <v>1364</v>
      </c>
      <c r="C968" s="1" t="s">
        <v>586</v>
      </c>
      <c r="D968" s="1" t="s">
        <v>1365</v>
      </c>
      <c r="E968" s="1">
        <v>6</v>
      </c>
      <c r="F968" s="1">
        <v>183.35599999999999</v>
      </c>
      <c r="G968" s="1">
        <v>15511</v>
      </c>
      <c r="H968" s="1">
        <v>18717</v>
      </c>
      <c r="I968" s="1">
        <v>21579</v>
      </c>
      <c r="J968" s="1">
        <v>180.43700000000001</v>
      </c>
      <c r="K968" s="1">
        <v>-1.8180000000000001</v>
      </c>
      <c r="L968" s="1">
        <v>23.971</v>
      </c>
      <c r="M968" s="1" t="s">
        <v>758</v>
      </c>
      <c r="N968" s="1" t="s">
        <v>1147</v>
      </c>
      <c r="O968" s="1" t="s">
        <v>1366</v>
      </c>
      <c r="P968" s="1" t="s">
        <v>1367</v>
      </c>
      <c r="Q968" s="1" t="s">
        <v>164</v>
      </c>
      <c r="R968" s="1" t="s">
        <v>354</v>
      </c>
      <c r="S968" s="1" t="s">
        <v>233</v>
      </c>
    </row>
    <row r="969" spans="1:19" x14ac:dyDescent="0.25">
      <c r="A969" s="2">
        <v>140</v>
      </c>
      <c r="B969" s="1" t="s">
        <v>1364</v>
      </c>
      <c r="C969" s="1" t="s">
        <v>586</v>
      </c>
      <c r="D969" s="1" t="s">
        <v>1365</v>
      </c>
      <c r="E969" s="1">
        <v>7</v>
      </c>
      <c r="F969" s="1">
        <v>169.548</v>
      </c>
      <c r="G969" s="1">
        <v>14389</v>
      </c>
      <c r="H969" s="1">
        <v>17359</v>
      </c>
      <c r="I969" s="1">
        <v>20021</v>
      </c>
      <c r="J969" s="1">
        <v>166.84700000000001</v>
      </c>
      <c r="K969" s="1">
        <v>-1.7350000000000001</v>
      </c>
      <c r="L969" s="1">
        <v>24.042999999999999</v>
      </c>
      <c r="M969" s="1" t="s">
        <v>758</v>
      </c>
      <c r="N969" s="1" t="s">
        <v>1147</v>
      </c>
      <c r="O969" s="1" t="s">
        <v>1366</v>
      </c>
      <c r="P969" s="1" t="s">
        <v>1367</v>
      </c>
      <c r="Q969" s="1" t="s">
        <v>350</v>
      </c>
      <c r="R969" s="1" t="s">
        <v>1368</v>
      </c>
      <c r="S969" s="1" t="s">
        <v>356</v>
      </c>
    </row>
    <row r="970" spans="1:19" hidden="1" x14ac:dyDescent="0.25">
      <c r="A970" s="2">
        <v>141</v>
      </c>
      <c r="B970" s="1" t="s">
        <v>1369</v>
      </c>
      <c r="C970" s="1" t="s">
        <v>1219</v>
      </c>
      <c r="D970" s="1" t="s">
        <v>1370</v>
      </c>
      <c r="E970" s="1">
        <v>1</v>
      </c>
      <c r="F970" s="1">
        <v>162.27099999999999</v>
      </c>
      <c r="G970" s="1">
        <v>8304</v>
      </c>
      <c r="H970" s="1">
        <v>9934</v>
      </c>
      <c r="I970" s="1">
        <v>11502</v>
      </c>
      <c r="J970" s="1">
        <v>159.697</v>
      </c>
      <c r="K970" s="1">
        <v>-5.3949999999999996</v>
      </c>
      <c r="L970" s="1">
        <v>19.068000000000001</v>
      </c>
      <c r="M970" s="1" t="s">
        <v>764</v>
      </c>
      <c r="N970" s="1" t="s">
        <v>1147</v>
      </c>
      <c r="O970" s="1" t="s">
        <v>1371</v>
      </c>
      <c r="P970" s="1" t="s">
        <v>1372</v>
      </c>
      <c r="Q970" s="1" t="s">
        <v>48</v>
      </c>
      <c r="R970" s="1" t="s">
        <v>283</v>
      </c>
      <c r="S970" s="1" t="s">
        <v>165</v>
      </c>
    </row>
    <row r="971" spans="1:19" hidden="1" x14ac:dyDescent="0.25">
      <c r="A971" s="2">
        <v>141</v>
      </c>
      <c r="B971" s="1" t="s">
        <v>1369</v>
      </c>
      <c r="C971" s="1" t="s">
        <v>1219</v>
      </c>
      <c r="D971" s="1" t="s">
        <v>1370</v>
      </c>
      <c r="E971" s="1">
        <v>2</v>
      </c>
      <c r="F971" s="1">
        <v>162.62799999999999</v>
      </c>
      <c r="G971" s="1">
        <v>8406</v>
      </c>
      <c r="H971" s="1">
        <v>10056</v>
      </c>
      <c r="I971" s="1">
        <v>11645</v>
      </c>
      <c r="J971" s="1">
        <v>160.048</v>
      </c>
      <c r="K971" s="1">
        <v>-5.3959999999999999</v>
      </c>
      <c r="L971" s="1">
        <v>19.064</v>
      </c>
      <c r="M971" s="1" t="s">
        <v>764</v>
      </c>
      <c r="N971" s="1" t="s">
        <v>1147</v>
      </c>
      <c r="O971" s="1" t="s">
        <v>1371</v>
      </c>
      <c r="P971" s="1" t="s">
        <v>1372</v>
      </c>
      <c r="Q971" s="1" t="s">
        <v>158</v>
      </c>
      <c r="R971" s="1" t="s">
        <v>166</v>
      </c>
      <c r="S971" s="1" t="s">
        <v>201</v>
      </c>
    </row>
    <row r="972" spans="1:19" hidden="1" x14ac:dyDescent="0.25">
      <c r="A972" s="2">
        <v>141</v>
      </c>
      <c r="B972" s="1" t="s">
        <v>1369</v>
      </c>
      <c r="C972" s="1" t="s">
        <v>1219</v>
      </c>
      <c r="D972" s="1" t="s">
        <v>1370</v>
      </c>
      <c r="E972" s="1">
        <v>3</v>
      </c>
      <c r="F972" s="1">
        <v>163.04</v>
      </c>
      <c r="G972" s="1">
        <v>8406</v>
      </c>
      <c r="H972" s="1">
        <v>10056</v>
      </c>
      <c r="I972" s="1">
        <v>11642</v>
      </c>
      <c r="J972" s="1">
        <v>160.45400000000001</v>
      </c>
      <c r="K972" s="1">
        <v>-5.3979999999999997</v>
      </c>
      <c r="L972" s="1">
        <v>19.059999999999999</v>
      </c>
      <c r="M972" s="1" t="s">
        <v>764</v>
      </c>
      <c r="N972" s="1" t="s">
        <v>1147</v>
      </c>
      <c r="O972" s="1" t="s">
        <v>1371</v>
      </c>
      <c r="P972" s="1" t="s">
        <v>1372</v>
      </c>
      <c r="Q972" s="1" t="s">
        <v>160</v>
      </c>
      <c r="R972" s="1" t="s">
        <v>155</v>
      </c>
      <c r="S972" s="1" t="s">
        <v>370</v>
      </c>
    </row>
    <row r="973" spans="1:19" hidden="1" x14ac:dyDescent="0.25">
      <c r="A973" s="2">
        <v>141</v>
      </c>
      <c r="B973" s="1" t="s">
        <v>1369</v>
      </c>
      <c r="C973" s="1" t="s">
        <v>1219</v>
      </c>
      <c r="D973" s="1" t="s">
        <v>1370</v>
      </c>
      <c r="E973" s="1">
        <v>4</v>
      </c>
      <c r="F973" s="1">
        <v>162.523</v>
      </c>
      <c r="G973" s="1">
        <v>8346</v>
      </c>
      <c r="H973" s="1">
        <v>9985</v>
      </c>
      <c r="I973" s="1">
        <v>11559</v>
      </c>
      <c r="J973" s="1">
        <v>159.94499999999999</v>
      </c>
      <c r="K973" s="1">
        <v>-5.399</v>
      </c>
      <c r="L973" s="1">
        <v>19.082999999999998</v>
      </c>
      <c r="M973" s="1" t="s">
        <v>764</v>
      </c>
      <c r="N973" s="1" t="s">
        <v>1147</v>
      </c>
      <c r="O973" s="1" t="s">
        <v>1371</v>
      </c>
      <c r="P973" s="1" t="s">
        <v>1372</v>
      </c>
      <c r="Q973" s="1" t="s">
        <v>164</v>
      </c>
      <c r="R973" s="1" t="s">
        <v>354</v>
      </c>
      <c r="S973" s="1" t="s">
        <v>233</v>
      </c>
    </row>
    <row r="974" spans="1:19" hidden="1" x14ac:dyDescent="0.25">
      <c r="A974" s="2">
        <v>141</v>
      </c>
      <c r="B974" s="1" t="s">
        <v>1369</v>
      </c>
      <c r="C974" s="1" t="s">
        <v>1219</v>
      </c>
      <c r="D974" s="1" t="s">
        <v>1370</v>
      </c>
      <c r="E974" s="1">
        <v>5</v>
      </c>
      <c r="F974" s="1">
        <v>249.46100000000001</v>
      </c>
      <c r="G974" s="1">
        <v>21448</v>
      </c>
      <c r="H974" s="1">
        <v>25867</v>
      </c>
      <c r="I974" s="1">
        <v>29842</v>
      </c>
      <c r="J974" s="1">
        <v>245.49</v>
      </c>
      <c r="K974" s="1">
        <v>-2.008</v>
      </c>
      <c r="L974" s="1">
        <v>23.53</v>
      </c>
      <c r="M974" s="1" t="s">
        <v>764</v>
      </c>
      <c r="N974" s="1" t="s">
        <v>1147</v>
      </c>
      <c r="O974" s="1" t="s">
        <v>1371</v>
      </c>
      <c r="P974" s="1" t="s">
        <v>1372</v>
      </c>
      <c r="Q974" s="1" t="s">
        <v>145</v>
      </c>
      <c r="R974" s="1" t="s">
        <v>118</v>
      </c>
      <c r="S974" s="1" t="s">
        <v>55</v>
      </c>
    </row>
    <row r="975" spans="1:19" x14ac:dyDescent="0.25">
      <c r="A975" s="2">
        <v>141</v>
      </c>
      <c r="B975" s="1" t="s">
        <v>1369</v>
      </c>
      <c r="C975" s="1" t="s">
        <v>1219</v>
      </c>
      <c r="D975" s="1" t="s">
        <v>1370</v>
      </c>
      <c r="E975" s="1">
        <v>6</v>
      </c>
      <c r="F975" s="1">
        <v>222.018</v>
      </c>
      <c r="G975" s="1">
        <v>19014</v>
      </c>
      <c r="H975" s="1">
        <v>22925</v>
      </c>
      <c r="I975" s="1">
        <v>26473</v>
      </c>
      <c r="J975" s="1">
        <v>218.483</v>
      </c>
      <c r="K975" s="1">
        <v>-1.9790000000000001</v>
      </c>
      <c r="L975" s="1">
        <v>23.978000000000002</v>
      </c>
      <c r="M975" s="1" t="s">
        <v>764</v>
      </c>
      <c r="N975" s="1" t="s">
        <v>1147</v>
      </c>
      <c r="O975" s="1" t="s">
        <v>1371</v>
      </c>
      <c r="P975" s="1" t="s">
        <v>1372</v>
      </c>
      <c r="Q975" s="1" t="s">
        <v>179</v>
      </c>
      <c r="R975" s="1" t="s">
        <v>287</v>
      </c>
      <c r="S975" s="1" t="s">
        <v>298</v>
      </c>
    </row>
    <row r="976" spans="1:19" x14ac:dyDescent="0.25">
      <c r="A976" s="2">
        <v>141</v>
      </c>
      <c r="B976" s="1" t="s">
        <v>1369</v>
      </c>
      <c r="C976" s="1" t="s">
        <v>1219</v>
      </c>
      <c r="D976" s="1" t="s">
        <v>1370</v>
      </c>
      <c r="E976" s="1">
        <v>7</v>
      </c>
      <c r="F976" s="1">
        <v>205.47499999999999</v>
      </c>
      <c r="G976" s="1">
        <v>17514</v>
      </c>
      <c r="H976" s="1">
        <v>21106</v>
      </c>
      <c r="I976" s="1">
        <v>24376</v>
      </c>
      <c r="J976" s="1">
        <v>202.203</v>
      </c>
      <c r="K976" s="1">
        <v>-1.9390000000000001</v>
      </c>
      <c r="L976" s="1">
        <v>24.038</v>
      </c>
      <c r="M976" s="1" t="s">
        <v>764</v>
      </c>
      <c r="N976" s="1" t="s">
        <v>1147</v>
      </c>
      <c r="O976" s="1" t="s">
        <v>1371</v>
      </c>
      <c r="P976" s="1" t="s">
        <v>1372</v>
      </c>
      <c r="Q976" s="1" t="s">
        <v>1073</v>
      </c>
      <c r="R976" s="1" t="s">
        <v>1373</v>
      </c>
      <c r="S976" s="1" t="s">
        <v>1374</v>
      </c>
    </row>
    <row r="977" spans="1:19" hidden="1" x14ac:dyDescent="0.25">
      <c r="A977" s="2">
        <v>142</v>
      </c>
      <c r="B977" s="1" t="s">
        <v>1375</v>
      </c>
      <c r="C977" s="1" t="s">
        <v>1290</v>
      </c>
      <c r="D977" s="1" t="s">
        <v>1376</v>
      </c>
      <c r="E977" s="1">
        <v>1</v>
      </c>
      <c r="F977" s="1">
        <v>162.40899999999999</v>
      </c>
      <c r="G977" s="1">
        <v>8296</v>
      </c>
      <c r="H977" s="1">
        <v>9925</v>
      </c>
      <c r="I977" s="1">
        <v>11493</v>
      </c>
      <c r="J977" s="1">
        <v>159.83199999999999</v>
      </c>
      <c r="K977" s="1">
        <v>-5.391</v>
      </c>
      <c r="L977" s="1">
        <v>19.067</v>
      </c>
      <c r="M977" s="1" t="s">
        <v>426</v>
      </c>
      <c r="N977" s="1" t="s">
        <v>1147</v>
      </c>
      <c r="O977" s="1" t="s">
        <v>1377</v>
      </c>
      <c r="P977" s="1" t="s">
        <v>1378</v>
      </c>
      <c r="Q977" s="1" t="s">
        <v>76</v>
      </c>
      <c r="R977" s="1" t="s">
        <v>223</v>
      </c>
      <c r="S977" s="1" t="s">
        <v>176</v>
      </c>
    </row>
    <row r="978" spans="1:19" hidden="1" x14ac:dyDescent="0.25">
      <c r="A978" s="2">
        <v>142</v>
      </c>
      <c r="B978" s="1" t="s">
        <v>1375</v>
      </c>
      <c r="C978" s="1" t="s">
        <v>1290</v>
      </c>
      <c r="D978" s="1" t="s">
        <v>1376</v>
      </c>
      <c r="E978" s="1">
        <v>2</v>
      </c>
      <c r="F978" s="1">
        <v>160.99299999999999</v>
      </c>
      <c r="G978" s="1">
        <v>8328</v>
      </c>
      <c r="H978" s="1">
        <v>9964</v>
      </c>
      <c r="I978" s="1">
        <v>11539</v>
      </c>
      <c r="J978" s="1">
        <v>158.43899999999999</v>
      </c>
      <c r="K978" s="1">
        <v>-5.3890000000000002</v>
      </c>
      <c r="L978" s="1">
        <v>19.061</v>
      </c>
      <c r="M978" s="1" t="s">
        <v>426</v>
      </c>
      <c r="N978" s="1" t="s">
        <v>1147</v>
      </c>
      <c r="O978" s="1" t="s">
        <v>1377</v>
      </c>
      <c r="P978" s="1" t="s">
        <v>1378</v>
      </c>
      <c r="Q978" s="1" t="s">
        <v>146</v>
      </c>
      <c r="R978" s="1" t="s">
        <v>177</v>
      </c>
      <c r="S978" s="1" t="s">
        <v>282</v>
      </c>
    </row>
    <row r="979" spans="1:19" hidden="1" x14ac:dyDescent="0.25">
      <c r="A979" s="2">
        <v>142</v>
      </c>
      <c r="B979" s="1" t="s">
        <v>1375</v>
      </c>
      <c r="C979" s="1" t="s">
        <v>1290</v>
      </c>
      <c r="D979" s="1" t="s">
        <v>1376</v>
      </c>
      <c r="E979" s="1">
        <v>3</v>
      </c>
      <c r="F979" s="1">
        <v>161.78399999999999</v>
      </c>
      <c r="G979" s="1">
        <v>8372</v>
      </c>
      <c r="H979" s="1">
        <v>10016</v>
      </c>
      <c r="I979" s="1">
        <v>11595</v>
      </c>
      <c r="J979" s="1">
        <v>159.21700000000001</v>
      </c>
      <c r="K979" s="1">
        <v>-5.3920000000000003</v>
      </c>
      <c r="L979" s="1">
        <v>19.047999999999998</v>
      </c>
      <c r="M979" s="1" t="s">
        <v>426</v>
      </c>
      <c r="N979" s="1" t="s">
        <v>1147</v>
      </c>
      <c r="O979" s="1" t="s">
        <v>1377</v>
      </c>
      <c r="P979" s="1" t="s">
        <v>1378</v>
      </c>
      <c r="Q979" s="1" t="s">
        <v>164</v>
      </c>
      <c r="R979" s="1" t="s">
        <v>178</v>
      </c>
      <c r="S979" s="1" t="s">
        <v>233</v>
      </c>
    </row>
    <row r="980" spans="1:19" hidden="1" x14ac:dyDescent="0.25">
      <c r="A980" s="2">
        <v>142</v>
      </c>
      <c r="B980" s="1" t="s">
        <v>1375</v>
      </c>
      <c r="C980" s="1" t="s">
        <v>1290</v>
      </c>
      <c r="D980" s="1" t="s">
        <v>1376</v>
      </c>
      <c r="E980" s="1">
        <v>4</v>
      </c>
      <c r="F980" s="1">
        <v>161.58500000000001</v>
      </c>
      <c r="G980" s="1">
        <v>8304</v>
      </c>
      <c r="H980" s="1">
        <v>9933</v>
      </c>
      <c r="I980" s="1">
        <v>11504</v>
      </c>
      <c r="J980" s="1">
        <v>159.02099999999999</v>
      </c>
      <c r="K980" s="1">
        <v>-5.399</v>
      </c>
      <c r="L980" s="1">
        <v>19.082999999999998</v>
      </c>
      <c r="M980" s="1" t="s">
        <v>426</v>
      </c>
      <c r="N980" s="1" t="s">
        <v>1147</v>
      </c>
      <c r="O980" s="1" t="s">
        <v>1377</v>
      </c>
      <c r="P980" s="1" t="s">
        <v>1378</v>
      </c>
      <c r="Q980" s="1" t="s">
        <v>157</v>
      </c>
      <c r="R980" s="1" t="s">
        <v>341</v>
      </c>
      <c r="S980" s="1" t="s">
        <v>329</v>
      </c>
    </row>
    <row r="981" spans="1:19" hidden="1" x14ac:dyDescent="0.25">
      <c r="A981" s="2">
        <v>142</v>
      </c>
      <c r="B981" s="1" t="s">
        <v>1375</v>
      </c>
      <c r="C981" s="1" t="s">
        <v>1290</v>
      </c>
      <c r="D981" s="1" t="s">
        <v>1376</v>
      </c>
      <c r="E981" s="1">
        <v>5</v>
      </c>
      <c r="F981" s="1">
        <v>284.70299999999997</v>
      </c>
      <c r="G981" s="1">
        <v>24162</v>
      </c>
      <c r="H981" s="1">
        <v>29217</v>
      </c>
      <c r="I981" s="1">
        <v>33636</v>
      </c>
      <c r="J981" s="1">
        <v>280.17099999999999</v>
      </c>
      <c r="K981" s="1">
        <v>-2.2109999999999999</v>
      </c>
      <c r="L981" s="1">
        <v>23.838999999999999</v>
      </c>
      <c r="M981" s="1" t="s">
        <v>426</v>
      </c>
      <c r="N981" s="1" t="s">
        <v>1147</v>
      </c>
      <c r="O981" s="1" t="s">
        <v>1377</v>
      </c>
      <c r="P981" s="1" t="s">
        <v>1378</v>
      </c>
      <c r="Q981" s="1" t="s">
        <v>199</v>
      </c>
      <c r="R981" s="1" t="s">
        <v>184</v>
      </c>
      <c r="S981" s="1" t="s">
        <v>117</v>
      </c>
    </row>
    <row r="982" spans="1:19" x14ac:dyDescent="0.25">
      <c r="A982" s="2">
        <v>142</v>
      </c>
      <c r="B982" s="1" t="s">
        <v>1375</v>
      </c>
      <c r="C982" s="1" t="s">
        <v>1290</v>
      </c>
      <c r="D982" s="1" t="s">
        <v>1376</v>
      </c>
      <c r="E982" s="1">
        <v>6</v>
      </c>
      <c r="F982" s="1">
        <v>252.006</v>
      </c>
      <c r="G982" s="1">
        <v>21610</v>
      </c>
      <c r="H982" s="1">
        <v>26117</v>
      </c>
      <c r="I982" s="1">
        <v>30087</v>
      </c>
      <c r="J982" s="1">
        <v>247.994</v>
      </c>
      <c r="K982" s="1">
        <v>-2.16</v>
      </c>
      <c r="L982" s="1">
        <v>23.986999999999998</v>
      </c>
      <c r="M982" s="1" t="s">
        <v>426</v>
      </c>
      <c r="N982" s="1" t="s">
        <v>1147</v>
      </c>
      <c r="O982" s="1" t="s">
        <v>1377</v>
      </c>
      <c r="P982" s="1" t="s">
        <v>1378</v>
      </c>
      <c r="Q982" s="1" t="s">
        <v>136</v>
      </c>
      <c r="R982" s="1" t="s">
        <v>312</v>
      </c>
      <c r="S982" s="1" t="s">
        <v>479</v>
      </c>
    </row>
    <row r="983" spans="1:19" x14ac:dyDescent="0.25">
      <c r="A983" s="2">
        <v>142</v>
      </c>
      <c r="B983" s="1" t="s">
        <v>1375</v>
      </c>
      <c r="C983" s="1" t="s">
        <v>1290</v>
      </c>
      <c r="D983" s="1" t="s">
        <v>1376</v>
      </c>
      <c r="E983" s="1">
        <v>7</v>
      </c>
      <c r="F983" s="1">
        <v>235.38900000000001</v>
      </c>
      <c r="G983" s="1">
        <v>20162</v>
      </c>
      <c r="H983" s="1">
        <v>24357</v>
      </c>
      <c r="I983" s="1">
        <v>28072</v>
      </c>
      <c r="J983" s="1">
        <v>231.642</v>
      </c>
      <c r="K983" s="1">
        <v>-2.1920000000000002</v>
      </c>
      <c r="L983" s="1">
        <v>24.033000000000001</v>
      </c>
      <c r="M983" s="1" t="s">
        <v>426</v>
      </c>
      <c r="N983" s="1" t="s">
        <v>1147</v>
      </c>
      <c r="O983" s="1" t="s">
        <v>1377</v>
      </c>
      <c r="P983" s="1" t="s">
        <v>1378</v>
      </c>
      <c r="Q983" s="1" t="s">
        <v>136</v>
      </c>
      <c r="R983" s="1" t="s">
        <v>312</v>
      </c>
      <c r="S983" s="1" t="s">
        <v>479</v>
      </c>
    </row>
    <row r="984" spans="1:19" hidden="1" x14ac:dyDescent="0.25">
      <c r="A984" s="2">
        <v>143</v>
      </c>
      <c r="B984" s="1" t="s">
        <v>1379</v>
      </c>
      <c r="C984" s="1" t="s">
        <v>397</v>
      </c>
      <c r="D984" s="1" t="s">
        <v>1380</v>
      </c>
      <c r="E984" s="1">
        <v>1</v>
      </c>
      <c r="F984" s="1">
        <v>163.916</v>
      </c>
      <c r="G984" s="1">
        <v>8386</v>
      </c>
      <c r="H984" s="1">
        <v>10033</v>
      </c>
      <c r="I984" s="1">
        <v>11611</v>
      </c>
      <c r="J984" s="1">
        <v>161.316</v>
      </c>
      <c r="K984" s="1">
        <v>-5.3730000000000002</v>
      </c>
      <c r="L984" s="1">
        <v>19.055</v>
      </c>
      <c r="M984" s="1" t="s">
        <v>1381</v>
      </c>
      <c r="N984" s="1" t="s">
        <v>1147</v>
      </c>
      <c r="O984" s="1" t="s">
        <v>1382</v>
      </c>
      <c r="P984" s="1" t="s">
        <v>1383</v>
      </c>
      <c r="Q984" s="1" t="s">
        <v>67</v>
      </c>
      <c r="R984" s="1" t="s">
        <v>291</v>
      </c>
      <c r="S984" s="1" t="s">
        <v>193</v>
      </c>
    </row>
    <row r="985" spans="1:19" hidden="1" x14ac:dyDescent="0.25">
      <c r="A985" s="2">
        <v>143</v>
      </c>
      <c r="B985" s="1" t="s">
        <v>1379</v>
      </c>
      <c r="C985" s="1" t="s">
        <v>397</v>
      </c>
      <c r="D985" s="1" t="s">
        <v>1380</v>
      </c>
      <c r="E985" s="1">
        <v>2</v>
      </c>
      <c r="F985" s="1">
        <v>161.74600000000001</v>
      </c>
      <c r="G985" s="1">
        <v>8350</v>
      </c>
      <c r="H985" s="1">
        <v>9990</v>
      </c>
      <c r="I985" s="1">
        <v>11562</v>
      </c>
      <c r="J985" s="1">
        <v>159.18</v>
      </c>
      <c r="K985" s="1">
        <v>-5.3680000000000003</v>
      </c>
      <c r="L985" s="1">
        <v>19.061</v>
      </c>
      <c r="M985" s="1" t="s">
        <v>1381</v>
      </c>
      <c r="N985" s="1" t="s">
        <v>1147</v>
      </c>
      <c r="O985" s="1" t="s">
        <v>1382</v>
      </c>
      <c r="P985" s="1" t="s">
        <v>1383</v>
      </c>
      <c r="Q985" s="1" t="s">
        <v>307</v>
      </c>
      <c r="R985" s="1" t="s">
        <v>178</v>
      </c>
      <c r="S985" s="1" t="s">
        <v>233</v>
      </c>
    </row>
    <row r="986" spans="1:19" hidden="1" x14ac:dyDescent="0.25">
      <c r="A986" s="2">
        <v>143</v>
      </c>
      <c r="B986" s="1" t="s">
        <v>1379</v>
      </c>
      <c r="C986" s="1" t="s">
        <v>397</v>
      </c>
      <c r="D986" s="1" t="s">
        <v>1380</v>
      </c>
      <c r="E986" s="1">
        <v>3</v>
      </c>
      <c r="F986" s="1">
        <v>163.14099999999999</v>
      </c>
      <c r="G986" s="1">
        <v>8434</v>
      </c>
      <c r="H986" s="1">
        <v>10090</v>
      </c>
      <c r="I986" s="1">
        <v>11675</v>
      </c>
      <c r="J986" s="1">
        <v>160.553</v>
      </c>
      <c r="K986" s="1">
        <v>-5.3840000000000003</v>
      </c>
      <c r="L986" s="1">
        <v>19.068999999999999</v>
      </c>
      <c r="M986" s="1" t="s">
        <v>1381</v>
      </c>
      <c r="N986" s="1" t="s">
        <v>1147</v>
      </c>
      <c r="O986" s="1" t="s">
        <v>1382</v>
      </c>
      <c r="P986" s="1" t="s">
        <v>1383</v>
      </c>
      <c r="Q986" s="1" t="s">
        <v>245</v>
      </c>
      <c r="R986" s="1" t="s">
        <v>311</v>
      </c>
      <c r="S986" s="1" t="s">
        <v>240</v>
      </c>
    </row>
    <row r="987" spans="1:19" hidden="1" x14ac:dyDescent="0.25">
      <c r="A987" s="2">
        <v>143</v>
      </c>
      <c r="B987" s="1" t="s">
        <v>1379</v>
      </c>
      <c r="C987" s="1" t="s">
        <v>397</v>
      </c>
      <c r="D987" s="1" t="s">
        <v>1380</v>
      </c>
      <c r="E987" s="1">
        <v>4</v>
      </c>
      <c r="F987" s="1">
        <v>162.988</v>
      </c>
      <c r="G987" s="1">
        <v>8365</v>
      </c>
      <c r="H987" s="1">
        <v>10008</v>
      </c>
      <c r="I987" s="1">
        <v>11583</v>
      </c>
      <c r="J987" s="1">
        <v>160.40199999999999</v>
      </c>
      <c r="K987" s="1">
        <v>-5.399</v>
      </c>
      <c r="L987" s="1">
        <v>19.082999999999998</v>
      </c>
      <c r="M987" s="1" t="s">
        <v>1381</v>
      </c>
      <c r="N987" s="1" t="s">
        <v>1147</v>
      </c>
      <c r="O987" s="1" t="s">
        <v>1382</v>
      </c>
      <c r="P987" s="1" t="s">
        <v>1383</v>
      </c>
      <c r="Q987" s="1" t="s">
        <v>289</v>
      </c>
      <c r="R987" s="1" t="s">
        <v>163</v>
      </c>
      <c r="S987" s="1" t="s">
        <v>872</v>
      </c>
    </row>
    <row r="988" spans="1:19" hidden="1" x14ac:dyDescent="0.25">
      <c r="A988" s="2">
        <v>143</v>
      </c>
      <c r="B988" s="1" t="s">
        <v>1379</v>
      </c>
      <c r="C988" s="1" t="s">
        <v>397</v>
      </c>
      <c r="D988" s="1" t="s">
        <v>1380</v>
      </c>
      <c r="E988" s="1">
        <v>5</v>
      </c>
      <c r="F988" s="1">
        <v>139.29900000000001</v>
      </c>
      <c r="G988" s="1">
        <v>11742</v>
      </c>
      <c r="H988" s="1">
        <v>14130</v>
      </c>
      <c r="I988" s="1">
        <v>16340</v>
      </c>
      <c r="J988" s="1">
        <v>137.08199999999999</v>
      </c>
      <c r="K988" s="1">
        <v>-2.5289999999999999</v>
      </c>
      <c r="L988" s="1">
        <v>23.893000000000001</v>
      </c>
      <c r="M988" s="1" t="s">
        <v>1381</v>
      </c>
      <c r="N988" s="1" t="s">
        <v>1147</v>
      </c>
      <c r="O988" s="1" t="s">
        <v>1382</v>
      </c>
      <c r="P988" s="1" t="s">
        <v>1383</v>
      </c>
      <c r="Q988" s="1" t="s">
        <v>205</v>
      </c>
      <c r="R988" s="1" t="s">
        <v>117</v>
      </c>
      <c r="S988" s="1" t="s">
        <v>197</v>
      </c>
    </row>
    <row r="989" spans="1:19" x14ac:dyDescent="0.25">
      <c r="A989" s="2">
        <v>143</v>
      </c>
      <c r="B989" s="1" t="s">
        <v>1379</v>
      </c>
      <c r="C989" s="1" t="s">
        <v>397</v>
      </c>
      <c r="D989" s="1" t="s">
        <v>1380</v>
      </c>
      <c r="E989" s="1">
        <v>6</v>
      </c>
      <c r="F989" s="1">
        <v>123.444</v>
      </c>
      <c r="G989" s="1">
        <v>10384</v>
      </c>
      <c r="H989" s="1">
        <v>12494</v>
      </c>
      <c r="I989" s="1">
        <v>14451</v>
      </c>
      <c r="J989" s="1">
        <v>121.479</v>
      </c>
      <c r="K989" s="1">
        <v>-2.4670000000000001</v>
      </c>
      <c r="L989" s="1">
        <v>24.149000000000001</v>
      </c>
      <c r="M989" s="1" t="s">
        <v>1381</v>
      </c>
      <c r="N989" s="1" t="s">
        <v>1147</v>
      </c>
      <c r="O989" s="1" t="s">
        <v>1382</v>
      </c>
      <c r="P989" s="1" t="s">
        <v>1383</v>
      </c>
      <c r="Q989" s="1" t="s">
        <v>59</v>
      </c>
      <c r="R989" s="1" t="s">
        <v>245</v>
      </c>
      <c r="S989" s="1" t="s">
        <v>194</v>
      </c>
    </row>
    <row r="990" spans="1:19" x14ac:dyDescent="0.25">
      <c r="A990" s="2">
        <v>143</v>
      </c>
      <c r="B990" s="1" t="s">
        <v>1379</v>
      </c>
      <c r="C990" s="1" t="s">
        <v>397</v>
      </c>
      <c r="D990" s="1" t="s">
        <v>1380</v>
      </c>
      <c r="E990" s="1">
        <v>7</v>
      </c>
      <c r="F990" s="1">
        <v>114.196</v>
      </c>
      <c r="G990" s="1">
        <v>9608</v>
      </c>
      <c r="H990" s="1">
        <v>11558</v>
      </c>
      <c r="I990" s="1">
        <v>13370</v>
      </c>
      <c r="J990" s="1">
        <v>112.378</v>
      </c>
      <c r="K990" s="1">
        <v>-2.4300000000000002</v>
      </c>
      <c r="L990" s="1">
        <v>24.157</v>
      </c>
      <c r="M990" s="1" t="s">
        <v>1381</v>
      </c>
      <c r="N990" s="1" t="s">
        <v>1147</v>
      </c>
      <c r="O990" s="1" t="s">
        <v>1382</v>
      </c>
      <c r="P990" s="1" t="s">
        <v>1383</v>
      </c>
      <c r="Q990" s="1" t="s">
        <v>442</v>
      </c>
      <c r="R990" s="1" t="s">
        <v>399</v>
      </c>
      <c r="S990" s="1" t="s">
        <v>345</v>
      </c>
    </row>
    <row r="991" spans="1:19" hidden="1" x14ac:dyDescent="0.25">
      <c r="A991" s="2">
        <v>144</v>
      </c>
      <c r="B991" s="1" t="s">
        <v>1384</v>
      </c>
      <c r="C991" s="1" t="s">
        <v>412</v>
      </c>
      <c r="D991" s="1" t="s">
        <v>1385</v>
      </c>
      <c r="E991" s="1">
        <v>1</v>
      </c>
      <c r="F991" s="1">
        <v>161.738</v>
      </c>
      <c r="G991" s="1">
        <v>8272</v>
      </c>
      <c r="H991" s="1">
        <v>9897</v>
      </c>
      <c r="I991" s="1">
        <v>11453</v>
      </c>
      <c r="J991" s="1">
        <v>159.173</v>
      </c>
      <c r="K991" s="1">
        <v>-5.383</v>
      </c>
      <c r="L991" s="1">
        <v>19.059999999999999</v>
      </c>
      <c r="M991" s="1" t="s">
        <v>782</v>
      </c>
      <c r="N991" s="1" t="s">
        <v>1147</v>
      </c>
      <c r="O991" s="1" t="s">
        <v>1386</v>
      </c>
      <c r="P991" s="1" t="s">
        <v>1387</v>
      </c>
      <c r="Q991" s="1" t="s">
        <v>46</v>
      </c>
      <c r="R991" s="1" t="s">
        <v>90</v>
      </c>
      <c r="S991" s="1" t="s">
        <v>254</v>
      </c>
    </row>
    <row r="992" spans="1:19" hidden="1" x14ac:dyDescent="0.25">
      <c r="A992" s="2">
        <v>144</v>
      </c>
      <c r="B992" s="1" t="s">
        <v>1384</v>
      </c>
      <c r="C992" s="1" t="s">
        <v>412</v>
      </c>
      <c r="D992" s="1" t="s">
        <v>1385</v>
      </c>
      <c r="E992" s="1">
        <v>2</v>
      </c>
      <c r="F992" s="1">
        <v>162.119</v>
      </c>
      <c r="G992" s="1">
        <v>8398</v>
      </c>
      <c r="H992" s="1">
        <v>10047</v>
      </c>
      <c r="I992" s="1">
        <v>11628</v>
      </c>
      <c r="J992" s="1">
        <v>159.547</v>
      </c>
      <c r="K992" s="1">
        <v>-5.3949999999999996</v>
      </c>
      <c r="L992" s="1">
        <v>19.071999999999999</v>
      </c>
      <c r="M992" s="1" t="s">
        <v>782</v>
      </c>
      <c r="N992" s="1" t="s">
        <v>1147</v>
      </c>
      <c r="O992" s="1" t="s">
        <v>1386</v>
      </c>
      <c r="P992" s="1" t="s">
        <v>1387</v>
      </c>
      <c r="Q992" s="1" t="s">
        <v>254</v>
      </c>
      <c r="R992" s="1" t="s">
        <v>149</v>
      </c>
      <c r="S992" s="1" t="s">
        <v>286</v>
      </c>
    </row>
    <row r="993" spans="1:19" hidden="1" x14ac:dyDescent="0.25">
      <c r="A993" s="2">
        <v>144</v>
      </c>
      <c r="B993" s="1" t="s">
        <v>1384</v>
      </c>
      <c r="C993" s="1" t="s">
        <v>412</v>
      </c>
      <c r="D993" s="1" t="s">
        <v>1385</v>
      </c>
      <c r="E993" s="1">
        <v>3</v>
      </c>
      <c r="F993" s="1">
        <v>162.09800000000001</v>
      </c>
      <c r="G993" s="1">
        <v>8378</v>
      </c>
      <c r="H993" s="1">
        <v>10023</v>
      </c>
      <c r="I993" s="1">
        <v>11599</v>
      </c>
      <c r="J993" s="1">
        <v>159.52600000000001</v>
      </c>
      <c r="K993" s="1">
        <v>-5.3959999999999999</v>
      </c>
      <c r="L993" s="1">
        <v>19.053999999999998</v>
      </c>
      <c r="M993" s="1" t="s">
        <v>782</v>
      </c>
      <c r="N993" s="1" t="s">
        <v>1147</v>
      </c>
      <c r="O993" s="1" t="s">
        <v>1386</v>
      </c>
      <c r="P993" s="1" t="s">
        <v>1387</v>
      </c>
      <c r="Q993" s="1" t="s">
        <v>158</v>
      </c>
      <c r="R993" s="1" t="s">
        <v>166</v>
      </c>
      <c r="S993" s="1" t="s">
        <v>201</v>
      </c>
    </row>
    <row r="994" spans="1:19" hidden="1" x14ac:dyDescent="0.25">
      <c r="A994" s="2">
        <v>144</v>
      </c>
      <c r="B994" s="1" t="s">
        <v>1384</v>
      </c>
      <c r="C994" s="1" t="s">
        <v>412</v>
      </c>
      <c r="D994" s="1" t="s">
        <v>1385</v>
      </c>
      <c r="E994" s="1">
        <v>4</v>
      </c>
      <c r="F994" s="1">
        <v>161.79400000000001</v>
      </c>
      <c r="G994" s="1">
        <v>8313</v>
      </c>
      <c r="H994" s="1">
        <v>9947</v>
      </c>
      <c r="I994" s="1">
        <v>11510</v>
      </c>
      <c r="J994" s="1">
        <v>159.227</v>
      </c>
      <c r="K994" s="1">
        <v>-5.399</v>
      </c>
      <c r="L994" s="1">
        <v>19.082999999999998</v>
      </c>
      <c r="M994" s="1" t="s">
        <v>782</v>
      </c>
      <c r="N994" s="1" t="s">
        <v>1147</v>
      </c>
      <c r="O994" s="1" t="s">
        <v>1386</v>
      </c>
      <c r="P994" s="1" t="s">
        <v>1387</v>
      </c>
      <c r="Q994" s="1" t="s">
        <v>139</v>
      </c>
      <c r="R994" s="1" t="s">
        <v>266</v>
      </c>
      <c r="S994" s="1" t="s">
        <v>292</v>
      </c>
    </row>
    <row r="995" spans="1:19" hidden="1" x14ac:dyDescent="0.25">
      <c r="A995" s="2">
        <v>144</v>
      </c>
      <c r="B995" s="1" t="s">
        <v>1384</v>
      </c>
      <c r="C995" s="1" t="s">
        <v>412</v>
      </c>
      <c r="D995" s="1" t="s">
        <v>1385</v>
      </c>
      <c r="E995" s="1">
        <v>5</v>
      </c>
      <c r="F995" s="1">
        <v>158.94999999999999</v>
      </c>
      <c r="G995" s="1">
        <v>13610</v>
      </c>
      <c r="H995" s="1">
        <v>16410</v>
      </c>
      <c r="I995" s="1">
        <v>18938</v>
      </c>
      <c r="J995" s="1">
        <v>156.41999999999999</v>
      </c>
      <c r="K995" s="1">
        <v>-2.2930000000000001</v>
      </c>
      <c r="L995" s="1">
        <v>23.908000000000001</v>
      </c>
      <c r="M995" s="1" t="s">
        <v>782</v>
      </c>
      <c r="N995" s="1" t="s">
        <v>1147</v>
      </c>
      <c r="O995" s="1" t="s">
        <v>1386</v>
      </c>
      <c r="P995" s="1" t="s">
        <v>1387</v>
      </c>
      <c r="Q995" s="1" t="s">
        <v>189</v>
      </c>
      <c r="R995" s="1" t="s">
        <v>222</v>
      </c>
      <c r="S995" s="1" t="s">
        <v>227</v>
      </c>
    </row>
    <row r="996" spans="1:19" x14ac:dyDescent="0.25">
      <c r="A996" s="2">
        <v>144</v>
      </c>
      <c r="B996" s="1" t="s">
        <v>1384</v>
      </c>
      <c r="C996" s="1" t="s">
        <v>412</v>
      </c>
      <c r="D996" s="1" t="s">
        <v>1385</v>
      </c>
      <c r="E996" s="1">
        <v>6</v>
      </c>
      <c r="F996" s="1">
        <v>141.97200000000001</v>
      </c>
      <c r="G996" s="1">
        <v>12358</v>
      </c>
      <c r="H996" s="1">
        <v>14896</v>
      </c>
      <c r="I996" s="1">
        <v>17195</v>
      </c>
      <c r="J996" s="1">
        <v>139.71199999999999</v>
      </c>
      <c r="K996" s="1">
        <v>-2.2389999999999999</v>
      </c>
      <c r="L996" s="1">
        <v>24.062000000000001</v>
      </c>
      <c r="M996" s="1" t="s">
        <v>782</v>
      </c>
      <c r="N996" s="1" t="s">
        <v>1147</v>
      </c>
      <c r="O996" s="1" t="s">
        <v>1386</v>
      </c>
      <c r="P996" s="1" t="s">
        <v>1387</v>
      </c>
      <c r="Q996" s="1" t="s">
        <v>223</v>
      </c>
      <c r="R996" s="1" t="s">
        <v>154</v>
      </c>
      <c r="S996" s="1" t="s">
        <v>341</v>
      </c>
    </row>
    <row r="997" spans="1:19" x14ac:dyDescent="0.25">
      <c r="A997" s="2">
        <v>144</v>
      </c>
      <c r="B997" s="1" t="s">
        <v>1384</v>
      </c>
      <c r="C997" s="1" t="s">
        <v>412</v>
      </c>
      <c r="D997" s="1" t="s">
        <v>1385</v>
      </c>
      <c r="E997" s="1">
        <v>7</v>
      </c>
      <c r="F997" s="1">
        <v>132.13499999999999</v>
      </c>
      <c r="G997" s="1">
        <v>11587</v>
      </c>
      <c r="H997" s="1">
        <v>13963</v>
      </c>
      <c r="I997" s="1">
        <v>16123</v>
      </c>
      <c r="J997" s="1">
        <v>130.03100000000001</v>
      </c>
      <c r="K997" s="1">
        <v>-2.1669999999999998</v>
      </c>
      <c r="L997" s="1">
        <v>24.123000000000001</v>
      </c>
      <c r="M997" s="1" t="s">
        <v>782</v>
      </c>
      <c r="N997" s="1" t="s">
        <v>1147</v>
      </c>
      <c r="O997" s="1" t="s">
        <v>1386</v>
      </c>
      <c r="P997" s="1" t="s">
        <v>1387</v>
      </c>
      <c r="Q997" s="1" t="s">
        <v>1388</v>
      </c>
      <c r="R997" s="1" t="s">
        <v>452</v>
      </c>
      <c r="S997" s="1" t="s">
        <v>351</v>
      </c>
    </row>
    <row r="998" spans="1:19" hidden="1" x14ac:dyDescent="0.25">
      <c r="A998" s="2">
        <v>145</v>
      </c>
      <c r="B998" s="1" t="s">
        <v>1389</v>
      </c>
      <c r="C998" s="1" t="s">
        <v>934</v>
      </c>
      <c r="D998" s="1" t="s">
        <v>1390</v>
      </c>
      <c r="E998" s="1">
        <v>1</v>
      </c>
      <c r="F998" s="1">
        <v>162.92400000000001</v>
      </c>
      <c r="G998" s="1">
        <v>8327</v>
      </c>
      <c r="H998" s="1">
        <v>9962</v>
      </c>
      <c r="I998" s="1">
        <v>11536</v>
      </c>
      <c r="J998" s="1">
        <v>160.339</v>
      </c>
      <c r="K998" s="1">
        <v>-5.3920000000000003</v>
      </c>
      <c r="L998" s="1">
        <v>19.077000000000002</v>
      </c>
      <c r="M998" s="1" t="s">
        <v>1391</v>
      </c>
      <c r="N998" s="1" t="s">
        <v>1147</v>
      </c>
      <c r="O998" s="1" t="s">
        <v>1392</v>
      </c>
      <c r="P998" s="1" t="s">
        <v>1393</v>
      </c>
      <c r="Q998" s="1" t="s">
        <v>98</v>
      </c>
      <c r="R998" s="1" t="s">
        <v>108</v>
      </c>
      <c r="S998" s="1" t="s">
        <v>147</v>
      </c>
    </row>
    <row r="999" spans="1:19" hidden="1" x14ac:dyDescent="0.25">
      <c r="A999" s="2">
        <v>145</v>
      </c>
      <c r="B999" s="1" t="s">
        <v>1389</v>
      </c>
      <c r="C999" s="1" t="s">
        <v>934</v>
      </c>
      <c r="D999" s="1" t="s">
        <v>1390</v>
      </c>
      <c r="E999" s="1">
        <v>2</v>
      </c>
      <c r="F999" s="1">
        <v>160.197</v>
      </c>
      <c r="G999" s="1">
        <v>8268</v>
      </c>
      <c r="H999" s="1">
        <v>9892</v>
      </c>
      <c r="I999" s="1">
        <v>11454</v>
      </c>
      <c r="J999" s="1">
        <v>157.65600000000001</v>
      </c>
      <c r="K999" s="1">
        <v>-5.3920000000000003</v>
      </c>
      <c r="L999" s="1">
        <v>19.091999999999999</v>
      </c>
      <c r="M999" s="1" t="s">
        <v>1391</v>
      </c>
      <c r="N999" s="1" t="s">
        <v>1147</v>
      </c>
      <c r="O999" s="1" t="s">
        <v>1392</v>
      </c>
      <c r="P999" s="1" t="s">
        <v>1393</v>
      </c>
      <c r="Q999" s="1" t="s">
        <v>89</v>
      </c>
      <c r="R999" s="1" t="s">
        <v>279</v>
      </c>
      <c r="S999" s="1" t="s">
        <v>259</v>
      </c>
    </row>
    <row r="1000" spans="1:19" hidden="1" x14ac:dyDescent="0.25">
      <c r="A1000" s="2">
        <v>145</v>
      </c>
      <c r="B1000" s="1" t="s">
        <v>1389</v>
      </c>
      <c r="C1000" s="1" t="s">
        <v>934</v>
      </c>
      <c r="D1000" s="1" t="s">
        <v>1390</v>
      </c>
      <c r="E1000" s="1">
        <v>3</v>
      </c>
      <c r="F1000" s="1">
        <v>161.83199999999999</v>
      </c>
      <c r="G1000" s="1">
        <v>8369</v>
      </c>
      <c r="H1000" s="1">
        <v>10012</v>
      </c>
      <c r="I1000" s="1">
        <v>11592</v>
      </c>
      <c r="J1000" s="1">
        <v>159.26499999999999</v>
      </c>
      <c r="K1000" s="1">
        <v>-5.4039999999999999</v>
      </c>
      <c r="L1000" s="1">
        <v>19.099</v>
      </c>
      <c r="M1000" s="1" t="s">
        <v>1391</v>
      </c>
      <c r="N1000" s="1" t="s">
        <v>1147</v>
      </c>
      <c r="O1000" s="1" t="s">
        <v>1392</v>
      </c>
      <c r="P1000" s="1" t="s">
        <v>1393</v>
      </c>
      <c r="Q1000" s="1" t="s">
        <v>138</v>
      </c>
      <c r="R1000" s="1" t="s">
        <v>237</v>
      </c>
      <c r="S1000" s="1" t="s">
        <v>304</v>
      </c>
    </row>
    <row r="1001" spans="1:19" hidden="1" x14ac:dyDescent="0.25">
      <c r="A1001" s="2">
        <v>145</v>
      </c>
      <c r="B1001" s="1" t="s">
        <v>1389</v>
      </c>
      <c r="C1001" s="1" t="s">
        <v>934</v>
      </c>
      <c r="D1001" s="1" t="s">
        <v>1390</v>
      </c>
      <c r="E1001" s="1">
        <v>4</v>
      </c>
      <c r="F1001" s="1">
        <v>162.23500000000001</v>
      </c>
      <c r="G1001" s="1">
        <v>8332</v>
      </c>
      <c r="H1001" s="1">
        <v>9968</v>
      </c>
      <c r="I1001" s="1">
        <v>11541</v>
      </c>
      <c r="J1001" s="1">
        <v>159.661</v>
      </c>
      <c r="K1001" s="1">
        <v>-5.399</v>
      </c>
      <c r="L1001" s="1">
        <v>19.082999999999998</v>
      </c>
      <c r="M1001" s="1" t="s">
        <v>1391</v>
      </c>
      <c r="N1001" s="1" t="s">
        <v>1147</v>
      </c>
      <c r="O1001" s="1" t="s">
        <v>1392</v>
      </c>
      <c r="P1001" s="1" t="s">
        <v>1393</v>
      </c>
      <c r="Q1001" s="1" t="s">
        <v>139</v>
      </c>
      <c r="R1001" s="1" t="s">
        <v>266</v>
      </c>
      <c r="S1001" s="1" t="s">
        <v>305</v>
      </c>
    </row>
    <row r="1002" spans="1:19" hidden="1" x14ac:dyDescent="0.25">
      <c r="A1002" s="2">
        <v>145</v>
      </c>
      <c r="B1002" s="1" t="s">
        <v>1389</v>
      </c>
      <c r="C1002" s="1" t="s">
        <v>934</v>
      </c>
      <c r="D1002" s="1" t="s">
        <v>1390</v>
      </c>
      <c r="E1002" s="1">
        <v>5</v>
      </c>
      <c r="F1002" s="1">
        <v>153.66900000000001</v>
      </c>
      <c r="G1002" s="1">
        <v>12784</v>
      </c>
      <c r="H1002" s="1">
        <v>15394</v>
      </c>
      <c r="I1002" s="1">
        <v>17800</v>
      </c>
      <c r="J1002" s="1">
        <v>151.22300000000001</v>
      </c>
      <c r="K1002" s="1">
        <v>-2.3290000000000002</v>
      </c>
      <c r="L1002" s="1">
        <v>23.904</v>
      </c>
      <c r="M1002" s="1" t="s">
        <v>1391</v>
      </c>
      <c r="N1002" s="1" t="s">
        <v>1147</v>
      </c>
      <c r="O1002" s="1" t="s">
        <v>1392</v>
      </c>
      <c r="P1002" s="1" t="s">
        <v>1393</v>
      </c>
      <c r="Q1002" s="1" t="s">
        <v>202</v>
      </c>
      <c r="R1002" s="1" t="s">
        <v>137</v>
      </c>
      <c r="S1002" s="1" t="s">
        <v>191</v>
      </c>
    </row>
    <row r="1003" spans="1:19" x14ac:dyDescent="0.25">
      <c r="A1003" s="2">
        <v>145</v>
      </c>
      <c r="B1003" s="1" t="s">
        <v>1389</v>
      </c>
      <c r="C1003" s="1" t="s">
        <v>934</v>
      </c>
      <c r="D1003" s="1" t="s">
        <v>1390</v>
      </c>
      <c r="E1003" s="1">
        <v>6</v>
      </c>
      <c r="F1003" s="1">
        <v>136.208</v>
      </c>
      <c r="G1003" s="1">
        <v>11419</v>
      </c>
      <c r="H1003" s="1">
        <v>13750</v>
      </c>
      <c r="I1003" s="1">
        <v>15900</v>
      </c>
      <c r="J1003" s="1">
        <v>134.04</v>
      </c>
      <c r="K1003" s="1">
        <v>-2.2490000000000001</v>
      </c>
      <c r="L1003" s="1">
        <v>24.163</v>
      </c>
      <c r="M1003" s="1" t="s">
        <v>1391</v>
      </c>
      <c r="N1003" s="1" t="s">
        <v>1147</v>
      </c>
      <c r="O1003" s="1" t="s">
        <v>1392</v>
      </c>
      <c r="P1003" s="1" t="s">
        <v>1393</v>
      </c>
      <c r="Q1003" s="1" t="s">
        <v>258</v>
      </c>
      <c r="R1003" s="1" t="s">
        <v>151</v>
      </c>
      <c r="S1003" s="1" t="s">
        <v>177</v>
      </c>
    </row>
    <row r="1004" spans="1:19" x14ac:dyDescent="0.25">
      <c r="A1004" s="2">
        <v>145</v>
      </c>
      <c r="B1004" s="1" t="s">
        <v>1389</v>
      </c>
      <c r="C1004" s="1" t="s">
        <v>934</v>
      </c>
      <c r="D1004" s="1" t="s">
        <v>1390</v>
      </c>
      <c r="E1004" s="1">
        <v>7</v>
      </c>
      <c r="F1004" s="1">
        <v>126.169</v>
      </c>
      <c r="G1004" s="1">
        <v>10610</v>
      </c>
      <c r="H1004" s="1">
        <v>12774</v>
      </c>
      <c r="I1004" s="1">
        <v>14773</v>
      </c>
      <c r="J1004" s="1">
        <v>124.16</v>
      </c>
      <c r="K1004" s="1">
        <v>-2.173</v>
      </c>
      <c r="L1004" s="1">
        <v>24.161000000000001</v>
      </c>
      <c r="M1004" s="1" t="s">
        <v>1391</v>
      </c>
      <c r="N1004" s="1" t="s">
        <v>1147</v>
      </c>
      <c r="O1004" s="1" t="s">
        <v>1392</v>
      </c>
      <c r="P1004" s="1" t="s">
        <v>1393</v>
      </c>
      <c r="Q1004" s="1" t="s">
        <v>332</v>
      </c>
      <c r="R1004" s="1" t="s">
        <v>490</v>
      </c>
      <c r="S1004" s="1" t="s">
        <v>400</v>
      </c>
    </row>
    <row r="1005" spans="1:19" hidden="1" x14ac:dyDescent="0.25">
      <c r="A1005" s="2">
        <v>146</v>
      </c>
      <c r="B1005" s="1" t="s">
        <v>1394</v>
      </c>
      <c r="C1005" s="1" t="s">
        <v>357</v>
      </c>
      <c r="D1005" s="1" t="s">
        <v>1395</v>
      </c>
      <c r="E1005" s="1">
        <v>1</v>
      </c>
      <c r="F1005" s="1">
        <v>163.43</v>
      </c>
      <c r="G1005" s="1">
        <v>8363</v>
      </c>
      <c r="H1005" s="1">
        <v>10004</v>
      </c>
      <c r="I1005" s="1">
        <v>11584</v>
      </c>
      <c r="J1005" s="1">
        <v>160.83699999999999</v>
      </c>
      <c r="K1005" s="1">
        <v>-5.3920000000000003</v>
      </c>
      <c r="L1005" s="1">
        <v>19.073</v>
      </c>
      <c r="M1005" s="1" t="s">
        <v>1396</v>
      </c>
      <c r="N1005" s="1" t="s">
        <v>1147</v>
      </c>
      <c r="O1005" s="1" t="s">
        <v>1397</v>
      </c>
      <c r="P1005" s="1" t="s">
        <v>1398</v>
      </c>
      <c r="Q1005" s="1" t="s">
        <v>46</v>
      </c>
      <c r="R1005" s="1" t="s">
        <v>90</v>
      </c>
      <c r="S1005" s="1" t="s">
        <v>254</v>
      </c>
    </row>
    <row r="1006" spans="1:19" hidden="1" x14ac:dyDescent="0.25">
      <c r="A1006" s="2">
        <v>146</v>
      </c>
      <c r="B1006" s="1" t="s">
        <v>1394</v>
      </c>
      <c r="C1006" s="1" t="s">
        <v>357</v>
      </c>
      <c r="D1006" s="1" t="s">
        <v>1395</v>
      </c>
      <c r="E1006" s="1">
        <v>2</v>
      </c>
      <c r="F1006" s="1">
        <v>162.755</v>
      </c>
      <c r="G1006" s="1">
        <v>8419</v>
      </c>
      <c r="H1006" s="1">
        <v>10071</v>
      </c>
      <c r="I1006" s="1">
        <v>11663</v>
      </c>
      <c r="J1006" s="1">
        <v>160.173</v>
      </c>
      <c r="K1006" s="1">
        <v>-5.3860000000000001</v>
      </c>
      <c r="L1006" s="1">
        <v>19.087</v>
      </c>
      <c r="M1006" s="1" t="s">
        <v>1396</v>
      </c>
      <c r="N1006" s="1" t="s">
        <v>1147</v>
      </c>
      <c r="O1006" s="1" t="s">
        <v>1397</v>
      </c>
      <c r="P1006" s="1" t="s">
        <v>1398</v>
      </c>
      <c r="Q1006" s="1" t="s">
        <v>254</v>
      </c>
      <c r="R1006" s="1" t="s">
        <v>262</v>
      </c>
      <c r="S1006" s="1" t="s">
        <v>150</v>
      </c>
    </row>
    <row r="1007" spans="1:19" hidden="1" x14ac:dyDescent="0.25">
      <c r="A1007" s="2">
        <v>146</v>
      </c>
      <c r="B1007" s="1" t="s">
        <v>1394</v>
      </c>
      <c r="C1007" s="1" t="s">
        <v>357</v>
      </c>
      <c r="D1007" s="1" t="s">
        <v>1395</v>
      </c>
      <c r="E1007" s="1">
        <v>3</v>
      </c>
      <c r="F1007" s="1">
        <v>163.393</v>
      </c>
      <c r="G1007" s="1">
        <v>8448</v>
      </c>
      <c r="H1007" s="1">
        <v>10106</v>
      </c>
      <c r="I1007" s="1">
        <v>11701</v>
      </c>
      <c r="J1007" s="1">
        <v>160.80099999999999</v>
      </c>
      <c r="K1007" s="1">
        <v>-5.3869999999999996</v>
      </c>
      <c r="L1007" s="1">
        <v>19.102</v>
      </c>
      <c r="M1007" s="1" t="s">
        <v>1396</v>
      </c>
      <c r="N1007" s="1" t="s">
        <v>1147</v>
      </c>
      <c r="O1007" s="1" t="s">
        <v>1397</v>
      </c>
      <c r="P1007" s="1" t="s">
        <v>1398</v>
      </c>
      <c r="Q1007" s="1" t="s">
        <v>158</v>
      </c>
      <c r="R1007" s="1" t="s">
        <v>166</v>
      </c>
      <c r="S1007" s="1" t="s">
        <v>274</v>
      </c>
    </row>
    <row r="1008" spans="1:19" hidden="1" x14ac:dyDescent="0.25">
      <c r="A1008" s="2">
        <v>146</v>
      </c>
      <c r="B1008" s="1" t="s">
        <v>1394</v>
      </c>
      <c r="C1008" s="1" t="s">
        <v>357</v>
      </c>
      <c r="D1008" s="1" t="s">
        <v>1395</v>
      </c>
      <c r="E1008" s="1">
        <v>4</v>
      </c>
      <c r="F1008" s="1">
        <v>163.249</v>
      </c>
      <c r="G1008" s="1">
        <v>8381</v>
      </c>
      <c r="H1008" s="1">
        <v>10026</v>
      </c>
      <c r="I1008" s="1">
        <v>11610</v>
      </c>
      <c r="J1008" s="1">
        <v>160.65899999999999</v>
      </c>
      <c r="K1008" s="1">
        <v>-5.399</v>
      </c>
      <c r="L1008" s="1">
        <v>19.082999999999998</v>
      </c>
      <c r="M1008" s="1" t="s">
        <v>1396</v>
      </c>
      <c r="N1008" s="1" t="s">
        <v>1147</v>
      </c>
      <c r="O1008" s="1" t="s">
        <v>1397</v>
      </c>
      <c r="P1008" s="1" t="s">
        <v>1398</v>
      </c>
      <c r="Q1008" s="1" t="s">
        <v>139</v>
      </c>
      <c r="R1008" s="1" t="s">
        <v>177</v>
      </c>
      <c r="S1008" s="1" t="s">
        <v>292</v>
      </c>
    </row>
    <row r="1009" spans="1:19" hidden="1" x14ac:dyDescent="0.25">
      <c r="A1009" s="2">
        <v>146</v>
      </c>
      <c r="B1009" s="1" t="s">
        <v>1394</v>
      </c>
      <c r="C1009" s="1" t="s">
        <v>357</v>
      </c>
      <c r="D1009" s="1" t="s">
        <v>1395</v>
      </c>
      <c r="E1009" s="1">
        <v>5</v>
      </c>
      <c r="F1009" s="1">
        <v>154.41399999999999</v>
      </c>
      <c r="G1009" s="1">
        <v>13485</v>
      </c>
      <c r="H1009" s="1">
        <v>16247</v>
      </c>
      <c r="I1009" s="1">
        <v>18774</v>
      </c>
      <c r="J1009" s="1">
        <v>151.95699999999999</v>
      </c>
      <c r="K1009" s="1">
        <v>-2.423</v>
      </c>
      <c r="L1009" s="1">
        <v>23.890999999999998</v>
      </c>
      <c r="M1009" s="1" t="s">
        <v>1396</v>
      </c>
      <c r="N1009" s="1" t="s">
        <v>1147</v>
      </c>
      <c r="O1009" s="1" t="s">
        <v>1397</v>
      </c>
      <c r="P1009" s="1" t="s">
        <v>1398</v>
      </c>
      <c r="Q1009" s="1" t="s">
        <v>200</v>
      </c>
      <c r="R1009" s="1" t="s">
        <v>145</v>
      </c>
      <c r="S1009" s="1" t="s">
        <v>117</v>
      </c>
    </row>
    <row r="1010" spans="1:19" x14ac:dyDescent="0.25">
      <c r="A1010" s="2">
        <v>146</v>
      </c>
      <c r="B1010" s="1" t="s">
        <v>1394</v>
      </c>
      <c r="C1010" s="1" t="s">
        <v>357</v>
      </c>
      <c r="D1010" s="1" t="s">
        <v>1395</v>
      </c>
      <c r="E1010" s="1">
        <v>6</v>
      </c>
      <c r="F1010" s="1">
        <v>138.447</v>
      </c>
      <c r="G1010" s="1">
        <v>12187</v>
      </c>
      <c r="H1010" s="1">
        <v>14678</v>
      </c>
      <c r="I1010" s="1">
        <v>16966</v>
      </c>
      <c r="J1010" s="1">
        <v>136.24299999999999</v>
      </c>
      <c r="K1010" s="1">
        <v>-2.3149999999999999</v>
      </c>
      <c r="L1010" s="1">
        <v>24.081</v>
      </c>
      <c r="M1010" s="1" t="s">
        <v>1396</v>
      </c>
      <c r="N1010" s="1" t="s">
        <v>1147</v>
      </c>
      <c r="O1010" s="1" t="s">
        <v>1397</v>
      </c>
      <c r="P1010" s="1" t="s">
        <v>1398</v>
      </c>
      <c r="Q1010" s="1" t="s">
        <v>256</v>
      </c>
      <c r="R1010" s="1" t="s">
        <v>302</v>
      </c>
      <c r="S1010" s="1" t="s">
        <v>318</v>
      </c>
    </row>
    <row r="1011" spans="1:19" x14ac:dyDescent="0.25">
      <c r="A1011" s="2">
        <v>146</v>
      </c>
      <c r="B1011" s="1" t="s">
        <v>1394</v>
      </c>
      <c r="C1011" s="1" t="s">
        <v>357</v>
      </c>
      <c r="D1011" s="1" t="s">
        <v>1395</v>
      </c>
      <c r="E1011" s="1">
        <v>7</v>
      </c>
      <c r="F1011" s="1">
        <v>128.44900000000001</v>
      </c>
      <c r="G1011" s="1">
        <v>11335</v>
      </c>
      <c r="H1011" s="1">
        <v>13648</v>
      </c>
      <c r="I1011" s="1">
        <v>15781</v>
      </c>
      <c r="J1011" s="1">
        <v>126.404</v>
      </c>
      <c r="K1011" s="1">
        <v>-2.254</v>
      </c>
      <c r="L1011" s="1">
        <v>24.123999999999999</v>
      </c>
      <c r="M1011" s="1" t="s">
        <v>1396</v>
      </c>
      <c r="N1011" s="1" t="s">
        <v>1147</v>
      </c>
      <c r="O1011" s="1" t="s">
        <v>1397</v>
      </c>
      <c r="P1011" s="1" t="s">
        <v>1398</v>
      </c>
      <c r="Q1011" s="1" t="s">
        <v>1399</v>
      </c>
      <c r="R1011" s="1" t="s">
        <v>342</v>
      </c>
      <c r="S1011" s="1" t="s">
        <v>394</v>
      </c>
    </row>
    <row r="1012" spans="1:19" hidden="1" x14ac:dyDescent="0.25">
      <c r="A1012" s="2">
        <v>147</v>
      </c>
      <c r="B1012" s="1" t="s">
        <v>1400</v>
      </c>
      <c r="C1012" s="1" t="s">
        <v>280</v>
      </c>
      <c r="D1012" s="1" t="s">
        <v>1401</v>
      </c>
      <c r="E1012" s="1">
        <v>1</v>
      </c>
      <c r="F1012" s="1">
        <v>163.41200000000001</v>
      </c>
      <c r="G1012" s="1">
        <v>8337</v>
      </c>
      <c r="H1012" s="1">
        <v>9974</v>
      </c>
      <c r="I1012" s="1">
        <v>11548</v>
      </c>
      <c r="J1012" s="1">
        <v>160.81899999999999</v>
      </c>
      <c r="K1012" s="1">
        <v>-5.415</v>
      </c>
      <c r="L1012" s="1">
        <v>19.073</v>
      </c>
      <c r="M1012" s="1" t="s">
        <v>805</v>
      </c>
      <c r="N1012" s="1" t="s">
        <v>1147</v>
      </c>
      <c r="O1012" s="1" t="s">
        <v>1402</v>
      </c>
      <c r="P1012" s="1" t="s">
        <v>1403</v>
      </c>
      <c r="Q1012" s="1" t="s">
        <v>87</v>
      </c>
      <c r="R1012" s="1" t="s">
        <v>131</v>
      </c>
      <c r="S1012" s="1" t="s">
        <v>89</v>
      </c>
    </row>
    <row r="1013" spans="1:19" hidden="1" x14ac:dyDescent="0.25">
      <c r="A1013" s="2">
        <v>147</v>
      </c>
      <c r="B1013" s="1" t="s">
        <v>1400</v>
      </c>
      <c r="C1013" s="1" t="s">
        <v>280</v>
      </c>
      <c r="D1013" s="1" t="s">
        <v>1401</v>
      </c>
      <c r="E1013" s="1">
        <v>2</v>
      </c>
      <c r="F1013" s="1">
        <v>162.09399999999999</v>
      </c>
      <c r="G1013" s="1">
        <v>8389</v>
      </c>
      <c r="H1013" s="1">
        <v>10036</v>
      </c>
      <c r="I1013" s="1">
        <v>11622</v>
      </c>
      <c r="J1013" s="1">
        <v>159.52199999999999</v>
      </c>
      <c r="K1013" s="1">
        <v>-5.4029999999999996</v>
      </c>
      <c r="L1013" s="1">
        <v>19.084</v>
      </c>
      <c r="M1013" s="1" t="s">
        <v>805</v>
      </c>
      <c r="N1013" s="1" t="s">
        <v>1147</v>
      </c>
      <c r="O1013" s="1" t="s">
        <v>1402</v>
      </c>
      <c r="P1013" s="1" t="s">
        <v>1403</v>
      </c>
      <c r="Q1013" s="1" t="s">
        <v>152</v>
      </c>
      <c r="R1013" s="1" t="s">
        <v>156</v>
      </c>
      <c r="S1013" s="1" t="s">
        <v>259</v>
      </c>
    </row>
    <row r="1014" spans="1:19" hidden="1" x14ac:dyDescent="0.25">
      <c r="A1014" s="2">
        <v>147</v>
      </c>
      <c r="B1014" s="1" t="s">
        <v>1400</v>
      </c>
      <c r="C1014" s="1" t="s">
        <v>280</v>
      </c>
      <c r="D1014" s="1" t="s">
        <v>1401</v>
      </c>
      <c r="E1014" s="1">
        <v>3</v>
      </c>
      <c r="F1014" s="1">
        <v>163.31100000000001</v>
      </c>
      <c r="G1014" s="1">
        <v>8428</v>
      </c>
      <c r="H1014" s="1">
        <v>10083</v>
      </c>
      <c r="I1014" s="1">
        <v>11673</v>
      </c>
      <c r="J1014" s="1">
        <v>160.72</v>
      </c>
      <c r="K1014" s="1">
        <v>-5.4020000000000001</v>
      </c>
      <c r="L1014" s="1">
        <v>19.079000000000001</v>
      </c>
      <c r="M1014" s="1" t="s">
        <v>805</v>
      </c>
      <c r="N1014" s="1" t="s">
        <v>1147</v>
      </c>
      <c r="O1014" s="1" t="s">
        <v>1402</v>
      </c>
      <c r="P1014" s="1" t="s">
        <v>1403</v>
      </c>
      <c r="Q1014" s="1" t="s">
        <v>138</v>
      </c>
      <c r="R1014" s="1" t="s">
        <v>170</v>
      </c>
      <c r="S1014" s="1" t="s">
        <v>304</v>
      </c>
    </row>
    <row r="1015" spans="1:19" hidden="1" x14ac:dyDescent="0.25">
      <c r="A1015" s="2">
        <v>147</v>
      </c>
      <c r="B1015" s="1" t="s">
        <v>1400</v>
      </c>
      <c r="C1015" s="1" t="s">
        <v>280</v>
      </c>
      <c r="D1015" s="1" t="s">
        <v>1401</v>
      </c>
      <c r="E1015" s="1">
        <v>4</v>
      </c>
      <c r="F1015" s="1">
        <v>162.923</v>
      </c>
      <c r="G1015" s="1">
        <v>8377</v>
      </c>
      <c r="H1015" s="1">
        <v>10022</v>
      </c>
      <c r="I1015" s="1">
        <v>11605</v>
      </c>
      <c r="J1015" s="1">
        <v>160.33799999999999</v>
      </c>
      <c r="K1015" s="1">
        <v>-5.399</v>
      </c>
      <c r="L1015" s="1">
        <v>19.082999999999998</v>
      </c>
      <c r="M1015" s="1" t="s">
        <v>805</v>
      </c>
      <c r="N1015" s="1" t="s">
        <v>1147</v>
      </c>
      <c r="O1015" s="1" t="s">
        <v>1402</v>
      </c>
      <c r="P1015" s="1" t="s">
        <v>1403</v>
      </c>
      <c r="Q1015" s="1" t="s">
        <v>139</v>
      </c>
      <c r="R1015" s="1" t="s">
        <v>266</v>
      </c>
      <c r="S1015" s="1" t="s">
        <v>305</v>
      </c>
    </row>
    <row r="1016" spans="1:19" hidden="1" x14ac:dyDescent="0.25">
      <c r="A1016" s="2">
        <v>147</v>
      </c>
      <c r="B1016" s="1" t="s">
        <v>1400</v>
      </c>
      <c r="C1016" s="1" t="s">
        <v>280</v>
      </c>
      <c r="D1016" s="1" t="s">
        <v>1401</v>
      </c>
      <c r="E1016" s="1">
        <v>5</v>
      </c>
      <c r="F1016" s="1">
        <v>179.23400000000001</v>
      </c>
      <c r="G1016" s="1">
        <v>14948</v>
      </c>
      <c r="H1016" s="1">
        <v>18013</v>
      </c>
      <c r="I1016" s="1">
        <v>20808</v>
      </c>
      <c r="J1016" s="1">
        <v>176.381</v>
      </c>
      <c r="K1016" s="1">
        <v>-2.323</v>
      </c>
      <c r="L1016" s="1">
        <v>23.768999999999998</v>
      </c>
      <c r="M1016" s="1" t="s">
        <v>805</v>
      </c>
      <c r="N1016" s="1" t="s">
        <v>1147</v>
      </c>
      <c r="O1016" s="1" t="s">
        <v>1402</v>
      </c>
      <c r="P1016" s="1" t="s">
        <v>1403</v>
      </c>
      <c r="Q1016" s="1" t="s">
        <v>188</v>
      </c>
      <c r="R1016" s="1" t="s">
        <v>215</v>
      </c>
      <c r="S1016" s="1" t="s">
        <v>70</v>
      </c>
    </row>
    <row r="1017" spans="1:19" x14ac:dyDescent="0.25">
      <c r="A1017" s="2">
        <v>147</v>
      </c>
      <c r="B1017" s="1" t="s">
        <v>1400</v>
      </c>
      <c r="C1017" s="1" t="s">
        <v>280</v>
      </c>
      <c r="D1017" s="1" t="s">
        <v>1401</v>
      </c>
      <c r="E1017" s="1">
        <v>6</v>
      </c>
      <c r="F1017" s="1">
        <v>158.39500000000001</v>
      </c>
      <c r="G1017" s="1">
        <v>13319</v>
      </c>
      <c r="H1017" s="1">
        <v>16047</v>
      </c>
      <c r="I1017" s="1">
        <v>18539</v>
      </c>
      <c r="J1017" s="1">
        <v>155.87299999999999</v>
      </c>
      <c r="K1017" s="1">
        <v>-2.2269999999999999</v>
      </c>
      <c r="L1017" s="1">
        <v>23.934000000000001</v>
      </c>
      <c r="M1017" s="1" t="s">
        <v>805</v>
      </c>
      <c r="N1017" s="1" t="s">
        <v>1147</v>
      </c>
      <c r="O1017" s="1" t="s">
        <v>1402</v>
      </c>
      <c r="P1017" s="1" t="s">
        <v>1403</v>
      </c>
      <c r="Q1017" s="1" t="s">
        <v>89</v>
      </c>
      <c r="R1017" s="1" t="s">
        <v>279</v>
      </c>
      <c r="S1017" s="1" t="s">
        <v>123</v>
      </c>
    </row>
    <row r="1018" spans="1:19" x14ac:dyDescent="0.25">
      <c r="A1018" s="2">
        <v>147</v>
      </c>
      <c r="B1018" s="1" t="s">
        <v>1400</v>
      </c>
      <c r="C1018" s="1" t="s">
        <v>280</v>
      </c>
      <c r="D1018" s="1" t="s">
        <v>1401</v>
      </c>
      <c r="E1018" s="1">
        <v>7</v>
      </c>
      <c r="F1018" s="1">
        <v>146.43100000000001</v>
      </c>
      <c r="G1018" s="1">
        <v>12352</v>
      </c>
      <c r="H1018" s="1">
        <v>14880</v>
      </c>
      <c r="I1018" s="1">
        <v>17199</v>
      </c>
      <c r="J1018" s="1">
        <v>144.1</v>
      </c>
      <c r="K1018" s="1">
        <v>-2.2010000000000001</v>
      </c>
      <c r="L1018" s="1">
        <v>23.95</v>
      </c>
      <c r="M1018" s="1" t="s">
        <v>805</v>
      </c>
      <c r="N1018" s="1" t="s">
        <v>1147</v>
      </c>
      <c r="O1018" s="1" t="s">
        <v>1402</v>
      </c>
      <c r="P1018" s="1" t="s">
        <v>1403</v>
      </c>
      <c r="Q1018" s="1" t="s">
        <v>1404</v>
      </c>
      <c r="R1018" s="1" t="s">
        <v>1194</v>
      </c>
      <c r="S1018" s="1" t="s">
        <v>1195</v>
      </c>
    </row>
    <row r="1019" spans="1:19" hidden="1" x14ac:dyDescent="0.25">
      <c r="A1019" s="2">
        <v>148</v>
      </c>
      <c r="B1019" s="1" t="s">
        <v>1405</v>
      </c>
      <c r="C1019" s="1" t="s">
        <v>654</v>
      </c>
      <c r="D1019" s="1" t="s">
        <v>1406</v>
      </c>
      <c r="E1019" s="1">
        <v>1</v>
      </c>
      <c r="F1019" s="1">
        <v>162.54499999999999</v>
      </c>
      <c r="G1019" s="1">
        <v>8312</v>
      </c>
      <c r="H1019" s="1">
        <v>9943</v>
      </c>
      <c r="I1019" s="1">
        <v>11507</v>
      </c>
      <c r="J1019" s="1">
        <v>159.96600000000001</v>
      </c>
      <c r="K1019" s="1">
        <v>-5.391</v>
      </c>
      <c r="L1019" s="1">
        <v>19.088000000000001</v>
      </c>
      <c r="M1019" s="1" t="s">
        <v>1407</v>
      </c>
      <c r="N1019" s="1" t="s">
        <v>1147</v>
      </c>
      <c r="O1019" s="1" t="s">
        <v>1408</v>
      </c>
      <c r="P1019" s="1" t="s">
        <v>1409</v>
      </c>
      <c r="Q1019" s="1" t="s">
        <v>127</v>
      </c>
      <c r="R1019" s="1" t="s">
        <v>99</v>
      </c>
      <c r="S1019" s="1" t="s">
        <v>291</v>
      </c>
    </row>
    <row r="1020" spans="1:19" hidden="1" x14ac:dyDescent="0.25">
      <c r="A1020" s="2">
        <v>148</v>
      </c>
      <c r="B1020" s="1" t="s">
        <v>1405</v>
      </c>
      <c r="C1020" s="1" t="s">
        <v>654</v>
      </c>
      <c r="D1020" s="1" t="s">
        <v>1406</v>
      </c>
      <c r="E1020" s="1">
        <v>2</v>
      </c>
      <c r="F1020" s="1">
        <v>160.59100000000001</v>
      </c>
      <c r="G1020" s="1">
        <v>8305</v>
      </c>
      <c r="H1020" s="1">
        <v>9937</v>
      </c>
      <c r="I1020" s="1">
        <v>11499</v>
      </c>
      <c r="J1020" s="1">
        <v>158.04300000000001</v>
      </c>
      <c r="K1020" s="1">
        <v>-5.3890000000000002</v>
      </c>
      <c r="L1020" s="1">
        <v>19.071000000000002</v>
      </c>
      <c r="M1020" s="1" t="s">
        <v>1407</v>
      </c>
      <c r="N1020" s="1" t="s">
        <v>1147</v>
      </c>
      <c r="O1020" s="1" t="s">
        <v>1408</v>
      </c>
      <c r="P1020" s="1" t="s">
        <v>1409</v>
      </c>
      <c r="Q1020" s="1" t="s">
        <v>147</v>
      </c>
      <c r="R1020" s="1" t="s">
        <v>279</v>
      </c>
      <c r="S1020" s="1" t="s">
        <v>376</v>
      </c>
    </row>
    <row r="1021" spans="1:19" hidden="1" x14ac:dyDescent="0.25">
      <c r="A1021" s="2">
        <v>148</v>
      </c>
      <c r="B1021" s="1" t="s">
        <v>1405</v>
      </c>
      <c r="C1021" s="1" t="s">
        <v>654</v>
      </c>
      <c r="D1021" s="1" t="s">
        <v>1406</v>
      </c>
      <c r="E1021" s="1">
        <v>3</v>
      </c>
      <c r="F1021" s="1">
        <v>162.43799999999999</v>
      </c>
      <c r="G1021" s="1">
        <v>8411</v>
      </c>
      <c r="H1021" s="1">
        <v>10063</v>
      </c>
      <c r="I1021" s="1">
        <v>11645</v>
      </c>
      <c r="J1021" s="1">
        <v>159.86099999999999</v>
      </c>
      <c r="K1021" s="1">
        <v>-5.3940000000000001</v>
      </c>
      <c r="L1021" s="1">
        <v>19.068999999999999</v>
      </c>
      <c r="M1021" s="1" t="s">
        <v>1407</v>
      </c>
      <c r="N1021" s="1" t="s">
        <v>1147</v>
      </c>
      <c r="O1021" s="1" t="s">
        <v>1408</v>
      </c>
      <c r="P1021" s="1" t="s">
        <v>1409</v>
      </c>
      <c r="Q1021" s="1" t="s">
        <v>167</v>
      </c>
      <c r="R1021" s="1" t="s">
        <v>237</v>
      </c>
      <c r="S1021" s="1" t="s">
        <v>174</v>
      </c>
    </row>
    <row r="1022" spans="1:19" hidden="1" x14ac:dyDescent="0.25">
      <c r="A1022" s="2">
        <v>148</v>
      </c>
      <c r="B1022" s="1" t="s">
        <v>1405</v>
      </c>
      <c r="C1022" s="1" t="s">
        <v>654</v>
      </c>
      <c r="D1022" s="1" t="s">
        <v>1406</v>
      </c>
      <c r="E1022" s="1">
        <v>4</v>
      </c>
      <c r="F1022" s="1">
        <v>162.15799999999999</v>
      </c>
      <c r="G1022" s="1">
        <v>8334</v>
      </c>
      <c r="H1022" s="1">
        <v>9971</v>
      </c>
      <c r="I1022" s="1">
        <v>11537</v>
      </c>
      <c r="J1022" s="1">
        <v>159.58600000000001</v>
      </c>
      <c r="K1022" s="1">
        <v>-5.399</v>
      </c>
      <c r="L1022" s="1">
        <v>19.082999999999998</v>
      </c>
      <c r="M1022" s="1" t="s">
        <v>1407</v>
      </c>
      <c r="N1022" s="1" t="s">
        <v>1147</v>
      </c>
      <c r="O1022" s="1" t="s">
        <v>1408</v>
      </c>
      <c r="P1022" s="1" t="s">
        <v>1409</v>
      </c>
      <c r="Q1022" s="1" t="s">
        <v>161</v>
      </c>
      <c r="R1022" s="1" t="s">
        <v>236</v>
      </c>
      <c r="S1022" s="1" t="s">
        <v>413</v>
      </c>
    </row>
    <row r="1023" spans="1:19" hidden="1" x14ac:dyDescent="0.25">
      <c r="A1023" s="2">
        <v>148</v>
      </c>
      <c r="B1023" s="1" t="s">
        <v>1405</v>
      </c>
      <c r="C1023" s="1" t="s">
        <v>654</v>
      </c>
      <c r="D1023" s="1" t="s">
        <v>1406</v>
      </c>
      <c r="E1023" s="1">
        <v>5</v>
      </c>
      <c r="F1023" s="1">
        <v>155.749</v>
      </c>
      <c r="G1023" s="1">
        <v>13653</v>
      </c>
      <c r="H1023" s="1">
        <v>16546</v>
      </c>
      <c r="I1023" s="1">
        <v>19015</v>
      </c>
      <c r="J1023" s="1">
        <v>153.25899999999999</v>
      </c>
      <c r="K1023" s="1">
        <v>3.7360000000000002</v>
      </c>
      <c r="L1023" s="1">
        <v>24.872</v>
      </c>
      <c r="M1023" s="1" t="s">
        <v>1407</v>
      </c>
      <c r="N1023" s="1" t="s">
        <v>1147</v>
      </c>
      <c r="O1023" s="1" t="s">
        <v>1408</v>
      </c>
      <c r="P1023" s="1" t="s">
        <v>1409</v>
      </c>
      <c r="Q1023" s="1" t="s">
        <v>188</v>
      </c>
      <c r="R1023" s="1" t="s">
        <v>215</v>
      </c>
      <c r="S1023" s="1" t="s">
        <v>114</v>
      </c>
    </row>
    <row r="1024" spans="1:19" x14ac:dyDescent="0.25">
      <c r="A1024" s="2">
        <v>148</v>
      </c>
      <c r="B1024" s="1" t="s">
        <v>1405</v>
      </c>
      <c r="C1024" s="1" t="s">
        <v>654</v>
      </c>
      <c r="D1024" s="1" t="s">
        <v>1406</v>
      </c>
      <c r="E1024" s="1">
        <v>6</v>
      </c>
      <c r="F1024" s="1">
        <v>138.51900000000001</v>
      </c>
      <c r="G1024" s="1">
        <v>12127</v>
      </c>
      <c r="H1024" s="1">
        <v>14690</v>
      </c>
      <c r="I1024" s="1">
        <v>16893</v>
      </c>
      <c r="J1024" s="1">
        <v>136.304</v>
      </c>
      <c r="K1024" s="1">
        <v>3.847</v>
      </c>
      <c r="L1024" s="1">
        <v>25.048999999999999</v>
      </c>
      <c r="M1024" s="1" t="s">
        <v>1407</v>
      </c>
      <c r="N1024" s="1" t="s">
        <v>1147</v>
      </c>
      <c r="O1024" s="1" t="s">
        <v>1408</v>
      </c>
      <c r="P1024" s="1" t="s">
        <v>1409</v>
      </c>
      <c r="Q1024" s="1" t="s">
        <v>256</v>
      </c>
      <c r="R1024" s="1" t="s">
        <v>173</v>
      </c>
      <c r="S1024" s="1" t="s">
        <v>318</v>
      </c>
    </row>
    <row r="1025" spans="1:19" x14ac:dyDescent="0.25">
      <c r="A1025" s="2">
        <v>148</v>
      </c>
      <c r="B1025" s="1" t="s">
        <v>1405</v>
      </c>
      <c r="C1025" s="1" t="s">
        <v>654</v>
      </c>
      <c r="D1025" s="1" t="s">
        <v>1406</v>
      </c>
      <c r="E1025" s="1">
        <v>7</v>
      </c>
      <c r="F1025" s="1">
        <v>128.048</v>
      </c>
      <c r="G1025" s="1">
        <v>11179</v>
      </c>
      <c r="H1025" s="1">
        <v>13535</v>
      </c>
      <c r="I1025" s="1">
        <v>15570</v>
      </c>
      <c r="J1025" s="1">
        <v>126</v>
      </c>
      <c r="K1025" s="1">
        <v>3.8959999999999999</v>
      </c>
      <c r="L1025" s="1">
        <v>25.126000000000001</v>
      </c>
      <c r="M1025" s="1" t="s">
        <v>1407</v>
      </c>
      <c r="N1025" s="1" t="s">
        <v>1147</v>
      </c>
      <c r="O1025" s="1" t="s">
        <v>1408</v>
      </c>
      <c r="P1025" s="1" t="s">
        <v>1409</v>
      </c>
      <c r="Q1025" s="1" t="s">
        <v>865</v>
      </c>
      <c r="R1025" s="1" t="s">
        <v>1410</v>
      </c>
      <c r="S1025" s="1" t="s">
        <v>379</v>
      </c>
    </row>
    <row r="1026" spans="1:19" hidden="1" x14ac:dyDescent="0.25">
      <c r="A1026" s="2">
        <v>149</v>
      </c>
      <c r="B1026" s="1" t="s">
        <v>1411</v>
      </c>
      <c r="C1026" s="1" t="s">
        <v>336</v>
      </c>
      <c r="D1026" s="1" t="s">
        <v>1412</v>
      </c>
      <c r="E1026" s="1">
        <v>1</v>
      </c>
      <c r="F1026" s="1">
        <v>163.31399999999999</v>
      </c>
      <c r="G1026" s="1">
        <v>8338</v>
      </c>
      <c r="H1026" s="1">
        <v>9976</v>
      </c>
      <c r="I1026" s="1">
        <v>11548</v>
      </c>
      <c r="J1026" s="1">
        <v>160.72300000000001</v>
      </c>
      <c r="K1026" s="1">
        <v>-5.3780000000000001</v>
      </c>
      <c r="L1026" s="1">
        <v>19.087</v>
      </c>
      <c r="M1026" s="1" t="s">
        <v>819</v>
      </c>
      <c r="N1026" s="1" t="s">
        <v>1147</v>
      </c>
      <c r="O1026" s="1" t="s">
        <v>1413</v>
      </c>
      <c r="P1026" s="1" t="s">
        <v>1414</v>
      </c>
      <c r="Q1026" s="1" t="s">
        <v>46</v>
      </c>
      <c r="R1026" s="1" t="s">
        <v>90</v>
      </c>
      <c r="S1026" s="1" t="s">
        <v>254</v>
      </c>
    </row>
    <row r="1027" spans="1:19" hidden="1" x14ac:dyDescent="0.25">
      <c r="A1027" s="2">
        <v>149</v>
      </c>
      <c r="B1027" s="1" t="s">
        <v>1411</v>
      </c>
      <c r="C1027" s="1" t="s">
        <v>336</v>
      </c>
      <c r="D1027" s="1" t="s">
        <v>1412</v>
      </c>
      <c r="E1027" s="1">
        <v>2</v>
      </c>
      <c r="F1027" s="1">
        <v>161.61799999999999</v>
      </c>
      <c r="G1027" s="1">
        <v>8348</v>
      </c>
      <c r="H1027" s="1">
        <v>9987</v>
      </c>
      <c r="I1027" s="1">
        <v>11560</v>
      </c>
      <c r="J1027" s="1">
        <v>159.054</v>
      </c>
      <c r="K1027" s="1">
        <v>-5.3890000000000002</v>
      </c>
      <c r="L1027" s="1">
        <v>19.117000000000001</v>
      </c>
      <c r="M1027" s="1" t="s">
        <v>819</v>
      </c>
      <c r="N1027" s="1" t="s">
        <v>1147</v>
      </c>
      <c r="O1027" s="1" t="s">
        <v>1413</v>
      </c>
      <c r="P1027" s="1" t="s">
        <v>1414</v>
      </c>
      <c r="Q1027" s="1" t="s">
        <v>152</v>
      </c>
      <c r="R1027" s="1" t="s">
        <v>156</v>
      </c>
      <c r="S1027" s="1" t="s">
        <v>123</v>
      </c>
    </row>
    <row r="1028" spans="1:19" hidden="1" x14ac:dyDescent="0.25">
      <c r="A1028" s="2">
        <v>149</v>
      </c>
      <c r="B1028" s="1" t="s">
        <v>1411</v>
      </c>
      <c r="C1028" s="1" t="s">
        <v>336</v>
      </c>
      <c r="D1028" s="1" t="s">
        <v>1412</v>
      </c>
      <c r="E1028" s="1">
        <v>3</v>
      </c>
      <c r="F1028" s="1">
        <v>162.886</v>
      </c>
      <c r="G1028" s="1">
        <v>8437</v>
      </c>
      <c r="H1028" s="1">
        <v>10093</v>
      </c>
      <c r="I1028" s="1">
        <v>11680</v>
      </c>
      <c r="J1028" s="1">
        <v>160.30199999999999</v>
      </c>
      <c r="K1028" s="1">
        <v>-5.3970000000000002</v>
      </c>
      <c r="L1028" s="1">
        <v>19.099</v>
      </c>
      <c r="M1028" s="1" t="s">
        <v>819</v>
      </c>
      <c r="N1028" s="1" t="s">
        <v>1147</v>
      </c>
      <c r="O1028" s="1" t="s">
        <v>1413</v>
      </c>
      <c r="P1028" s="1" t="s">
        <v>1414</v>
      </c>
      <c r="Q1028" s="1" t="s">
        <v>158</v>
      </c>
      <c r="R1028" s="1" t="s">
        <v>166</v>
      </c>
      <c r="S1028" s="1" t="s">
        <v>201</v>
      </c>
    </row>
    <row r="1029" spans="1:19" hidden="1" x14ac:dyDescent="0.25">
      <c r="A1029" s="2">
        <v>149</v>
      </c>
      <c r="B1029" s="1" t="s">
        <v>1411</v>
      </c>
      <c r="C1029" s="1" t="s">
        <v>336</v>
      </c>
      <c r="D1029" s="1" t="s">
        <v>1412</v>
      </c>
      <c r="E1029" s="1">
        <v>4</v>
      </c>
      <c r="F1029" s="1">
        <v>162.32599999999999</v>
      </c>
      <c r="G1029" s="1">
        <v>8356</v>
      </c>
      <c r="H1029" s="1">
        <v>9998</v>
      </c>
      <c r="I1029" s="1">
        <v>11572</v>
      </c>
      <c r="J1029" s="1">
        <v>159.751</v>
      </c>
      <c r="K1029" s="1">
        <v>-5.399</v>
      </c>
      <c r="L1029" s="1">
        <v>19.082999999999998</v>
      </c>
      <c r="M1029" s="1" t="s">
        <v>819</v>
      </c>
      <c r="N1029" s="1" t="s">
        <v>1147</v>
      </c>
      <c r="O1029" s="1" t="s">
        <v>1413</v>
      </c>
      <c r="P1029" s="1" t="s">
        <v>1414</v>
      </c>
      <c r="Q1029" s="1" t="s">
        <v>139</v>
      </c>
      <c r="R1029" s="1" t="s">
        <v>177</v>
      </c>
      <c r="S1029" s="1" t="s">
        <v>292</v>
      </c>
    </row>
    <row r="1030" spans="1:19" hidden="1" x14ac:dyDescent="0.25">
      <c r="A1030" s="2">
        <v>149</v>
      </c>
      <c r="B1030" s="1" t="s">
        <v>1411</v>
      </c>
      <c r="C1030" s="1" t="s">
        <v>336</v>
      </c>
      <c r="D1030" s="1" t="s">
        <v>1412</v>
      </c>
      <c r="E1030" s="1">
        <v>5</v>
      </c>
      <c r="F1030" s="1">
        <v>205.73699999999999</v>
      </c>
      <c r="G1030" s="1">
        <v>17246</v>
      </c>
      <c r="H1030" s="1">
        <v>20925</v>
      </c>
      <c r="I1030" s="1">
        <v>24020</v>
      </c>
      <c r="J1030" s="1">
        <v>202.44800000000001</v>
      </c>
      <c r="K1030" s="1">
        <v>3.819</v>
      </c>
      <c r="L1030" s="1">
        <v>24.847000000000001</v>
      </c>
      <c r="M1030" s="1" t="s">
        <v>819</v>
      </c>
      <c r="N1030" s="1" t="s">
        <v>1147</v>
      </c>
      <c r="O1030" s="1" t="s">
        <v>1413</v>
      </c>
      <c r="P1030" s="1" t="s">
        <v>1414</v>
      </c>
      <c r="Q1030" s="1" t="s">
        <v>189</v>
      </c>
      <c r="R1030" s="1" t="s">
        <v>975</v>
      </c>
      <c r="S1030" s="1" t="s">
        <v>137</v>
      </c>
    </row>
    <row r="1031" spans="1:19" x14ac:dyDescent="0.25">
      <c r="A1031" s="2">
        <v>149</v>
      </c>
      <c r="B1031" s="1" t="s">
        <v>1411</v>
      </c>
      <c r="C1031" s="1" t="s">
        <v>336</v>
      </c>
      <c r="D1031" s="1" t="s">
        <v>1412</v>
      </c>
      <c r="E1031" s="1">
        <v>6</v>
      </c>
      <c r="F1031" s="1">
        <v>182.89099999999999</v>
      </c>
      <c r="G1031" s="1">
        <v>15450</v>
      </c>
      <c r="H1031" s="1">
        <v>18742</v>
      </c>
      <c r="I1031" s="1">
        <v>21516</v>
      </c>
      <c r="J1031" s="1">
        <v>179.96700000000001</v>
      </c>
      <c r="K1031" s="1">
        <v>3.9209999999999998</v>
      </c>
      <c r="L1031" s="1">
        <v>25.047000000000001</v>
      </c>
      <c r="M1031" s="1" t="s">
        <v>819</v>
      </c>
      <c r="N1031" s="1" t="s">
        <v>1147</v>
      </c>
      <c r="O1031" s="1" t="s">
        <v>1413</v>
      </c>
      <c r="P1031" s="1" t="s">
        <v>1414</v>
      </c>
      <c r="Q1031" s="1" t="s">
        <v>160</v>
      </c>
      <c r="R1031" s="1" t="s">
        <v>136</v>
      </c>
      <c r="S1031" s="1" t="s">
        <v>238</v>
      </c>
    </row>
    <row r="1032" spans="1:19" x14ac:dyDescent="0.25">
      <c r="A1032" s="2">
        <v>149</v>
      </c>
      <c r="B1032" s="1" t="s">
        <v>1411</v>
      </c>
      <c r="C1032" s="1" t="s">
        <v>336</v>
      </c>
      <c r="D1032" s="1" t="s">
        <v>1412</v>
      </c>
      <c r="E1032" s="1">
        <v>7</v>
      </c>
      <c r="F1032" s="1">
        <v>169.077</v>
      </c>
      <c r="G1032" s="1">
        <v>14334</v>
      </c>
      <c r="H1032" s="1">
        <v>17386</v>
      </c>
      <c r="I1032" s="1">
        <v>19970</v>
      </c>
      <c r="J1032" s="1">
        <v>166.37299999999999</v>
      </c>
      <c r="K1032" s="1">
        <v>3.9550000000000001</v>
      </c>
      <c r="L1032" s="1">
        <v>25.073</v>
      </c>
      <c r="M1032" s="1" t="s">
        <v>819</v>
      </c>
      <c r="N1032" s="1" t="s">
        <v>1147</v>
      </c>
      <c r="O1032" s="1" t="s">
        <v>1413</v>
      </c>
      <c r="P1032" s="1" t="s">
        <v>1414</v>
      </c>
      <c r="Q1032" s="1" t="s">
        <v>1415</v>
      </c>
      <c r="R1032" s="1" t="s">
        <v>767</v>
      </c>
      <c r="S1032" s="1" t="s">
        <v>1416</v>
      </c>
    </row>
    <row r="1033" spans="1:19" hidden="1" x14ac:dyDescent="0.25">
      <c r="A1033" s="2">
        <v>150</v>
      </c>
      <c r="B1033" s="1" t="s">
        <v>1417</v>
      </c>
      <c r="C1033" s="1" t="s">
        <v>275</v>
      </c>
      <c r="D1033" s="1" t="s">
        <v>1418</v>
      </c>
      <c r="E1033" s="1">
        <v>1</v>
      </c>
      <c r="F1033" s="1">
        <v>162.26300000000001</v>
      </c>
      <c r="G1033" s="1">
        <v>8287</v>
      </c>
      <c r="H1033" s="1">
        <v>9914</v>
      </c>
      <c r="I1033" s="1">
        <v>11472</v>
      </c>
      <c r="J1033" s="1">
        <v>159.68899999999999</v>
      </c>
      <c r="K1033" s="1">
        <v>-5.3849999999999998</v>
      </c>
      <c r="L1033" s="1">
        <v>19.085000000000001</v>
      </c>
      <c r="M1033" s="1" t="s">
        <v>826</v>
      </c>
      <c r="N1033" s="1" t="s">
        <v>1147</v>
      </c>
      <c r="O1033" s="1" t="s">
        <v>1419</v>
      </c>
      <c r="P1033" s="1" t="s">
        <v>1420</v>
      </c>
      <c r="Q1033" s="1" t="s">
        <v>71</v>
      </c>
      <c r="R1033" s="1" t="s">
        <v>97</v>
      </c>
      <c r="S1033" s="1" t="s">
        <v>167</v>
      </c>
    </row>
    <row r="1034" spans="1:19" hidden="1" x14ac:dyDescent="0.25">
      <c r="A1034" s="2">
        <v>150</v>
      </c>
      <c r="B1034" s="1" t="s">
        <v>1417</v>
      </c>
      <c r="C1034" s="1" t="s">
        <v>275</v>
      </c>
      <c r="D1034" s="1" t="s">
        <v>1418</v>
      </c>
      <c r="E1034" s="1">
        <v>2</v>
      </c>
      <c r="F1034" s="1">
        <v>160.203</v>
      </c>
      <c r="G1034" s="1">
        <v>8280</v>
      </c>
      <c r="H1034" s="1">
        <v>9906</v>
      </c>
      <c r="I1034" s="1">
        <v>11463</v>
      </c>
      <c r="J1034" s="1">
        <v>157.66200000000001</v>
      </c>
      <c r="K1034" s="1">
        <v>-5.391</v>
      </c>
      <c r="L1034" s="1">
        <v>19.09</v>
      </c>
      <c r="M1034" s="1" t="s">
        <v>826</v>
      </c>
      <c r="N1034" s="1" t="s">
        <v>1147</v>
      </c>
      <c r="O1034" s="1" t="s">
        <v>1419</v>
      </c>
      <c r="P1034" s="1" t="s">
        <v>1420</v>
      </c>
      <c r="Q1034" s="1" t="s">
        <v>159</v>
      </c>
      <c r="R1034" s="1" t="s">
        <v>234</v>
      </c>
      <c r="S1034" s="1" t="s">
        <v>381</v>
      </c>
    </row>
    <row r="1035" spans="1:19" hidden="1" x14ac:dyDescent="0.25">
      <c r="A1035" s="2">
        <v>150</v>
      </c>
      <c r="B1035" s="1" t="s">
        <v>1417</v>
      </c>
      <c r="C1035" s="1" t="s">
        <v>275</v>
      </c>
      <c r="D1035" s="1" t="s">
        <v>1418</v>
      </c>
      <c r="E1035" s="1">
        <v>3</v>
      </c>
      <c r="F1035" s="1">
        <v>161.6</v>
      </c>
      <c r="G1035" s="1">
        <v>8357</v>
      </c>
      <c r="H1035" s="1">
        <v>9999</v>
      </c>
      <c r="I1035" s="1">
        <v>11572</v>
      </c>
      <c r="J1035" s="1">
        <v>159.036</v>
      </c>
      <c r="K1035" s="1">
        <v>-5.3920000000000003</v>
      </c>
      <c r="L1035" s="1">
        <v>19.091000000000001</v>
      </c>
      <c r="M1035" s="1" t="s">
        <v>826</v>
      </c>
      <c r="N1035" s="1" t="s">
        <v>1147</v>
      </c>
      <c r="O1035" s="1" t="s">
        <v>1419</v>
      </c>
      <c r="P1035" s="1" t="s">
        <v>1420</v>
      </c>
      <c r="Q1035" s="1" t="s">
        <v>139</v>
      </c>
      <c r="R1035" s="1" t="s">
        <v>266</v>
      </c>
      <c r="S1035" s="1" t="s">
        <v>305</v>
      </c>
    </row>
    <row r="1036" spans="1:19" hidden="1" x14ac:dyDescent="0.25">
      <c r="A1036" s="2">
        <v>150</v>
      </c>
      <c r="B1036" s="1" t="s">
        <v>1417</v>
      </c>
      <c r="C1036" s="1" t="s">
        <v>275</v>
      </c>
      <c r="D1036" s="1" t="s">
        <v>1418</v>
      </c>
      <c r="E1036" s="1">
        <v>4</v>
      </c>
      <c r="F1036" s="1">
        <v>161.29300000000001</v>
      </c>
      <c r="G1036" s="1">
        <v>8291</v>
      </c>
      <c r="H1036" s="1">
        <v>9919</v>
      </c>
      <c r="I1036" s="1">
        <v>11479</v>
      </c>
      <c r="J1036" s="1">
        <v>158.73500000000001</v>
      </c>
      <c r="K1036" s="1">
        <v>-5.399</v>
      </c>
      <c r="L1036" s="1">
        <v>19.082999999999998</v>
      </c>
      <c r="M1036" s="1" t="s">
        <v>826</v>
      </c>
      <c r="N1036" s="1" t="s">
        <v>1147</v>
      </c>
      <c r="O1036" s="1" t="s">
        <v>1419</v>
      </c>
      <c r="P1036" s="1" t="s">
        <v>1420</v>
      </c>
      <c r="Q1036" s="1" t="s">
        <v>160</v>
      </c>
      <c r="R1036" s="1" t="s">
        <v>155</v>
      </c>
      <c r="S1036" s="1" t="s">
        <v>370</v>
      </c>
    </row>
    <row r="1037" spans="1:19" hidden="1" x14ac:dyDescent="0.25">
      <c r="A1037" s="2">
        <v>150</v>
      </c>
      <c r="B1037" s="1" t="s">
        <v>1417</v>
      </c>
      <c r="C1037" s="1" t="s">
        <v>275</v>
      </c>
      <c r="D1037" s="1" t="s">
        <v>1418</v>
      </c>
      <c r="E1037" s="1">
        <v>5</v>
      </c>
      <c r="F1037" s="1">
        <v>213.92400000000001</v>
      </c>
      <c r="G1037" s="1">
        <v>18382</v>
      </c>
      <c r="H1037" s="1">
        <v>22152</v>
      </c>
      <c r="I1037" s="1">
        <v>25560</v>
      </c>
      <c r="J1037" s="1">
        <v>210.52</v>
      </c>
      <c r="K1037" s="1">
        <v>-2.5779999999999998</v>
      </c>
      <c r="L1037" s="1">
        <v>23.38</v>
      </c>
      <c r="M1037" s="1" t="s">
        <v>826</v>
      </c>
      <c r="N1037" s="1" t="s">
        <v>1147</v>
      </c>
      <c r="O1037" s="1" t="s">
        <v>1419</v>
      </c>
      <c r="P1037" s="1" t="s">
        <v>1420</v>
      </c>
      <c r="Q1037" s="1" t="s">
        <v>211</v>
      </c>
      <c r="R1037" s="1" t="s">
        <v>114</v>
      </c>
      <c r="S1037" s="1" t="s">
        <v>129</v>
      </c>
    </row>
    <row r="1038" spans="1:19" x14ac:dyDescent="0.25">
      <c r="A1038" s="2">
        <v>150</v>
      </c>
      <c r="B1038" s="1" t="s">
        <v>1417</v>
      </c>
      <c r="C1038" s="1" t="s">
        <v>275</v>
      </c>
      <c r="D1038" s="1" t="s">
        <v>1418</v>
      </c>
      <c r="E1038" s="1">
        <v>6</v>
      </c>
      <c r="F1038" s="1">
        <v>190.864</v>
      </c>
      <c r="G1038" s="1">
        <v>16337</v>
      </c>
      <c r="H1038" s="1">
        <v>19679</v>
      </c>
      <c r="I1038" s="1">
        <v>22719</v>
      </c>
      <c r="J1038" s="1">
        <v>187.82599999999999</v>
      </c>
      <c r="K1038" s="1">
        <v>-2.4980000000000002</v>
      </c>
      <c r="L1038" s="1">
        <v>23.785</v>
      </c>
      <c r="M1038" s="1" t="s">
        <v>826</v>
      </c>
      <c r="N1038" s="1" t="s">
        <v>1147</v>
      </c>
      <c r="O1038" s="1" t="s">
        <v>1419</v>
      </c>
      <c r="P1038" s="1" t="s">
        <v>1420</v>
      </c>
      <c r="Q1038" s="1" t="s">
        <v>141</v>
      </c>
      <c r="R1038" s="1" t="s">
        <v>150</v>
      </c>
      <c r="S1038" s="1" t="s">
        <v>296</v>
      </c>
    </row>
    <row r="1039" spans="1:19" x14ac:dyDescent="0.25">
      <c r="A1039" s="2">
        <v>150</v>
      </c>
      <c r="B1039" s="1" t="s">
        <v>1417</v>
      </c>
      <c r="C1039" s="1" t="s">
        <v>275</v>
      </c>
      <c r="D1039" s="1" t="s">
        <v>1418</v>
      </c>
      <c r="E1039" s="1">
        <v>7</v>
      </c>
      <c r="F1039" s="1">
        <v>176.77799999999999</v>
      </c>
      <c r="G1039" s="1">
        <v>15086</v>
      </c>
      <c r="H1039" s="1">
        <v>18170</v>
      </c>
      <c r="I1039" s="1">
        <v>20987</v>
      </c>
      <c r="J1039" s="1">
        <v>173.964</v>
      </c>
      <c r="K1039" s="1">
        <v>-2.456</v>
      </c>
      <c r="L1039" s="1">
        <v>23.855</v>
      </c>
      <c r="M1039" s="1" t="s">
        <v>826</v>
      </c>
      <c r="N1039" s="1" t="s">
        <v>1147</v>
      </c>
      <c r="O1039" s="1" t="s">
        <v>1419</v>
      </c>
      <c r="P1039" s="1" t="s">
        <v>1420</v>
      </c>
      <c r="Q1039" s="1" t="s">
        <v>866</v>
      </c>
      <c r="R1039" s="1" t="s">
        <v>1421</v>
      </c>
      <c r="S1039" s="1" t="s">
        <v>380</v>
      </c>
    </row>
    <row r="1040" spans="1:19" hidden="1" x14ac:dyDescent="0.25">
      <c r="A1040" s="2">
        <v>151</v>
      </c>
      <c r="B1040" s="1" t="s">
        <v>1422</v>
      </c>
      <c r="C1040" s="1" t="s">
        <v>389</v>
      </c>
      <c r="D1040" s="1" t="s">
        <v>1423</v>
      </c>
      <c r="E1040" s="1">
        <v>1</v>
      </c>
      <c r="F1040" s="1">
        <v>163.37200000000001</v>
      </c>
      <c r="G1040" s="1">
        <v>8362</v>
      </c>
      <c r="H1040" s="1">
        <v>10004</v>
      </c>
      <c r="I1040" s="1">
        <v>11585</v>
      </c>
      <c r="J1040" s="1">
        <v>160.78</v>
      </c>
      <c r="K1040" s="1">
        <v>-5.3949999999999996</v>
      </c>
      <c r="L1040" s="1">
        <v>19.088000000000001</v>
      </c>
      <c r="M1040" s="1" t="s">
        <v>1424</v>
      </c>
      <c r="N1040" s="1" t="s">
        <v>1147</v>
      </c>
      <c r="O1040" s="1" t="s">
        <v>1425</v>
      </c>
      <c r="P1040" s="1" t="s">
        <v>1426</v>
      </c>
      <c r="Q1040" s="1" t="s">
        <v>71</v>
      </c>
      <c r="R1040" s="1" t="s">
        <v>258</v>
      </c>
      <c r="S1040" s="1" t="s">
        <v>146</v>
      </c>
    </row>
    <row r="1041" spans="1:19" hidden="1" x14ac:dyDescent="0.25">
      <c r="A1041" s="2">
        <v>151</v>
      </c>
      <c r="B1041" s="1" t="s">
        <v>1422</v>
      </c>
      <c r="C1041" s="1" t="s">
        <v>389</v>
      </c>
      <c r="D1041" s="1" t="s">
        <v>1423</v>
      </c>
      <c r="E1041" s="1">
        <v>2</v>
      </c>
      <c r="F1041" s="1">
        <v>161.56299999999999</v>
      </c>
      <c r="G1041" s="1">
        <v>8350</v>
      </c>
      <c r="H1041" s="1">
        <v>9990</v>
      </c>
      <c r="I1041" s="1">
        <v>11567</v>
      </c>
      <c r="J1041" s="1">
        <v>159</v>
      </c>
      <c r="K1041" s="1">
        <v>-5.4</v>
      </c>
      <c r="L1041" s="1">
        <v>19.085999999999999</v>
      </c>
      <c r="M1041" s="1" t="s">
        <v>1424</v>
      </c>
      <c r="N1041" s="1" t="s">
        <v>1147</v>
      </c>
      <c r="O1041" s="1" t="s">
        <v>1425</v>
      </c>
      <c r="P1041" s="1" t="s">
        <v>1426</v>
      </c>
      <c r="Q1041" s="1" t="s">
        <v>159</v>
      </c>
      <c r="R1041" s="1" t="s">
        <v>179</v>
      </c>
      <c r="S1041" s="1" t="s">
        <v>168</v>
      </c>
    </row>
    <row r="1042" spans="1:19" hidden="1" x14ac:dyDescent="0.25">
      <c r="A1042" s="2">
        <v>151</v>
      </c>
      <c r="B1042" s="1" t="s">
        <v>1422</v>
      </c>
      <c r="C1042" s="1" t="s">
        <v>389</v>
      </c>
      <c r="D1042" s="1" t="s">
        <v>1423</v>
      </c>
      <c r="E1042" s="1">
        <v>3</v>
      </c>
      <c r="F1042" s="1">
        <v>163.267</v>
      </c>
      <c r="G1042" s="1">
        <v>8428</v>
      </c>
      <c r="H1042" s="1">
        <v>10081</v>
      </c>
      <c r="I1042" s="1">
        <v>11672</v>
      </c>
      <c r="J1042" s="1">
        <v>160.67699999999999</v>
      </c>
      <c r="K1042" s="1">
        <v>-5.3940000000000001</v>
      </c>
      <c r="L1042" s="1">
        <v>19.077999999999999</v>
      </c>
      <c r="M1042" s="1" t="s">
        <v>1424</v>
      </c>
      <c r="N1042" s="1" t="s">
        <v>1147</v>
      </c>
      <c r="O1042" s="1" t="s">
        <v>1425</v>
      </c>
      <c r="P1042" s="1" t="s">
        <v>1426</v>
      </c>
      <c r="Q1042" s="1" t="s">
        <v>161</v>
      </c>
      <c r="R1042" s="1" t="s">
        <v>236</v>
      </c>
      <c r="S1042" s="1" t="s">
        <v>238</v>
      </c>
    </row>
    <row r="1043" spans="1:19" hidden="1" x14ac:dyDescent="0.25">
      <c r="A1043" s="2">
        <v>151</v>
      </c>
      <c r="B1043" s="1" t="s">
        <v>1422</v>
      </c>
      <c r="C1043" s="1" t="s">
        <v>389</v>
      </c>
      <c r="D1043" s="1" t="s">
        <v>1423</v>
      </c>
      <c r="E1043" s="1">
        <v>4</v>
      </c>
      <c r="F1043" s="1">
        <v>162.983</v>
      </c>
      <c r="G1043" s="1">
        <v>8372</v>
      </c>
      <c r="H1043" s="1">
        <v>10015</v>
      </c>
      <c r="I1043" s="1">
        <v>11596</v>
      </c>
      <c r="J1043" s="1">
        <v>160.398</v>
      </c>
      <c r="K1043" s="1">
        <v>-5.399</v>
      </c>
      <c r="L1043" s="1">
        <v>19.082999999999998</v>
      </c>
      <c r="M1043" s="1" t="s">
        <v>1424</v>
      </c>
      <c r="N1043" s="1" t="s">
        <v>1147</v>
      </c>
      <c r="O1043" s="1" t="s">
        <v>1425</v>
      </c>
      <c r="P1043" s="1" t="s">
        <v>1426</v>
      </c>
      <c r="Q1043" s="1" t="s">
        <v>153</v>
      </c>
      <c r="R1043" s="1" t="s">
        <v>252</v>
      </c>
      <c r="S1043" s="1" t="s">
        <v>228</v>
      </c>
    </row>
    <row r="1044" spans="1:19" hidden="1" x14ac:dyDescent="0.25">
      <c r="A1044" s="2">
        <v>151</v>
      </c>
      <c r="B1044" s="1" t="s">
        <v>1422</v>
      </c>
      <c r="C1044" s="1" t="s">
        <v>389</v>
      </c>
      <c r="D1044" s="1" t="s">
        <v>1423</v>
      </c>
      <c r="E1044" s="1">
        <v>5</v>
      </c>
      <c r="F1044" s="1">
        <v>167.44</v>
      </c>
      <c r="G1044" s="1">
        <v>14156</v>
      </c>
      <c r="H1044" s="1">
        <v>17067</v>
      </c>
      <c r="I1044" s="1">
        <v>19702</v>
      </c>
      <c r="J1044" s="1">
        <v>164.77500000000001</v>
      </c>
      <c r="K1044" s="1">
        <v>-2.5179999999999998</v>
      </c>
      <c r="L1044" s="1">
        <v>23.707000000000001</v>
      </c>
      <c r="M1044" s="1" t="s">
        <v>1424</v>
      </c>
      <c r="N1044" s="1" t="s">
        <v>1147</v>
      </c>
      <c r="O1044" s="1" t="s">
        <v>1425</v>
      </c>
      <c r="P1044" s="1" t="s">
        <v>1426</v>
      </c>
      <c r="Q1044" s="1" t="s">
        <v>200</v>
      </c>
      <c r="R1044" s="1" t="s">
        <v>975</v>
      </c>
      <c r="S1044" s="1" t="s">
        <v>137</v>
      </c>
    </row>
    <row r="1045" spans="1:19" x14ac:dyDescent="0.25">
      <c r="A1045" s="2">
        <v>151</v>
      </c>
      <c r="B1045" s="1" t="s">
        <v>1422</v>
      </c>
      <c r="C1045" s="1" t="s">
        <v>389</v>
      </c>
      <c r="D1045" s="1" t="s">
        <v>1423</v>
      </c>
      <c r="E1045" s="1">
        <v>6</v>
      </c>
      <c r="F1045" s="1">
        <v>150.166</v>
      </c>
      <c r="G1045" s="1">
        <v>12934</v>
      </c>
      <c r="H1045" s="1">
        <v>15591</v>
      </c>
      <c r="I1045" s="1">
        <v>18004</v>
      </c>
      <c r="J1045" s="1">
        <v>147.77600000000001</v>
      </c>
      <c r="K1045" s="1">
        <v>-2.4340000000000002</v>
      </c>
      <c r="L1045" s="1">
        <v>23.919</v>
      </c>
      <c r="M1045" s="1" t="s">
        <v>1424</v>
      </c>
      <c r="N1045" s="1" t="s">
        <v>1147</v>
      </c>
      <c r="O1045" s="1" t="s">
        <v>1425</v>
      </c>
      <c r="P1045" s="1" t="s">
        <v>1426</v>
      </c>
      <c r="Q1045" s="1" t="s">
        <v>68</v>
      </c>
      <c r="R1045" s="1" t="s">
        <v>171</v>
      </c>
      <c r="S1045" s="1" t="s">
        <v>135</v>
      </c>
    </row>
    <row r="1046" spans="1:19" x14ac:dyDescent="0.25">
      <c r="A1046" s="2">
        <v>151</v>
      </c>
      <c r="B1046" s="1" t="s">
        <v>1422</v>
      </c>
      <c r="C1046" s="1" t="s">
        <v>389</v>
      </c>
      <c r="D1046" s="1" t="s">
        <v>1423</v>
      </c>
      <c r="E1046" s="1">
        <v>7</v>
      </c>
      <c r="F1046" s="1">
        <v>139.88499999999999</v>
      </c>
      <c r="G1046" s="1">
        <v>12145</v>
      </c>
      <c r="H1046" s="1">
        <v>14634</v>
      </c>
      <c r="I1046" s="1">
        <v>16905</v>
      </c>
      <c r="J1046" s="1">
        <v>137.65899999999999</v>
      </c>
      <c r="K1046" s="1">
        <v>-2.379</v>
      </c>
      <c r="L1046" s="1">
        <v>23.975999999999999</v>
      </c>
      <c r="M1046" s="1" t="s">
        <v>1424</v>
      </c>
      <c r="N1046" s="1" t="s">
        <v>1147</v>
      </c>
      <c r="O1046" s="1" t="s">
        <v>1425</v>
      </c>
      <c r="P1046" s="1" t="s">
        <v>1426</v>
      </c>
      <c r="Q1046" s="1" t="s">
        <v>347</v>
      </c>
      <c r="R1046" s="1" t="s">
        <v>255</v>
      </c>
      <c r="S1046" s="1" t="s">
        <v>465</v>
      </c>
    </row>
    <row r="1047" spans="1:19" hidden="1" x14ac:dyDescent="0.25">
      <c r="A1047" s="2">
        <v>152</v>
      </c>
      <c r="B1047" s="1" t="s">
        <v>1427</v>
      </c>
      <c r="C1047" s="1" t="s">
        <v>444</v>
      </c>
      <c r="D1047" s="1" t="s">
        <v>1428</v>
      </c>
      <c r="E1047" s="1">
        <v>1</v>
      </c>
      <c r="F1047" s="1">
        <v>162.65799999999999</v>
      </c>
      <c r="G1047" s="1">
        <v>8306</v>
      </c>
      <c r="H1047" s="1">
        <v>9937</v>
      </c>
      <c r="I1047" s="1">
        <v>11500</v>
      </c>
      <c r="J1047" s="1">
        <v>160.078</v>
      </c>
      <c r="K1047" s="1">
        <v>-5.3819999999999997</v>
      </c>
      <c r="L1047" s="1">
        <v>19.068000000000001</v>
      </c>
      <c r="M1047" s="1" t="s">
        <v>1429</v>
      </c>
      <c r="N1047" s="1" t="s">
        <v>1430</v>
      </c>
      <c r="O1047" s="1" t="s">
        <v>1431</v>
      </c>
      <c r="P1047" s="1" t="s">
        <v>1432</v>
      </c>
      <c r="Q1047" s="1" t="s">
        <v>52</v>
      </c>
      <c r="R1047" s="1" t="s">
        <v>59</v>
      </c>
      <c r="S1047" s="1" t="s">
        <v>158</v>
      </c>
    </row>
    <row r="1048" spans="1:19" hidden="1" x14ac:dyDescent="0.25">
      <c r="A1048" s="2">
        <v>152</v>
      </c>
      <c r="B1048" s="1" t="s">
        <v>1427</v>
      </c>
      <c r="C1048" s="1" t="s">
        <v>444</v>
      </c>
      <c r="D1048" s="1" t="s">
        <v>1428</v>
      </c>
      <c r="E1048" s="1">
        <v>2</v>
      </c>
      <c r="F1048" s="1">
        <v>161.65600000000001</v>
      </c>
      <c r="G1048" s="1">
        <v>8373</v>
      </c>
      <c r="H1048" s="1">
        <v>10017</v>
      </c>
      <c r="I1048" s="1">
        <v>11593</v>
      </c>
      <c r="J1048" s="1">
        <v>159.09100000000001</v>
      </c>
      <c r="K1048" s="1">
        <v>-5.3970000000000002</v>
      </c>
      <c r="L1048" s="1">
        <v>19.067</v>
      </c>
      <c r="M1048" s="1" t="s">
        <v>1429</v>
      </c>
      <c r="N1048" s="1" t="s">
        <v>1430</v>
      </c>
      <c r="O1048" s="1" t="s">
        <v>1431</v>
      </c>
      <c r="P1048" s="1" t="s">
        <v>1432</v>
      </c>
      <c r="Q1048" s="1" t="s">
        <v>253</v>
      </c>
      <c r="R1048" s="1" t="s">
        <v>297</v>
      </c>
      <c r="S1048" s="1" t="s">
        <v>142</v>
      </c>
    </row>
    <row r="1049" spans="1:19" hidden="1" x14ac:dyDescent="0.25">
      <c r="A1049" s="2">
        <v>152</v>
      </c>
      <c r="B1049" s="1" t="s">
        <v>1427</v>
      </c>
      <c r="C1049" s="1" t="s">
        <v>444</v>
      </c>
      <c r="D1049" s="1" t="s">
        <v>1428</v>
      </c>
      <c r="E1049" s="1">
        <v>3</v>
      </c>
      <c r="F1049" s="1">
        <v>162.29</v>
      </c>
      <c r="G1049" s="1">
        <v>8385</v>
      </c>
      <c r="H1049" s="1">
        <v>10032</v>
      </c>
      <c r="I1049" s="1">
        <v>11611</v>
      </c>
      <c r="J1049" s="1">
        <v>159.71600000000001</v>
      </c>
      <c r="K1049" s="1">
        <v>-5.3890000000000002</v>
      </c>
      <c r="L1049" s="1">
        <v>19.079000000000001</v>
      </c>
      <c r="M1049" s="1" t="s">
        <v>1429</v>
      </c>
      <c r="N1049" s="1" t="s">
        <v>1430</v>
      </c>
      <c r="O1049" s="1" t="s">
        <v>1431</v>
      </c>
      <c r="P1049" s="1" t="s">
        <v>1432</v>
      </c>
      <c r="Q1049" s="1" t="s">
        <v>146</v>
      </c>
      <c r="R1049" s="1" t="s">
        <v>177</v>
      </c>
      <c r="S1049" s="1" t="s">
        <v>282</v>
      </c>
    </row>
    <row r="1050" spans="1:19" hidden="1" x14ac:dyDescent="0.25">
      <c r="A1050" s="2">
        <v>152</v>
      </c>
      <c r="B1050" s="1" t="s">
        <v>1427</v>
      </c>
      <c r="C1050" s="1" t="s">
        <v>444</v>
      </c>
      <c r="D1050" s="1" t="s">
        <v>1428</v>
      </c>
      <c r="E1050" s="1">
        <v>4</v>
      </c>
      <c r="F1050" s="1">
        <v>161.97399999999999</v>
      </c>
      <c r="G1050" s="1">
        <v>8331</v>
      </c>
      <c r="H1050" s="1">
        <v>9967</v>
      </c>
      <c r="I1050" s="1">
        <v>11534</v>
      </c>
      <c r="J1050" s="1">
        <v>159.405</v>
      </c>
      <c r="K1050" s="1">
        <v>-5.399</v>
      </c>
      <c r="L1050" s="1">
        <v>19.082999999999998</v>
      </c>
      <c r="M1050" s="1" t="s">
        <v>1429</v>
      </c>
      <c r="N1050" s="1" t="s">
        <v>1430</v>
      </c>
      <c r="O1050" s="1" t="s">
        <v>1431</v>
      </c>
      <c r="P1050" s="1" t="s">
        <v>1432</v>
      </c>
      <c r="Q1050" s="1" t="s">
        <v>165</v>
      </c>
      <c r="R1050" s="1" t="s">
        <v>155</v>
      </c>
      <c r="S1050" s="1" t="s">
        <v>238</v>
      </c>
    </row>
    <row r="1051" spans="1:19" hidden="1" x14ac:dyDescent="0.25">
      <c r="A1051" s="2">
        <v>152</v>
      </c>
      <c r="B1051" s="1" t="s">
        <v>1427</v>
      </c>
      <c r="C1051" s="1" t="s">
        <v>444</v>
      </c>
      <c r="D1051" s="1" t="s">
        <v>1428</v>
      </c>
      <c r="E1051" s="1">
        <v>5</v>
      </c>
      <c r="F1051" s="1">
        <v>166.37</v>
      </c>
      <c r="G1051" s="1">
        <v>13867</v>
      </c>
      <c r="H1051" s="1">
        <v>16688</v>
      </c>
      <c r="I1051" s="1">
        <v>19291</v>
      </c>
      <c r="J1051" s="1">
        <v>163.72300000000001</v>
      </c>
      <c r="K1051" s="1">
        <v>-2.911</v>
      </c>
      <c r="L1051" s="1">
        <v>23.632000000000001</v>
      </c>
      <c r="M1051" s="1" t="s">
        <v>1429</v>
      </c>
      <c r="N1051" s="1" t="s">
        <v>1430</v>
      </c>
      <c r="O1051" s="1" t="s">
        <v>1431</v>
      </c>
      <c r="P1051" s="1" t="s">
        <v>1432</v>
      </c>
      <c r="Q1051" s="1" t="s">
        <v>211</v>
      </c>
      <c r="R1051" s="1" t="s">
        <v>112</v>
      </c>
      <c r="S1051" s="1" t="s">
        <v>45</v>
      </c>
    </row>
    <row r="1052" spans="1:19" x14ac:dyDescent="0.25">
      <c r="A1052" s="2">
        <v>152</v>
      </c>
      <c r="B1052" s="1" t="s">
        <v>1427</v>
      </c>
      <c r="C1052" s="1" t="s">
        <v>444</v>
      </c>
      <c r="D1052" s="1" t="s">
        <v>1428</v>
      </c>
      <c r="E1052" s="1">
        <v>6</v>
      </c>
      <c r="F1052" s="1">
        <v>147.50800000000001</v>
      </c>
      <c r="G1052" s="1">
        <v>12332</v>
      </c>
      <c r="H1052" s="1">
        <v>14840</v>
      </c>
      <c r="I1052" s="1">
        <v>17161</v>
      </c>
      <c r="J1052" s="1">
        <v>145.16</v>
      </c>
      <c r="K1052" s="1">
        <v>-2.8370000000000002</v>
      </c>
      <c r="L1052" s="1">
        <v>24.024000000000001</v>
      </c>
      <c r="M1052" s="1" t="s">
        <v>1429</v>
      </c>
      <c r="N1052" s="1" t="s">
        <v>1430</v>
      </c>
      <c r="O1052" s="1" t="s">
        <v>1431</v>
      </c>
      <c r="P1052" s="1" t="s">
        <v>1432</v>
      </c>
      <c r="Q1052" s="1" t="s">
        <v>276</v>
      </c>
      <c r="R1052" s="1" t="s">
        <v>173</v>
      </c>
      <c r="S1052" s="1" t="s">
        <v>311</v>
      </c>
    </row>
    <row r="1053" spans="1:19" x14ac:dyDescent="0.25">
      <c r="A1053" s="2">
        <v>152</v>
      </c>
      <c r="B1053" s="1" t="s">
        <v>1427</v>
      </c>
      <c r="C1053" s="1" t="s">
        <v>444</v>
      </c>
      <c r="D1053" s="1" t="s">
        <v>1428</v>
      </c>
      <c r="E1053" s="1">
        <v>7</v>
      </c>
      <c r="F1053" s="1">
        <v>136.54599999999999</v>
      </c>
      <c r="G1053" s="1">
        <v>11440</v>
      </c>
      <c r="H1053" s="1">
        <v>13764</v>
      </c>
      <c r="I1053" s="1">
        <v>15917</v>
      </c>
      <c r="J1053" s="1">
        <v>134.37299999999999</v>
      </c>
      <c r="K1053" s="1">
        <v>-2.746</v>
      </c>
      <c r="L1053" s="1">
        <v>24.056999999999999</v>
      </c>
      <c r="M1053" s="1" t="s">
        <v>1429</v>
      </c>
      <c r="N1053" s="1" t="s">
        <v>1430</v>
      </c>
      <c r="O1053" s="1" t="s">
        <v>1431</v>
      </c>
      <c r="P1053" s="1" t="s">
        <v>1432</v>
      </c>
      <c r="Q1053" s="1" t="s">
        <v>1433</v>
      </c>
      <c r="R1053" s="1" t="s">
        <v>1104</v>
      </c>
      <c r="S1053" s="1" t="s">
        <v>1284</v>
      </c>
    </row>
    <row r="1054" spans="1:19" hidden="1" x14ac:dyDescent="0.25">
      <c r="A1054" s="2">
        <v>153</v>
      </c>
      <c r="B1054" s="1" t="s">
        <v>1434</v>
      </c>
      <c r="C1054" s="1" t="s">
        <v>310</v>
      </c>
      <c r="D1054" s="1" t="s">
        <v>1435</v>
      </c>
      <c r="E1054" s="1">
        <v>1</v>
      </c>
      <c r="F1054" s="1">
        <v>163.44999999999999</v>
      </c>
      <c r="G1054" s="1">
        <v>8356</v>
      </c>
      <c r="H1054" s="1">
        <v>9995</v>
      </c>
      <c r="I1054" s="1">
        <v>11574</v>
      </c>
      <c r="J1054" s="1">
        <v>160.857</v>
      </c>
      <c r="K1054" s="1">
        <v>-5.3819999999999997</v>
      </c>
      <c r="L1054" s="1">
        <v>19.082999999999998</v>
      </c>
      <c r="M1054" s="1" t="s">
        <v>848</v>
      </c>
      <c r="N1054" s="1" t="s">
        <v>1430</v>
      </c>
      <c r="O1054" s="1" t="s">
        <v>1436</v>
      </c>
      <c r="P1054" s="1" t="s">
        <v>1437</v>
      </c>
      <c r="Q1054" s="1" t="s">
        <v>87</v>
      </c>
      <c r="R1054" s="1" t="s">
        <v>93</v>
      </c>
      <c r="S1054" s="1" t="s">
        <v>89</v>
      </c>
    </row>
    <row r="1055" spans="1:19" hidden="1" x14ac:dyDescent="0.25">
      <c r="A1055" s="2">
        <v>153</v>
      </c>
      <c r="B1055" s="1" t="s">
        <v>1434</v>
      </c>
      <c r="C1055" s="1" t="s">
        <v>310</v>
      </c>
      <c r="D1055" s="1" t="s">
        <v>1435</v>
      </c>
      <c r="E1055" s="1">
        <v>2</v>
      </c>
      <c r="F1055" s="1">
        <v>159.833</v>
      </c>
      <c r="G1055" s="1">
        <v>8261</v>
      </c>
      <c r="H1055" s="1">
        <v>9883</v>
      </c>
      <c r="I1055" s="1">
        <v>11443</v>
      </c>
      <c r="J1055" s="1">
        <v>157.297</v>
      </c>
      <c r="K1055" s="1">
        <v>-5.3970000000000002</v>
      </c>
      <c r="L1055" s="1">
        <v>19.079000000000001</v>
      </c>
      <c r="M1055" s="1" t="s">
        <v>848</v>
      </c>
      <c r="N1055" s="1" t="s">
        <v>1430</v>
      </c>
      <c r="O1055" s="1" t="s">
        <v>1436</v>
      </c>
      <c r="P1055" s="1" t="s">
        <v>1437</v>
      </c>
      <c r="Q1055" s="1" t="s">
        <v>152</v>
      </c>
      <c r="R1055" s="1" t="s">
        <v>156</v>
      </c>
      <c r="S1055" s="1" t="s">
        <v>259</v>
      </c>
    </row>
    <row r="1056" spans="1:19" hidden="1" x14ac:dyDescent="0.25">
      <c r="A1056" s="2">
        <v>153</v>
      </c>
      <c r="B1056" s="1" t="s">
        <v>1434</v>
      </c>
      <c r="C1056" s="1" t="s">
        <v>310</v>
      </c>
      <c r="D1056" s="1" t="s">
        <v>1435</v>
      </c>
      <c r="E1056" s="1">
        <v>3</v>
      </c>
      <c r="F1056" s="1">
        <v>162.79499999999999</v>
      </c>
      <c r="G1056" s="1">
        <v>8419</v>
      </c>
      <c r="H1056" s="1">
        <v>10071</v>
      </c>
      <c r="I1056" s="1">
        <v>11663</v>
      </c>
      <c r="J1056" s="1">
        <v>160.21199999999999</v>
      </c>
      <c r="K1056" s="1">
        <v>-5.3929999999999998</v>
      </c>
      <c r="L1056" s="1">
        <v>19.077999999999999</v>
      </c>
      <c r="M1056" s="1" t="s">
        <v>848</v>
      </c>
      <c r="N1056" s="1" t="s">
        <v>1430</v>
      </c>
      <c r="O1056" s="1" t="s">
        <v>1436</v>
      </c>
      <c r="P1056" s="1" t="s">
        <v>1437</v>
      </c>
      <c r="Q1056" s="1" t="s">
        <v>158</v>
      </c>
      <c r="R1056" s="1" t="s">
        <v>166</v>
      </c>
      <c r="S1056" s="1" t="s">
        <v>304</v>
      </c>
    </row>
    <row r="1057" spans="1:19" hidden="1" x14ac:dyDescent="0.25">
      <c r="A1057" s="2">
        <v>153</v>
      </c>
      <c r="B1057" s="1" t="s">
        <v>1434</v>
      </c>
      <c r="C1057" s="1" t="s">
        <v>310</v>
      </c>
      <c r="D1057" s="1" t="s">
        <v>1435</v>
      </c>
      <c r="E1057" s="1">
        <v>4</v>
      </c>
      <c r="F1057" s="1">
        <v>161.91300000000001</v>
      </c>
      <c r="G1057" s="1">
        <v>8321</v>
      </c>
      <c r="H1057" s="1">
        <v>9955</v>
      </c>
      <c r="I1057" s="1">
        <v>11525</v>
      </c>
      <c r="J1057" s="1">
        <v>159.345</v>
      </c>
      <c r="K1057" s="1">
        <v>-5.399</v>
      </c>
      <c r="L1057" s="1">
        <v>19.082999999999998</v>
      </c>
      <c r="M1057" s="1" t="s">
        <v>848</v>
      </c>
      <c r="N1057" s="1" t="s">
        <v>1430</v>
      </c>
      <c r="O1057" s="1" t="s">
        <v>1436</v>
      </c>
      <c r="P1057" s="1" t="s">
        <v>1437</v>
      </c>
      <c r="Q1057" s="1" t="s">
        <v>139</v>
      </c>
      <c r="R1057" s="1" t="s">
        <v>177</v>
      </c>
      <c r="S1057" s="1" t="s">
        <v>292</v>
      </c>
    </row>
    <row r="1058" spans="1:19" hidden="1" x14ac:dyDescent="0.25">
      <c r="A1058" s="2">
        <v>153</v>
      </c>
      <c r="B1058" s="1" t="s">
        <v>1434</v>
      </c>
      <c r="C1058" s="1" t="s">
        <v>310</v>
      </c>
      <c r="D1058" s="1" t="s">
        <v>1435</v>
      </c>
      <c r="E1058" s="1">
        <v>5</v>
      </c>
      <c r="F1058" s="1">
        <v>198.28100000000001</v>
      </c>
      <c r="G1058" s="1">
        <v>17064</v>
      </c>
      <c r="H1058" s="1">
        <v>20580</v>
      </c>
      <c r="I1058" s="1">
        <v>23746</v>
      </c>
      <c r="J1058" s="1">
        <v>195.126</v>
      </c>
      <c r="K1058" s="1">
        <v>-3.1030000000000002</v>
      </c>
      <c r="L1058" s="1">
        <v>23.94</v>
      </c>
      <c r="M1058" s="1" t="s">
        <v>848</v>
      </c>
      <c r="N1058" s="1" t="s">
        <v>1430</v>
      </c>
      <c r="O1058" s="1" t="s">
        <v>1436</v>
      </c>
      <c r="P1058" s="1" t="s">
        <v>1437</v>
      </c>
      <c r="Q1058" s="1" t="s">
        <v>217</v>
      </c>
      <c r="R1058" s="1" t="s">
        <v>182</v>
      </c>
      <c r="S1058" s="1" t="s">
        <v>227</v>
      </c>
    </row>
    <row r="1059" spans="1:19" x14ac:dyDescent="0.25">
      <c r="A1059" s="2">
        <v>153</v>
      </c>
      <c r="B1059" s="1" t="s">
        <v>1434</v>
      </c>
      <c r="C1059" s="1" t="s">
        <v>310</v>
      </c>
      <c r="D1059" s="1" t="s">
        <v>1435</v>
      </c>
      <c r="E1059" s="1">
        <v>6</v>
      </c>
      <c r="F1059" s="1">
        <v>177.208</v>
      </c>
      <c r="G1059" s="1">
        <v>15495</v>
      </c>
      <c r="H1059" s="1">
        <v>18678</v>
      </c>
      <c r="I1059" s="1">
        <v>21576</v>
      </c>
      <c r="J1059" s="1">
        <v>174.38900000000001</v>
      </c>
      <c r="K1059" s="1">
        <v>-3.0579999999999998</v>
      </c>
      <c r="L1059" s="1">
        <v>24.085999999999999</v>
      </c>
      <c r="M1059" s="1" t="s">
        <v>848</v>
      </c>
      <c r="N1059" s="1" t="s">
        <v>1430</v>
      </c>
      <c r="O1059" s="1" t="s">
        <v>1436</v>
      </c>
      <c r="P1059" s="1" t="s">
        <v>1437</v>
      </c>
      <c r="Q1059" s="1" t="s">
        <v>164</v>
      </c>
      <c r="R1059" s="1" t="s">
        <v>178</v>
      </c>
      <c r="S1059" s="1" t="s">
        <v>228</v>
      </c>
    </row>
    <row r="1060" spans="1:19" x14ac:dyDescent="0.25">
      <c r="A1060" s="2">
        <v>153</v>
      </c>
      <c r="B1060" s="1" t="s">
        <v>1434</v>
      </c>
      <c r="C1060" s="1" t="s">
        <v>310</v>
      </c>
      <c r="D1060" s="1" t="s">
        <v>1435</v>
      </c>
      <c r="E1060" s="1">
        <v>7</v>
      </c>
      <c r="F1060" s="1">
        <v>164.91399999999999</v>
      </c>
      <c r="G1060" s="1">
        <v>14525</v>
      </c>
      <c r="H1060" s="1">
        <v>17504</v>
      </c>
      <c r="I1060" s="1">
        <v>20227</v>
      </c>
      <c r="J1060" s="1">
        <v>162.29</v>
      </c>
      <c r="K1060" s="1">
        <v>-2.996</v>
      </c>
      <c r="L1060" s="1">
        <v>24.113</v>
      </c>
      <c r="M1060" s="1" t="s">
        <v>848</v>
      </c>
      <c r="N1060" s="1" t="s">
        <v>1430</v>
      </c>
      <c r="O1060" s="1" t="s">
        <v>1436</v>
      </c>
      <c r="P1060" s="1" t="s">
        <v>1437</v>
      </c>
      <c r="Q1060" s="1" t="s">
        <v>363</v>
      </c>
      <c r="R1060" s="1" t="s">
        <v>1438</v>
      </c>
      <c r="S1060" s="1" t="s">
        <v>1439</v>
      </c>
    </row>
    <row r="1061" spans="1:19" hidden="1" x14ac:dyDescent="0.25">
      <c r="A1061" s="2">
        <v>154</v>
      </c>
      <c r="B1061" s="1" t="s">
        <v>1440</v>
      </c>
      <c r="C1061" s="1" t="s">
        <v>722</v>
      </c>
      <c r="D1061" s="1" t="s">
        <v>1441</v>
      </c>
      <c r="E1061" s="1">
        <v>1</v>
      </c>
      <c r="F1061" s="1">
        <v>163.84</v>
      </c>
      <c r="G1061" s="1">
        <v>8361</v>
      </c>
      <c r="H1061" s="1">
        <v>10003</v>
      </c>
      <c r="I1061" s="1">
        <v>11578</v>
      </c>
      <c r="J1061" s="1">
        <v>161.24100000000001</v>
      </c>
      <c r="K1061" s="1">
        <v>-5.3860000000000001</v>
      </c>
      <c r="L1061" s="1">
        <v>19.088000000000001</v>
      </c>
      <c r="M1061" s="1" t="s">
        <v>1442</v>
      </c>
      <c r="N1061" s="1" t="s">
        <v>1430</v>
      </c>
      <c r="O1061" s="1" t="s">
        <v>1443</v>
      </c>
      <c r="P1061" s="1" t="s">
        <v>1444</v>
      </c>
      <c r="Q1061" s="1" t="s">
        <v>57</v>
      </c>
      <c r="R1061" s="1" t="s">
        <v>113</v>
      </c>
      <c r="S1061" s="1" t="s">
        <v>139</v>
      </c>
    </row>
    <row r="1062" spans="1:19" hidden="1" x14ac:dyDescent="0.25">
      <c r="A1062" s="2">
        <v>154</v>
      </c>
      <c r="B1062" s="1" t="s">
        <v>1440</v>
      </c>
      <c r="C1062" s="1" t="s">
        <v>722</v>
      </c>
      <c r="D1062" s="1" t="s">
        <v>1441</v>
      </c>
      <c r="E1062" s="1">
        <v>2</v>
      </c>
      <c r="F1062" s="1">
        <v>161.83199999999999</v>
      </c>
      <c r="G1062" s="1">
        <v>8376</v>
      </c>
      <c r="H1062" s="1">
        <v>10021</v>
      </c>
      <c r="I1062" s="1">
        <v>11599</v>
      </c>
      <c r="J1062" s="1">
        <v>159.26499999999999</v>
      </c>
      <c r="K1062" s="1">
        <v>-5.3890000000000002</v>
      </c>
      <c r="L1062" s="1">
        <v>19.109000000000002</v>
      </c>
      <c r="M1062" s="1" t="s">
        <v>1442</v>
      </c>
      <c r="N1062" s="1" t="s">
        <v>1430</v>
      </c>
      <c r="O1062" s="1" t="s">
        <v>1443</v>
      </c>
      <c r="P1062" s="1" t="s">
        <v>1444</v>
      </c>
      <c r="Q1062" s="1" t="s">
        <v>249</v>
      </c>
      <c r="R1062" s="1" t="s">
        <v>179</v>
      </c>
      <c r="S1062" s="1" t="s">
        <v>168</v>
      </c>
    </row>
    <row r="1063" spans="1:19" hidden="1" x14ac:dyDescent="0.25">
      <c r="A1063" s="2">
        <v>154</v>
      </c>
      <c r="B1063" s="1" t="s">
        <v>1440</v>
      </c>
      <c r="C1063" s="1" t="s">
        <v>722</v>
      </c>
      <c r="D1063" s="1" t="s">
        <v>1441</v>
      </c>
      <c r="E1063" s="1">
        <v>3</v>
      </c>
      <c r="F1063" s="1">
        <v>163.358</v>
      </c>
      <c r="G1063" s="1">
        <v>8442</v>
      </c>
      <c r="H1063" s="1">
        <v>10101</v>
      </c>
      <c r="I1063" s="1">
        <v>11689</v>
      </c>
      <c r="J1063" s="1">
        <v>160.767</v>
      </c>
      <c r="K1063" s="1">
        <v>-5.4080000000000004</v>
      </c>
      <c r="L1063" s="1">
        <v>19.076000000000001</v>
      </c>
      <c r="M1063" s="1" t="s">
        <v>1442</v>
      </c>
      <c r="N1063" s="1" t="s">
        <v>1430</v>
      </c>
      <c r="O1063" s="1" t="s">
        <v>1443</v>
      </c>
      <c r="P1063" s="1" t="s">
        <v>1444</v>
      </c>
      <c r="Q1063" s="1" t="s">
        <v>161</v>
      </c>
      <c r="R1063" s="1" t="s">
        <v>236</v>
      </c>
      <c r="S1063" s="1" t="s">
        <v>413</v>
      </c>
    </row>
    <row r="1064" spans="1:19" hidden="1" x14ac:dyDescent="0.25">
      <c r="A1064" s="2">
        <v>154</v>
      </c>
      <c r="B1064" s="1" t="s">
        <v>1440</v>
      </c>
      <c r="C1064" s="1" t="s">
        <v>722</v>
      </c>
      <c r="D1064" s="1" t="s">
        <v>1441</v>
      </c>
      <c r="E1064" s="1">
        <v>4</v>
      </c>
      <c r="F1064" s="1">
        <v>163.358</v>
      </c>
      <c r="G1064" s="1">
        <v>8391</v>
      </c>
      <c r="H1064" s="1">
        <v>10040</v>
      </c>
      <c r="I1064" s="1">
        <v>11620</v>
      </c>
      <c r="J1064" s="1">
        <v>160.767</v>
      </c>
      <c r="K1064" s="1">
        <v>-5.399</v>
      </c>
      <c r="L1064" s="1">
        <v>19.082999999999998</v>
      </c>
      <c r="M1064" s="1" t="s">
        <v>1442</v>
      </c>
      <c r="N1064" s="1" t="s">
        <v>1430</v>
      </c>
      <c r="O1064" s="1" t="s">
        <v>1443</v>
      </c>
      <c r="P1064" s="1" t="s">
        <v>1444</v>
      </c>
      <c r="Q1064" s="1" t="s">
        <v>153</v>
      </c>
      <c r="R1064" s="1" t="s">
        <v>136</v>
      </c>
      <c r="S1064" s="1" t="s">
        <v>228</v>
      </c>
    </row>
    <row r="1065" spans="1:19" hidden="1" x14ac:dyDescent="0.25">
      <c r="A1065" s="2">
        <v>154</v>
      </c>
      <c r="B1065" s="1" t="s">
        <v>1440</v>
      </c>
      <c r="C1065" s="1" t="s">
        <v>722</v>
      </c>
      <c r="D1065" s="1" t="s">
        <v>1441</v>
      </c>
      <c r="E1065" s="1">
        <v>5</v>
      </c>
      <c r="F1065" s="1">
        <v>214.202</v>
      </c>
      <c r="G1065" s="1">
        <v>17877</v>
      </c>
      <c r="H1065" s="1">
        <v>21544</v>
      </c>
      <c r="I1065" s="1">
        <v>24873</v>
      </c>
      <c r="J1065" s="1">
        <v>210.79300000000001</v>
      </c>
      <c r="K1065" s="1">
        <v>-2.6120000000000001</v>
      </c>
      <c r="L1065" s="1">
        <v>23.875</v>
      </c>
      <c r="M1065" s="1" t="s">
        <v>1442</v>
      </c>
      <c r="N1065" s="1" t="s">
        <v>1430</v>
      </c>
      <c r="O1065" s="1" t="s">
        <v>1443</v>
      </c>
      <c r="P1065" s="1" t="s">
        <v>1444</v>
      </c>
      <c r="Q1065" s="1" t="s">
        <v>204</v>
      </c>
      <c r="R1065" s="1" t="s">
        <v>117</v>
      </c>
      <c r="S1065" s="1" t="s">
        <v>54</v>
      </c>
    </row>
    <row r="1066" spans="1:19" x14ac:dyDescent="0.25">
      <c r="A1066" s="2">
        <v>154</v>
      </c>
      <c r="B1066" s="1" t="s">
        <v>1440</v>
      </c>
      <c r="C1066" s="1" t="s">
        <v>722</v>
      </c>
      <c r="D1066" s="1" t="s">
        <v>1441</v>
      </c>
      <c r="E1066" s="1">
        <v>6</v>
      </c>
      <c r="F1066" s="1">
        <v>189.03299999999999</v>
      </c>
      <c r="G1066" s="1">
        <v>15875</v>
      </c>
      <c r="H1066" s="1">
        <v>19124</v>
      </c>
      <c r="I1066" s="1">
        <v>22092</v>
      </c>
      <c r="J1066" s="1">
        <v>186.024</v>
      </c>
      <c r="K1066" s="1">
        <v>-2.544</v>
      </c>
      <c r="L1066" s="1">
        <v>24.138000000000002</v>
      </c>
      <c r="M1066" s="1" t="s">
        <v>1442</v>
      </c>
      <c r="N1066" s="1" t="s">
        <v>1430</v>
      </c>
      <c r="O1066" s="1" t="s">
        <v>1443</v>
      </c>
      <c r="P1066" s="1" t="s">
        <v>1444</v>
      </c>
      <c r="Q1066" s="1" t="s">
        <v>162</v>
      </c>
      <c r="R1066" s="1" t="s">
        <v>318</v>
      </c>
      <c r="S1066" s="1" t="s">
        <v>368</v>
      </c>
    </row>
    <row r="1067" spans="1:19" x14ac:dyDescent="0.25">
      <c r="A1067" s="2">
        <v>154</v>
      </c>
      <c r="B1067" s="1" t="s">
        <v>1440</v>
      </c>
      <c r="C1067" s="1" t="s">
        <v>722</v>
      </c>
      <c r="D1067" s="1" t="s">
        <v>1441</v>
      </c>
      <c r="E1067" s="1">
        <v>7</v>
      </c>
      <c r="F1067" s="1">
        <v>174.75399999999999</v>
      </c>
      <c r="G1067" s="1">
        <v>14707</v>
      </c>
      <c r="H1067" s="1">
        <v>17716</v>
      </c>
      <c r="I1067" s="1">
        <v>20465</v>
      </c>
      <c r="J1067" s="1">
        <v>171.97300000000001</v>
      </c>
      <c r="K1067" s="1">
        <v>-2.496</v>
      </c>
      <c r="L1067" s="1">
        <v>24.225999999999999</v>
      </c>
      <c r="M1067" s="1" t="s">
        <v>1442</v>
      </c>
      <c r="N1067" s="1" t="s">
        <v>1430</v>
      </c>
      <c r="O1067" s="1" t="s">
        <v>1443</v>
      </c>
      <c r="P1067" s="1" t="s">
        <v>1444</v>
      </c>
      <c r="Q1067" s="1" t="s">
        <v>1016</v>
      </c>
      <c r="R1067" s="1" t="s">
        <v>986</v>
      </c>
      <c r="S1067" s="1" t="s">
        <v>1373</v>
      </c>
    </row>
    <row r="1068" spans="1:19" hidden="1" x14ac:dyDescent="0.25">
      <c r="A1068" s="2">
        <v>155</v>
      </c>
      <c r="B1068" s="1" t="s">
        <v>1445</v>
      </c>
      <c r="C1068" s="1" t="s">
        <v>601</v>
      </c>
      <c r="D1068" s="1" t="s">
        <v>1446</v>
      </c>
      <c r="E1068" s="1">
        <v>1</v>
      </c>
      <c r="F1068" s="1">
        <v>162.69499999999999</v>
      </c>
      <c r="G1068" s="1">
        <v>8314</v>
      </c>
      <c r="H1068" s="1">
        <v>9947</v>
      </c>
      <c r="I1068" s="1">
        <v>11516</v>
      </c>
      <c r="J1068" s="1">
        <v>160.114</v>
      </c>
      <c r="K1068" s="1">
        <v>-5.3920000000000003</v>
      </c>
      <c r="L1068" s="1">
        <v>19.087</v>
      </c>
      <c r="M1068" s="1" t="s">
        <v>862</v>
      </c>
      <c r="N1068" s="1" t="s">
        <v>1430</v>
      </c>
      <c r="O1068" s="1" t="s">
        <v>1447</v>
      </c>
      <c r="P1068" s="1" t="s">
        <v>1448</v>
      </c>
      <c r="Q1068" s="1" t="s">
        <v>71</v>
      </c>
      <c r="R1068" s="1" t="s">
        <v>258</v>
      </c>
      <c r="S1068" s="1" t="s">
        <v>167</v>
      </c>
    </row>
    <row r="1069" spans="1:19" hidden="1" x14ac:dyDescent="0.25">
      <c r="A1069" s="2">
        <v>155</v>
      </c>
      <c r="B1069" s="1" t="s">
        <v>1445</v>
      </c>
      <c r="C1069" s="1" t="s">
        <v>601</v>
      </c>
      <c r="D1069" s="1" t="s">
        <v>1446</v>
      </c>
      <c r="E1069" s="1">
        <v>2</v>
      </c>
      <c r="F1069" s="1">
        <v>161.303</v>
      </c>
      <c r="G1069" s="1">
        <v>8338</v>
      </c>
      <c r="H1069" s="1">
        <v>9975</v>
      </c>
      <c r="I1069" s="1">
        <v>11551</v>
      </c>
      <c r="J1069" s="1">
        <v>158.744</v>
      </c>
      <c r="K1069" s="1">
        <v>-5.3970000000000002</v>
      </c>
      <c r="L1069" s="1">
        <v>19.071000000000002</v>
      </c>
      <c r="M1069" s="1" t="s">
        <v>862</v>
      </c>
      <c r="N1069" s="1" t="s">
        <v>1430</v>
      </c>
      <c r="O1069" s="1" t="s">
        <v>1447</v>
      </c>
      <c r="P1069" s="1" t="s">
        <v>1448</v>
      </c>
      <c r="Q1069" s="1" t="s">
        <v>159</v>
      </c>
      <c r="R1069" s="1" t="s">
        <v>179</v>
      </c>
      <c r="S1069" s="1" t="s">
        <v>168</v>
      </c>
    </row>
    <row r="1070" spans="1:19" hidden="1" x14ac:dyDescent="0.25">
      <c r="A1070" s="2">
        <v>155</v>
      </c>
      <c r="B1070" s="1" t="s">
        <v>1445</v>
      </c>
      <c r="C1070" s="1" t="s">
        <v>601</v>
      </c>
      <c r="D1070" s="1" t="s">
        <v>1446</v>
      </c>
      <c r="E1070" s="1">
        <v>3</v>
      </c>
      <c r="F1070" s="1">
        <v>162.07400000000001</v>
      </c>
      <c r="G1070" s="1">
        <v>8379</v>
      </c>
      <c r="H1070" s="1">
        <v>10024</v>
      </c>
      <c r="I1070" s="1">
        <v>11607</v>
      </c>
      <c r="J1070" s="1">
        <v>159.50299999999999</v>
      </c>
      <c r="K1070" s="1">
        <v>-5.3970000000000002</v>
      </c>
      <c r="L1070" s="1">
        <v>19.088000000000001</v>
      </c>
      <c r="M1070" s="1" t="s">
        <v>862</v>
      </c>
      <c r="N1070" s="1" t="s">
        <v>1430</v>
      </c>
      <c r="O1070" s="1" t="s">
        <v>1447</v>
      </c>
      <c r="P1070" s="1" t="s">
        <v>1448</v>
      </c>
      <c r="Q1070" s="1" t="s">
        <v>161</v>
      </c>
      <c r="R1070" s="1" t="s">
        <v>266</v>
      </c>
      <c r="S1070" s="1" t="s">
        <v>413</v>
      </c>
    </row>
    <row r="1071" spans="1:19" hidden="1" x14ac:dyDescent="0.25">
      <c r="A1071" s="2">
        <v>155</v>
      </c>
      <c r="B1071" s="1" t="s">
        <v>1445</v>
      </c>
      <c r="C1071" s="1" t="s">
        <v>601</v>
      </c>
      <c r="D1071" s="1" t="s">
        <v>1446</v>
      </c>
      <c r="E1071" s="1">
        <v>4</v>
      </c>
      <c r="F1071" s="1">
        <v>161.82900000000001</v>
      </c>
      <c r="G1071" s="1">
        <v>8316</v>
      </c>
      <c r="H1071" s="1">
        <v>9948</v>
      </c>
      <c r="I1071" s="1">
        <v>11519</v>
      </c>
      <c r="J1071" s="1">
        <v>159.262</v>
      </c>
      <c r="K1071" s="1">
        <v>-5.399</v>
      </c>
      <c r="L1071" s="1">
        <v>19.082999999999998</v>
      </c>
      <c r="M1071" s="1" t="s">
        <v>862</v>
      </c>
      <c r="N1071" s="1" t="s">
        <v>1430</v>
      </c>
      <c r="O1071" s="1" t="s">
        <v>1447</v>
      </c>
      <c r="P1071" s="1" t="s">
        <v>1448</v>
      </c>
      <c r="Q1071" s="1" t="s">
        <v>160</v>
      </c>
      <c r="R1071" s="1" t="s">
        <v>136</v>
      </c>
      <c r="S1071" s="1" t="s">
        <v>247</v>
      </c>
    </row>
    <row r="1072" spans="1:19" hidden="1" x14ac:dyDescent="0.25">
      <c r="A1072" s="2">
        <v>155</v>
      </c>
      <c r="B1072" s="1" t="s">
        <v>1445</v>
      </c>
      <c r="C1072" s="1" t="s">
        <v>601</v>
      </c>
      <c r="D1072" s="1" t="s">
        <v>1446</v>
      </c>
      <c r="E1072" s="1">
        <v>5</v>
      </c>
      <c r="F1072" s="1">
        <v>211.47300000000001</v>
      </c>
      <c r="G1072" s="1">
        <v>18512</v>
      </c>
      <c r="H1072" s="1">
        <v>22344</v>
      </c>
      <c r="I1072" s="1">
        <v>25765</v>
      </c>
      <c r="J1072" s="1">
        <v>208.10599999999999</v>
      </c>
      <c r="K1072" s="1">
        <v>-2.3690000000000002</v>
      </c>
      <c r="L1072" s="1">
        <v>23.919</v>
      </c>
      <c r="M1072" s="1" t="s">
        <v>862</v>
      </c>
      <c r="N1072" s="1" t="s">
        <v>1430</v>
      </c>
      <c r="O1072" s="1" t="s">
        <v>1447</v>
      </c>
      <c r="P1072" s="1" t="s">
        <v>1448</v>
      </c>
      <c r="Q1072" s="1" t="s">
        <v>183</v>
      </c>
      <c r="R1072" s="1" t="s">
        <v>515</v>
      </c>
      <c r="S1072" s="1" t="s">
        <v>106</v>
      </c>
    </row>
    <row r="1073" spans="1:19" x14ac:dyDescent="0.25">
      <c r="A1073" s="2">
        <v>155</v>
      </c>
      <c r="B1073" s="1" t="s">
        <v>1445</v>
      </c>
      <c r="C1073" s="1" t="s">
        <v>601</v>
      </c>
      <c r="D1073" s="1" t="s">
        <v>1446</v>
      </c>
      <c r="E1073" s="1">
        <v>6</v>
      </c>
      <c r="F1073" s="1">
        <v>188.762</v>
      </c>
      <c r="G1073" s="1">
        <v>16710</v>
      </c>
      <c r="H1073" s="1">
        <v>20154</v>
      </c>
      <c r="I1073" s="1">
        <v>23257</v>
      </c>
      <c r="J1073" s="1">
        <v>185.75700000000001</v>
      </c>
      <c r="K1073" s="1">
        <v>-2.2970000000000002</v>
      </c>
      <c r="L1073" s="1">
        <v>24.047000000000001</v>
      </c>
      <c r="M1073" s="1" t="s">
        <v>862</v>
      </c>
      <c r="N1073" s="1" t="s">
        <v>1430</v>
      </c>
      <c r="O1073" s="1" t="s">
        <v>1447</v>
      </c>
      <c r="P1073" s="1" t="s">
        <v>1448</v>
      </c>
      <c r="Q1073" s="1" t="s">
        <v>103</v>
      </c>
      <c r="R1073" s="1" t="s">
        <v>180</v>
      </c>
      <c r="S1073" s="1" t="s">
        <v>216</v>
      </c>
    </row>
    <row r="1074" spans="1:19" x14ac:dyDescent="0.25">
      <c r="A1074" s="2">
        <v>155</v>
      </c>
      <c r="B1074" s="1" t="s">
        <v>1445</v>
      </c>
      <c r="C1074" s="1" t="s">
        <v>601</v>
      </c>
      <c r="D1074" s="1" t="s">
        <v>1446</v>
      </c>
      <c r="E1074" s="1">
        <v>7</v>
      </c>
      <c r="F1074" s="1">
        <v>175.613</v>
      </c>
      <c r="G1074" s="1">
        <v>15578</v>
      </c>
      <c r="H1074" s="1">
        <v>18781</v>
      </c>
      <c r="I1074" s="1">
        <v>21688</v>
      </c>
      <c r="J1074" s="1">
        <v>172.81700000000001</v>
      </c>
      <c r="K1074" s="1">
        <v>-2.2549999999999999</v>
      </c>
      <c r="L1074" s="1">
        <v>24.113</v>
      </c>
      <c r="M1074" s="1" t="s">
        <v>862</v>
      </c>
      <c r="N1074" s="1" t="s">
        <v>1430</v>
      </c>
      <c r="O1074" s="1" t="s">
        <v>1447</v>
      </c>
      <c r="P1074" s="1" t="s">
        <v>1448</v>
      </c>
      <c r="Q1074" s="1" t="s">
        <v>1161</v>
      </c>
      <c r="R1074" s="1" t="s">
        <v>622</v>
      </c>
      <c r="S1074" s="1" t="s">
        <v>385</v>
      </c>
    </row>
    <row r="1075" spans="1:19" hidden="1" x14ac:dyDescent="0.25">
      <c r="A1075" s="2">
        <v>156</v>
      </c>
      <c r="B1075" s="1" t="s">
        <v>1449</v>
      </c>
      <c r="C1075" s="1" t="s">
        <v>420</v>
      </c>
      <c r="D1075" s="1" t="s">
        <v>1450</v>
      </c>
      <c r="E1075" s="1">
        <v>1</v>
      </c>
      <c r="F1075" s="1">
        <v>162.94800000000001</v>
      </c>
      <c r="G1075" s="1">
        <v>8339</v>
      </c>
      <c r="H1075" s="1">
        <v>9976</v>
      </c>
      <c r="I1075" s="1">
        <v>11555</v>
      </c>
      <c r="J1075" s="1">
        <v>160.363</v>
      </c>
      <c r="K1075" s="1">
        <v>-5.38</v>
      </c>
      <c r="L1075" s="1">
        <v>19.061</v>
      </c>
      <c r="M1075" s="1" t="s">
        <v>1451</v>
      </c>
      <c r="N1075" s="1" t="s">
        <v>1430</v>
      </c>
      <c r="O1075" s="1" t="s">
        <v>1452</v>
      </c>
      <c r="P1075" s="1" t="s">
        <v>1453</v>
      </c>
      <c r="Q1075" s="1" t="s">
        <v>96</v>
      </c>
      <c r="R1075" s="1" t="s">
        <v>113</v>
      </c>
      <c r="S1075" s="1" t="s">
        <v>139</v>
      </c>
    </row>
    <row r="1076" spans="1:19" hidden="1" x14ac:dyDescent="0.25">
      <c r="A1076" s="2">
        <v>156</v>
      </c>
      <c r="B1076" s="1" t="s">
        <v>1449</v>
      </c>
      <c r="C1076" s="1" t="s">
        <v>420</v>
      </c>
      <c r="D1076" s="1" t="s">
        <v>1450</v>
      </c>
      <c r="E1076" s="1">
        <v>2</v>
      </c>
      <c r="F1076" s="1">
        <v>160.643</v>
      </c>
      <c r="G1076" s="1">
        <v>8331</v>
      </c>
      <c r="H1076" s="1">
        <v>9967</v>
      </c>
      <c r="I1076" s="1">
        <v>11542</v>
      </c>
      <c r="J1076" s="1">
        <v>158.09399999999999</v>
      </c>
      <c r="K1076" s="1">
        <v>-5.3970000000000002</v>
      </c>
      <c r="L1076" s="1">
        <v>19.062000000000001</v>
      </c>
      <c r="M1076" s="1" t="s">
        <v>1451</v>
      </c>
      <c r="N1076" s="1" t="s">
        <v>1430</v>
      </c>
      <c r="O1076" s="1" t="s">
        <v>1452</v>
      </c>
      <c r="P1076" s="1" t="s">
        <v>1453</v>
      </c>
      <c r="Q1076" s="1" t="s">
        <v>249</v>
      </c>
      <c r="R1076" s="1" t="s">
        <v>194</v>
      </c>
      <c r="S1076" s="1" t="s">
        <v>168</v>
      </c>
    </row>
    <row r="1077" spans="1:19" hidden="1" x14ac:dyDescent="0.25">
      <c r="A1077" s="2">
        <v>156</v>
      </c>
      <c r="B1077" s="1" t="s">
        <v>1449</v>
      </c>
      <c r="C1077" s="1" t="s">
        <v>420</v>
      </c>
      <c r="D1077" s="1" t="s">
        <v>1450</v>
      </c>
      <c r="E1077" s="1">
        <v>3</v>
      </c>
      <c r="F1077" s="1">
        <v>162.702</v>
      </c>
      <c r="G1077" s="1">
        <v>8401</v>
      </c>
      <c r="H1077" s="1">
        <v>10050</v>
      </c>
      <c r="I1077" s="1">
        <v>11635</v>
      </c>
      <c r="J1077" s="1">
        <v>160.12100000000001</v>
      </c>
      <c r="K1077" s="1">
        <v>-5.3769999999999998</v>
      </c>
      <c r="L1077" s="1">
        <v>19.055</v>
      </c>
      <c r="M1077" s="1" t="s">
        <v>1451</v>
      </c>
      <c r="N1077" s="1" t="s">
        <v>1430</v>
      </c>
      <c r="O1077" s="1" t="s">
        <v>1452</v>
      </c>
      <c r="P1077" s="1" t="s">
        <v>1453</v>
      </c>
      <c r="Q1077" s="1" t="s">
        <v>161</v>
      </c>
      <c r="R1077" s="1" t="s">
        <v>236</v>
      </c>
      <c r="S1077" s="1" t="s">
        <v>238</v>
      </c>
    </row>
    <row r="1078" spans="1:19" hidden="1" x14ac:dyDescent="0.25">
      <c r="A1078" s="2">
        <v>156</v>
      </c>
      <c r="B1078" s="1" t="s">
        <v>1449</v>
      </c>
      <c r="C1078" s="1" t="s">
        <v>420</v>
      </c>
      <c r="D1078" s="1" t="s">
        <v>1450</v>
      </c>
      <c r="E1078" s="1">
        <v>4</v>
      </c>
      <c r="F1078" s="1">
        <v>162.684</v>
      </c>
      <c r="G1078" s="1">
        <v>8364</v>
      </c>
      <c r="H1078" s="1">
        <v>10005</v>
      </c>
      <c r="I1078" s="1">
        <v>11584</v>
      </c>
      <c r="J1078" s="1">
        <v>160.10300000000001</v>
      </c>
      <c r="K1078" s="1">
        <v>-5.399</v>
      </c>
      <c r="L1078" s="1">
        <v>19.082999999999998</v>
      </c>
      <c r="M1078" s="1" t="s">
        <v>1451</v>
      </c>
      <c r="N1078" s="1" t="s">
        <v>1430</v>
      </c>
      <c r="O1078" s="1" t="s">
        <v>1452</v>
      </c>
      <c r="P1078" s="1" t="s">
        <v>1453</v>
      </c>
      <c r="Q1078" s="1" t="s">
        <v>153</v>
      </c>
      <c r="R1078" s="1" t="s">
        <v>252</v>
      </c>
      <c r="S1078" s="1" t="s">
        <v>228</v>
      </c>
    </row>
    <row r="1079" spans="1:19" hidden="1" x14ac:dyDescent="0.25">
      <c r="A1079" s="2">
        <v>156</v>
      </c>
      <c r="B1079" s="1" t="s">
        <v>1449</v>
      </c>
      <c r="C1079" s="1" t="s">
        <v>420</v>
      </c>
      <c r="D1079" s="1" t="s">
        <v>1450</v>
      </c>
      <c r="E1079" s="1">
        <v>5</v>
      </c>
      <c r="F1079" s="1">
        <v>165.44800000000001</v>
      </c>
      <c r="G1079" s="1">
        <v>13792</v>
      </c>
      <c r="H1079" s="1">
        <v>16613</v>
      </c>
      <c r="I1079" s="1">
        <v>19198</v>
      </c>
      <c r="J1079" s="1">
        <v>162.815</v>
      </c>
      <c r="K1079" s="1">
        <v>-2.5720000000000001</v>
      </c>
      <c r="L1079" s="1">
        <v>23.693999999999999</v>
      </c>
      <c r="M1079" s="1" t="s">
        <v>1451</v>
      </c>
      <c r="N1079" s="1" t="s">
        <v>1430</v>
      </c>
      <c r="O1079" s="1" t="s">
        <v>1452</v>
      </c>
      <c r="P1079" s="1" t="s">
        <v>1453</v>
      </c>
      <c r="Q1079" s="1" t="s">
        <v>192</v>
      </c>
      <c r="R1079" s="1" t="s">
        <v>195</v>
      </c>
      <c r="S1079" s="1" t="s">
        <v>47</v>
      </c>
    </row>
    <row r="1080" spans="1:19" x14ac:dyDescent="0.25">
      <c r="A1080" s="2">
        <v>156</v>
      </c>
      <c r="B1080" s="1" t="s">
        <v>1449</v>
      </c>
      <c r="C1080" s="1" t="s">
        <v>420</v>
      </c>
      <c r="D1080" s="1" t="s">
        <v>1450</v>
      </c>
      <c r="E1080" s="1">
        <v>6</v>
      </c>
      <c r="F1080" s="1">
        <v>146.483</v>
      </c>
      <c r="G1080" s="1">
        <v>12302</v>
      </c>
      <c r="H1080" s="1">
        <v>14816</v>
      </c>
      <c r="I1080" s="1">
        <v>17122</v>
      </c>
      <c r="J1080" s="1">
        <v>144.15100000000001</v>
      </c>
      <c r="K1080" s="1">
        <v>-2.496</v>
      </c>
      <c r="L1080" s="1">
        <v>23.870999999999999</v>
      </c>
      <c r="M1080" s="1" t="s">
        <v>1451</v>
      </c>
      <c r="N1080" s="1" t="s">
        <v>1430</v>
      </c>
      <c r="O1080" s="1" t="s">
        <v>1452</v>
      </c>
      <c r="P1080" s="1" t="s">
        <v>1453</v>
      </c>
      <c r="Q1080" s="1" t="s">
        <v>223</v>
      </c>
      <c r="R1080" s="1" t="s">
        <v>154</v>
      </c>
      <c r="S1080" s="1" t="s">
        <v>341</v>
      </c>
    </row>
    <row r="1081" spans="1:19" x14ac:dyDescent="0.25">
      <c r="A1081" s="2">
        <v>156</v>
      </c>
      <c r="B1081" s="1" t="s">
        <v>1449</v>
      </c>
      <c r="C1081" s="1" t="s">
        <v>420</v>
      </c>
      <c r="D1081" s="1" t="s">
        <v>1450</v>
      </c>
      <c r="E1081" s="1">
        <v>7</v>
      </c>
      <c r="F1081" s="1">
        <v>135.547</v>
      </c>
      <c r="G1081" s="1">
        <v>11426</v>
      </c>
      <c r="H1081" s="1">
        <v>13761</v>
      </c>
      <c r="I1081" s="1">
        <v>15909</v>
      </c>
      <c r="J1081" s="1">
        <v>133.38900000000001</v>
      </c>
      <c r="K1081" s="1">
        <v>-2.4430000000000001</v>
      </c>
      <c r="L1081" s="1">
        <v>23.917000000000002</v>
      </c>
      <c r="M1081" s="1" t="s">
        <v>1451</v>
      </c>
      <c r="N1081" s="1" t="s">
        <v>1430</v>
      </c>
      <c r="O1081" s="1" t="s">
        <v>1452</v>
      </c>
      <c r="P1081" s="1" t="s">
        <v>1453</v>
      </c>
      <c r="Q1081" s="1" t="s">
        <v>539</v>
      </c>
      <c r="R1081" s="1" t="s">
        <v>683</v>
      </c>
      <c r="S1081" s="1" t="s">
        <v>429</v>
      </c>
    </row>
    <row r="1082" spans="1:19" hidden="1" x14ac:dyDescent="0.25">
      <c r="A1082" s="2">
        <v>157</v>
      </c>
      <c r="B1082" s="1" t="s">
        <v>1454</v>
      </c>
      <c r="C1082" s="1" t="s">
        <v>510</v>
      </c>
      <c r="D1082" s="1" t="s">
        <v>1455</v>
      </c>
      <c r="E1082" s="1">
        <v>1</v>
      </c>
      <c r="F1082" s="1">
        <v>162.452</v>
      </c>
      <c r="G1082" s="1">
        <v>8293</v>
      </c>
      <c r="H1082" s="1">
        <v>9920</v>
      </c>
      <c r="I1082" s="1">
        <v>11487</v>
      </c>
      <c r="J1082" s="1">
        <v>159.875</v>
      </c>
      <c r="K1082" s="1">
        <v>-5.3929999999999998</v>
      </c>
      <c r="L1082" s="1">
        <v>19.074999999999999</v>
      </c>
      <c r="M1082" s="1" t="s">
        <v>480</v>
      </c>
      <c r="N1082" s="1" t="s">
        <v>1430</v>
      </c>
      <c r="O1082" s="1" t="s">
        <v>1456</v>
      </c>
      <c r="P1082" s="1" t="s">
        <v>1457</v>
      </c>
      <c r="Q1082" s="1" t="s">
        <v>127</v>
      </c>
      <c r="R1082" s="1" t="s">
        <v>99</v>
      </c>
      <c r="S1082" s="1" t="s">
        <v>253</v>
      </c>
    </row>
    <row r="1083" spans="1:19" hidden="1" x14ac:dyDescent="0.25">
      <c r="A1083" s="2">
        <v>157</v>
      </c>
      <c r="B1083" s="1" t="s">
        <v>1454</v>
      </c>
      <c r="C1083" s="1" t="s">
        <v>510</v>
      </c>
      <c r="D1083" s="1" t="s">
        <v>1455</v>
      </c>
      <c r="E1083" s="1">
        <v>2</v>
      </c>
      <c r="F1083" s="1">
        <v>161.71199999999999</v>
      </c>
      <c r="G1083" s="1">
        <v>8367</v>
      </c>
      <c r="H1083" s="1">
        <v>10009</v>
      </c>
      <c r="I1083" s="1">
        <v>11588</v>
      </c>
      <c r="J1083" s="1">
        <v>159.14599999999999</v>
      </c>
      <c r="K1083" s="1">
        <v>-5.3959999999999999</v>
      </c>
      <c r="L1083" s="1">
        <v>19.077999999999999</v>
      </c>
      <c r="M1083" s="1" t="s">
        <v>480</v>
      </c>
      <c r="N1083" s="1" t="s">
        <v>1430</v>
      </c>
      <c r="O1083" s="1" t="s">
        <v>1456</v>
      </c>
      <c r="P1083" s="1" t="s">
        <v>1457</v>
      </c>
      <c r="Q1083" s="1" t="s">
        <v>89</v>
      </c>
      <c r="R1083" s="1" t="s">
        <v>279</v>
      </c>
      <c r="S1083" s="1" t="s">
        <v>259</v>
      </c>
    </row>
    <row r="1084" spans="1:19" hidden="1" x14ac:dyDescent="0.25">
      <c r="A1084" s="2">
        <v>157</v>
      </c>
      <c r="B1084" s="1" t="s">
        <v>1454</v>
      </c>
      <c r="C1084" s="1" t="s">
        <v>510</v>
      </c>
      <c r="D1084" s="1" t="s">
        <v>1455</v>
      </c>
      <c r="E1084" s="1">
        <v>3</v>
      </c>
      <c r="F1084" s="1">
        <v>162.34399999999999</v>
      </c>
      <c r="G1084" s="1">
        <v>8390</v>
      </c>
      <c r="H1084" s="1">
        <v>10037</v>
      </c>
      <c r="I1084" s="1">
        <v>11621</v>
      </c>
      <c r="J1084" s="1">
        <v>159.76900000000001</v>
      </c>
      <c r="K1084" s="1">
        <v>-5.3929999999999998</v>
      </c>
      <c r="L1084" s="1">
        <v>19.097000000000001</v>
      </c>
      <c r="M1084" s="1" t="s">
        <v>480</v>
      </c>
      <c r="N1084" s="1" t="s">
        <v>1430</v>
      </c>
      <c r="O1084" s="1" t="s">
        <v>1456</v>
      </c>
      <c r="P1084" s="1" t="s">
        <v>1457</v>
      </c>
      <c r="Q1084" s="1" t="s">
        <v>167</v>
      </c>
      <c r="R1084" s="1" t="s">
        <v>237</v>
      </c>
      <c r="S1084" s="1" t="s">
        <v>174</v>
      </c>
    </row>
    <row r="1085" spans="1:19" hidden="1" x14ac:dyDescent="0.25">
      <c r="A1085" s="2">
        <v>157</v>
      </c>
      <c r="B1085" s="1" t="s">
        <v>1454</v>
      </c>
      <c r="C1085" s="1" t="s">
        <v>510</v>
      </c>
      <c r="D1085" s="1" t="s">
        <v>1455</v>
      </c>
      <c r="E1085" s="1">
        <v>4</v>
      </c>
      <c r="F1085" s="1">
        <v>162.33199999999999</v>
      </c>
      <c r="G1085" s="1">
        <v>8352</v>
      </c>
      <c r="H1085" s="1">
        <v>9991</v>
      </c>
      <c r="I1085" s="1">
        <v>11568</v>
      </c>
      <c r="J1085" s="1">
        <v>159.75700000000001</v>
      </c>
      <c r="K1085" s="1">
        <v>-5.399</v>
      </c>
      <c r="L1085" s="1">
        <v>19.082999999999998</v>
      </c>
      <c r="M1085" s="1" t="s">
        <v>480</v>
      </c>
      <c r="N1085" s="1" t="s">
        <v>1430</v>
      </c>
      <c r="O1085" s="1" t="s">
        <v>1456</v>
      </c>
      <c r="P1085" s="1" t="s">
        <v>1457</v>
      </c>
      <c r="Q1085" s="1" t="s">
        <v>161</v>
      </c>
      <c r="R1085" s="1" t="s">
        <v>266</v>
      </c>
      <c r="S1085" s="1" t="s">
        <v>305</v>
      </c>
    </row>
    <row r="1086" spans="1:19" hidden="1" x14ac:dyDescent="0.25">
      <c r="A1086" s="2">
        <v>157</v>
      </c>
      <c r="B1086" s="1" t="s">
        <v>1454</v>
      </c>
      <c r="C1086" s="1" t="s">
        <v>510</v>
      </c>
      <c r="D1086" s="1" t="s">
        <v>1455</v>
      </c>
      <c r="E1086" s="1">
        <v>5</v>
      </c>
      <c r="F1086" s="1">
        <v>241.94499999999999</v>
      </c>
      <c r="G1086" s="1">
        <v>21186</v>
      </c>
      <c r="H1086" s="1">
        <v>25555</v>
      </c>
      <c r="I1086" s="1">
        <v>29474</v>
      </c>
      <c r="J1086" s="1">
        <v>238.09399999999999</v>
      </c>
      <c r="K1086" s="1">
        <v>-2.4249999999999998</v>
      </c>
      <c r="L1086" s="1">
        <v>23.477</v>
      </c>
      <c r="M1086" s="1" t="s">
        <v>480</v>
      </c>
      <c r="N1086" s="1" t="s">
        <v>1430</v>
      </c>
      <c r="O1086" s="1" t="s">
        <v>1456</v>
      </c>
      <c r="P1086" s="1" t="s">
        <v>1457</v>
      </c>
      <c r="Q1086" s="1" t="s">
        <v>205</v>
      </c>
      <c r="R1086" s="1" t="s">
        <v>117</v>
      </c>
      <c r="S1086" s="1" t="s">
        <v>54</v>
      </c>
    </row>
    <row r="1087" spans="1:19" x14ac:dyDescent="0.25">
      <c r="A1087" s="2">
        <v>157</v>
      </c>
      <c r="B1087" s="1" t="s">
        <v>1454</v>
      </c>
      <c r="C1087" s="1" t="s">
        <v>510</v>
      </c>
      <c r="D1087" s="1" t="s">
        <v>1455</v>
      </c>
      <c r="E1087" s="1">
        <v>6</v>
      </c>
      <c r="F1087" s="1">
        <v>213.35900000000001</v>
      </c>
      <c r="G1087" s="1">
        <v>18595</v>
      </c>
      <c r="H1087" s="1">
        <v>22409</v>
      </c>
      <c r="I1087" s="1">
        <v>25877</v>
      </c>
      <c r="J1087" s="1">
        <v>209.96299999999999</v>
      </c>
      <c r="K1087" s="1">
        <v>-2.3969999999999998</v>
      </c>
      <c r="L1087" s="1">
        <v>23.742000000000001</v>
      </c>
      <c r="M1087" s="1" t="s">
        <v>480</v>
      </c>
      <c r="N1087" s="1" t="s">
        <v>1430</v>
      </c>
      <c r="O1087" s="1" t="s">
        <v>1456</v>
      </c>
      <c r="P1087" s="1" t="s">
        <v>1457</v>
      </c>
      <c r="Q1087" s="1" t="s">
        <v>198</v>
      </c>
      <c r="R1087" s="1" t="s">
        <v>370</v>
      </c>
      <c r="S1087" s="1" t="s">
        <v>226</v>
      </c>
    </row>
    <row r="1088" spans="1:19" x14ac:dyDescent="0.25">
      <c r="A1088" s="2">
        <v>157</v>
      </c>
      <c r="B1088" s="1" t="s">
        <v>1454</v>
      </c>
      <c r="C1088" s="1" t="s">
        <v>510</v>
      </c>
      <c r="D1088" s="1" t="s">
        <v>1455</v>
      </c>
      <c r="E1088" s="1">
        <v>7</v>
      </c>
      <c r="F1088" s="1">
        <v>197.072</v>
      </c>
      <c r="G1088" s="1">
        <v>17095</v>
      </c>
      <c r="H1088" s="1">
        <v>20595</v>
      </c>
      <c r="I1088" s="1">
        <v>23789</v>
      </c>
      <c r="J1088" s="1">
        <v>193.935</v>
      </c>
      <c r="K1088" s="1">
        <v>-2.3330000000000002</v>
      </c>
      <c r="L1088" s="1">
        <v>23.797999999999998</v>
      </c>
      <c r="M1088" s="1" t="s">
        <v>480</v>
      </c>
      <c r="N1088" s="1" t="s">
        <v>1430</v>
      </c>
      <c r="O1088" s="1" t="s">
        <v>1456</v>
      </c>
      <c r="P1088" s="1" t="s">
        <v>1457</v>
      </c>
      <c r="Q1088" s="1" t="s">
        <v>1049</v>
      </c>
      <c r="R1088" s="1" t="s">
        <v>356</v>
      </c>
      <c r="S1088" s="1" t="s">
        <v>696</v>
      </c>
    </row>
    <row r="1089" spans="1:19" hidden="1" x14ac:dyDescent="0.25">
      <c r="A1089" s="2">
        <v>158</v>
      </c>
      <c r="B1089" s="1" t="s">
        <v>1458</v>
      </c>
      <c r="C1089" s="1" t="s">
        <v>433</v>
      </c>
      <c r="D1089" s="1" t="s">
        <v>1459</v>
      </c>
      <c r="E1089" s="1">
        <v>1</v>
      </c>
      <c r="F1089" s="1">
        <v>162.48599999999999</v>
      </c>
      <c r="G1089" s="1">
        <v>8313</v>
      </c>
      <c r="H1089" s="1">
        <v>9946</v>
      </c>
      <c r="I1089" s="1">
        <v>11516</v>
      </c>
      <c r="J1089" s="1">
        <v>159.90799999999999</v>
      </c>
      <c r="K1089" s="1">
        <v>-5.391</v>
      </c>
      <c r="L1089" s="1">
        <v>19.082999999999998</v>
      </c>
      <c r="M1089" s="1" t="s">
        <v>885</v>
      </c>
      <c r="N1089" s="1" t="s">
        <v>1430</v>
      </c>
      <c r="O1089" s="1" t="s">
        <v>1460</v>
      </c>
      <c r="P1089" s="1" t="s">
        <v>1461</v>
      </c>
      <c r="Q1089" s="1" t="s">
        <v>48</v>
      </c>
      <c r="R1089" s="1" t="s">
        <v>283</v>
      </c>
      <c r="S1089" s="1" t="s">
        <v>160</v>
      </c>
    </row>
    <row r="1090" spans="1:19" hidden="1" x14ac:dyDescent="0.25">
      <c r="A1090" s="2">
        <v>158</v>
      </c>
      <c r="B1090" s="1" t="s">
        <v>1458</v>
      </c>
      <c r="C1090" s="1" t="s">
        <v>433</v>
      </c>
      <c r="D1090" s="1" t="s">
        <v>1459</v>
      </c>
      <c r="E1090" s="1">
        <v>2</v>
      </c>
      <c r="F1090" s="1">
        <v>160.965</v>
      </c>
      <c r="G1090" s="1">
        <v>8331</v>
      </c>
      <c r="H1090" s="1">
        <v>9967</v>
      </c>
      <c r="I1090" s="1">
        <v>11541</v>
      </c>
      <c r="J1090" s="1">
        <v>158.41200000000001</v>
      </c>
      <c r="K1090" s="1">
        <v>-5.4009999999999998</v>
      </c>
      <c r="L1090" s="1">
        <v>19.071000000000002</v>
      </c>
      <c r="M1090" s="1" t="s">
        <v>885</v>
      </c>
      <c r="N1090" s="1" t="s">
        <v>1430</v>
      </c>
      <c r="O1090" s="1" t="s">
        <v>1460</v>
      </c>
      <c r="P1090" s="1" t="s">
        <v>1461</v>
      </c>
      <c r="Q1090" s="1" t="s">
        <v>158</v>
      </c>
      <c r="R1090" s="1" t="s">
        <v>166</v>
      </c>
      <c r="S1090" s="1" t="s">
        <v>201</v>
      </c>
    </row>
    <row r="1091" spans="1:19" hidden="1" x14ac:dyDescent="0.25">
      <c r="A1091" s="2">
        <v>158</v>
      </c>
      <c r="B1091" s="1" t="s">
        <v>1458</v>
      </c>
      <c r="C1091" s="1" t="s">
        <v>433</v>
      </c>
      <c r="D1091" s="1" t="s">
        <v>1459</v>
      </c>
      <c r="E1091" s="1">
        <v>3</v>
      </c>
      <c r="F1091" s="1">
        <v>161.53700000000001</v>
      </c>
      <c r="G1091" s="1">
        <v>8370</v>
      </c>
      <c r="H1091" s="1">
        <v>10013</v>
      </c>
      <c r="I1091" s="1">
        <v>11592</v>
      </c>
      <c r="J1091" s="1">
        <v>158.97399999999999</v>
      </c>
      <c r="K1091" s="1">
        <v>-5.3959999999999999</v>
      </c>
      <c r="L1091" s="1">
        <v>19.077000000000002</v>
      </c>
      <c r="M1091" s="1" t="s">
        <v>885</v>
      </c>
      <c r="N1091" s="1" t="s">
        <v>1430</v>
      </c>
      <c r="O1091" s="1" t="s">
        <v>1460</v>
      </c>
      <c r="P1091" s="1" t="s">
        <v>1461</v>
      </c>
      <c r="Q1091" s="1" t="s">
        <v>160</v>
      </c>
      <c r="R1091" s="1" t="s">
        <v>155</v>
      </c>
      <c r="S1091" s="1" t="s">
        <v>370</v>
      </c>
    </row>
    <row r="1092" spans="1:19" hidden="1" x14ac:dyDescent="0.25">
      <c r="A1092" s="2">
        <v>158</v>
      </c>
      <c r="B1092" s="1" t="s">
        <v>1458</v>
      </c>
      <c r="C1092" s="1" t="s">
        <v>433</v>
      </c>
      <c r="D1092" s="1" t="s">
        <v>1459</v>
      </c>
      <c r="E1092" s="1">
        <v>4</v>
      </c>
      <c r="F1092" s="1">
        <v>161.59100000000001</v>
      </c>
      <c r="G1092" s="1">
        <v>8304</v>
      </c>
      <c r="H1092" s="1">
        <v>9935</v>
      </c>
      <c r="I1092" s="1">
        <v>11503</v>
      </c>
      <c r="J1092" s="1">
        <v>159.02699999999999</v>
      </c>
      <c r="K1092" s="1">
        <v>-5.399</v>
      </c>
      <c r="L1092" s="1">
        <v>19.082999999999998</v>
      </c>
      <c r="M1092" s="1" t="s">
        <v>885</v>
      </c>
      <c r="N1092" s="1" t="s">
        <v>1430</v>
      </c>
      <c r="O1092" s="1" t="s">
        <v>1460</v>
      </c>
      <c r="P1092" s="1" t="s">
        <v>1461</v>
      </c>
      <c r="Q1092" s="1" t="s">
        <v>307</v>
      </c>
      <c r="R1092" s="1" t="s">
        <v>252</v>
      </c>
      <c r="S1092" s="1" t="s">
        <v>233</v>
      </c>
    </row>
    <row r="1093" spans="1:19" hidden="1" x14ac:dyDescent="0.25">
      <c r="A1093" s="2">
        <v>158</v>
      </c>
      <c r="B1093" s="1" t="s">
        <v>1458</v>
      </c>
      <c r="C1093" s="1" t="s">
        <v>433</v>
      </c>
      <c r="D1093" s="1" t="s">
        <v>1459</v>
      </c>
      <c r="E1093" s="1">
        <v>5</v>
      </c>
      <c r="F1093" s="1">
        <v>175.48099999999999</v>
      </c>
      <c r="G1093" s="1">
        <v>14713</v>
      </c>
      <c r="H1093" s="1">
        <v>17732</v>
      </c>
      <c r="I1093" s="1">
        <v>20470</v>
      </c>
      <c r="J1093" s="1">
        <v>172.68799999999999</v>
      </c>
      <c r="K1093" s="1">
        <v>-2.7360000000000002</v>
      </c>
      <c r="L1093" s="1">
        <v>23.577999999999999</v>
      </c>
      <c r="M1093" s="1" t="s">
        <v>885</v>
      </c>
      <c r="N1093" s="1" t="s">
        <v>1430</v>
      </c>
      <c r="O1093" s="1" t="s">
        <v>1460</v>
      </c>
      <c r="P1093" s="1" t="s">
        <v>1461</v>
      </c>
      <c r="Q1093" s="1" t="s">
        <v>199</v>
      </c>
      <c r="R1093" s="1" t="s">
        <v>184</v>
      </c>
      <c r="S1093" s="1" t="s">
        <v>130</v>
      </c>
    </row>
    <row r="1094" spans="1:19" x14ac:dyDescent="0.25">
      <c r="A1094" s="2">
        <v>158</v>
      </c>
      <c r="B1094" s="1" t="s">
        <v>1458</v>
      </c>
      <c r="C1094" s="1" t="s">
        <v>433</v>
      </c>
      <c r="D1094" s="1" t="s">
        <v>1459</v>
      </c>
      <c r="E1094" s="1">
        <v>6</v>
      </c>
      <c r="F1094" s="1">
        <v>155.33699999999999</v>
      </c>
      <c r="G1094" s="1">
        <v>13127</v>
      </c>
      <c r="H1094" s="1">
        <v>15817</v>
      </c>
      <c r="I1094" s="1">
        <v>18268</v>
      </c>
      <c r="J1094" s="1">
        <v>152.86500000000001</v>
      </c>
      <c r="K1094" s="1">
        <v>-2.6280000000000001</v>
      </c>
      <c r="L1094" s="1">
        <v>23.725999999999999</v>
      </c>
      <c r="M1094" s="1" t="s">
        <v>885</v>
      </c>
      <c r="N1094" s="1" t="s">
        <v>1430</v>
      </c>
      <c r="O1094" s="1" t="s">
        <v>1460</v>
      </c>
      <c r="P1094" s="1" t="s">
        <v>1461</v>
      </c>
      <c r="Q1094" s="1" t="s">
        <v>89</v>
      </c>
      <c r="R1094" s="1" t="s">
        <v>156</v>
      </c>
      <c r="S1094" s="1" t="s">
        <v>150</v>
      </c>
    </row>
    <row r="1095" spans="1:19" x14ac:dyDescent="0.25">
      <c r="A1095" s="2">
        <v>158</v>
      </c>
      <c r="B1095" s="1" t="s">
        <v>1458</v>
      </c>
      <c r="C1095" s="1" t="s">
        <v>433</v>
      </c>
      <c r="D1095" s="1" t="s">
        <v>1459</v>
      </c>
      <c r="E1095" s="1">
        <v>7</v>
      </c>
      <c r="F1095" s="1">
        <v>143.733</v>
      </c>
      <c r="G1095" s="1">
        <v>12182</v>
      </c>
      <c r="H1095" s="1">
        <v>14678</v>
      </c>
      <c r="I1095" s="1">
        <v>16960</v>
      </c>
      <c r="J1095" s="1">
        <v>141.44499999999999</v>
      </c>
      <c r="K1095" s="1">
        <v>-2.605</v>
      </c>
      <c r="L1095" s="1">
        <v>23.786000000000001</v>
      </c>
      <c r="M1095" s="1" t="s">
        <v>885</v>
      </c>
      <c r="N1095" s="1" t="s">
        <v>1430</v>
      </c>
      <c r="O1095" s="1" t="s">
        <v>1460</v>
      </c>
      <c r="P1095" s="1" t="s">
        <v>1461</v>
      </c>
      <c r="Q1095" s="1" t="s">
        <v>344</v>
      </c>
      <c r="R1095" s="1" t="s">
        <v>1041</v>
      </c>
      <c r="S1095" s="1" t="s">
        <v>473</v>
      </c>
    </row>
    <row r="1096" spans="1:19" hidden="1" x14ac:dyDescent="0.25">
      <c r="A1096" s="2">
        <v>159</v>
      </c>
      <c r="B1096" s="1" t="s">
        <v>1462</v>
      </c>
      <c r="C1096" s="1" t="s">
        <v>412</v>
      </c>
      <c r="D1096" s="1" t="s">
        <v>1463</v>
      </c>
      <c r="E1096" s="1">
        <v>1</v>
      </c>
      <c r="F1096" s="1">
        <v>163.11600000000001</v>
      </c>
      <c r="G1096" s="1">
        <v>8335</v>
      </c>
      <c r="H1096" s="1">
        <v>9972</v>
      </c>
      <c r="I1096" s="1">
        <v>11539</v>
      </c>
      <c r="J1096" s="1">
        <v>160.529</v>
      </c>
      <c r="K1096" s="1">
        <v>-5.4020000000000001</v>
      </c>
      <c r="L1096" s="1">
        <v>19.045000000000002</v>
      </c>
      <c r="M1096" s="1" t="s">
        <v>890</v>
      </c>
      <c r="N1096" s="1" t="s">
        <v>1430</v>
      </c>
      <c r="O1096" s="1" t="s">
        <v>1464</v>
      </c>
      <c r="P1096" s="1" t="s">
        <v>1465</v>
      </c>
      <c r="Q1096" s="1" t="s">
        <v>102</v>
      </c>
      <c r="R1096" s="1" t="s">
        <v>75</v>
      </c>
      <c r="S1096" s="1" t="s">
        <v>249</v>
      </c>
    </row>
    <row r="1097" spans="1:19" hidden="1" x14ac:dyDescent="0.25">
      <c r="A1097" s="2">
        <v>159</v>
      </c>
      <c r="B1097" s="1" t="s">
        <v>1462</v>
      </c>
      <c r="C1097" s="1" t="s">
        <v>412</v>
      </c>
      <c r="D1097" s="1" t="s">
        <v>1463</v>
      </c>
      <c r="E1097" s="1">
        <v>2</v>
      </c>
      <c r="F1097" s="1">
        <v>161.077</v>
      </c>
      <c r="G1097" s="1">
        <v>8338</v>
      </c>
      <c r="H1097" s="1">
        <v>9976</v>
      </c>
      <c r="I1097" s="1">
        <v>11543</v>
      </c>
      <c r="J1097" s="1">
        <v>158.52099999999999</v>
      </c>
      <c r="K1097" s="1">
        <v>-5.4080000000000004</v>
      </c>
      <c r="L1097" s="1">
        <v>19.053999999999998</v>
      </c>
      <c r="M1097" s="1" t="s">
        <v>890</v>
      </c>
      <c r="N1097" s="1" t="s">
        <v>1430</v>
      </c>
      <c r="O1097" s="1" t="s">
        <v>1464</v>
      </c>
      <c r="P1097" s="1" t="s">
        <v>1465</v>
      </c>
      <c r="Q1097" s="1" t="s">
        <v>253</v>
      </c>
      <c r="R1097" s="1" t="s">
        <v>297</v>
      </c>
      <c r="S1097" s="1" t="s">
        <v>295</v>
      </c>
    </row>
    <row r="1098" spans="1:19" hidden="1" x14ac:dyDescent="0.25">
      <c r="A1098" s="2">
        <v>159</v>
      </c>
      <c r="B1098" s="1" t="s">
        <v>1462</v>
      </c>
      <c r="C1098" s="1" t="s">
        <v>412</v>
      </c>
      <c r="D1098" s="1" t="s">
        <v>1463</v>
      </c>
      <c r="E1098" s="1">
        <v>3</v>
      </c>
      <c r="F1098" s="1">
        <v>162.68700000000001</v>
      </c>
      <c r="G1098" s="1">
        <v>8405</v>
      </c>
      <c r="H1098" s="1">
        <v>10056</v>
      </c>
      <c r="I1098" s="1">
        <v>11639</v>
      </c>
      <c r="J1098" s="1">
        <v>160.10599999999999</v>
      </c>
      <c r="K1098" s="1">
        <v>-5.4039999999999999</v>
      </c>
      <c r="L1098" s="1">
        <v>19.061</v>
      </c>
      <c r="M1098" s="1" t="s">
        <v>890</v>
      </c>
      <c r="N1098" s="1" t="s">
        <v>1430</v>
      </c>
      <c r="O1098" s="1" t="s">
        <v>1464</v>
      </c>
      <c r="P1098" s="1" t="s">
        <v>1465</v>
      </c>
      <c r="Q1098" s="1" t="s">
        <v>146</v>
      </c>
      <c r="R1098" s="1" t="s">
        <v>299</v>
      </c>
      <c r="S1098" s="1" t="s">
        <v>292</v>
      </c>
    </row>
    <row r="1099" spans="1:19" hidden="1" x14ac:dyDescent="0.25">
      <c r="A1099" s="2">
        <v>159</v>
      </c>
      <c r="B1099" s="1" t="s">
        <v>1462</v>
      </c>
      <c r="C1099" s="1" t="s">
        <v>412</v>
      </c>
      <c r="D1099" s="1" t="s">
        <v>1463</v>
      </c>
      <c r="E1099" s="1">
        <v>4</v>
      </c>
      <c r="F1099" s="1">
        <v>162.65299999999999</v>
      </c>
      <c r="G1099" s="1">
        <v>8365</v>
      </c>
      <c r="H1099" s="1">
        <v>10008</v>
      </c>
      <c r="I1099" s="1">
        <v>11582</v>
      </c>
      <c r="J1099" s="1">
        <v>160.07300000000001</v>
      </c>
      <c r="K1099" s="1">
        <v>-5.399</v>
      </c>
      <c r="L1099" s="1">
        <v>19.082999999999998</v>
      </c>
      <c r="M1099" s="1" t="s">
        <v>890</v>
      </c>
      <c r="N1099" s="1" t="s">
        <v>1430</v>
      </c>
      <c r="O1099" s="1" t="s">
        <v>1464</v>
      </c>
      <c r="P1099" s="1" t="s">
        <v>1465</v>
      </c>
      <c r="Q1099" s="1" t="s">
        <v>165</v>
      </c>
      <c r="R1099" s="1" t="s">
        <v>143</v>
      </c>
      <c r="S1099" s="1" t="s">
        <v>238</v>
      </c>
    </row>
    <row r="1100" spans="1:19" hidden="1" x14ac:dyDescent="0.25">
      <c r="A1100" s="2">
        <v>159</v>
      </c>
      <c r="B1100" s="1" t="s">
        <v>1462</v>
      </c>
      <c r="C1100" s="1" t="s">
        <v>412</v>
      </c>
      <c r="D1100" s="1" t="s">
        <v>1463</v>
      </c>
      <c r="E1100" s="1">
        <v>5</v>
      </c>
      <c r="F1100" s="1">
        <v>177.01400000000001</v>
      </c>
      <c r="G1100" s="1">
        <v>15127</v>
      </c>
      <c r="H1100" s="1">
        <v>18222</v>
      </c>
      <c r="I1100" s="1">
        <v>21049</v>
      </c>
      <c r="J1100" s="1">
        <v>174.196</v>
      </c>
      <c r="K1100" s="1">
        <v>-2.2349999999999999</v>
      </c>
      <c r="L1100" s="1">
        <v>23.911000000000001</v>
      </c>
      <c r="M1100" s="1" t="s">
        <v>890</v>
      </c>
      <c r="N1100" s="1" t="s">
        <v>1430</v>
      </c>
      <c r="O1100" s="1" t="s">
        <v>1464</v>
      </c>
      <c r="P1100" s="1" t="s">
        <v>1465</v>
      </c>
      <c r="Q1100" s="1" t="s">
        <v>211</v>
      </c>
      <c r="R1100" s="1" t="s">
        <v>114</v>
      </c>
      <c r="S1100" s="1" t="s">
        <v>66</v>
      </c>
    </row>
    <row r="1101" spans="1:19" x14ac:dyDescent="0.25">
      <c r="A1101" s="2">
        <v>159</v>
      </c>
      <c r="B1101" s="1" t="s">
        <v>1462</v>
      </c>
      <c r="C1101" s="1" t="s">
        <v>412</v>
      </c>
      <c r="D1101" s="1" t="s">
        <v>1463</v>
      </c>
      <c r="E1101" s="1">
        <v>6</v>
      </c>
      <c r="F1101" s="1">
        <v>155.61099999999999</v>
      </c>
      <c r="G1101" s="1">
        <v>13237</v>
      </c>
      <c r="H1101" s="1">
        <v>15942</v>
      </c>
      <c r="I1101" s="1">
        <v>18428</v>
      </c>
      <c r="J1101" s="1">
        <v>153.13300000000001</v>
      </c>
      <c r="K1101" s="1">
        <v>-2.1920000000000002</v>
      </c>
      <c r="L1101" s="1">
        <v>24.373000000000001</v>
      </c>
      <c r="M1101" s="1" t="s">
        <v>890</v>
      </c>
      <c r="N1101" s="1" t="s">
        <v>1430</v>
      </c>
      <c r="O1101" s="1" t="s">
        <v>1464</v>
      </c>
      <c r="P1101" s="1" t="s">
        <v>1465</v>
      </c>
      <c r="Q1101" s="1" t="s">
        <v>249</v>
      </c>
      <c r="R1101" s="1" t="s">
        <v>194</v>
      </c>
      <c r="S1101" s="1" t="s">
        <v>168</v>
      </c>
    </row>
    <row r="1102" spans="1:19" x14ac:dyDescent="0.25">
      <c r="A1102" s="2">
        <v>159</v>
      </c>
      <c r="B1102" s="1" t="s">
        <v>1462</v>
      </c>
      <c r="C1102" s="1" t="s">
        <v>412</v>
      </c>
      <c r="D1102" s="1" t="s">
        <v>1463</v>
      </c>
      <c r="E1102" s="1">
        <v>7</v>
      </c>
      <c r="F1102" s="1">
        <v>143.46100000000001</v>
      </c>
      <c r="G1102" s="1">
        <v>12160</v>
      </c>
      <c r="H1102" s="1">
        <v>14640</v>
      </c>
      <c r="I1102" s="1">
        <v>16925</v>
      </c>
      <c r="J1102" s="1">
        <v>141.17599999999999</v>
      </c>
      <c r="K1102" s="1">
        <v>-2.1309999999999998</v>
      </c>
      <c r="L1102" s="1">
        <v>24.422999999999998</v>
      </c>
      <c r="M1102" s="1" t="s">
        <v>890</v>
      </c>
      <c r="N1102" s="1" t="s">
        <v>1430</v>
      </c>
      <c r="O1102" s="1" t="s">
        <v>1464</v>
      </c>
      <c r="P1102" s="1" t="s">
        <v>1465</v>
      </c>
      <c r="Q1102" s="1" t="s">
        <v>1142</v>
      </c>
      <c r="R1102" s="1" t="s">
        <v>507</v>
      </c>
      <c r="S1102" s="1" t="s">
        <v>343</v>
      </c>
    </row>
    <row r="1103" spans="1:19" hidden="1" x14ac:dyDescent="0.25">
      <c r="A1103" s="2">
        <v>160</v>
      </c>
      <c r="B1103" s="1" t="s">
        <v>1466</v>
      </c>
      <c r="C1103" s="1" t="s">
        <v>1467</v>
      </c>
      <c r="D1103" s="1" t="s">
        <v>1468</v>
      </c>
      <c r="E1103" s="1">
        <v>1</v>
      </c>
      <c r="F1103" s="1">
        <v>162.85400000000001</v>
      </c>
      <c r="G1103" s="1">
        <v>8303</v>
      </c>
      <c r="H1103" s="1">
        <v>9933</v>
      </c>
      <c r="I1103" s="1">
        <v>11501</v>
      </c>
      <c r="J1103" s="1">
        <v>160.27099999999999</v>
      </c>
      <c r="K1103" s="1">
        <v>-5.3869999999999996</v>
      </c>
      <c r="L1103" s="1">
        <v>19.099</v>
      </c>
      <c r="M1103" s="1" t="s">
        <v>447</v>
      </c>
      <c r="N1103" s="1" t="s">
        <v>1430</v>
      </c>
      <c r="O1103" s="1" t="s">
        <v>1469</v>
      </c>
      <c r="P1103" s="1" t="s">
        <v>1470</v>
      </c>
      <c r="Q1103" s="1" t="s">
        <v>127</v>
      </c>
      <c r="R1103" s="1" t="s">
        <v>108</v>
      </c>
      <c r="S1103" s="1" t="s">
        <v>253</v>
      </c>
    </row>
    <row r="1104" spans="1:19" hidden="1" x14ac:dyDescent="0.25">
      <c r="A1104" s="2">
        <v>160</v>
      </c>
      <c r="B1104" s="1" t="s">
        <v>1466</v>
      </c>
      <c r="C1104" s="1" t="s">
        <v>1467</v>
      </c>
      <c r="D1104" s="1" t="s">
        <v>1468</v>
      </c>
      <c r="E1104" s="1">
        <v>2</v>
      </c>
      <c r="F1104" s="1">
        <v>161.834</v>
      </c>
      <c r="G1104" s="1">
        <v>8351</v>
      </c>
      <c r="H1104" s="1">
        <v>9990</v>
      </c>
      <c r="I1104" s="1">
        <v>11567</v>
      </c>
      <c r="J1104" s="1">
        <v>159.267</v>
      </c>
      <c r="K1104" s="1">
        <v>-5.391</v>
      </c>
      <c r="L1104" s="1">
        <v>19.074999999999999</v>
      </c>
      <c r="M1104" s="1" t="s">
        <v>447</v>
      </c>
      <c r="N1104" s="1" t="s">
        <v>1430</v>
      </c>
      <c r="O1104" s="1" t="s">
        <v>1469</v>
      </c>
      <c r="P1104" s="1" t="s">
        <v>1470</v>
      </c>
      <c r="Q1104" s="1" t="s">
        <v>147</v>
      </c>
      <c r="R1104" s="1" t="s">
        <v>279</v>
      </c>
      <c r="S1104" s="1" t="s">
        <v>376</v>
      </c>
    </row>
    <row r="1105" spans="1:19" hidden="1" x14ac:dyDescent="0.25">
      <c r="A1105" s="2">
        <v>160</v>
      </c>
      <c r="B1105" s="1" t="s">
        <v>1466</v>
      </c>
      <c r="C1105" s="1" t="s">
        <v>1467</v>
      </c>
      <c r="D1105" s="1" t="s">
        <v>1468</v>
      </c>
      <c r="E1105" s="1">
        <v>3</v>
      </c>
      <c r="F1105" s="1">
        <v>162.81700000000001</v>
      </c>
      <c r="G1105" s="1">
        <v>8402</v>
      </c>
      <c r="H1105" s="1">
        <v>10052</v>
      </c>
      <c r="I1105" s="1">
        <v>11639</v>
      </c>
      <c r="J1105" s="1">
        <v>160.23400000000001</v>
      </c>
      <c r="K1105" s="1">
        <v>-5.4020000000000001</v>
      </c>
      <c r="L1105" s="1">
        <v>19.082999999999998</v>
      </c>
      <c r="M1105" s="1" t="s">
        <v>447</v>
      </c>
      <c r="N1105" s="1" t="s">
        <v>1430</v>
      </c>
      <c r="O1105" s="1" t="s">
        <v>1469</v>
      </c>
      <c r="P1105" s="1" t="s">
        <v>1470</v>
      </c>
      <c r="Q1105" s="1" t="s">
        <v>167</v>
      </c>
      <c r="R1105" s="1" t="s">
        <v>237</v>
      </c>
      <c r="S1105" s="1" t="s">
        <v>206</v>
      </c>
    </row>
    <row r="1106" spans="1:19" hidden="1" x14ac:dyDescent="0.25">
      <c r="A1106" s="2">
        <v>160</v>
      </c>
      <c r="B1106" s="1" t="s">
        <v>1466</v>
      </c>
      <c r="C1106" s="1" t="s">
        <v>1467</v>
      </c>
      <c r="D1106" s="1" t="s">
        <v>1468</v>
      </c>
      <c r="E1106" s="1">
        <v>4</v>
      </c>
      <c r="F1106" s="1">
        <v>162.494</v>
      </c>
      <c r="G1106" s="1">
        <v>8337</v>
      </c>
      <c r="H1106" s="1">
        <v>9974</v>
      </c>
      <c r="I1106" s="1">
        <v>11548</v>
      </c>
      <c r="J1106" s="1">
        <v>159.916</v>
      </c>
      <c r="K1106" s="1">
        <v>-5.399</v>
      </c>
      <c r="L1106" s="1">
        <v>19.082999999999998</v>
      </c>
      <c r="M1106" s="1" t="s">
        <v>447</v>
      </c>
      <c r="N1106" s="1" t="s">
        <v>1430</v>
      </c>
      <c r="O1106" s="1" t="s">
        <v>1469</v>
      </c>
      <c r="P1106" s="1" t="s">
        <v>1470</v>
      </c>
      <c r="Q1106" s="1" t="s">
        <v>161</v>
      </c>
      <c r="R1106" s="1" t="s">
        <v>236</v>
      </c>
      <c r="S1106" s="1" t="s">
        <v>413</v>
      </c>
    </row>
    <row r="1107" spans="1:19" hidden="1" x14ac:dyDescent="0.25">
      <c r="A1107" s="2">
        <v>160</v>
      </c>
      <c r="B1107" s="1" t="s">
        <v>1466</v>
      </c>
      <c r="C1107" s="1" t="s">
        <v>1467</v>
      </c>
      <c r="D1107" s="1" t="s">
        <v>1468</v>
      </c>
      <c r="E1107" s="1">
        <v>5</v>
      </c>
      <c r="F1107" s="1">
        <v>159.464</v>
      </c>
      <c r="G1107" s="1">
        <v>13429</v>
      </c>
      <c r="H1107" s="1">
        <v>16283</v>
      </c>
      <c r="I1107" s="1">
        <v>18716</v>
      </c>
      <c r="J1107" s="1">
        <v>156.91399999999999</v>
      </c>
      <c r="K1107" s="1">
        <v>3.7839999999999998</v>
      </c>
      <c r="L1107" s="1">
        <v>25.068999999999999</v>
      </c>
      <c r="M1107" s="1" t="s">
        <v>447</v>
      </c>
      <c r="N1107" s="1" t="s">
        <v>1430</v>
      </c>
      <c r="O1107" s="1" t="s">
        <v>1469</v>
      </c>
      <c r="P1107" s="1" t="s">
        <v>1470</v>
      </c>
      <c r="Q1107" s="1" t="s">
        <v>189</v>
      </c>
      <c r="R1107" s="1" t="s">
        <v>222</v>
      </c>
      <c r="S1107" s="1" t="s">
        <v>111</v>
      </c>
    </row>
    <row r="1108" spans="1:19" x14ac:dyDescent="0.25">
      <c r="A1108" s="2">
        <v>160</v>
      </c>
      <c r="B1108" s="1" t="s">
        <v>1466</v>
      </c>
      <c r="C1108" s="1" t="s">
        <v>1467</v>
      </c>
      <c r="D1108" s="1" t="s">
        <v>1468</v>
      </c>
      <c r="E1108" s="1">
        <v>6</v>
      </c>
      <c r="F1108" s="1">
        <v>141.71100000000001</v>
      </c>
      <c r="G1108" s="1">
        <v>12090</v>
      </c>
      <c r="H1108" s="1">
        <v>14654</v>
      </c>
      <c r="I1108" s="1">
        <v>16851</v>
      </c>
      <c r="J1108" s="1">
        <v>139.44499999999999</v>
      </c>
      <c r="K1108" s="1">
        <v>3.879</v>
      </c>
      <c r="L1108" s="1">
        <v>25.161000000000001</v>
      </c>
      <c r="M1108" s="1" t="s">
        <v>447</v>
      </c>
      <c r="N1108" s="1" t="s">
        <v>1430</v>
      </c>
      <c r="O1108" s="1" t="s">
        <v>1469</v>
      </c>
      <c r="P1108" s="1" t="s">
        <v>1470</v>
      </c>
      <c r="Q1108" s="1" t="s">
        <v>267</v>
      </c>
      <c r="R1108" s="1" t="s">
        <v>101</v>
      </c>
      <c r="S1108" s="1" t="s">
        <v>178</v>
      </c>
    </row>
    <row r="1109" spans="1:19" x14ac:dyDescent="0.25">
      <c r="A1109" s="2">
        <v>160</v>
      </c>
      <c r="B1109" s="1" t="s">
        <v>1466</v>
      </c>
      <c r="C1109" s="1" t="s">
        <v>1467</v>
      </c>
      <c r="D1109" s="1" t="s">
        <v>1468</v>
      </c>
      <c r="E1109" s="1">
        <v>7</v>
      </c>
      <c r="F1109" s="1">
        <v>131.53800000000001</v>
      </c>
      <c r="G1109" s="1">
        <v>11317</v>
      </c>
      <c r="H1109" s="1">
        <v>13715</v>
      </c>
      <c r="I1109" s="1">
        <v>15770</v>
      </c>
      <c r="J1109" s="1">
        <v>129.435</v>
      </c>
      <c r="K1109" s="1">
        <v>3.8940000000000001</v>
      </c>
      <c r="L1109" s="1">
        <v>25.222000000000001</v>
      </c>
      <c r="M1109" s="1" t="s">
        <v>447</v>
      </c>
      <c r="N1109" s="1" t="s">
        <v>1430</v>
      </c>
      <c r="O1109" s="1" t="s">
        <v>1469</v>
      </c>
      <c r="P1109" s="1" t="s">
        <v>1470</v>
      </c>
      <c r="Q1109" s="1" t="s">
        <v>1471</v>
      </c>
      <c r="R1109" s="1" t="s">
        <v>683</v>
      </c>
      <c r="S1109" s="1" t="s">
        <v>482</v>
      </c>
    </row>
    <row r="1110" spans="1:19" hidden="1" x14ac:dyDescent="0.25">
      <c r="A1110" s="2">
        <v>161</v>
      </c>
      <c r="B1110" s="1" t="s">
        <v>1472</v>
      </c>
      <c r="C1110" s="1" t="s">
        <v>340</v>
      </c>
      <c r="D1110" s="1" t="s">
        <v>1473</v>
      </c>
      <c r="E1110" s="1">
        <v>1</v>
      </c>
      <c r="F1110" s="1">
        <v>163.815</v>
      </c>
      <c r="G1110" s="1">
        <v>8361</v>
      </c>
      <c r="H1110" s="1">
        <v>10003</v>
      </c>
      <c r="I1110" s="1">
        <v>11582</v>
      </c>
      <c r="J1110" s="1">
        <v>161.21600000000001</v>
      </c>
      <c r="K1110" s="1">
        <v>-5.3929999999999998</v>
      </c>
      <c r="L1110" s="1">
        <v>19.09</v>
      </c>
      <c r="M1110" s="1" t="s">
        <v>901</v>
      </c>
      <c r="N1110" s="1" t="s">
        <v>1430</v>
      </c>
      <c r="O1110" s="1" t="s">
        <v>1474</v>
      </c>
      <c r="P1110" s="1" t="s">
        <v>1475</v>
      </c>
      <c r="Q1110" s="1" t="s">
        <v>98</v>
      </c>
      <c r="R1110" s="1" t="s">
        <v>108</v>
      </c>
      <c r="S1110" s="1" t="s">
        <v>147</v>
      </c>
    </row>
    <row r="1111" spans="1:19" hidden="1" x14ac:dyDescent="0.25">
      <c r="A1111" s="2">
        <v>161</v>
      </c>
      <c r="B1111" s="1" t="s">
        <v>1472</v>
      </c>
      <c r="C1111" s="1" t="s">
        <v>340</v>
      </c>
      <c r="D1111" s="1" t="s">
        <v>1473</v>
      </c>
      <c r="E1111" s="1">
        <v>2</v>
      </c>
      <c r="F1111" s="1">
        <v>161.90600000000001</v>
      </c>
      <c r="G1111" s="1">
        <v>8364</v>
      </c>
      <c r="H1111" s="1">
        <v>10006</v>
      </c>
      <c r="I1111" s="1">
        <v>11587</v>
      </c>
      <c r="J1111" s="1">
        <v>159.33799999999999</v>
      </c>
      <c r="K1111" s="1">
        <v>-5.3890000000000002</v>
      </c>
      <c r="L1111" s="1">
        <v>19.079999999999998</v>
      </c>
      <c r="M1111" s="1" t="s">
        <v>901</v>
      </c>
      <c r="N1111" s="1" t="s">
        <v>1430</v>
      </c>
      <c r="O1111" s="1" t="s">
        <v>1474</v>
      </c>
      <c r="P1111" s="1" t="s">
        <v>1475</v>
      </c>
      <c r="Q1111" s="1" t="s">
        <v>89</v>
      </c>
      <c r="R1111" s="1" t="s">
        <v>156</v>
      </c>
      <c r="S1111" s="1" t="s">
        <v>376</v>
      </c>
    </row>
    <row r="1112" spans="1:19" hidden="1" x14ac:dyDescent="0.25">
      <c r="A1112" s="2">
        <v>161</v>
      </c>
      <c r="B1112" s="1" t="s">
        <v>1472</v>
      </c>
      <c r="C1112" s="1" t="s">
        <v>340</v>
      </c>
      <c r="D1112" s="1" t="s">
        <v>1473</v>
      </c>
      <c r="E1112" s="1">
        <v>3</v>
      </c>
      <c r="F1112" s="1">
        <v>163.005</v>
      </c>
      <c r="G1112" s="1">
        <v>8408</v>
      </c>
      <c r="H1112" s="1">
        <v>10058</v>
      </c>
      <c r="I1112" s="1">
        <v>11646</v>
      </c>
      <c r="J1112" s="1">
        <v>160.41900000000001</v>
      </c>
      <c r="K1112" s="1">
        <v>-5.3940000000000001</v>
      </c>
      <c r="L1112" s="1">
        <v>19.064</v>
      </c>
      <c r="M1112" s="1" t="s">
        <v>901</v>
      </c>
      <c r="N1112" s="1" t="s">
        <v>1430</v>
      </c>
      <c r="O1112" s="1" t="s">
        <v>1474</v>
      </c>
      <c r="P1112" s="1" t="s">
        <v>1475</v>
      </c>
      <c r="Q1112" s="1" t="s">
        <v>138</v>
      </c>
      <c r="R1112" s="1" t="s">
        <v>170</v>
      </c>
      <c r="S1112" s="1" t="s">
        <v>174</v>
      </c>
    </row>
    <row r="1113" spans="1:19" hidden="1" x14ac:dyDescent="0.25">
      <c r="A1113" s="2">
        <v>161</v>
      </c>
      <c r="B1113" s="1" t="s">
        <v>1472</v>
      </c>
      <c r="C1113" s="1" t="s">
        <v>340</v>
      </c>
      <c r="D1113" s="1" t="s">
        <v>1473</v>
      </c>
      <c r="E1113" s="1">
        <v>4</v>
      </c>
      <c r="F1113" s="1">
        <v>162.773</v>
      </c>
      <c r="G1113" s="1">
        <v>8374</v>
      </c>
      <c r="H1113" s="1">
        <v>10018</v>
      </c>
      <c r="I1113" s="1">
        <v>11600</v>
      </c>
      <c r="J1113" s="1">
        <v>160.191</v>
      </c>
      <c r="K1113" s="1">
        <v>-5.399</v>
      </c>
      <c r="L1113" s="1">
        <v>19.082999999999998</v>
      </c>
      <c r="M1113" s="1" t="s">
        <v>901</v>
      </c>
      <c r="N1113" s="1" t="s">
        <v>1430</v>
      </c>
      <c r="O1113" s="1" t="s">
        <v>1474</v>
      </c>
      <c r="P1113" s="1" t="s">
        <v>1475</v>
      </c>
      <c r="Q1113" s="1" t="s">
        <v>139</v>
      </c>
      <c r="R1113" s="1" t="s">
        <v>266</v>
      </c>
      <c r="S1113" s="1" t="s">
        <v>305</v>
      </c>
    </row>
    <row r="1114" spans="1:19" hidden="1" x14ac:dyDescent="0.25">
      <c r="A1114" s="2">
        <v>161</v>
      </c>
      <c r="B1114" s="1" t="s">
        <v>1472</v>
      </c>
      <c r="C1114" s="1" t="s">
        <v>340</v>
      </c>
      <c r="D1114" s="1" t="s">
        <v>1473</v>
      </c>
      <c r="E1114" s="1">
        <v>5</v>
      </c>
      <c r="F1114" s="1">
        <v>187.018</v>
      </c>
      <c r="G1114" s="1">
        <v>15743</v>
      </c>
      <c r="H1114" s="1">
        <v>19076</v>
      </c>
      <c r="I1114" s="1">
        <v>21936</v>
      </c>
      <c r="J1114" s="1">
        <v>184.02699999999999</v>
      </c>
      <c r="K1114" s="1">
        <v>3.88</v>
      </c>
      <c r="L1114" s="1">
        <v>24.872</v>
      </c>
      <c r="M1114" s="1" t="s">
        <v>901</v>
      </c>
      <c r="N1114" s="1" t="s">
        <v>1430</v>
      </c>
      <c r="O1114" s="1" t="s">
        <v>1474</v>
      </c>
      <c r="P1114" s="1" t="s">
        <v>1475</v>
      </c>
      <c r="Q1114" s="1" t="s">
        <v>205</v>
      </c>
      <c r="R1114" s="1" t="s">
        <v>106</v>
      </c>
      <c r="S1114" s="1" t="s">
        <v>56</v>
      </c>
    </row>
    <row r="1115" spans="1:19" x14ac:dyDescent="0.25">
      <c r="A1115" s="2">
        <v>161</v>
      </c>
      <c r="B1115" s="1" t="s">
        <v>1472</v>
      </c>
      <c r="C1115" s="1" t="s">
        <v>340</v>
      </c>
      <c r="D1115" s="1" t="s">
        <v>1473</v>
      </c>
      <c r="E1115" s="1">
        <v>6</v>
      </c>
      <c r="F1115" s="1">
        <v>165.011</v>
      </c>
      <c r="G1115" s="1">
        <v>13892</v>
      </c>
      <c r="H1115" s="1">
        <v>16827</v>
      </c>
      <c r="I1115" s="1">
        <v>19366</v>
      </c>
      <c r="J1115" s="1">
        <v>162.37200000000001</v>
      </c>
      <c r="K1115" s="1">
        <v>3.9220000000000002</v>
      </c>
      <c r="L1115" s="1">
        <v>25.202999999999999</v>
      </c>
      <c r="M1115" s="1" t="s">
        <v>901</v>
      </c>
      <c r="N1115" s="1" t="s">
        <v>1430</v>
      </c>
      <c r="O1115" s="1" t="s">
        <v>1474</v>
      </c>
      <c r="P1115" s="1" t="s">
        <v>1475</v>
      </c>
      <c r="Q1115" s="1" t="s">
        <v>158</v>
      </c>
      <c r="R1115" s="1" t="s">
        <v>170</v>
      </c>
      <c r="S1115" s="1" t="s">
        <v>274</v>
      </c>
    </row>
    <row r="1116" spans="1:19" x14ac:dyDescent="0.25">
      <c r="A1116" s="2">
        <v>161</v>
      </c>
      <c r="B1116" s="1" t="s">
        <v>1472</v>
      </c>
      <c r="C1116" s="1" t="s">
        <v>340</v>
      </c>
      <c r="D1116" s="1" t="s">
        <v>1473</v>
      </c>
      <c r="E1116" s="1">
        <v>7</v>
      </c>
      <c r="F1116" s="1">
        <v>152.642</v>
      </c>
      <c r="G1116" s="1">
        <v>12853</v>
      </c>
      <c r="H1116" s="1">
        <v>15566</v>
      </c>
      <c r="I1116" s="1">
        <v>17915</v>
      </c>
      <c r="J1116" s="1">
        <v>150.20099999999999</v>
      </c>
      <c r="K1116" s="1">
        <v>3.9420000000000002</v>
      </c>
      <c r="L1116" s="1">
        <v>25.241</v>
      </c>
      <c r="M1116" s="1" t="s">
        <v>901</v>
      </c>
      <c r="N1116" s="1" t="s">
        <v>1430</v>
      </c>
      <c r="O1116" s="1" t="s">
        <v>1474</v>
      </c>
      <c r="P1116" s="1" t="s">
        <v>1475</v>
      </c>
      <c r="Q1116" s="1" t="s">
        <v>337</v>
      </c>
      <c r="R1116" s="1" t="s">
        <v>400</v>
      </c>
      <c r="S1116" s="1" t="s">
        <v>1476</v>
      </c>
    </row>
    <row r="1117" spans="1:19" hidden="1" x14ac:dyDescent="0.25">
      <c r="A1117" s="2">
        <v>162</v>
      </c>
      <c r="B1117" s="1" t="s">
        <v>1477</v>
      </c>
      <c r="C1117" s="1" t="s">
        <v>340</v>
      </c>
      <c r="D1117" s="1" t="s">
        <v>1478</v>
      </c>
      <c r="E1117" s="1">
        <v>1</v>
      </c>
      <c r="F1117" s="1">
        <v>162.56200000000001</v>
      </c>
      <c r="G1117" s="1">
        <v>8308</v>
      </c>
      <c r="H1117" s="1">
        <v>9939</v>
      </c>
      <c r="I1117" s="1">
        <v>11508</v>
      </c>
      <c r="J1117" s="1">
        <v>159.983</v>
      </c>
      <c r="K1117" s="1">
        <v>-5.41</v>
      </c>
      <c r="L1117" s="1">
        <v>19.073</v>
      </c>
      <c r="M1117" s="1" t="s">
        <v>449</v>
      </c>
      <c r="N1117" s="1" t="s">
        <v>1430</v>
      </c>
      <c r="O1117" s="1" t="s">
        <v>798</v>
      </c>
      <c r="P1117" s="1" t="s">
        <v>1479</v>
      </c>
      <c r="Q1117" s="1" t="s">
        <v>102</v>
      </c>
      <c r="R1117" s="1" t="s">
        <v>75</v>
      </c>
      <c r="S1117" s="1" t="s">
        <v>291</v>
      </c>
    </row>
    <row r="1118" spans="1:19" hidden="1" x14ac:dyDescent="0.25">
      <c r="A1118" s="2">
        <v>162</v>
      </c>
      <c r="B1118" s="1" t="s">
        <v>1477</v>
      </c>
      <c r="C1118" s="1" t="s">
        <v>340</v>
      </c>
      <c r="D1118" s="1" t="s">
        <v>1478</v>
      </c>
      <c r="E1118" s="1">
        <v>2</v>
      </c>
      <c r="F1118" s="1">
        <v>162.02099999999999</v>
      </c>
      <c r="G1118" s="1">
        <v>8389</v>
      </c>
      <c r="H1118" s="1">
        <v>10036</v>
      </c>
      <c r="I1118" s="1">
        <v>11621</v>
      </c>
      <c r="J1118" s="1">
        <v>159.45099999999999</v>
      </c>
      <c r="K1118" s="1">
        <v>-5.38</v>
      </c>
      <c r="L1118" s="1">
        <v>19.065000000000001</v>
      </c>
      <c r="M1118" s="1" t="s">
        <v>449</v>
      </c>
      <c r="N1118" s="1" t="s">
        <v>1430</v>
      </c>
      <c r="O1118" s="1" t="s">
        <v>798</v>
      </c>
      <c r="P1118" s="1" t="s">
        <v>1479</v>
      </c>
      <c r="Q1118" s="1" t="s">
        <v>147</v>
      </c>
      <c r="R1118" s="1" t="s">
        <v>198</v>
      </c>
      <c r="S1118" s="1" t="s">
        <v>180</v>
      </c>
    </row>
    <row r="1119" spans="1:19" hidden="1" x14ac:dyDescent="0.25">
      <c r="A1119" s="2">
        <v>162</v>
      </c>
      <c r="B1119" s="1" t="s">
        <v>1477</v>
      </c>
      <c r="C1119" s="1" t="s">
        <v>340</v>
      </c>
      <c r="D1119" s="1" t="s">
        <v>1478</v>
      </c>
      <c r="E1119" s="1">
        <v>3</v>
      </c>
      <c r="F1119" s="1">
        <v>162.655</v>
      </c>
      <c r="G1119" s="1">
        <v>8423</v>
      </c>
      <c r="H1119" s="1">
        <v>10076</v>
      </c>
      <c r="I1119" s="1">
        <v>11669</v>
      </c>
      <c r="J1119" s="1">
        <v>160.07400000000001</v>
      </c>
      <c r="K1119" s="1">
        <v>-5.3929999999999998</v>
      </c>
      <c r="L1119" s="1">
        <v>19.085999999999999</v>
      </c>
      <c r="M1119" s="1" t="s">
        <v>449</v>
      </c>
      <c r="N1119" s="1" t="s">
        <v>1430</v>
      </c>
      <c r="O1119" s="1" t="s">
        <v>798</v>
      </c>
      <c r="P1119" s="1" t="s">
        <v>1479</v>
      </c>
      <c r="Q1119" s="1" t="s">
        <v>167</v>
      </c>
      <c r="R1119" s="1" t="s">
        <v>237</v>
      </c>
      <c r="S1119" s="1" t="s">
        <v>206</v>
      </c>
    </row>
    <row r="1120" spans="1:19" hidden="1" x14ac:dyDescent="0.25">
      <c r="A1120" s="2">
        <v>162</v>
      </c>
      <c r="B1120" s="1" t="s">
        <v>1477</v>
      </c>
      <c r="C1120" s="1" t="s">
        <v>340</v>
      </c>
      <c r="D1120" s="1" t="s">
        <v>1478</v>
      </c>
      <c r="E1120" s="1">
        <v>4</v>
      </c>
      <c r="F1120" s="1">
        <v>163.376</v>
      </c>
      <c r="G1120" s="1">
        <v>8388</v>
      </c>
      <c r="H1120" s="1">
        <v>10034</v>
      </c>
      <c r="I1120" s="1">
        <v>11618</v>
      </c>
      <c r="J1120" s="1">
        <v>160.78399999999999</v>
      </c>
      <c r="K1120" s="1">
        <v>-5.399</v>
      </c>
      <c r="L1120" s="1">
        <v>19.082999999999998</v>
      </c>
      <c r="M1120" s="1" t="s">
        <v>449</v>
      </c>
      <c r="N1120" s="1" t="s">
        <v>1430</v>
      </c>
      <c r="O1120" s="1" t="s">
        <v>798</v>
      </c>
      <c r="P1120" s="1" t="s">
        <v>1479</v>
      </c>
      <c r="Q1120" s="1" t="s">
        <v>161</v>
      </c>
      <c r="R1120" s="1" t="s">
        <v>236</v>
      </c>
      <c r="S1120" s="1" t="s">
        <v>413</v>
      </c>
    </row>
    <row r="1121" spans="1:19" hidden="1" x14ac:dyDescent="0.25">
      <c r="A1121" s="2">
        <v>162</v>
      </c>
      <c r="B1121" s="1" t="s">
        <v>1477</v>
      </c>
      <c r="C1121" s="1" t="s">
        <v>340</v>
      </c>
      <c r="D1121" s="1" t="s">
        <v>1478</v>
      </c>
      <c r="E1121" s="1">
        <v>5</v>
      </c>
      <c r="F1121" s="1">
        <v>166.30199999999999</v>
      </c>
      <c r="G1121" s="1">
        <v>14416</v>
      </c>
      <c r="H1121" s="1">
        <v>17386</v>
      </c>
      <c r="I1121" s="1">
        <v>20074</v>
      </c>
      <c r="J1121" s="1">
        <v>163.655</v>
      </c>
      <c r="K1121" s="1">
        <v>-2.1349999999999998</v>
      </c>
      <c r="L1121" s="1">
        <v>24.035</v>
      </c>
      <c r="M1121" s="1" t="s">
        <v>449</v>
      </c>
      <c r="N1121" s="1" t="s">
        <v>1430</v>
      </c>
      <c r="O1121" s="1" t="s">
        <v>798</v>
      </c>
      <c r="P1121" s="1" t="s">
        <v>1479</v>
      </c>
      <c r="Q1121" s="1" t="s">
        <v>189</v>
      </c>
      <c r="R1121" s="1" t="s">
        <v>222</v>
      </c>
      <c r="S1121" s="1" t="s">
        <v>111</v>
      </c>
    </row>
    <row r="1122" spans="1:19" x14ac:dyDescent="0.25">
      <c r="A1122" s="2">
        <v>162</v>
      </c>
      <c r="B1122" s="1" t="s">
        <v>1477</v>
      </c>
      <c r="C1122" s="1" t="s">
        <v>340</v>
      </c>
      <c r="D1122" s="1" t="s">
        <v>1478</v>
      </c>
      <c r="E1122" s="1">
        <v>6</v>
      </c>
      <c r="F1122" s="1">
        <v>148.553</v>
      </c>
      <c r="G1122" s="1">
        <v>13016</v>
      </c>
      <c r="H1122" s="1">
        <v>15690</v>
      </c>
      <c r="I1122" s="1">
        <v>18122</v>
      </c>
      <c r="J1122" s="1">
        <v>146.18799999999999</v>
      </c>
      <c r="K1122" s="1">
        <v>-2.073</v>
      </c>
      <c r="L1122" s="1">
        <v>24.158000000000001</v>
      </c>
      <c r="M1122" s="1" t="s">
        <v>449</v>
      </c>
      <c r="N1122" s="1" t="s">
        <v>1430</v>
      </c>
      <c r="O1122" s="1" t="s">
        <v>798</v>
      </c>
      <c r="P1122" s="1" t="s">
        <v>1479</v>
      </c>
      <c r="Q1122" s="1" t="s">
        <v>89</v>
      </c>
      <c r="R1122" s="1" t="s">
        <v>156</v>
      </c>
      <c r="S1122" s="1" t="s">
        <v>123</v>
      </c>
    </row>
    <row r="1123" spans="1:19" x14ac:dyDescent="0.25">
      <c r="A1123" s="2">
        <v>162</v>
      </c>
      <c r="B1123" s="1" t="s">
        <v>1477</v>
      </c>
      <c r="C1123" s="1" t="s">
        <v>340</v>
      </c>
      <c r="D1123" s="1" t="s">
        <v>1478</v>
      </c>
      <c r="E1123" s="1">
        <v>7</v>
      </c>
      <c r="F1123" s="1">
        <v>138.33799999999999</v>
      </c>
      <c r="G1123" s="1">
        <v>12203</v>
      </c>
      <c r="H1123" s="1">
        <v>14706</v>
      </c>
      <c r="I1123" s="1">
        <v>16995</v>
      </c>
      <c r="J1123" s="1">
        <v>136.13499999999999</v>
      </c>
      <c r="K1123" s="1">
        <v>-2.0139999999999998</v>
      </c>
      <c r="L1123" s="1">
        <v>24.218</v>
      </c>
      <c r="M1123" s="1" t="s">
        <v>449</v>
      </c>
      <c r="N1123" s="1" t="s">
        <v>1430</v>
      </c>
      <c r="O1123" s="1" t="s">
        <v>798</v>
      </c>
      <c r="P1123" s="1" t="s">
        <v>1479</v>
      </c>
      <c r="Q1123" s="1" t="s">
        <v>532</v>
      </c>
      <c r="R1123" s="1" t="s">
        <v>404</v>
      </c>
      <c r="S1123" s="1" t="s">
        <v>737</v>
      </c>
    </row>
    <row r="1124" spans="1:19" hidden="1" x14ac:dyDescent="0.25">
      <c r="A1124" s="2">
        <v>163</v>
      </c>
      <c r="B1124" s="1" t="s">
        <v>1480</v>
      </c>
      <c r="C1124" s="1" t="s">
        <v>617</v>
      </c>
      <c r="D1124" s="1" t="s">
        <v>1481</v>
      </c>
      <c r="E1124" s="1">
        <v>1</v>
      </c>
      <c r="F1124" s="1">
        <v>162.37700000000001</v>
      </c>
      <c r="G1124" s="1">
        <v>8295</v>
      </c>
      <c r="H1124" s="1">
        <v>9924</v>
      </c>
      <c r="I1124" s="1">
        <v>11491</v>
      </c>
      <c r="J1124" s="1">
        <v>159.80099999999999</v>
      </c>
      <c r="K1124" s="1">
        <v>-5.3879999999999999</v>
      </c>
      <c r="L1124" s="1">
        <v>19.071000000000002</v>
      </c>
      <c r="M1124" s="1" t="s">
        <v>915</v>
      </c>
      <c r="N1124" s="1" t="s">
        <v>1430</v>
      </c>
      <c r="O1124" s="1" t="s">
        <v>806</v>
      </c>
      <c r="P1124" s="1" t="s">
        <v>1482</v>
      </c>
      <c r="Q1124" s="1" t="s">
        <v>127</v>
      </c>
      <c r="R1124" s="1" t="s">
        <v>99</v>
      </c>
      <c r="S1124" s="1" t="s">
        <v>159</v>
      </c>
    </row>
    <row r="1125" spans="1:19" hidden="1" x14ac:dyDescent="0.25">
      <c r="A1125" s="2">
        <v>163</v>
      </c>
      <c r="B1125" s="1" t="s">
        <v>1480</v>
      </c>
      <c r="C1125" s="1" t="s">
        <v>617</v>
      </c>
      <c r="D1125" s="1" t="s">
        <v>1481</v>
      </c>
      <c r="E1125" s="1">
        <v>2</v>
      </c>
      <c r="F1125" s="1">
        <v>161.226</v>
      </c>
      <c r="G1125" s="1">
        <v>8336</v>
      </c>
      <c r="H1125" s="1">
        <v>9972</v>
      </c>
      <c r="I1125" s="1">
        <v>11548</v>
      </c>
      <c r="J1125" s="1">
        <v>158.66800000000001</v>
      </c>
      <c r="K1125" s="1">
        <v>-5.4059999999999997</v>
      </c>
      <c r="L1125" s="1">
        <v>19.094000000000001</v>
      </c>
      <c r="M1125" s="1" t="s">
        <v>915</v>
      </c>
      <c r="N1125" s="1" t="s">
        <v>1430</v>
      </c>
      <c r="O1125" s="1" t="s">
        <v>806</v>
      </c>
      <c r="P1125" s="1" t="s">
        <v>1482</v>
      </c>
      <c r="Q1125" s="1" t="s">
        <v>89</v>
      </c>
      <c r="R1125" s="1" t="s">
        <v>279</v>
      </c>
      <c r="S1125" s="1" t="s">
        <v>376</v>
      </c>
    </row>
    <row r="1126" spans="1:19" hidden="1" x14ac:dyDescent="0.25">
      <c r="A1126" s="2">
        <v>163</v>
      </c>
      <c r="B1126" s="1" t="s">
        <v>1480</v>
      </c>
      <c r="C1126" s="1" t="s">
        <v>617</v>
      </c>
      <c r="D1126" s="1" t="s">
        <v>1481</v>
      </c>
      <c r="E1126" s="1">
        <v>3</v>
      </c>
      <c r="F1126" s="1">
        <v>162.41200000000001</v>
      </c>
      <c r="G1126" s="1">
        <v>8381</v>
      </c>
      <c r="H1126" s="1">
        <v>10027</v>
      </c>
      <c r="I1126" s="1">
        <v>11609</v>
      </c>
      <c r="J1126" s="1">
        <v>159.83500000000001</v>
      </c>
      <c r="K1126" s="1">
        <v>-5.3949999999999996</v>
      </c>
      <c r="L1126" s="1">
        <v>19.082000000000001</v>
      </c>
      <c r="M1126" s="1" t="s">
        <v>915</v>
      </c>
      <c r="N1126" s="1" t="s">
        <v>1430</v>
      </c>
      <c r="O1126" s="1" t="s">
        <v>806</v>
      </c>
      <c r="P1126" s="1" t="s">
        <v>1482</v>
      </c>
      <c r="Q1126" s="1" t="s">
        <v>138</v>
      </c>
      <c r="R1126" s="1" t="s">
        <v>170</v>
      </c>
      <c r="S1126" s="1" t="s">
        <v>174</v>
      </c>
    </row>
    <row r="1127" spans="1:19" hidden="1" x14ac:dyDescent="0.25">
      <c r="A1127" s="2">
        <v>163</v>
      </c>
      <c r="B1127" s="1" t="s">
        <v>1480</v>
      </c>
      <c r="C1127" s="1" t="s">
        <v>617</v>
      </c>
      <c r="D1127" s="1" t="s">
        <v>1481</v>
      </c>
      <c r="E1127" s="1">
        <v>4</v>
      </c>
      <c r="F1127" s="1">
        <v>161.51400000000001</v>
      </c>
      <c r="G1127" s="1">
        <v>8305</v>
      </c>
      <c r="H1127" s="1">
        <v>9935</v>
      </c>
      <c r="I1127" s="1">
        <v>11503</v>
      </c>
      <c r="J1127" s="1">
        <v>158.952</v>
      </c>
      <c r="K1127" s="1">
        <v>-5.399</v>
      </c>
      <c r="L1127" s="1">
        <v>19.082999999999998</v>
      </c>
      <c r="M1127" s="1" t="s">
        <v>915</v>
      </c>
      <c r="N1127" s="1" t="s">
        <v>1430</v>
      </c>
      <c r="O1127" s="1" t="s">
        <v>806</v>
      </c>
      <c r="P1127" s="1" t="s">
        <v>1482</v>
      </c>
      <c r="Q1127" s="1" t="s">
        <v>139</v>
      </c>
      <c r="R1127" s="1" t="s">
        <v>266</v>
      </c>
      <c r="S1127" s="1" t="s">
        <v>305</v>
      </c>
    </row>
    <row r="1128" spans="1:19" hidden="1" x14ac:dyDescent="0.25">
      <c r="A1128" s="2">
        <v>163</v>
      </c>
      <c r="B1128" s="1" t="s">
        <v>1480</v>
      </c>
      <c r="C1128" s="1" t="s">
        <v>617</v>
      </c>
      <c r="D1128" s="1" t="s">
        <v>1481</v>
      </c>
      <c r="E1128" s="1">
        <v>5</v>
      </c>
      <c r="F1128" s="1">
        <v>213.31100000000001</v>
      </c>
      <c r="G1128" s="1">
        <v>17806</v>
      </c>
      <c r="H1128" s="1">
        <v>21464</v>
      </c>
      <c r="I1128" s="1">
        <v>24788</v>
      </c>
      <c r="J1128" s="1">
        <v>209.91499999999999</v>
      </c>
      <c r="K1128" s="1">
        <v>-2.19</v>
      </c>
      <c r="L1128" s="1">
        <v>23.626999999999999</v>
      </c>
      <c r="M1128" s="1" t="s">
        <v>915</v>
      </c>
      <c r="N1128" s="1" t="s">
        <v>1430</v>
      </c>
      <c r="O1128" s="1" t="s">
        <v>806</v>
      </c>
      <c r="P1128" s="1" t="s">
        <v>1482</v>
      </c>
      <c r="Q1128" s="1" t="s">
        <v>214</v>
      </c>
      <c r="R1128" s="1" t="s">
        <v>70</v>
      </c>
      <c r="S1128" s="1" t="s">
        <v>78</v>
      </c>
    </row>
    <row r="1129" spans="1:19" x14ac:dyDescent="0.25">
      <c r="A1129" s="2">
        <v>163</v>
      </c>
      <c r="B1129" s="1" t="s">
        <v>1480</v>
      </c>
      <c r="C1129" s="1" t="s">
        <v>617</v>
      </c>
      <c r="D1129" s="1" t="s">
        <v>1481</v>
      </c>
      <c r="E1129" s="1">
        <v>6</v>
      </c>
      <c r="F1129" s="1">
        <v>188.08799999999999</v>
      </c>
      <c r="G1129" s="1">
        <v>15823</v>
      </c>
      <c r="H1129" s="1">
        <v>19072</v>
      </c>
      <c r="I1129" s="1">
        <v>22025</v>
      </c>
      <c r="J1129" s="1">
        <v>185.09299999999999</v>
      </c>
      <c r="K1129" s="1">
        <v>-2.14</v>
      </c>
      <c r="L1129" s="1">
        <v>24.041</v>
      </c>
      <c r="M1129" s="1" t="s">
        <v>915</v>
      </c>
      <c r="N1129" s="1" t="s">
        <v>1430</v>
      </c>
      <c r="O1129" s="1" t="s">
        <v>806</v>
      </c>
      <c r="P1129" s="1" t="s">
        <v>1482</v>
      </c>
      <c r="Q1129" s="1" t="s">
        <v>162</v>
      </c>
      <c r="R1129" s="1" t="s">
        <v>318</v>
      </c>
      <c r="S1129" s="1" t="s">
        <v>368</v>
      </c>
    </row>
    <row r="1130" spans="1:19" x14ac:dyDescent="0.25">
      <c r="A1130" s="2">
        <v>163</v>
      </c>
      <c r="B1130" s="1" t="s">
        <v>1480</v>
      </c>
      <c r="C1130" s="1" t="s">
        <v>617</v>
      </c>
      <c r="D1130" s="1" t="s">
        <v>1481</v>
      </c>
      <c r="E1130" s="1">
        <v>7</v>
      </c>
      <c r="F1130" s="1">
        <v>173.91399999999999</v>
      </c>
      <c r="G1130" s="1">
        <v>14670</v>
      </c>
      <c r="H1130" s="1">
        <v>17676</v>
      </c>
      <c r="I1130" s="1">
        <v>20417</v>
      </c>
      <c r="J1130" s="1">
        <v>171.14500000000001</v>
      </c>
      <c r="K1130" s="1">
        <v>-2.1379999999999999</v>
      </c>
      <c r="L1130" s="1">
        <v>24.09</v>
      </c>
      <c r="M1130" s="1" t="s">
        <v>915</v>
      </c>
      <c r="N1130" s="1" t="s">
        <v>1430</v>
      </c>
      <c r="O1130" s="1" t="s">
        <v>806</v>
      </c>
      <c r="P1130" s="1" t="s">
        <v>1482</v>
      </c>
      <c r="Q1130" s="1" t="s">
        <v>1016</v>
      </c>
      <c r="R1130" s="1" t="s">
        <v>986</v>
      </c>
      <c r="S1130" s="1" t="s">
        <v>1373</v>
      </c>
    </row>
    <row r="1131" spans="1:19" hidden="1" x14ac:dyDescent="0.25">
      <c r="A1131" s="2">
        <v>164</v>
      </c>
      <c r="B1131" s="1" t="s">
        <v>1483</v>
      </c>
      <c r="C1131" s="1" t="s">
        <v>436</v>
      </c>
      <c r="D1131" s="1" t="s">
        <v>1484</v>
      </c>
      <c r="E1131" s="1">
        <v>1</v>
      </c>
      <c r="F1131" s="1">
        <v>164.071</v>
      </c>
      <c r="G1131" s="1">
        <v>8375</v>
      </c>
      <c r="H1131" s="1">
        <v>10019</v>
      </c>
      <c r="I1131" s="1">
        <v>11603</v>
      </c>
      <c r="J1131" s="1">
        <v>161.46899999999999</v>
      </c>
      <c r="K1131" s="1">
        <v>-5.4139999999999997</v>
      </c>
      <c r="L1131" s="1">
        <v>19.111999999999998</v>
      </c>
      <c r="M1131" s="1" t="s">
        <v>451</v>
      </c>
      <c r="N1131" s="1" t="s">
        <v>1430</v>
      </c>
      <c r="O1131" s="1" t="s">
        <v>1485</v>
      </c>
      <c r="P1131" s="1" t="s">
        <v>1486</v>
      </c>
      <c r="Q1131" s="1" t="s">
        <v>71</v>
      </c>
      <c r="R1131" s="1" t="s">
        <v>258</v>
      </c>
      <c r="S1131" s="1" t="s">
        <v>146</v>
      </c>
    </row>
    <row r="1132" spans="1:19" hidden="1" x14ac:dyDescent="0.25">
      <c r="A1132" s="2">
        <v>164</v>
      </c>
      <c r="B1132" s="1" t="s">
        <v>1483</v>
      </c>
      <c r="C1132" s="1" t="s">
        <v>436</v>
      </c>
      <c r="D1132" s="1" t="s">
        <v>1484</v>
      </c>
      <c r="E1132" s="1">
        <v>2</v>
      </c>
      <c r="F1132" s="1">
        <v>160.46799999999999</v>
      </c>
      <c r="G1132" s="1">
        <v>8291</v>
      </c>
      <c r="H1132" s="1">
        <v>9918</v>
      </c>
      <c r="I1132" s="1">
        <v>11486</v>
      </c>
      <c r="J1132" s="1">
        <v>157.923</v>
      </c>
      <c r="K1132" s="1">
        <v>-5.43</v>
      </c>
      <c r="L1132" s="1">
        <v>19.085000000000001</v>
      </c>
      <c r="M1132" s="1" t="s">
        <v>451</v>
      </c>
      <c r="N1132" s="1" t="s">
        <v>1430</v>
      </c>
      <c r="O1132" s="1" t="s">
        <v>1485</v>
      </c>
      <c r="P1132" s="1" t="s">
        <v>1486</v>
      </c>
      <c r="Q1132" s="1" t="s">
        <v>159</v>
      </c>
      <c r="R1132" s="1" t="s">
        <v>179</v>
      </c>
      <c r="S1132" s="1" t="s">
        <v>324</v>
      </c>
    </row>
    <row r="1133" spans="1:19" hidden="1" x14ac:dyDescent="0.25">
      <c r="A1133" s="2">
        <v>164</v>
      </c>
      <c r="B1133" s="1" t="s">
        <v>1483</v>
      </c>
      <c r="C1133" s="1" t="s">
        <v>436</v>
      </c>
      <c r="D1133" s="1" t="s">
        <v>1484</v>
      </c>
      <c r="E1133" s="1">
        <v>3</v>
      </c>
      <c r="F1133" s="1">
        <v>162.946</v>
      </c>
      <c r="G1133" s="1">
        <v>8428</v>
      </c>
      <c r="H1133" s="1">
        <v>10083</v>
      </c>
      <c r="I1133" s="1">
        <v>11674</v>
      </c>
      <c r="J1133" s="1">
        <v>160.36099999999999</v>
      </c>
      <c r="K1133" s="1">
        <v>-5.4080000000000004</v>
      </c>
      <c r="L1133" s="1">
        <v>19.094000000000001</v>
      </c>
      <c r="M1133" s="1" t="s">
        <v>451</v>
      </c>
      <c r="N1133" s="1" t="s">
        <v>1430</v>
      </c>
      <c r="O1133" s="1" t="s">
        <v>1485</v>
      </c>
      <c r="P1133" s="1" t="s">
        <v>1486</v>
      </c>
      <c r="Q1133" s="1" t="s">
        <v>161</v>
      </c>
      <c r="R1133" s="1" t="s">
        <v>266</v>
      </c>
      <c r="S1133" s="1" t="s">
        <v>413</v>
      </c>
    </row>
    <row r="1134" spans="1:19" hidden="1" x14ac:dyDescent="0.25">
      <c r="A1134" s="2">
        <v>164</v>
      </c>
      <c r="B1134" s="1" t="s">
        <v>1483</v>
      </c>
      <c r="C1134" s="1" t="s">
        <v>436</v>
      </c>
      <c r="D1134" s="1" t="s">
        <v>1484</v>
      </c>
      <c r="E1134" s="1">
        <v>4</v>
      </c>
      <c r="F1134" s="1">
        <v>162.405</v>
      </c>
      <c r="G1134" s="1">
        <v>8345</v>
      </c>
      <c r="H1134" s="1">
        <v>9983</v>
      </c>
      <c r="I1134" s="1">
        <v>11559</v>
      </c>
      <c r="J1134" s="1">
        <v>159.82900000000001</v>
      </c>
      <c r="K1134" s="1">
        <v>-5.399</v>
      </c>
      <c r="L1134" s="1">
        <v>19.082999999999998</v>
      </c>
      <c r="M1134" s="1" t="s">
        <v>451</v>
      </c>
      <c r="N1134" s="1" t="s">
        <v>1430</v>
      </c>
      <c r="O1134" s="1" t="s">
        <v>1485</v>
      </c>
      <c r="P1134" s="1" t="s">
        <v>1486</v>
      </c>
      <c r="Q1134" s="1" t="s">
        <v>153</v>
      </c>
      <c r="R1134" s="1" t="s">
        <v>136</v>
      </c>
      <c r="S1134" s="1" t="s">
        <v>228</v>
      </c>
    </row>
    <row r="1135" spans="1:19" hidden="1" x14ac:dyDescent="0.25">
      <c r="A1135" s="2">
        <v>164</v>
      </c>
      <c r="B1135" s="1" t="s">
        <v>1483</v>
      </c>
      <c r="C1135" s="1" t="s">
        <v>436</v>
      </c>
      <c r="D1135" s="1" t="s">
        <v>1484</v>
      </c>
      <c r="E1135" s="1">
        <v>5</v>
      </c>
      <c r="F1135" s="1">
        <v>206.298</v>
      </c>
      <c r="G1135" s="1">
        <v>18068</v>
      </c>
      <c r="H1135" s="1">
        <v>21802</v>
      </c>
      <c r="I1135" s="1">
        <v>25152</v>
      </c>
      <c r="J1135" s="1">
        <v>203.01499999999999</v>
      </c>
      <c r="K1135" s="1">
        <v>-2.52</v>
      </c>
      <c r="L1135" s="1">
        <v>23.798999999999999</v>
      </c>
      <c r="M1135" s="1" t="s">
        <v>451</v>
      </c>
      <c r="N1135" s="1" t="s">
        <v>1430</v>
      </c>
      <c r="O1135" s="1" t="s">
        <v>1485</v>
      </c>
      <c r="P1135" s="1" t="s">
        <v>1486</v>
      </c>
      <c r="Q1135" s="1" t="s">
        <v>183</v>
      </c>
      <c r="R1135" s="1" t="s">
        <v>515</v>
      </c>
      <c r="S1135" s="1" t="s">
        <v>114</v>
      </c>
    </row>
    <row r="1136" spans="1:19" x14ac:dyDescent="0.25">
      <c r="A1136" s="2">
        <v>164</v>
      </c>
      <c r="B1136" s="1" t="s">
        <v>1483</v>
      </c>
      <c r="C1136" s="1" t="s">
        <v>436</v>
      </c>
      <c r="D1136" s="1" t="s">
        <v>1484</v>
      </c>
      <c r="E1136" s="1">
        <v>6</v>
      </c>
      <c r="F1136" s="1">
        <v>184.346</v>
      </c>
      <c r="G1136" s="1">
        <v>16330</v>
      </c>
      <c r="H1136" s="1">
        <v>19690</v>
      </c>
      <c r="I1136" s="1">
        <v>22727</v>
      </c>
      <c r="J1136" s="1">
        <v>181.41200000000001</v>
      </c>
      <c r="K1136" s="1">
        <v>-2.4470000000000001</v>
      </c>
      <c r="L1136" s="1">
        <v>23.975999999999999</v>
      </c>
      <c r="M1136" s="1" t="s">
        <v>451</v>
      </c>
      <c r="N1136" s="1" t="s">
        <v>1430</v>
      </c>
      <c r="O1136" s="1" t="s">
        <v>1485</v>
      </c>
      <c r="P1136" s="1" t="s">
        <v>1486</v>
      </c>
      <c r="Q1136" s="1" t="s">
        <v>193</v>
      </c>
      <c r="R1136" s="1" t="s">
        <v>259</v>
      </c>
      <c r="S1136" s="1" t="s">
        <v>251</v>
      </c>
    </row>
    <row r="1137" spans="1:19" x14ac:dyDescent="0.25">
      <c r="A1137" s="2">
        <v>164</v>
      </c>
      <c r="B1137" s="1" t="s">
        <v>1483</v>
      </c>
      <c r="C1137" s="1" t="s">
        <v>436</v>
      </c>
      <c r="D1137" s="1" t="s">
        <v>1484</v>
      </c>
      <c r="E1137" s="1">
        <v>7</v>
      </c>
      <c r="F1137" s="1">
        <v>171.19300000000001</v>
      </c>
      <c r="G1137" s="1">
        <v>15201</v>
      </c>
      <c r="H1137" s="1">
        <v>18323</v>
      </c>
      <c r="I1137" s="1">
        <v>21165</v>
      </c>
      <c r="J1137" s="1">
        <v>168.46799999999999</v>
      </c>
      <c r="K1137" s="1">
        <v>-2.4390000000000001</v>
      </c>
      <c r="L1137" s="1">
        <v>23.966999999999999</v>
      </c>
      <c r="M1137" s="1" t="s">
        <v>451</v>
      </c>
      <c r="N1137" s="1" t="s">
        <v>1430</v>
      </c>
      <c r="O1137" s="1" t="s">
        <v>1485</v>
      </c>
      <c r="P1137" s="1" t="s">
        <v>1486</v>
      </c>
      <c r="Q1137" s="1" t="s">
        <v>348</v>
      </c>
      <c r="R1137" s="1" t="s">
        <v>808</v>
      </c>
      <c r="S1137" s="1" t="s">
        <v>466</v>
      </c>
    </row>
    <row r="1138" spans="1:19" hidden="1" x14ac:dyDescent="0.25">
      <c r="A1138" s="2">
        <v>165</v>
      </c>
      <c r="B1138" s="1" t="s">
        <v>1487</v>
      </c>
      <c r="C1138" s="1" t="s">
        <v>722</v>
      </c>
      <c r="D1138" s="1" t="s">
        <v>1488</v>
      </c>
      <c r="E1138" s="1">
        <v>1</v>
      </c>
      <c r="F1138" s="1">
        <v>162.505</v>
      </c>
      <c r="G1138" s="1">
        <v>8304</v>
      </c>
      <c r="H1138" s="1">
        <v>9936</v>
      </c>
      <c r="I1138" s="1">
        <v>11480</v>
      </c>
      <c r="J1138" s="1">
        <v>159.928</v>
      </c>
      <c r="K1138" s="1">
        <v>-5.3710000000000004</v>
      </c>
      <c r="L1138" s="1">
        <v>19.035</v>
      </c>
      <c r="M1138" s="1" t="s">
        <v>1489</v>
      </c>
      <c r="N1138" s="1" t="s">
        <v>1430</v>
      </c>
      <c r="O1138" s="1" t="s">
        <v>1490</v>
      </c>
      <c r="P1138" s="1" t="s">
        <v>1491</v>
      </c>
      <c r="Q1138" s="1" t="s">
        <v>57</v>
      </c>
      <c r="R1138" s="1" t="s">
        <v>113</v>
      </c>
      <c r="S1138" s="1" t="s">
        <v>139</v>
      </c>
    </row>
    <row r="1139" spans="1:19" hidden="1" x14ac:dyDescent="0.25">
      <c r="A1139" s="2">
        <v>165</v>
      </c>
      <c r="B1139" s="1" t="s">
        <v>1487</v>
      </c>
      <c r="C1139" s="1" t="s">
        <v>722</v>
      </c>
      <c r="D1139" s="1" t="s">
        <v>1488</v>
      </c>
      <c r="E1139" s="1">
        <v>2</v>
      </c>
      <c r="F1139" s="1">
        <v>160.85</v>
      </c>
      <c r="G1139" s="1">
        <v>8314</v>
      </c>
      <c r="H1139" s="1">
        <v>9948</v>
      </c>
      <c r="I1139" s="1">
        <v>11495</v>
      </c>
      <c r="J1139" s="1">
        <v>158.29900000000001</v>
      </c>
      <c r="K1139" s="1">
        <v>-5.3680000000000003</v>
      </c>
      <c r="L1139" s="1">
        <v>18.992000000000001</v>
      </c>
      <c r="M1139" s="1" t="s">
        <v>1489</v>
      </c>
      <c r="N1139" s="1" t="s">
        <v>1430</v>
      </c>
      <c r="O1139" s="1" t="s">
        <v>1490</v>
      </c>
      <c r="P1139" s="1" t="s">
        <v>1491</v>
      </c>
      <c r="Q1139" s="1" t="s">
        <v>158</v>
      </c>
      <c r="R1139" s="1" t="s">
        <v>194</v>
      </c>
      <c r="S1139" s="1" t="s">
        <v>274</v>
      </c>
    </row>
    <row r="1140" spans="1:19" hidden="1" x14ac:dyDescent="0.25">
      <c r="A1140" s="2">
        <v>165</v>
      </c>
      <c r="B1140" s="1" t="s">
        <v>1487</v>
      </c>
      <c r="C1140" s="1" t="s">
        <v>722</v>
      </c>
      <c r="D1140" s="1" t="s">
        <v>1488</v>
      </c>
      <c r="E1140" s="1">
        <v>3</v>
      </c>
      <c r="F1140" s="1">
        <v>162.27799999999999</v>
      </c>
      <c r="G1140" s="1">
        <v>8396</v>
      </c>
      <c r="H1140" s="1">
        <v>10046</v>
      </c>
      <c r="I1140" s="1">
        <v>11609</v>
      </c>
      <c r="J1140" s="1">
        <v>159.70400000000001</v>
      </c>
      <c r="K1140" s="1">
        <v>-5.3920000000000003</v>
      </c>
      <c r="L1140" s="1">
        <v>19.061</v>
      </c>
      <c r="M1140" s="1" t="s">
        <v>1489</v>
      </c>
      <c r="N1140" s="1" t="s">
        <v>1430</v>
      </c>
      <c r="O1140" s="1" t="s">
        <v>1490</v>
      </c>
      <c r="P1140" s="1" t="s">
        <v>1491</v>
      </c>
      <c r="Q1140" s="1" t="s">
        <v>165</v>
      </c>
      <c r="R1140" s="1" t="s">
        <v>143</v>
      </c>
      <c r="S1140" s="1" t="s">
        <v>238</v>
      </c>
    </row>
    <row r="1141" spans="1:19" hidden="1" x14ac:dyDescent="0.25">
      <c r="A1141" s="2">
        <v>165</v>
      </c>
      <c r="B1141" s="1" t="s">
        <v>1487</v>
      </c>
      <c r="C1141" s="1" t="s">
        <v>722</v>
      </c>
      <c r="D1141" s="1" t="s">
        <v>1488</v>
      </c>
      <c r="E1141" s="1">
        <v>4</v>
      </c>
      <c r="F1141" s="1">
        <v>161.98500000000001</v>
      </c>
      <c r="G1141" s="1">
        <v>8327</v>
      </c>
      <c r="H1141" s="1">
        <v>9962</v>
      </c>
      <c r="I1141" s="1">
        <v>11513</v>
      </c>
      <c r="J1141" s="1">
        <v>159.416</v>
      </c>
      <c r="K1141" s="1">
        <v>-5.399</v>
      </c>
      <c r="L1141" s="1">
        <v>19.082999999999998</v>
      </c>
      <c r="M1141" s="1" t="s">
        <v>1489</v>
      </c>
      <c r="N1141" s="1" t="s">
        <v>1430</v>
      </c>
      <c r="O1141" s="1" t="s">
        <v>1490</v>
      </c>
      <c r="P1141" s="1" t="s">
        <v>1491</v>
      </c>
      <c r="Q1141" s="1" t="s">
        <v>153</v>
      </c>
      <c r="R1141" s="1" t="s">
        <v>252</v>
      </c>
      <c r="S1141" s="1" t="s">
        <v>334</v>
      </c>
    </row>
    <row r="1142" spans="1:19" hidden="1" x14ac:dyDescent="0.25">
      <c r="A1142" s="2">
        <v>165</v>
      </c>
      <c r="B1142" s="1" t="s">
        <v>1487</v>
      </c>
      <c r="C1142" s="1" t="s">
        <v>722</v>
      </c>
      <c r="D1142" s="1" t="s">
        <v>1488</v>
      </c>
      <c r="E1142" s="1">
        <v>5</v>
      </c>
      <c r="F1142" s="1">
        <v>160.49700000000001</v>
      </c>
      <c r="G1142" s="1">
        <v>13342</v>
      </c>
      <c r="H1142" s="1">
        <v>16068</v>
      </c>
      <c r="I1142" s="1">
        <v>18533</v>
      </c>
      <c r="J1142" s="1">
        <v>157.94300000000001</v>
      </c>
      <c r="K1142" s="1">
        <v>-2.597</v>
      </c>
      <c r="L1142" s="1">
        <v>23.646999999999998</v>
      </c>
      <c r="M1142" s="1" t="s">
        <v>1489</v>
      </c>
      <c r="N1142" s="1" t="s">
        <v>1430</v>
      </c>
      <c r="O1142" s="1" t="s">
        <v>1490</v>
      </c>
      <c r="P1142" s="1" t="s">
        <v>1491</v>
      </c>
      <c r="Q1142" s="1" t="s">
        <v>204</v>
      </c>
      <c r="R1142" s="1" t="s">
        <v>117</v>
      </c>
      <c r="S1142" s="1" t="s">
        <v>72</v>
      </c>
    </row>
    <row r="1143" spans="1:19" x14ac:dyDescent="0.25">
      <c r="A1143" s="2">
        <v>165</v>
      </c>
      <c r="B1143" s="1" t="s">
        <v>1487</v>
      </c>
      <c r="C1143" s="1" t="s">
        <v>722</v>
      </c>
      <c r="D1143" s="1" t="s">
        <v>1488</v>
      </c>
      <c r="E1143" s="1">
        <v>6</v>
      </c>
      <c r="F1143" s="1">
        <v>141.69</v>
      </c>
      <c r="G1143" s="1">
        <v>11875</v>
      </c>
      <c r="H1143" s="1">
        <v>14298</v>
      </c>
      <c r="I1143" s="1">
        <v>16503</v>
      </c>
      <c r="J1143" s="1">
        <v>139.43600000000001</v>
      </c>
      <c r="K1143" s="1">
        <v>-2.556</v>
      </c>
      <c r="L1143" s="1">
        <v>24.132000000000001</v>
      </c>
      <c r="M1143" s="1" t="s">
        <v>1489</v>
      </c>
      <c r="N1143" s="1" t="s">
        <v>1430</v>
      </c>
      <c r="O1143" s="1" t="s">
        <v>1490</v>
      </c>
      <c r="P1143" s="1" t="s">
        <v>1491</v>
      </c>
      <c r="Q1143" s="1" t="s">
        <v>223</v>
      </c>
      <c r="R1143" s="1" t="s">
        <v>140</v>
      </c>
      <c r="S1143" s="1" t="s">
        <v>341</v>
      </c>
    </row>
    <row r="1144" spans="1:19" x14ac:dyDescent="0.25">
      <c r="A1144" s="2">
        <v>165</v>
      </c>
      <c r="B1144" s="1" t="s">
        <v>1487</v>
      </c>
      <c r="C1144" s="1" t="s">
        <v>722</v>
      </c>
      <c r="D1144" s="1" t="s">
        <v>1488</v>
      </c>
      <c r="E1144" s="1">
        <v>7</v>
      </c>
      <c r="F1144" s="1">
        <v>131.029</v>
      </c>
      <c r="G1144" s="1">
        <v>11024</v>
      </c>
      <c r="H1144" s="1">
        <v>13273</v>
      </c>
      <c r="I1144" s="1">
        <v>15317</v>
      </c>
      <c r="J1144" s="1">
        <v>128.94399999999999</v>
      </c>
      <c r="K1144" s="1">
        <v>-2.5099999999999998</v>
      </c>
      <c r="L1144" s="1">
        <v>24.097999999999999</v>
      </c>
      <c r="M1144" s="1" t="s">
        <v>1489</v>
      </c>
      <c r="N1144" s="1" t="s">
        <v>1430</v>
      </c>
      <c r="O1144" s="1" t="s">
        <v>1490</v>
      </c>
      <c r="P1144" s="1" t="s">
        <v>1491</v>
      </c>
      <c r="Q1144" s="1" t="s">
        <v>144</v>
      </c>
      <c r="R1144" s="1" t="s">
        <v>393</v>
      </c>
      <c r="S1144" s="1" t="s">
        <v>1492</v>
      </c>
    </row>
    <row r="1145" spans="1:19" hidden="1" x14ac:dyDescent="0.25">
      <c r="A1145" s="2">
        <v>166</v>
      </c>
      <c r="B1145" s="1" t="s">
        <v>1493</v>
      </c>
      <c r="C1145" s="1" t="s">
        <v>269</v>
      </c>
      <c r="D1145" s="1" t="s">
        <v>1494</v>
      </c>
      <c r="E1145" s="1">
        <v>1</v>
      </c>
      <c r="F1145" s="1">
        <v>163.31899999999999</v>
      </c>
      <c r="G1145" s="1">
        <v>8344</v>
      </c>
      <c r="H1145" s="1">
        <v>9982</v>
      </c>
      <c r="I1145" s="1">
        <v>11557</v>
      </c>
      <c r="J1145" s="1">
        <v>160.72800000000001</v>
      </c>
      <c r="K1145" s="1">
        <v>-5.4039999999999999</v>
      </c>
      <c r="L1145" s="1">
        <v>19.088000000000001</v>
      </c>
      <c r="M1145" s="1" t="s">
        <v>455</v>
      </c>
      <c r="N1145" s="1" t="s">
        <v>1430</v>
      </c>
      <c r="O1145" s="1" t="s">
        <v>1495</v>
      </c>
      <c r="P1145" s="1" t="s">
        <v>1496</v>
      </c>
      <c r="Q1145" s="1" t="s">
        <v>98</v>
      </c>
      <c r="R1145" s="1" t="s">
        <v>131</v>
      </c>
      <c r="S1145" s="1" t="s">
        <v>147</v>
      </c>
    </row>
    <row r="1146" spans="1:19" hidden="1" x14ac:dyDescent="0.25">
      <c r="A1146" s="2">
        <v>166</v>
      </c>
      <c r="B1146" s="1" t="s">
        <v>1493</v>
      </c>
      <c r="C1146" s="1" t="s">
        <v>269</v>
      </c>
      <c r="D1146" s="1" t="s">
        <v>1494</v>
      </c>
      <c r="E1146" s="1">
        <v>2</v>
      </c>
      <c r="F1146" s="1">
        <v>160.27000000000001</v>
      </c>
      <c r="G1146" s="1">
        <v>8291</v>
      </c>
      <c r="H1146" s="1">
        <v>9919</v>
      </c>
      <c r="I1146" s="1">
        <v>11485</v>
      </c>
      <c r="J1146" s="1">
        <v>157.72800000000001</v>
      </c>
      <c r="K1146" s="1">
        <v>-5.4029999999999996</v>
      </c>
      <c r="L1146" s="1">
        <v>19.077000000000002</v>
      </c>
      <c r="M1146" s="1" t="s">
        <v>455</v>
      </c>
      <c r="N1146" s="1" t="s">
        <v>1430</v>
      </c>
      <c r="O1146" s="1" t="s">
        <v>1495</v>
      </c>
      <c r="P1146" s="1" t="s">
        <v>1496</v>
      </c>
      <c r="Q1146" s="1" t="s">
        <v>89</v>
      </c>
      <c r="R1146" s="1" t="s">
        <v>279</v>
      </c>
      <c r="S1146" s="1" t="s">
        <v>376</v>
      </c>
    </row>
    <row r="1147" spans="1:19" hidden="1" x14ac:dyDescent="0.25">
      <c r="A1147" s="2">
        <v>166</v>
      </c>
      <c r="B1147" s="1" t="s">
        <v>1493</v>
      </c>
      <c r="C1147" s="1" t="s">
        <v>269</v>
      </c>
      <c r="D1147" s="1" t="s">
        <v>1494</v>
      </c>
      <c r="E1147" s="1">
        <v>3</v>
      </c>
      <c r="F1147" s="1">
        <v>161.66900000000001</v>
      </c>
      <c r="G1147" s="1">
        <v>8369</v>
      </c>
      <c r="H1147" s="1">
        <v>10011</v>
      </c>
      <c r="I1147" s="1">
        <v>11596</v>
      </c>
      <c r="J1147" s="1">
        <v>159.10499999999999</v>
      </c>
      <c r="K1147" s="1">
        <v>-5.4189999999999996</v>
      </c>
      <c r="L1147" s="1">
        <v>19.099</v>
      </c>
      <c r="M1147" s="1" t="s">
        <v>455</v>
      </c>
      <c r="N1147" s="1" t="s">
        <v>1430</v>
      </c>
      <c r="O1147" s="1" t="s">
        <v>1495</v>
      </c>
      <c r="P1147" s="1" t="s">
        <v>1496</v>
      </c>
      <c r="Q1147" s="1" t="s">
        <v>138</v>
      </c>
      <c r="R1147" s="1" t="s">
        <v>170</v>
      </c>
      <c r="S1147" s="1" t="s">
        <v>174</v>
      </c>
    </row>
    <row r="1148" spans="1:19" hidden="1" x14ac:dyDescent="0.25">
      <c r="A1148" s="2">
        <v>166</v>
      </c>
      <c r="B1148" s="1" t="s">
        <v>1493</v>
      </c>
      <c r="C1148" s="1" t="s">
        <v>269</v>
      </c>
      <c r="D1148" s="1" t="s">
        <v>1494</v>
      </c>
      <c r="E1148" s="1">
        <v>4</v>
      </c>
      <c r="F1148" s="1">
        <v>161.87</v>
      </c>
      <c r="G1148" s="1">
        <v>8324</v>
      </c>
      <c r="H1148" s="1">
        <v>9958</v>
      </c>
      <c r="I1148" s="1">
        <v>11530</v>
      </c>
      <c r="J1148" s="1">
        <v>159.30199999999999</v>
      </c>
      <c r="K1148" s="1">
        <v>-5.399</v>
      </c>
      <c r="L1148" s="1">
        <v>19.082999999999998</v>
      </c>
      <c r="M1148" s="1" t="s">
        <v>455</v>
      </c>
      <c r="N1148" s="1" t="s">
        <v>1430</v>
      </c>
      <c r="O1148" s="1" t="s">
        <v>1495</v>
      </c>
      <c r="P1148" s="1" t="s">
        <v>1496</v>
      </c>
      <c r="Q1148" s="1" t="s">
        <v>139</v>
      </c>
      <c r="R1148" s="1" t="s">
        <v>266</v>
      </c>
      <c r="S1148" s="1" t="s">
        <v>305</v>
      </c>
    </row>
    <row r="1149" spans="1:19" hidden="1" x14ac:dyDescent="0.25">
      <c r="A1149" s="2">
        <v>166</v>
      </c>
      <c r="B1149" s="1" t="s">
        <v>1493</v>
      </c>
      <c r="C1149" s="1" t="s">
        <v>269</v>
      </c>
      <c r="D1149" s="1" t="s">
        <v>1494</v>
      </c>
      <c r="E1149" s="1">
        <v>5</v>
      </c>
      <c r="F1149" s="1">
        <v>164.53700000000001</v>
      </c>
      <c r="G1149" s="1">
        <v>14428</v>
      </c>
      <c r="H1149" s="1">
        <v>17387</v>
      </c>
      <c r="I1149" s="1">
        <v>20092</v>
      </c>
      <c r="J1149" s="1">
        <v>161.91900000000001</v>
      </c>
      <c r="K1149" s="1">
        <v>-2.6709999999999998</v>
      </c>
      <c r="L1149" s="1">
        <v>23.783999999999999</v>
      </c>
      <c r="M1149" s="1" t="s">
        <v>455</v>
      </c>
      <c r="N1149" s="1" t="s">
        <v>1430</v>
      </c>
      <c r="O1149" s="1" t="s">
        <v>1495</v>
      </c>
      <c r="P1149" s="1" t="s">
        <v>1496</v>
      </c>
      <c r="Q1149" s="1" t="s">
        <v>188</v>
      </c>
      <c r="R1149" s="1" t="s">
        <v>215</v>
      </c>
      <c r="S1149" s="1" t="s">
        <v>100</v>
      </c>
    </row>
    <row r="1150" spans="1:19" x14ac:dyDescent="0.25">
      <c r="A1150" s="2">
        <v>166</v>
      </c>
      <c r="B1150" s="1" t="s">
        <v>1493</v>
      </c>
      <c r="C1150" s="1" t="s">
        <v>269</v>
      </c>
      <c r="D1150" s="1" t="s">
        <v>1494</v>
      </c>
      <c r="E1150" s="1">
        <v>6</v>
      </c>
      <c r="F1150" s="1">
        <v>146.29300000000001</v>
      </c>
      <c r="G1150" s="1">
        <v>12879</v>
      </c>
      <c r="H1150" s="1">
        <v>15510</v>
      </c>
      <c r="I1150" s="1">
        <v>17935</v>
      </c>
      <c r="J1150" s="1">
        <v>143.964</v>
      </c>
      <c r="K1150" s="1">
        <v>-2.6309999999999998</v>
      </c>
      <c r="L1150" s="1">
        <v>24.22</v>
      </c>
      <c r="M1150" s="1" t="s">
        <v>455</v>
      </c>
      <c r="N1150" s="1" t="s">
        <v>1430</v>
      </c>
      <c r="O1150" s="1" t="s">
        <v>1495</v>
      </c>
      <c r="P1150" s="1" t="s">
        <v>1496</v>
      </c>
      <c r="Q1150" s="1" t="s">
        <v>249</v>
      </c>
      <c r="R1150" s="1" t="s">
        <v>234</v>
      </c>
      <c r="S1150" s="1" t="s">
        <v>381</v>
      </c>
    </row>
    <row r="1151" spans="1:19" x14ac:dyDescent="0.25">
      <c r="A1151" s="2">
        <v>166</v>
      </c>
      <c r="B1151" s="1" t="s">
        <v>1493</v>
      </c>
      <c r="C1151" s="1" t="s">
        <v>269</v>
      </c>
      <c r="D1151" s="1" t="s">
        <v>1494</v>
      </c>
      <c r="E1151" s="1">
        <v>7</v>
      </c>
      <c r="F1151" s="1">
        <v>135.762</v>
      </c>
      <c r="G1151" s="1">
        <v>11955</v>
      </c>
      <c r="H1151" s="1">
        <v>14394</v>
      </c>
      <c r="I1151" s="1">
        <v>16646</v>
      </c>
      <c r="J1151" s="1">
        <v>133.601</v>
      </c>
      <c r="K1151" s="1">
        <v>-2.569</v>
      </c>
      <c r="L1151" s="1">
        <v>24.161999999999999</v>
      </c>
      <c r="M1151" s="1" t="s">
        <v>455</v>
      </c>
      <c r="N1151" s="1" t="s">
        <v>1430</v>
      </c>
      <c r="O1151" s="1" t="s">
        <v>1495</v>
      </c>
      <c r="P1151" s="1" t="s">
        <v>1496</v>
      </c>
      <c r="Q1151" s="1" t="s">
        <v>1142</v>
      </c>
      <c r="R1151" s="1" t="s">
        <v>507</v>
      </c>
      <c r="S1151" s="1" t="s">
        <v>1274</v>
      </c>
    </row>
    <row r="1152" spans="1:19" hidden="1" x14ac:dyDescent="0.25">
      <c r="A1152" s="2">
        <v>167</v>
      </c>
      <c r="B1152" s="1" t="s">
        <v>1497</v>
      </c>
      <c r="C1152" s="1" t="s">
        <v>1498</v>
      </c>
      <c r="D1152" s="1" t="s">
        <v>1499</v>
      </c>
      <c r="E1152" s="1">
        <v>1</v>
      </c>
      <c r="F1152" s="1">
        <v>163.78899999999999</v>
      </c>
      <c r="G1152" s="1">
        <v>8374</v>
      </c>
      <c r="H1152" s="1">
        <v>10019</v>
      </c>
      <c r="I1152" s="1">
        <v>11578</v>
      </c>
      <c r="J1152" s="1">
        <v>161.191</v>
      </c>
      <c r="K1152" s="1">
        <v>-5.4009999999999998</v>
      </c>
      <c r="L1152" s="1">
        <v>18.992999999999999</v>
      </c>
      <c r="M1152" s="1" t="s">
        <v>942</v>
      </c>
      <c r="N1152" s="1" t="s">
        <v>1430</v>
      </c>
      <c r="O1152" s="1" t="s">
        <v>1500</v>
      </c>
      <c r="P1152" s="1" t="s">
        <v>1501</v>
      </c>
      <c r="Q1152" s="1" t="s">
        <v>98</v>
      </c>
      <c r="R1152" s="1" t="s">
        <v>108</v>
      </c>
      <c r="S1152" s="1" t="s">
        <v>253</v>
      </c>
    </row>
    <row r="1153" spans="1:19" hidden="1" x14ac:dyDescent="0.25">
      <c r="A1153" s="2">
        <v>167</v>
      </c>
      <c r="B1153" s="1" t="s">
        <v>1497</v>
      </c>
      <c r="C1153" s="1" t="s">
        <v>1498</v>
      </c>
      <c r="D1153" s="1" t="s">
        <v>1499</v>
      </c>
      <c r="E1153" s="1">
        <v>2</v>
      </c>
      <c r="F1153" s="1">
        <v>161.75800000000001</v>
      </c>
      <c r="G1153" s="1">
        <v>8351</v>
      </c>
      <c r="H1153" s="1">
        <v>9992</v>
      </c>
      <c r="I1153" s="1">
        <v>11546</v>
      </c>
      <c r="J1153" s="1">
        <v>159.19200000000001</v>
      </c>
      <c r="K1153" s="1">
        <v>-5.3849999999999998</v>
      </c>
      <c r="L1153" s="1">
        <v>19.013000000000002</v>
      </c>
      <c r="M1153" s="1" t="s">
        <v>942</v>
      </c>
      <c r="N1153" s="1" t="s">
        <v>1430</v>
      </c>
      <c r="O1153" s="1" t="s">
        <v>1500</v>
      </c>
      <c r="P1153" s="1" t="s">
        <v>1501</v>
      </c>
      <c r="Q1153" s="1" t="s">
        <v>147</v>
      </c>
      <c r="R1153" s="1" t="s">
        <v>279</v>
      </c>
      <c r="S1153" s="1" t="s">
        <v>180</v>
      </c>
    </row>
    <row r="1154" spans="1:19" hidden="1" x14ac:dyDescent="0.25">
      <c r="A1154" s="2">
        <v>167</v>
      </c>
      <c r="B1154" s="1" t="s">
        <v>1497</v>
      </c>
      <c r="C1154" s="1" t="s">
        <v>1498</v>
      </c>
      <c r="D1154" s="1" t="s">
        <v>1499</v>
      </c>
      <c r="E1154" s="1">
        <v>3</v>
      </c>
      <c r="F1154" s="1">
        <v>163.43600000000001</v>
      </c>
      <c r="G1154" s="1">
        <v>8456</v>
      </c>
      <c r="H1154" s="1">
        <v>10117</v>
      </c>
      <c r="I1154" s="1">
        <v>11693</v>
      </c>
      <c r="J1154" s="1">
        <v>160.84399999999999</v>
      </c>
      <c r="K1154" s="1">
        <v>-5.4029999999999996</v>
      </c>
      <c r="L1154" s="1">
        <v>19.073</v>
      </c>
      <c r="M1154" s="1" t="s">
        <v>942</v>
      </c>
      <c r="N1154" s="1" t="s">
        <v>1430</v>
      </c>
      <c r="O1154" s="1" t="s">
        <v>1500</v>
      </c>
      <c r="P1154" s="1" t="s">
        <v>1501</v>
      </c>
      <c r="Q1154" s="1" t="s">
        <v>167</v>
      </c>
      <c r="R1154" s="1" t="s">
        <v>237</v>
      </c>
      <c r="S1154" s="1" t="s">
        <v>206</v>
      </c>
    </row>
    <row r="1155" spans="1:19" hidden="1" x14ac:dyDescent="0.25">
      <c r="A1155" s="2">
        <v>167</v>
      </c>
      <c r="B1155" s="1" t="s">
        <v>1497</v>
      </c>
      <c r="C1155" s="1" t="s">
        <v>1498</v>
      </c>
      <c r="D1155" s="1" t="s">
        <v>1499</v>
      </c>
      <c r="E1155" s="1">
        <v>4</v>
      </c>
      <c r="F1155" s="1">
        <v>163.27500000000001</v>
      </c>
      <c r="G1155" s="1">
        <v>8388</v>
      </c>
      <c r="H1155" s="1">
        <v>10036</v>
      </c>
      <c r="I1155" s="1">
        <v>11598</v>
      </c>
      <c r="J1155" s="1">
        <v>160.685</v>
      </c>
      <c r="K1155" s="1">
        <v>-5.399</v>
      </c>
      <c r="L1155" s="1">
        <v>19.082999999999998</v>
      </c>
      <c r="M1155" s="1" t="s">
        <v>942</v>
      </c>
      <c r="N1155" s="1" t="s">
        <v>1430</v>
      </c>
      <c r="O1155" s="1" t="s">
        <v>1500</v>
      </c>
      <c r="P1155" s="1" t="s">
        <v>1501</v>
      </c>
      <c r="Q1155" s="1" t="s">
        <v>161</v>
      </c>
      <c r="R1155" s="1" t="s">
        <v>236</v>
      </c>
      <c r="S1155" s="1" t="s">
        <v>238</v>
      </c>
    </row>
    <row r="1156" spans="1:19" hidden="1" x14ac:dyDescent="0.25">
      <c r="A1156" s="2">
        <v>167</v>
      </c>
      <c r="B1156" s="1" t="s">
        <v>1497</v>
      </c>
      <c r="C1156" s="1" t="s">
        <v>1498</v>
      </c>
      <c r="D1156" s="1" t="s">
        <v>1499</v>
      </c>
      <c r="E1156" s="1">
        <v>5</v>
      </c>
      <c r="F1156" s="1">
        <v>151.96100000000001</v>
      </c>
      <c r="G1156" s="1">
        <v>12655</v>
      </c>
      <c r="H1156" s="1">
        <v>15250</v>
      </c>
      <c r="I1156" s="1">
        <v>17582</v>
      </c>
      <c r="J1156" s="1">
        <v>149.54300000000001</v>
      </c>
      <c r="K1156" s="1">
        <v>-2.2639999999999998</v>
      </c>
      <c r="L1156" s="1">
        <v>23.632999999999999</v>
      </c>
      <c r="M1156" s="1" t="s">
        <v>942</v>
      </c>
      <c r="N1156" s="1" t="s">
        <v>1430</v>
      </c>
      <c r="O1156" s="1" t="s">
        <v>1500</v>
      </c>
      <c r="P1156" s="1" t="s">
        <v>1501</v>
      </c>
      <c r="Q1156" s="1" t="s">
        <v>199</v>
      </c>
      <c r="R1156" s="1" t="s">
        <v>184</v>
      </c>
      <c r="S1156" s="1" t="s">
        <v>118</v>
      </c>
    </row>
    <row r="1157" spans="1:19" x14ac:dyDescent="0.25">
      <c r="A1157" s="2">
        <v>167</v>
      </c>
      <c r="B1157" s="1" t="s">
        <v>1497</v>
      </c>
      <c r="C1157" s="1" t="s">
        <v>1498</v>
      </c>
      <c r="D1157" s="1" t="s">
        <v>1499</v>
      </c>
      <c r="E1157" s="1">
        <v>6</v>
      </c>
      <c r="F1157" s="1">
        <v>134.19999999999999</v>
      </c>
      <c r="G1157" s="1">
        <v>11266</v>
      </c>
      <c r="H1157" s="1">
        <v>13573</v>
      </c>
      <c r="I1157" s="1">
        <v>15653</v>
      </c>
      <c r="J1157" s="1">
        <v>132.06399999999999</v>
      </c>
      <c r="K1157" s="1">
        <v>-2.2349999999999999</v>
      </c>
      <c r="L1157" s="1">
        <v>23.928999999999998</v>
      </c>
      <c r="M1157" s="1" t="s">
        <v>942</v>
      </c>
      <c r="N1157" s="1" t="s">
        <v>1430</v>
      </c>
      <c r="O1157" s="1" t="s">
        <v>1500</v>
      </c>
      <c r="P1157" s="1" t="s">
        <v>1501</v>
      </c>
      <c r="Q1157" s="1" t="s">
        <v>97</v>
      </c>
      <c r="R1157" s="1" t="s">
        <v>290</v>
      </c>
      <c r="S1157" s="1" t="s">
        <v>177</v>
      </c>
    </row>
    <row r="1158" spans="1:19" x14ac:dyDescent="0.25">
      <c r="A1158" s="2">
        <v>167</v>
      </c>
      <c r="B1158" s="1" t="s">
        <v>1497</v>
      </c>
      <c r="C1158" s="1" t="s">
        <v>1498</v>
      </c>
      <c r="D1158" s="1" t="s">
        <v>1499</v>
      </c>
      <c r="E1158" s="1">
        <v>7</v>
      </c>
      <c r="F1158" s="1">
        <v>123.985</v>
      </c>
      <c r="G1158" s="1">
        <v>10448</v>
      </c>
      <c r="H1158" s="1">
        <v>12583</v>
      </c>
      <c r="I1158" s="1">
        <v>14521</v>
      </c>
      <c r="J1158" s="1">
        <v>122.012</v>
      </c>
      <c r="K1158" s="1">
        <v>-2.202</v>
      </c>
      <c r="L1158" s="1">
        <v>24.024999999999999</v>
      </c>
      <c r="M1158" s="1" t="s">
        <v>942</v>
      </c>
      <c r="N1158" s="1" t="s">
        <v>1430</v>
      </c>
      <c r="O1158" s="1" t="s">
        <v>1500</v>
      </c>
      <c r="P1158" s="1" t="s">
        <v>1501</v>
      </c>
      <c r="Q1158" s="1" t="s">
        <v>332</v>
      </c>
      <c r="R1158" s="1" t="s">
        <v>490</v>
      </c>
      <c r="S1158" s="1" t="s">
        <v>400</v>
      </c>
    </row>
    <row r="1159" spans="1:19" hidden="1" x14ac:dyDescent="0.25">
      <c r="A1159" s="2">
        <v>168</v>
      </c>
      <c r="B1159" s="1" t="s">
        <v>1502</v>
      </c>
      <c r="C1159" s="1" t="s">
        <v>284</v>
      </c>
      <c r="D1159" s="1" t="s">
        <v>1503</v>
      </c>
      <c r="E1159" s="1">
        <v>1</v>
      </c>
      <c r="F1159" s="1">
        <v>163.19999999999999</v>
      </c>
      <c r="G1159" s="1">
        <v>8334</v>
      </c>
      <c r="H1159" s="1">
        <v>9970</v>
      </c>
      <c r="I1159" s="1">
        <v>11540</v>
      </c>
      <c r="J1159" s="1">
        <v>160.61099999999999</v>
      </c>
      <c r="K1159" s="1">
        <v>-5.3760000000000003</v>
      </c>
      <c r="L1159" s="1">
        <v>19.12</v>
      </c>
      <c r="M1159" s="1" t="s">
        <v>1504</v>
      </c>
      <c r="N1159" s="1" t="s">
        <v>1430</v>
      </c>
      <c r="O1159" s="1" t="s">
        <v>1505</v>
      </c>
      <c r="P1159" s="1" t="s">
        <v>1506</v>
      </c>
      <c r="Q1159" s="1" t="s">
        <v>87</v>
      </c>
      <c r="R1159" s="1" t="s">
        <v>90</v>
      </c>
      <c r="S1159" s="1" t="s">
        <v>89</v>
      </c>
    </row>
    <row r="1160" spans="1:19" hidden="1" x14ac:dyDescent="0.25">
      <c r="A1160" s="2">
        <v>168</v>
      </c>
      <c r="B1160" s="1" t="s">
        <v>1502</v>
      </c>
      <c r="C1160" s="1" t="s">
        <v>284</v>
      </c>
      <c r="D1160" s="1" t="s">
        <v>1503</v>
      </c>
      <c r="E1160" s="1">
        <v>2</v>
      </c>
      <c r="F1160" s="1">
        <v>160.761</v>
      </c>
      <c r="G1160" s="1">
        <v>8317</v>
      </c>
      <c r="H1160" s="1">
        <v>9951</v>
      </c>
      <c r="I1160" s="1">
        <v>11517</v>
      </c>
      <c r="J1160" s="1">
        <v>158.21100000000001</v>
      </c>
      <c r="K1160" s="1">
        <v>-5.3949999999999996</v>
      </c>
      <c r="L1160" s="1">
        <v>19.11</v>
      </c>
      <c r="M1160" s="1" t="s">
        <v>1504</v>
      </c>
      <c r="N1160" s="1" t="s">
        <v>1430</v>
      </c>
      <c r="O1160" s="1" t="s">
        <v>1505</v>
      </c>
      <c r="P1160" s="1" t="s">
        <v>1506</v>
      </c>
      <c r="Q1160" s="1" t="s">
        <v>152</v>
      </c>
      <c r="R1160" s="1" t="s">
        <v>156</v>
      </c>
      <c r="S1160" s="1" t="s">
        <v>259</v>
      </c>
    </row>
    <row r="1161" spans="1:19" hidden="1" x14ac:dyDescent="0.25">
      <c r="A1161" s="2">
        <v>168</v>
      </c>
      <c r="B1161" s="1" t="s">
        <v>1502</v>
      </c>
      <c r="C1161" s="1" t="s">
        <v>284</v>
      </c>
      <c r="D1161" s="1" t="s">
        <v>1503</v>
      </c>
      <c r="E1161" s="1">
        <v>3</v>
      </c>
      <c r="F1161" s="1">
        <v>162.571</v>
      </c>
      <c r="G1161" s="1">
        <v>8419</v>
      </c>
      <c r="H1161" s="1">
        <v>10073</v>
      </c>
      <c r="I1161" s="1">
        <v>11657</v>
      </c>
      <c r="J1161" s="1">
        <v>159.99199999999999</v>
      </c>
      <c r="K1161" s="1">
        <v>-5.399</v>
      </c>
      <c r="L1161" s="1">
        <v>19.097000000000001</v>
      </c>
      <c r="M1161" s="1" t="s">
        <v>1504</v>
      </c>
      <c r="N1161" s="1" t="s">
        <v>1430</v>
      </c>
      <c r="O1161" s="1" t="s">
        <v>1505</v>
      </c>
      <c r="P1161" s="1" t="s">
        <v>1506</v>
      </c>
      <c r="Q1161" s="1" t="s">
        <v>138</v>
      </c>
      <c r="R1161" s="1" t="s">
        <v>166</v>
      </c>
      <c r="S1161" s="1" t="s">
        <v>304</v>
      </c>
    </row>
    <row r="1162" spans="1:19" hidden="1" x14ac:dyDescent="0.25">
      <c r="A1162" s="2">
        <v>168</v>
      </c>
      <c r="B1162" s="1" t="s">
        <v>1502</v>
      </c>
      <c r="C1162" s="1" t="s">
        <v>284</v>
      </c>
      <c r="D1162" s="1" t="s">
        <v>1503</v>
      </c>
      <c r="E1162" s="1">
        <v>4</v>
      </c>
      <c r="F1162" s="1">
        <v>162.267</v>
      </c>
      <c r="G1162" s="1">
        <v>8338</v>
      </c>
      <c r="H1162" s="1">
        <v>9975</v>
      </c>
      <c r="I1162" s="1">
        <v>11543</v>
      </c>
      <c r="J1162" s="1">
        <v>159.69300000000001</v>
      </c>
      <c r="K1162" s="1">
        <v>-5.399</v>
      </c>
      <c r="L1162" s="1">
        <v>19.082999999999998</v>
      </c>
      <c r="M1162" s="1" t="s">
        <v>1504</v>
      </c>
      <c r="N1162" s="1" t="s">
        <v>1430</v>
      </c>
      <c r="O1162" s="1" t="s">
        <v>1505</v>
      </c>
      <c r="P1162" s="1" t="s">
        <v>1506</v>
      </c>
      <c r="Q1162" s="1" t="s">
        <v>139</v>
      </c>
      <c r="R1162" s="1" t="s">
        <v>266</v>
      </c>
      <c r="S1162" s="1" t="s">
        <v>305</v>
      </c>
    </row>
    <row r="1163" spans="1:19" hidden="1" x14ac:dyDescent="0.25">
      <c r="A1163" s="2">
        <v>168</v>
      </c>
      <c r="B1163" s="1" t="s">
        <v>1502</v>
      </c>
      <c r="C1163" s="1" t="s">
        <v>284</v>
      </c>
      <c r="D1163" s="1" t="s">
        <v>1503</v>
      </c>
      <c r="E1163" s="1">
        <v>5</v>
      </c>
      <c r="F1163" s="1">
        <v>150.458</v>
      </c>
      <c r="G1163" s="1">
        <v>12904</v>
      </c>
      <c r="H1163" s="1">
        <v>15536</v>
      </c>
      <c r="I1163" s="1">
        <v>17950</v>
      </c>
      <c r="J1163" s="1">
        <v>148.06299999999999</v>
      </c>
      <c r="K1163" s="1">
        <v>-2.3969999999999998</v>
      </c>
      <c r="L1163" s="1">
        <v>23.186</v>
      </c>
      <c r="M1163" s="1" t="s">
        <v>1504</v>
      </c>
      <c r="N1163" s="1" t="s">
        <v>1430</v>
      </c>
      <c r="O1163" s="1" t="s">
        <v>1505</v>
      </c>
      <c r="P1163" s="1" t="s">
        <v>1506</v>
      </c>
      <c r="Q1163" s="1" t="s">
        <v>975</v>
      </c>
      <c r="R1163" s="1" t="s">
        <v>63</v>
      </c>
      <c r="S1163" s="1" t="s">
        <v>48</v>
      </c>
    </row>
    <row r="1164" spans="1:19" x14ac:dyDescent="0.25">
      <c r="A1164" s="2">
        <v>168</v>
      </c>
      <c r="B1164" s="1" t="s">
        <v>1502</v>
      </c>
      <c r="C1164" s="1" t="s">
        <v>284</v>
      </c>
      <c r="D1164" s="1" t="s">
        <v>1503</v>
      </c>
      <c r="E1164" s="1">
        <v>6</v>
      </c>
      <c r="F1164" s="1">
        <v>132.81700000000001</v>
      </c>
      <c r="G1164" s="1">
        <v>11341</v>
      </c>
      <c r="H1164" s="1">
        <v>13648</v>
      </c>
      <c r="I1164" s="1">
        <v>15779</v>
      </c>
      <c r="J1164" s="1">
        <v>130.703</v>
      </c>
      <c r="K1164" s="1">
        <v>-2.411</v>
      </c>
      <c r="L1164" s="1">
        <v>23.952000000000002</v>
      </c>
      <c r="M1164" s="1" t="s">
        <v>1504</v>
      </c>
      <c r="N1164" s="1" t="s">
        <v>1430</v>
      </c>
      <c r="O1164" s="1" t="s">
        <v>1505</v>
      </c>
      <c r="P1164" s="1" t="s">
        <v>1506</v>
      </c>
      <c r="Q1164" s="1" t="s">
        <v>283</v>
      </c>
      <c r="R1164" s="1" t="s">
        <v>366</v>
      </c>
      <c r="S1164" s="1" t="s">
        <v>178</v>
      </c>
    </row>
    <row r="1165" spans="1:19" x14ac:dyDescent="0.25">
      <c r="A1165" s="2">
        <v>168</v>
      </c>
      <c r="B1165" s="1" t="s">
        <v>1502</v>
      </c>
      <c r="C1165" s="1" t="s">
        <v>284</v>
      </c>
      <c r="D1165" s="1" t="s">
        <v>1503</v>
      </c>
      <c r="E1165" s="1">
        <v>7</v>
      </c>
      <c r="F1165" s="1">
        <v>122.712</v>
      </c>
      <c r="G1165" s="1">
        <v>10442</v>
      </c>
      <c r="H1165" s="1">
        <v>12565</v>
      </c>
      <c r="I1165" s="1">
        <v>14532</v>
      </c>
      <c r="J1165" s="1">
        <v>120.758</v>
      </c>
      <c r="K1165" s="1">
        <v>-2.3519999999999999</v>
      </c>
      <c r="L1165" s="1">
        <v>23.969000000000001</v>
      </c>
      <c r="M1165" s="1" t="s">
        <v>1504</v>
      </c>
      <c r="N1165" s="1" t="s">
        <v>1430</v>
      </c>
      <c r="O1165" s="1" t="s">
        <v>1505</v>
      </c>
      <c r="P1165" s="1" t="s">
        <v>1506</v>
      </c>
      <c r="Q1165" s="1" t="s">
        <v>468</v>
      </c>
      <c r="R1165" s="1" t="s">
        <v>1415</v>
      </c>
      <c r="S1165" s="1" t="s">
        <v>651</v>
      </c>
    </row>
    <row r="1166" spans="1:19" hidden="1" x14ac:dyDescent="0.25">
      <c r="A1166" s="2">
        <v>169</v>
      </c>
      <c r="B1166" s="1" t="s">
        <v>1507</v>
      </c>
      <c r="C1166" s="1" t="s">
        <v>325</v>
      </c>
      <c r="D1166" s="1" t="s">
        <v>1508</v>
      </c>
      <c r="E1166" s="1">
        <v>1</v>
      </c>
      <c r="F1166" s="1">
        <v>163.095</v>
      </c>
      <c r="G1166" s="1">
        <v>8319</v>
      </c>
      <c r="H1166" s="1">
        <v>9953</v>
      </c>
      <c r="I1166" s="1">
        <v>11526</v>
      </c>
      <c r="J1166" s="1">
        <v>160.50800000000001</v>
      </c>
      <c r="K1166" s="1">
        <v>-5.399</v>
      </c>
      <c r="L1166" s="1">
        <v>19.074000000000002</v>
      </c>
      <c r="M1166" s="1" t="s">
        <v>1509</v>
      </c>
      <c r="N1166" s="1" t="s">
        <v>1430</v>
      </c>
      <c r="O1166" s="1" t="s">
        <v>1510</v>
      </c>
      <c r="P1166" s="1" t="s">
        <v>1511</v>
      </c>
      <c r="Q1166" s="1" t="s">
        <v>81</v>
      </c>
      <c r="R1166" s="1" t="s">
        <v>53</v>
      </c>
      <c r="S1166" s="1" t="s">
        <v>254</v>
      </c>
    </row>
    <row r="1167" spans="1:19" hidden="1" x14ac:dyDescent="0.25">
      <c r="A1167" s="2">
        <v>169</v>
      </c>
      <c r="B1167" s="1" t="s">
        <v>1507</v>
      </c>
      <c r="C1167" s="1" t="s">
        <v>325</v>
      </c>
      <c r="D1167" s="1" t="s">
        <v>1508</v>
      </c>
      <c r="E1167" s="1">
        <v>2</v>
      </c>
      <c r="F1167" s="1">
        <v>160.86099999999999</v>
      </c>
      <c r="G1167" s="1">
        <v>8327</v>
      </c>
      <c r="H1167" s="1">
        <v>9962</v>
      </c>
      <c r="I1167" s="1">
        <v>11538</v>
      </c>
      <c r="J1167" s="1">
        <v>158.309</v>
      </c>
      <c r="K1167" s="1">
        <v>-5.41</v>
      </c>
      <c r="L1167" s="1">
        <v>19.082000000000001</v>
      </c>
      <c r="M1167" s="1" t="s">
        <v>1509</v>
      </c>
      <c r="N1167" s="1" t="s">
        <v>1430</v>
      </c>
      <c r="O1167" s="1" t="s">
        <v>1510</v>
      </c>
      <c r="P1167" s="1" t="s">
        <v>1511</v>
      </c>
      <c r="Q1167" s="1" t="s">
        <v>254</v>
      </c>
      <c r="R1167" s="1" t="s">
        <v>149</v>
      </c>
      <c r="S1167" s="1" t="s">
        <v>123</v>
      </c>
    </row>
    <row r="1168" spans="1:19" hidden="1" x14ac:dyDescent="0.25">
      <c r="A1168" s="2">
        <v>169</v>
      </c>
      <c r="B1168" s="1" t="s">
        <v>1507</v>
      </c>
      <c r="C1168" s="1" t="s">
        <v>325</v>
      </c>
      <c r="D1168" s="1" t="s">
        <v>1508</v>
      </c>
      <c r="E1168" s="1">
        <v>3</v>
      </c>
      <c r="F1168" s="1">
        <v>162.691</v>
      </c>
      <c r="G1168" s="1">
        <v>8432</v>
      </c>
      <c r="H1168" s="1">
        <v>10088</v>
      </c>
      <c r="I1168" s="1">
        <v>11681</v>
      </c>
      <c r="J1168" s="1">
        <v>160.11000000000001</v>
      </c>
      <c r="K1168" s="1">
        <v>-5.3940000000000001</v>
      </c>
      <c r="L1168" s="1">
        <v>19.079999999999998</v>
      </c>
      <c r="M1168" s="1" t="s">
        <v>1509</v>
      </c>
      <c r="N1168" s="1" t="s">
        <v>1430</v>
      </c>
      <c r="O1168" s="1" t="s">
        <v>1510</v>
      </c>
      <c r="P1168" s="1" t="s">
        <v>1511</v>
      </c>
      <c r="Q1168" s="1" t="s">
        <v>158</v>
      </c>
      <c r="R1168" s="1" t="s">
        <v>194</v>
      </c>
      <c r="S1168" s="1" t="s">
        <v>201</v>
      </c>
    </row>
    <row r="1169" spans="1:19" hidden="1" x14ac:dyDescent="0.25">
      <c r="A1169" s="2">
        <v>169</v>
      </c>
      <c r="B1169" s="1" t="s">
        <v>1507</v>
      </c>
      <c r="C1169" s="1" t="s">
        <v>325</v>
      </c>
      <c r="D1169" s="1" t="s">
        <v>1508</v>
      </c>
      <c r="E1169" s="1">
        <v>4</v>
      </c>
      <c r="F1169" s="1">
        <v>162.322</v>
      </c>
      <c r="G1169" s="1">
        <v>8342</v>
      </c>
      <c r="H1169" s="1">
        <v>9979</v>
      </c>
      <c r="I1169" s="1">
        <v>11555</v>
      </c>
      <c r="J1169" s="1">
        <v>159.74600000000001</v>
      </c>
      <c r="K1169" s="1">
        <v>-5.399</v>
      </c>
      <c r="L1169" s="1">
        <v>19.082999999999998</v>
      </c>
      <c r="M1169" s="1" t="s">
        <v>1509</v>
      </c>
      <c r="N1169" s="1" t="s">
        <v>1430</v>
      </c>
      <c r="O1169" s="1" t="s">
        <v>1510</v>
      </c>
      <c r="P1169" s="1" t="s">
        <v>1511</v>
      </c>
      <c r="Q1169" s="1" t="s">
        <v>146</v>
      </c>
      <c r="R1169" s="1" t="s">
        <v>177</v>
      </c>
      <c r="S1169" s="1" t="s">
        <v>292</v>
      </c>
    </row>
    <row r="1170" spans="1:19" hidden="1" x14ac:dyDescent="0.25">
      <c r="A1170" s="2">
        <v>169</v>
      </c>
      <c r="B1170" s="1" t="s">
        <v>1507</v>
      </c>
      <c r="C1170" s="1" t="s">
        <v>325</v>
      </c>
      <c r="D1170" s="1" t="s">
        <v>1508</v>
      </c>
      <c r="E1170" s="1">
        <v>5</v>
      </c>
      <c r="F1170" s="1">
        <v>146.25899999999999</v>
      </c>
      <c r="G1170" s="1">
        <v>12256</v>
      </c>
      <c r="H1170" s="1">
        <v>14768</v>
      </c>
      <c r="I1170" s="1">
        <v>17060</v>
      </c>
      <c r="J1170" s="1">
        <v>143.93100000000001</v>
      </c>
      <c r="K1170" s="1">
        <v>-2.3849999999999998</v>
      </c>
      <c r="L1170" s="1">
        <v>23.802</v>
      </c>
      <c r="M1170" s="1" t="s">
        <v>1509</v>
      </c>
      <c r="N1170" s="1" t="s">
        <v>1430</v>
      </c>
      <c r="O1170" s="1" t="s">
        <v>1510</v>
      </c>
      <c r="P1170" s="1" t="s">
        <v>1511</v>
      </c>
      <c r="Q1170" s="1" t="s">
        <v>189</v>
      </c>
      <c r="R1170" s="1" t="s">
        <v>222</v>
      </c>
      <c r="S1170" s="1" t="s">
        <v>114</v>
      </c>
    </row>
    <row r="1171" spans="1:19" x14ac:dyDescent="0.25">
      <c r="A1171" s="2">
        <v>169</v>
      </c>
      <c r="B1171" s="1" t="s">
        <v>1507</v>
      </c>
      <c r="C1171" s="1" t="s">
        <v>325</v>
      </c>
      <c r="D1171" s="1" t="s">
        <v>1508</v>
      </c>
      <c r="E1171" s="1">
        <v>6</v>
      </c>
      <c r="F1171" s="1">
        <v>129.49799999999999</v>
      </c>
      <c r="G1171" s="1">
        <v>10973</v>
      </c>
      <c r="H1171" s="1">
        <v>13218</v>
      </c>
      <c r="I1171" s="1">
        <v>15278</v>
      </c>
      <c r="J1171" s="1">
        <v>127.437</v>
      </c>
      <c r="K1171" s="1">
        <v>-2.3319999999999999</v>
      </c>
      <c r="L1171" s="1">
        <v>23.984000000000002</v>
      </c>
      <c r="M1171" s="1" t="s">
        <v>1509</v>
      </c>
      <c r="N1171" s="1" t="s">
        <v>1430</v>
      </c>
      <c r="O1171" s="1" t="s">
        <v>1510</v>
      </c>
      <c r="P1171" s="1" t="s">
        <v>1511</v>
      </c>
      <c r="Q1171" s="1" t="s">
        <v>99</v>
      </c>
      <c r="R1171" s="1" t="s">
        <v>250</v>
      </c>
      <c r="S1171" s="1" t="s">
        <v>170</v>
      </c>
    </row>
    <row r="1172" spans="1:19" x14ac:dyDescent="0.25">
      <c r="A1172" s="2">
        <v>169</v>
      </c>
      <c r="B1172" s="1" t="s">
        <v>1507</v>
      </c>
      <c r="C1172" s="1" t="s">
        <v>325</v>
      </c>
      <c r="D1172" s="1" t="s">
        <v>1508</v>
      </c>
      <c r="E1172" s="1">
        <v>7</v>
      </c>
      <c r="F1172" s="1">
        <v>120.105</v>
      </c>
      <c r="G1172" s="1">
        <v>10269</v>
      </c>
      <c r="H1172" s="1">
        <v>12368</v>
      </c>
      <c r="I1172" s="1">
        <v>14296</v>
      </c>
      <c r="J1172" s="1">
        <v>118.193</v>
      </c>
      <c r="K1172" s="1">
        <v>-2.2709999999999999</v>
      </c>
      <c r="L1172" s="1">
        <v>24.030999999999999</v>
      </c>
      <c r="M1172" s="1" t="s">
        <v>1509</v>
      </c>
      <c r="N1172" s="1" t="s">
        <v>1430</v>
      </c>
      <c r="O1172" s="1" t="s">
        <v>1510</v>
      </c>
      <c r="P1172" s="1" t="s">
        <v>1511</v>
      </c>
      <c r="Q1172" s="1" t="s">
        <v>1261</v>
      </c>
      <c r="R1172" s="1" t="s">
        <v>904</v>
      </c>
      <c r="S1172" s="1" t="s">
        <v>1325</v>
      </c>
    </row>
    <row r="1173" spans="1:19" hidden="1" x14ac:dyDescent="0.25">
      <c r="A1173" s="2">
        <v>170</v>
      </c>
      <c r="B1173" s="1" t="s">
        <v>1512</v>
      </c>
      <c r="C1173" s="1" t="s">
        <v>1031</v>
      </c>
      <c r="D1173" s="1" t="s">
        <v>1513</v>
      </c>
      <c r="E1173" s="1">
        <v>1</v>
      </c>
      <c r="F1173" s="1">
        <v>162.887</v>
      </c>
      <c r="G1173" s="1">
        <v>8313</v>
      </c>
      <c r="H1173" s="1">
        <v>9946</v>
      </c>
      <c r="I1173" s="1">
        <v>11511</v>
      </c>
      <c r="J1173" s="1">
        <v>160.303</v>
      </c>
      <c r="K1173" s="1">
        <v>-5.4</v>
      </c>
      <c r="L1173" s="1">
        <v>19.111999999999998</v>
      </c>
      <c r="M1173" s="1" t="s">
        <v>960</v>
      </c>
      <c r="N1173" s="1" t="s">
        <v>1430</v>
      </c>
      <c r="O1173" s="1" t="s">
        <v>1514</v>
      </c>
      <c r="P1173" s="1" t="s">
        <v>1515</v>
      </c>
      <c r="Q1173" s="1" t="s">
        <v>46</v>
      </c>
      <c r="R1173" s="1" t="s">
        <v>90</v>
      </c>
      <c r="S1173" s="1" t="s">
        <v>89</v>
      </c>
    </row>
    <row r="1174" spans="1:19" hidden="1" x14ac:dyDescent="0.25">
      <c r="A1174" s="2">
        <v>170</v>
      </c>
      <c r="B1174" s="1" t="s">
        <v>1512</v>
      </c>
      <c r="C1174" s="1" t="s">
        <v>1031</v>
      </c>
      <c r="D1174" s="1" t="s">
        <v>1513</v>
      </c>
      <c r="E1174" s="1">
        <v>2</v>
      </c>
      <c r="F1174" s="1">
        <v>160.79900000000001</v>
      </c>
      <c r="G1174" s="1">
        <v>8320</v>
      </c>
      <c r="H1174" s="1">
        <v>9954</v>
      </c>
      <c r="I1174" s="1">
        <v>11520</v>
      </c>
      <c r="J1174" s="1">
        <v>158.24799999999999</v>
      </c>
      <c r="K1174" s="1">
        <v>-5.4169999999999998</v>
      </c>
      <c r="L1174" s="1">
        <v>19.096</v>
      </c>
      <c r="M1174" s="1" t="s">
        <v>960</v>
      </c>
      <c r="N1174" s="1" t="s">
        <v>1430</v>
      </c>
      <c r="O1174" s="1" t="s">
        <v>1514</v>
      </c>
      <c r="P1174" s="1" t="s">
        <v>1515</v>
      </c>
      <c r="Q1174" s="1" t="s">
        <v>152</v>
      </c>
      <c r="R1174" s="1" t="s">
        <v>262</v>
      </c>
      <c r="S1174" s="1" t="s">
        <v>259</v>
      </c>
    </row>
    <row r="1175" spans="1:19" hidden="1" x14ac:dyDescent="0.25">
      <c r="A1175" s="2">
        <v>170</v>
      </c>
      <c r="B1175" s="1" t="s">
        <v>1512</v>
      </c>
      <c r="C1175" s="1" t="s">
        <v>1031</v>
      </c>
      <c r="D1175" s="1" t="s">
        <v>1513</v>
      </c>
      <c r="E1175" s="1">
        <v>3</v>
      </c>
      <c r="F1175" s="1">
        <v>161.994</v>
      </c>
      <c r="G1175" s="1">
        <v>8385</v>
      </c>
      <c r="H1175" s="1">
        <v>10031</v>
      </c>
      <c r="I1175" s="1">
        <v>11608</v>
      </c>
      <c r="J1175" s="1">
        <v>159.42400000000001</v>
      </c>
      <c r="K1175" s="1">
        <v>-5.4219999999999997</v>
      </c>
      <c r="L1175" s="1">
        <v>19.096</v>
      </c>
      <c r="M1175" s="1" t="s">
        <v>960</v>
      </c>
      <c r="N1175" s="1" t="s">
        <v>1430</v>
      </c>
      <c r="O1175" s="1" t="s">
        <v>1514</v>
      </c>
      <c r="P1175" s="1" t="s">
        <v>1515</v>
      </c>
      <c r="Q1175" s="1" t="s">
        <v>158</v>
      </c>
      <c r="R1175" s="1" t="s">
        <v>166</v>
      </c>
      <c r="S1175" s="1" t="s">
        <v>304</v>
      </c>
    </row>
    <row r="1176" spans="1:19" hidden="1" x14ac:dyDescent="0.25">
      <c r="A1176" s="2">
        <v>170</v>
      </c>
      <c r="B1176" s="1" t="s">
        <v>1512</v>
      </c>
      <c r="C1176" s="1" t="s">
        <v>1031</v>
      </c>
      <c r="D1176" s="1" t="s">
        <v>1513</v>
      </c>
      <c r="E1176" s="1">
        <v>4</v>
      </c>
      <c r="F1176" s="1">
        <v>161.886</v>
      </c>
      <c r="G1176" s="1">
        <v>8321</v>
      </c>
      <c r="H1176" s="1">
        <v>9954</v>
      </c>
      <c r="I1176" s="1">
        <v>11521</v>
      </c>
      <c r="J1176" s="1">
        <v>159.31800000000001</v>
      </c>
      <c r="K1176" s="1">
        <v>-5.399</v>
      </c>
      <c r="L1176" s="1">
        <v>19.082999999999998</v>
      </c>
      <c r="M1176" s="1" t="s">
        <v>960</v>
      </c>
      <c r="N1176" s="1" t="s">
        <v>1430</v>
      </c>
      <c r="O1176" s="1" t="s">
        <v>1514</v>
      </c>
      <c r="P1176" s="1" t="s">
        <v>1515</v>
      </c>
      <c r="Q1176" s="1" t="s">
        <v>139</v>
      </c>
      <c r="R1176" s="1" t="s">
        <v>177</v>
      </c>
      <c r="S1176" s="1" t="s">
        <v>292</v>
      </c>
    </row>
    <row r="1177" spans="1:19" hidden="1" x14ac:dyDescent="0.25">
      <c r="A1177" s="2">
        <v>170</v>
      </c>
      <c r="B1177" s="1" t="s">
        <v>1512</v>
      </c>
      <c r="C1177" s="1" t="s">
        <v>1031</v>
      </c>
      <c r="D1177" s="1" t="s">
        <v>1513</v>
      </c>
      <c r="E1177" s="1">
        <v>5</v>
      </c>
      <c r="F1177" s="1">
        <v>175.066</v>
      </c>
      <c r="G1177" s="1">
        <v>14726</v>
      </c>
      <c r="H1177" s="1">
        <v>17733</v>
      </c>
      <c r="I1177" s="1">
        <v>20488</v>
      </c>
      <c r="J1177" s="1">
        <v>172.28</v>
      </c>
      <c r="K1177" s="1">
        <v>-2.423</v>
      </c>
      <c r="L1177" s="1">
        <v>23.245999999999999</v>
      </c>
      <c r="M1177" s="1" t="s">
        <v>960</v>
      </c>
      <c r="N1177" s="1" t="s">
        <v>1430</v>
      </c>
      <c r="O1177" s="1" t="s">
        <v>1514</v>
      </c>
      <c r="P1177" s="1" t="s">
        <v>1515</v>
      </c>
      <c r="Q1177" s="1" t="s">
        <v>975</v>
      </c>
      <c r="R1177" s="1" t="s">
        <v>49</v>
      </c>
      <c r="S1177" s="1" t="s">
        <v>51</v>
      </c>
    </row>
    <row r="1178" spans="1:19" x14ac:dyDescent="0.25">
      <c r="A1178" s="2">
        <v>170</v>
      </c>
      <c r="B1178" s="1" t="s">
        <v>1512</v>
      </c>
      <c r="C1178" s="1" t="s">
        <v>1031</v>
      </c>
      <c r="D1178" s="1" t="s">
        <v>1513</v>
      </c>
      <c r="E1178" s="1">
        <v>6</v>
      </c>
      <c r="F1178" s="1">
        <v>154.33500000000001</v>
      </c>
      <c r="G1178" s="1">
        <v>12973</v>
      </c>
      <c r="H1178" s="1">
        <v>15618</v>
      </c>
      <c r="I1178" s="1">
        <v>18054</v>
      </c>
      <c r="J1178" s="1">
        <v>151.87799999999999</v>
      </c>
      <c r="K1178" s="1">
        <v>-2.4620000000000002</v>
      </c>
      <c r="L1178" s="1">
        <v>23.998999999999999</v>
      </c>
      <c r="M1178" s="1" t="s">
        <v>960</v>
      </c>
      <c r="N1178" s="1" t="s">
        <v>1430</v>
      </c>
      <c r="O1178" s="1" t="s">
        <v>1514</v>
      </c>
      <c r="P1178" s="1" t="s">
        <v>1515</v>
      </c>
      <c r="Q1178" s="1" t="s">
        <v>253</v>
      </c>
      <c r="R1178" s="1" t="s">
        <v>198</v>
      </c>
      <c r="S1178" s="1" t="s">
        <v>295</v>
      </c>
    </row>
    <row r="1179" spans="1:19" x14ac:dyDescent="0.25">
      <c r="A1179" s="2">
        <v>170</v>
      </c>
      <c r="B1179" s="1" t="s">
        <v>1512</v>
      </c>
      <c r="C1179" s="1" t="s">
        <v>1031</v>
      </c>
      <c r="D1179" s="1" t="s">
        <v>1513</v>
      </c>
      <c r="E1179" s="1">
        <v>7</v>
      </c>
      <c r="F1179" s="1">
        <v>142.74799999999999</v>
      </c>
      <c r="G1179" s="1">
        <v>11998</v>
      </c>
      <c r="H1179" s="1">
        <v>14441</v>
      </c>
      <c r="I1179" s="1">
        <v>16698</v>
      </c>
      <c r="J1179" s="1">
        <v>140.476</v>
      </c>
      <c r="K1179" s="1">
        <v>-2.423</v>
      </c>
      <c r="L1179" s="1">
        <v>24.071000000000002</v>
      </c>
      <c r="M1179" s="1" t="s">
        <v>960</v>
      </c>
      <c r="N1179" s="1" t="s">
        <v>1430</v>
      </c>
      <c r="O1179" s="1" t="s">
        <v>1514</v>
      </c>
      <c r="P1179" s="1" t="s">
        <v>1515</v>
      </c>
      <c r="Q1179" s="1" t="s">
        <v>301</v>
      </c>
      <c r="R1179" s="1" t="s">
        <v>395</v>
      </c>
      <c r="S1179" s="1" t="s">
        <v>1516</v>
      </c>
    </row>
    <row r="1180" spans="1:19" hidden="1" x14ac:dyDescent="0.25">
      <c r="A1180" s="2">
        <v>171</v>
      </c>
      <c r="B1180" s="1" t="s">
        <v>1517</v>
      </c>
      <c r="C1180" s="1" t="s">
        <v>678</v>
      </c>
      <c r="D1180" s="1" t="s">
        <v>1518</v>
      </c>
      <c r="E1180" s="1">
        <v>1</v>
      </c>
      <c r="F1180" s="1">
        <v>162.77699999999999</v>
      </c>
      <c r="G1180" s="1">
        <v>8317</v>
      </c>
      <c r="H1180" s="1">
        <v>9951</v>
      </c>
      <c r="I1180" s="1">
        <v>11515</v>
      </c>
      <c r="J1180" s="1">
        <v>160.19499999999999</v>
      </c>
      <c r="K1180" s="1">
        <v>-5.3940000000000001</v>
      </c>
      <c r="L1180" s="1">
        <v>19.081</v>
      </c>
      <c r="M1180" s="1" t="s">
        <v>1519</v>
      </c>
      <c r="N1180" s="1" t="s">
        <v>1430</v>
      </c>
      <c r="O1180" s="1" t="s">
        <v>1520</v>
      </c>
      <c r="P1180" s="1" t="s">
        <v>1521</v>
      </c>
      <c r="Q1180" s="1" t="s">
        <v>98</v>
      </c>
      <c r="R1180" s="1" t="s">
        <v>131</v>
      </c>
      <c r="S1180" s="1" t="s">
        <v>253</v>
      </c>
    </row>
    <row r="1181" spans="1:19" hidden="1" x14ac:dyDescent="0.25">
      <c r="A1181" s="2">
        <v>171</v>
      </c>
      <c r="B1181" s="1" t="s">
        <v>1517</v>
      </c>
      <c r="C1181" s="1" t="s">
        <v>678</v>
      </c>
      <c r="D1181" s="1" t="s">
        <v>1518</v>
      </c>
      <c r="E1181" s="1">
        <v>2</v>
      </c>
      <c r="F1181" s="1">
        <v>161.05600000000001</v>
      </c>
      <c r="G1181" s="1">
        <v>8330</v>
      </c>
      <c r="H1181" s="1">
        <v>9966</v>
      </c>
      <c r="I1181" s="1">
        <v>11534</v>
      </c>
      <c r="J1181" s="1">
        <v>158.501</v>
      </c>
      <c r="K1181" s="1">
        <v>-5.3869999999999996</v>
      </c>
      <c r="L1181" s="1">
        <v>19.079999999999998</v>
      </c>
      <c r="M1181" s="1" t="s">
        <v>1519</v>
      </c>
      <c r="N1181" s="1" t="s">
        <v>1430</v>
      </c>
      <c r="O1181" s="1" t="s">
        <v>1520</v>
      </c>
      <c r="P1181" s="1" t="s">
        <v>1521</v>
      </c>
      <c r="Q1181" s="1" t="s">
        <v>89</v>
      </c>
      <c r="R1181" s="1" t="s">
        <v>156</v>
      </c>
      <c r="S1181" s="1" t="s">
        <v>376</v>
      </c>
    </row>
    <row r="1182" spans="1:19" hidden="1" x14ac:dyDescent="0.25">
      <c r="A1182" s="2">
        <v>171</v>
      </c>
      <c r="B1182" s="1" t="s">
        <v>1517</v>
      </c>
      <c r="C1182" s="1" t="s">
        <v>678</v>
      </c>
      <c r="D1182" s="1" t="s">
        <v>1518</v>
      </c>
      <c r="E1182" s="1">
        <v>3</v>
      </c>
      <c r="F1182" s="1">
        <v>161.773</v>
      </c>
      <c r="G1182" s="1">
        <v>8385</v>
      </c>
      <c r="H1182" s="1">
        <v>10031</v>
      </c>
      <c r="I1182" s="1">
        <v>11609</v>
      </c>
      <c r="J1182" s="1">
        <v>159.20699999999999</v>
      </c>
      <c r="K1182" s="1">
        <v>-5.4</v>
      </c>
      <c r="L1182" s="1">
        <v>19.084</v>
      </c>
      <c r="M1182" s="1" t="s">
        <v>1519</v>
      </c>
      <c r="N1182" s="1" t="s">
        <v>1430</v>
      </c>
      <c r="O1182" s="1" t="s">
        <v>1520</v>
      </c>
      <c r="P1182" s="1" t="s">
        <v>1521</v>
      </c>
      <c r="Q1182" s="1" t="s">
        <v>138</v>
      </c>
      <c r="R1182" s="1" t="s">
        <v>170</v>
      </c>
      <c r="S1182" s="1" t="s">
        <v>174</v>
      </c>
    </row>
    <row r="1183" spans="1:19" hidden="1" x14ac:dyDescent="0.25">
      <c r="A1183" s="2">
        <v>171</v>
      </c>
      <c r="B1183" s="1" t="s">
        <v>1517</v>
      </c>
      <c r="C1183" s="1" t="s">
        <v>678</v>
      </c>
      <c r="D1183" s="1" t="s">
        <v>1518</v>
      </c>
      <c r="E1183" s="1">
        <v>4</v>
      </c>
      <c r="F1183" s="1">
        <v>161.93100000000001</v>
      </c>
      <c r="G1183" s="1">
        <v>8329</v>
      </c>
      <c r="H1183" s="1">
        <v>9965</v>
      </c>
      <c r="I1183" s="1">
        <v>11531</v>
      </c>
      <c r="J1183" s="1">
        <v>159.363</v>
      </c>
      <c r="K1183" s="1">
        <v>-5.399</v>
      </c>
      <c r="L1183" s="1">
        <v>19.082999999999998</v>
      </c>
      <c r="M1183" s="1" t="s">
        <v>1519</v>
      </c>
      <c r="N1183" s="1" t="s">
        <v>1430</v>
      </c>
      <c r="O1183" s="1" t="s">
        <v>1520</v>
      </c>
      <c r="P1183" s="1" t="s">
        <v>1521</v>
      </c>
      <c r="Q1183" s="1" t="s">
        <v>139</v>
      </c>
      <c r="R1183" s="1" t="s">
        <v>177</v>
      </c>
      <c r="S1183" s="1" t="s">
        <v>305</v>
      </c>
    </row>
    <row r="1184" spans="1:19" hidden="1" x14ac:dyDescent="0.25">
      <c r="A1184" s="2">
        <v>171</v>
      </c>
      <c r="B1184" s="1" t="s">
        <v>1517</v>
      </c>
      <c r="C1184" s="1" t="s">
        <v>678</v>
      </c>
      <c r="D1184" s="1" t="s">
        <v>1518</v>
      </c>
      <c r="E1184" s="1">
        <v>5</v>
      </c>
      <c r="F1184" s="1">
        <v>173.036</v>
      </c>
      <c r="G1184" s="1">
        <v>14599</v>
      </c>
      <c r="H1184" s="1">
        <v>17598</v>
      </c>
      <c r="I1184" s="1">
        <v>20309</v>
      </c>
      <c r="J1184" s="1">
        <v>170.28299999999999</v>
      </c>
      <c r="K1184" s="1">
        <v>-2.97</v>
      </c>
      <c r="L1184" s="1">
        <v>23.872</v>
      </c>
      <c r="M1184" s="1" t="s">
        <v>1519</v>
      </c>
      <c r="N1184" s="1" t="s">
        <v>1430</v>
      </c>
      <c r="O1184" s="1" t="s">
        <v>1520</v>
      </c>
      <c r="P1184" s="1" t="s">
        <v>1521</v>
      </c>
      <c r="Q1184" s="1" t="s">
        <v>217</v>
      </c>
      <c r="R1184" s="1" t="s">
        <v>222</v>
      </c>
      <c r="S1184" s="1" t="s">
        <v>117</v>
      </c>
    </row>
    <row r="1185" spans="1:19" x14ac:dyDescent="0.25">
      <c r="A1185" s="2">
        <v>171</v>
      </c>
      <c r="B1185" s="1" t="s">
        <v>1517</v>
      </c>
      <c r="C1185" s="1" t="s">
        <v>678</v>
      </c>
      <c r="D1185" s="1" t="s">
        <v>1518</v>
      </c>
      <c r="E1185" s="1">
        <v>6</v>
      </c>
      <c r="F1185" s="1">
        <v>153.79900000000001</v>
      </c>
      <c r="G1185" s="1">
        <v>13159</v>
      </c>
      <c r="H1185" s="1">
        <v>15858</v>
      </c>
      <c r="I1185" s="1">
        <v>18310</v>
      </c>
      <c r="J1185" s="1">
        <v>151.352</v>
      </c>
      <c r="K1185" s="1">
        <v>-2.9129999999999998</v>
      </c>
      <c r="L1185" s="1">
        <v>24.056999999999999</v>
      </c>
      <c r="M1185" s="1" t="s">
        <v>1519</v>
      </c>
      <c r="N1185" s="1" t="s">
        <v>1430</v>
      </c>
      <c r="O1185" s="1" t="s">
        <v>1520</v>
      </c>
      <c r="P1185" s="1" t="s">
        <v>1521</v>
      </c>
      <c r="Q1185" s="1" t="s">
        <v>254</v>
      </c>
      <c r="R1185" s="1" t="s">
        <v>149</v>
      </c>
      <c r="S1185" s="1" t="s">
        <v>150</v>
      </c>
    </row>
    <row r="1186" spans="1:19" x14ac:dyDescent="0.25">
      <c r="A1186" s="2">
        <v>171</v>
      </c>
      <c r="B1186" s="1" t="s">
        <v>1517</v>
      </c>
      <c r="C1186" s="1" t="s">
        <v>678</v>
      </c>
      <c r="D1186" s="1" t="s">
        <v>1518</v>
      </c>
      <c r="E1186" s="1">
        <v>7</v>
      </c>
      <c r="F1186" s="1">
        <v>142.92500000000001</v>
      </c>
      <c r="G1186" s="1">
        <v>12329</v>
      </c>
      <c r="H1186" s="1">
        <v>14853</v>
      </c>
      <c r="I1186" s="1">
        <v>17156</v>
      </c>
      <c r="J1186" s="1">
        <v>140.65</v>
      </c>
      <c r="K1186" s="1">
        <v>-2.87</v>
      </c>
      <c r="L1186" s="1">
        <v>24.08</v>
      </c>
      <c r="M1186" s="1" t="s">
        <v>1519</v>
      </c>
      <c r="N1186" s="1" t="s">
        <v>1430</v>
      </c>
      <c r="O1186" s="1" t="s">
        <v>1520</v>
      </c>
      <c r="P1186" s="1" t="s">
        <v>1521</v>
      </c>
      <c r="Q1186" s="1" t="s">
        <v>454</v>
      </c>
      <c r="R1186" s="1" t="s">
        <v>1194</v>
      </c>
      <c r="S1186" s="1" t="s">
        <v>431</v>
      </c>
    </row>
    <row r="1187" spans="1:19" hidden="1" x14ac:dyDescent="0.25">
      <c r="A1187" s="2">
        <v>172</v>
      </c>
      <c r="B1187" s="1" t="s">
        <v>1522</v>
      </c>
      <c r="C1187" s="1" t="s">
        <v>327</v>
      </c>
      <c r="D1187" s="1" t="s">
        <v>1523</v>
      </c>
      <c r="E1187" s="1">
        <v>1</v>
      </c>
      <c r="F1187" s="1">
        <v>164.59100000000001</v>
      </c>
      <c r="G1187" s="1">
        <v>8402</v>
      </c>
      <c r="H1187" s="1">
        <v>10051</v>
      </c>
      <c r="I1187" s="1">
        <v>11633</v>
      </c>
      <c r="J1187" s="1">
        <v>161.97999999999999</v>
      </c>
      <c r="K1187" s="1">
        <v>-5.3890000000000002</v>
      </c>
      <c r="L1187" s="1">
        <v>19.076000000000001</v>
      </c>
      <c r="M1187" s="1" t="s">
        <v>1524</v>
      </c>
      <c r="N1187" s="1" t="s">
        <v>1430</v>
      </c>
      <c r="O1187" s="1" t="s">
        <v>1525</v>
      </c>
      <c r="P1187" s="1" t="s">
        <v>1526</v>
      </c>
      <c r="Q1187" s="1" t="s">
        <v>102</v>
      </c>
      <c r="R1187" s="1" t="s">
        <v>75</v>
      </c>
      <c r="S1187" s="1" t="s">
        <v>158</v>
      </c>
    </row>
    <row r="1188" spans="1:19" hidden="1" x14ac:dyDescent="0.25">
      <c r="A1188" s="2">
        <v>172</v>
      </c>
      <c r="B1188" s="1" t="s">
        <v>1522</v>
      </c>
      <c r="C1188" s="1" t="s">
        <v>327</v>
      </c>
      <c r="D1188" s="1" t="s">
        <v>1523</v>
      </c>
      <c r="E1188" s="1">
        <v>2</v>
      </c>
      <c r="F1188" s="1">
        <v>162.89500000000001</v>
      </c>
      <c r="G1188" s="1">
        <v>8435</v>
      </c>
      <c r="H1188" s="1">
        <v>10091</v>
      </c>
      <c r="I1188" s="1">
        <v>11678</v>
      </c>
      <c r="J1188" s="1">
        <v>160.31100000000001</v>
      </c>
      <c r="K1188" s="1">
        <v>-5.3940000000000001</v>
      </c>
      <c r="L1188" s="1">
        <v>19.04</v>
      </c>
      <c r="M1188" s="1" t="s">
        <v>1524</v>
      </c>
      <c r="N1188" s="1" t="s">
        <v>1430</v>
      </c>
      <c r="O1188" s="1" t="s">
        <v>1525</v>
      </c>
      <c r="P1188" s="1" t="s">
        <v>1526</v>
      </c>
      <c r="Q1188" s="1" t="s">
        <v>253</v>
      </c>
      <c r="R1188" s="1" t="s">
        <v>297</v>
      </c>
      <c r="S1188" s="1" t="s">
        <v>381</v>
      </c>
    </row>
    <row r="1189" spans="1:19" hidden="1" x14ac:dyDescent="0.25">
      <c r="A1189" s="2">
        <v>172</v>
      </c>
      <c r="B1189" s="1" t="s">
        <v>1522</v>
      </c>
      <c r="C1189" s="1" t="s">
        <v>327</v>
      </c>
      <c r="D1189" s="1" t="s">
        <v>1523</v>
      </c>
      <c r="E1189" s="1">
        <v>3</v>
      </c>
      <c r="F1189" s="1">
        <v>163.46100000000001</v>
      </c>
      <c r="G1189" s="1">
        <v>8465</v>
      </c>
      <c r="H1189" s="1">
        <v>10128</v>
      </c>
      <c r="I1189" s="1">
        <v>11720</v>
      </c>
      <c r="J1189" s="1">
        <v>160.86799999999999</v>
      </c>
      <c r="K1189" s="1">
        <v>-5.4020000000000001</v>
      </c>
      <c r="L1189" s="1">
        <v>19.059000000000001</v>
      </c>
      <c r="M1189" s="1" t="s">
        <v>1524</v>
      </c>
      <c r="N1189" s="1" t="s">
        <v>1430</v>
      </c>
      <c r="O1189" s="1" t="s">
        <v>1525</v>
      </c>
      <c r="P1189" s="1" t="s">
        <v>1526</v>
      </c>
      <c r="Q1189" s="1" t="s">
        <v>146</v>
      </c>
      <c r="R1189" s="1" t="s">
        <v>299</v>
      </c>
      <c r="S1189" s="1" t="s">
        <v>292</v>
      </c>
    </row>
    <row r="1190" spans="1:19" hidden="1" x14ac:dyDescent="0.25">
      <c r="A1190" s="2">
        <v>172</v>
      </c>
      <c r="B1190" s="1" t="s">
        <v>1522</v>
      </c>
      <c r="C1190" s="1" t="s">
        <v>327</v>
      </c>
      <c r="D1190" s="1" t="s">
        <v>1523</v>
      </c>
      <c r="E1190" s="1">
        <v>4</v>
      </c>
      <c r="F1190" s="1">
        <v>164.85900000000001</v>
      </c>
      <c r="G1190" s="1">
        <v>8455</v>
      </c>
      <c r="H1190" s="1">
        <v>10116</v>
      </c>
      <c r="I1190" s="1">
        <v>11707</v>
      </c>
      <c r="J1190" s="1">
        <v>162.244</v>
      </c>
      <c r="K1190" s="1">
        <v>-5.399</v>
      </c>
      <c r="L1190" s="1">
        <v>19.082999999999998</v>
      </c>
      <c r="M1190" s="1" t="s">
        <v>1524</v>
      </c>
      <c r="N1190" s="1" t="s">
        <v>1430</v>
      </c>
      <c r="O1190" s="1" t="s">
        <v>1525</v>
      </c>
      <c r="P1190" s="1" t="s">
        <v>1526</v>
      </c>
      <c r="Q1190" s="1" t="s">
        <v>165</v>
      </c>
      <c r="R1190" s="1" t="s">
        <v>143</v>
      </c>
      <c r="S1190" s="1" t="s">
        <v>370</v>
      </c>
    </row>
    <row r="1191" spans="1:19" hidden="1" x14ac:dyDescent="0.25">
      <c r="A1191" s="2">
        <v>172</v>
      </c>
      <c r="B1191" s="1" t="s">
        <v>1522</v>
      </c>
      <c r="C1191" s="1" t="s">
        <v>327</v>
      </c>
      <c r="D1191" s="1" t="s">
        <v>1523</v>
      </c>
      <c r="E1191" s="1">
        <v>5</v>
      </c>
      <c r="F1191" s="1">
        <v>235.518</v>
      </c>
      <c r="G1191" s="1">
        <v>19853</v>
      </c>
      <c r="H1191" s="1">
        <v>24074</v>
      </c>
      <c r="I1191" s="1">
        <v>27651</v>
      </c>
      <c r="J1191" s="1">
        <v>231.75200000000001</v>
      </c>
      <c r="K1191" s="1">
        <v>3.956</v>
      </c>
      <c r="L1191" s="1">
        <v>24.431999999999999</v>
      </c>
      <c r="M1191" s="1" t="s">
        <v>1524</v>
      </c>
      <c r="N1191" s="1" t="s">
        <v>1430</v>
      </c>
      <c r="O1191" s="1" t="s">
        <v>1525</v>
      </c>
      <c r="P1191" s="1" t="s">
        <v>1526</v>
      </c>
      <c r="Q1191" s="1" t="s">
        <v>222</v>
      </c>
      <c r="R1191" s="1" t="s">
        <v>63</v>
      </c>
      <c r="S1191" s="1" t="s">
        <v>76</v>
      </c>
    </row>
    <row r="1192" spans="1:19" x14ac:dyDescent="0.25">
      <c r="A1192" s="2">
        <v>172</v>
      </c>
      <c r="B1192" s="1" t="s">
        <v>1522</v>
      </c>
      <c r="C1192" s="1" t="s">
        <v>327</v>
      </c>
      <c r="D1192" s="1" t="s">
        <v>1523</v>
      </c>
      <c r="E1192" s="1">
        <v>6</v>
      </c>
      <c r="F1192" s="1">
        <v>206.68700000000001</v>
      </c>
      <c r="G1192" s="1">
        <v>17421</v>
      </c>
      <c r="H1192" s="1">
        <v>21117</v>
      </c>
      <c r="I1192" s="1">
        <v>24268</v>
      </c>
      <c r="J1192" s="1">
        <v>203.38200000000001</v>
      </c>
      <c r="K1192" s="1">
        <v>3.9350000000000001</v>
      </c>
      <c r="L1192" s="1">
        <v>25.076000000000001</v>
      </c>
      <c r="M1192" s="1" t="s">
        <v>1524</v>
      </c>
      <c r="N1192" s="1" t="s">
        <v>1430</v>
      </c>
      <c r="O1192" s="1" t="s">
        <v>1525</v>
      </c>
      <c r="P1192" s="1" t="s">
        <v>1526</v>
      </c>
      <c r="Q1192" s="1" t="s">
        <v>302</v>
      </c>
      <c r="R1192" s="1" t="s">
        <v>201</v>
      </c>
      <c r="S1192" s="1" t="s">
        <v>244</v>
      </c>
    </row>
    <row r="1193" spans="1:19" x14ac:dyDescent="0.25">
      <c r="A1193" s="2">
        <v>172</v>
      </c>
      <c r="B1193" s="1" t="s">
        <v>1522</v>
      </c>
      <c r="C1193" s="1" t="s">
        <v>327</v>
      </c>
      <c r="D1193" s="1" t="s">
        <v>1523</v>
      </c>
      <c r="E1193" s="1">
        <v>7</v>
      </c>
      <c r="F1193" s="1">
        <v>190.59100000000001</v>
      </c>
      <c r="G1193" s="1">
        <v>16040</v>
      </c>
      <c r="H1193" s="1">
        <v>19440</v>
      </c>
      <c r="I1193" s="1">
        <v>22348</v>
      </c>
      <c r="J1193" s="1">
        <v>187.54300000000001</v>
      </c>
      <c r="K1193" s="1">
        <v>3.9590000000000001</v>
      </c>
      <c r="L1193" s="1">
        <v>25.117000000000001</v>
      </c>
      <c r="M1193" s="1" t="s">
        <v>1524</v>
      </c>
      <c r="N1193" s="1" t="s">
        <v>1430</v>
      </c>
      <c r="O1193" s="1" t="s">
        <v>1525</v>
      </c>
      <c r="P1193" s="1" t="s">
        <v>1526</v>
      </c>
      <c r="Q1193" s="1" t="s">
        <v>410</v>
      </c>
      <c r="R1193" s="1" t="s">
        <v>339</v>
      </c>
      <c r="S1193" s="1" t="s">
        <v>1359</v>
      </c>
    </row>
    <row r="1194" spans="1:19" hidden="1" x14ac:dyDescent="0.25">
      <c r="A1194" s="2">
        <v>173</v>
      </c>
      <c r="B1194" s="1" t="s">
        <v>1527</v>
      </c>
      <c r="C1194" s="1" t="s">
        <v>632</v>
      </c>
      <c r="D1194" s="1" t="s">
        <v>1528</v>
      </c>
      <c r="E1194" s="1">
        <v>1</v>
      </c>
      <c r="F1194" s="1">
        <v>162.672</v>
      </c>
      <c r="G1194" s="1">
        <v>8308</v>
      </c>
      <c r="H1194" s="1">
        <v>9940</v>
      </c>
      <c r="I1194" s="1">
        <v>11504</v>
      </c>
      <c r="J1194" s="1">
        <v>160.09100000000001</v>
      </c>
      <c r="K1194" s="1">
        <v>-5.383</v>
      </c>
      <c r="L1194" s="1">
        <v>19.056999999999999</v>
      </c>
      <c r="M1194" s="1" t="s">
        <v>1529</v>
      </c>
      <c r="N1194" s="1" t="s">
        <v>1430</v>
      </c>
      <c r="O1194" s="1" t="s">
        <v>1530</v>
      </c>
      <c r="P1194" s="1" t="s">
        <v>1531</v>
      </c>
      <c r="Q1194" s="1" t="s">
        <v>48</v>
      </c>
      <c r="R1194" s="1" t="s">
        <v>283</v>
      </c>
      <c r="S1194" s="1" t="s">
        <v>160</v>
      </c>
    </row>
    <row r="1195" spans="1:19" hidden="1" x14ac:dyDescent="0.25">
      <c r="A1195" s="2">
        <v>173</v>
      </c>
      <c r="B1195" s="1" t="s">
        <v>1527</v>
      </c>
      <c r="C1195" s="1" t="s">
        <v>632</v>
      </c>
      <c r="D1195" s="1" t="s">
        <v>1528</v>
      </c>
      <c r="E1195" s="1">
        <v>2</v>
      </c>
      <c r="F1195" s="1">
        <v>160.66800000000001</v>
      </c>
      <c r="G1195" s="1">
        <v>8313</v>
      </c>
      <c r="H1195" s="1">
        <v>9947</v>
      </c>
      <c r="I1195" s="1">
        <v>11512</v>
      </c>
      <c r="J1195" s="1">
        <v>158.119</v>
      </c>
      <c r="K1195" s="1">
        <v>-5.3840000000000003</v>
      </c>
      <c r="L1195" s="1">
        <v>19.050999999999998</v>
      </c>
      <c r="M1195" s="1" t="s">
        <v>1529</v>
      </c>
      <c r="N1195" s="1" t="s">
        <v>1430</v>
      </c>
      <c r="O1195" s="1" t="s">
        <v>1530</v>
      </c>
      <c r="P1195" s="1" t="s">
        <v>1531</v>
      </c>
      <c r="Q1195" s="1" t="s">
        <v>158</v>
      </c>
      <c r="R1195" s="1" t="s">
        <v>166</v>
      </c>
      <c r="S1195" s="1" t="s">
        <v>304</v>
      </c>
    </row>
    <row r="1196" spans="1:19" hidden="1" x14ac:dyDescent="0.25">
      <c r="A1196" s="2">
        <v>173</v>
      </c>
      <c r="B1196" s="1" t="s">
        <v>1527</v>
      </c>
      <c r="C1196" s="1" t="s">
        <v>632</v>
      </c>
      <c r="D1196" s="1" t="s">
        <v>1528</v>
      </c>
      <c r="E1196" s="1">
        <v>3</v>
      </c>
      <c r="F1196" s="1">
        <v>163.00200000000001</v>
      </c>
      <c r="G1196" s="1">
        <v>8409</v>
      </c>
      <c r="H1196" s="1">
        <v>10061</v>
      </c>
      <c r="I1196" s="1">
        <v>11643</v>
      </c>
      <c r="J1196" s="1">
        <v>160.416</v>
      </c>
      <c r="K1196" s="1">
        <v>-5.38</v>
      </c>
      <c r="L1196" s="1">
        <v>19.077000000000002</v>
      </c>
      <c r="M1196" s="1" t="s">
        <v>1529</v>
      </c>
      <c r="N1196" s="1" t="s">
        <v>1430</v>
      </c>
      <c r="O1196" s="1" t="s">
        <v>1530</v>
      </c>
      <c r="P1196" s="1" t="s">
        <v>1531</v>
      </c>
      <c r="Q1196" s="1" t="s">
        <v>165</v>
      </c>
      <c r="R1196" s="1" t="s">
        <v>143</v>
      </c>
      <c r="S1196" s="1" t="s">
        <v>247</v>
      </c>
    </row>
    <row r="1197" spans="1:19" hidden="1" x14ac:dyDescent="0.25">
      <c r="A1197" s="2">
        <v>173</v>
      </c>
      <c r="B1197" s="1" t="s">
        <v>1527</v>
      </c>
      <c r="C1197" s="1" t="s">
        <v>632</v>
      </c>
      <c r="D1197" s="1" t="s">
        <v>1528</v>
      </c>
      <c r="E1197" s="1">
        <v>4</v>
      </c>
      <c r="F1197" s="1">
        <v>161.84700000000001</v>
      </c>
      <c r="G1197" s="1">
        <v>8321</v>
      </c>
      <c r="H1197" s="1">
        <v>9956</v>
      </c>
      <c r="I1197" s="1">
        <v>11522</v>
      </c>
      <c r="J1197" s="1">
        <v>159.279</v>
      </c>
      <c r="K1197" s="1">
        <v>-5.399</v>
      </c>
      <c r="L1197" s="1">
        <v>19.082999999999998</v>
      </c>
      <c r="M1197" s="1" t="s">
        <v>1529</v>
      </c>
      <c r="N1197" s="1" t="s">
        <v>1430</v>
      </c>
      <c r="O1197" s="1" t="s">
        <v>1530</v>
      </c>
      <c r="P1197" s="1" t="s">
        <v>1531</v>
      </c>
      <c r="Q1197" s="1" t="s">
        <v>307</v>
      </c>
      <c r="R1197" s="1" t="s">
        <v>178</v>
      </c>
      <c r="S1197" s="1" t="s">
        <v>233</v>
      </c>
    </row>
    <row r="1198" spans="1:19" hidden="1" x14ac:dyDescent="0.25">
      <c r="A1198" s="2">
        <v>173</v>
      </c>
      <c r="B1198" s="1" t="s">
        <v>1527</v>
      </c>
      <c r="C1198" s="1" t="s">
        <v>632</v>
      </c>
      <c r="D1198" s="1" t="s">
        <v>1528</v>
      </c>
      <c r="E1198" s="1">
        <v>5</v>
      </c>
      <c r="F1198" s="1">
        <v>147.215</v>
      </c>
      <c r="G1198" s="1">
        <v>12613</v>
      </c>
      <c r="H1198" s="1">
        <v>15292</v>
      </c>
      <c r="I1198" s="1">
        <v>17574</v>
      </c>
      <c r="J1198" s="1">
        <v>144.86099999999999</v>
      </c>
      <c r="K1198" s="1">
        <v>3.798</v>
      </c>
      <c r="L1198" s="1">
        <v>25.033999999999999</v>
      </c>
      <c r="M1198" s="1" t="s">
        <v>1529</v>
      </c>
      <c r="N1198" s="1" t="s">
        <v>1430</v>
      </c>
      <c r="O1198" s="1" t="s">
        <v>1530</v>
      </c>
      <c r="P1198" s="1" t="s">
        <v>1531</v>
      </c>
      <c r="Q1198" s="1" t="s">
        <v>200</v>
      </c>
      <c r="R1198" s="1" t="s">
        <v>145</v>
      </c>
      <c r="S1198" s="1" t="s">
        <v>70</v>
      </c>
    </row>
    <row r="1199" spans="1:19" x14ac:dyDescent="0.25">
      <c r="A1199" s="2">
        <v>173</v>
      </c>
      <c r="B1199" s="1" t="s">
        <v>1527</v>
      </c>
      <c r="C1199" s="1" t="s">
        <v>632</v>
      </c>
      <c r="D1199" s="1" t="s">
        <v>1528</v>
      </c>
      <c r="E1199" s="1">
        <v>6</v>
      </c>
      <c r="F1199" s="1">
        <v>131.584</v>
      </c>
      <c r="G1199" s="1">
        <v>11447</v>
      </c>
      <c r="H1199" s="1">
        <v>13872</v>
      </c>
      <c r="I1199" s="1">
        <v>15949</v>
      </c>
      <c r="J1199" s="1">
        <v>129.47999999999999</v>
      </c>
      <c r="K1199" s="1">
        <v>3.8079999999999998</v>
      </c>
      <c r="L1199" s="1">
        <v>25.157</v>
      </c>
      <c r="M1199" s="1" t="s">
        <v>1529</v>
      </c>
      <c r="N1199" s="1" t="s">
        <v>1430</v>
      </c>
      <c r="O1199" s="1" t="s">
        <v>1530</v>
      </c>
      <c r="P1199" s="1" t="s">
        <v>1531</v>
      </c>
      <c r="Q1199" s="1" t="s">
        <v>104</v>
      </c>
      <c r="R1199" s="1" t="s">
        <v>103</v>
      </c>
      <c r="S1199" s="1" t="s">
        <v>252</v>
      </c>
    </row>
    <row r="1200" spans="1:19" x14ac:dyDescent="0.25">
      <c r="A1200" s="2">
        <v>173</v>
      </c>
      <c r="B1200" s="1" t="s">
        <v>1527</v>
      </c>
      <c r="C1200" s="1" t="s">
        <v>632</v>
      </c>
      <c r="D1200" s="1" t="s">
        <v>1528</v>
      </c>
      <c r="E1200" s="1">
        <v>7</v>
      </c>
      <c r="F1200" s="1">
        <v>122.501</v>
      </c>
      <c r="G1200" s="1">
        <v>10739</v>
      </c>
      <c r="H1200" s="1">
        <v>13010</v>
      </c>
      <c r="I1200" s="1">
        <v>14958</v>
      </c>
      <c r="J1200" s="1">
        <v>120.542</v>
      </c>
      <c r="K1200" s="1">
        <v>3.8759999999999999</v>
      </c>
      <c r="L1200" s="1">
        <v>25.187000000000001</v>
      </c>
      <c r="M1200" s="1" t="s">
        <v>1529</v>
      </c>
      <c r="N1200" s="1" t="s">
        <v>1430</v>
      </c>
      <c r="O1200" s="1" t="s">
        <v>1530</v>
      </c>
      <c r="P1200" s="1" t="s">
        <v>1531</v>
      </c>
      <c r="Q1200" s="1" t="s">
        <v>392</v>
      </c>
      <c r="R1200" s="1" t="s">
        <v>1016</v>
      </c>
      <c r="S1200" s="1" t="s">
        <v>852</v>
      </c>
    </row>
    <row r="1201" spans="1:19" hidden="1" x14ac:dyDescent="0.25">
      <c r="A1201" s="2">
        <v>174</v>
      </c>
      <c r="B1201" s="1" t="s">
        <v>1532</v>
      </c>
      <c r="C1201" s="1" t="s">
        <v>1533</v>
      </c>
      <c r="D1201" s="1" t="s">
        <v>1534</v>
      </c>
      <c r="E1201" s="1">
        <v>1</v>
      </c>
      <c r="F1201" s="1">
        <v>164.624</v>
      </c>
      <c r="G1201" s="1">
        <v>8333</v>
      </c>
      <c r="H1201" s="1">
        <v>9969</v>
      </c>
      <c r="I1201" s="1">
        <v>11545</v>
      </c>
      <c r="J1201" s="1">
        <v>162.01300000000001</v>
      </c>
      <c r="K1201" s="1">
        <v>-5.4059999999999997</v>
      </c>
      <c r="L1201" s="1">
        <v>19.065999999999999</v>
      </c>
      <c r="M1201" s="1" t="s">
        <v>467</v>
      </c>
      <c r="N1201" s="1" t="s">
        <v>1430</v>
      </c>
      <c r="O1201" s="1" t="s">
        <v>1535</v>
      </c>
      <c r="P1201" s="1" t="s">
        <v>1536</v>
      </c>
      <c r="Q1201" s="1" t="s">
        <v>87</v>
      </c>
      <c r="R1201" s="1" t="s">
        <v>131</v>
      </c>
      <c r="S1201" s="1" t="s">
        <v>147</v>
      </c>
    </row>
    <row r="1202" spans="1:19" hidden="1" x14ac:dyDescent="0.25">
      <c r="A1202" s="2">
        <v>174</v>
      </c>
      <c r="B1202" s="1" t="s">
        <v>1532</v>
      </c>
      <c r="C1202" s="1" t="s">
        <v>1533</v>
      </c>
      <c r="D1202" s="1" t="s">
        <v>1534</v>
      </c>
      <c r="E1202" s="1">
        <v>2</v>
      </c>
      <c r="F1202" s="1">
        <v>161.434</v>
      </c>
      <c r="G1202" s="1">
        <v>8374</v>
      </c>
      <c r="H1202" s="1">
        <v>10018</v>
      </c>
      <c r="I1202" s="1">
        <v>11603</v>
      </c>
      <c r="J1202" s="1">
        <v>158.87200000000001</v>
      </c>
      <c r="K1202" s="1">
        <v>-5.4020000000000001</v>
      </c>
      <c r="L1202" s="1">
        <v>19.074000000000002</v>
      </c>
      <c r="M1202" s="1" t="s">
        <v>467</v>
      </c>
      <c r="N1202" s="1" t="s">
        <v>1430</v>
      </c>
      <c r="O1202" s="1" t="s">
        <v>1535</v>
      </c>
      <c r="P1202" s="1" t="s">
        <v>1536</v>
      </c>
      <c r="Q1202" s="1" t="s">
        <v>89</v>
      </c>
      <c r="R1202" s="1" t="s">
        <v>279</v>
      </c>
      <c r="S1202" s="1" t="s">
        <v>180</v>
      </c>
    </row>
    <row r="1203" spans="1:19" hidden="1" x14ac:dyDescent="0.25">
      <c r="A1203" s="2">
        <v>174</v>
      </c>
      <c r="B1203" s="1" t="s">
        <v>1532</v>
      </c>
      <c r="C1203" s="1" t="s">
        <v>1533</v>
      </c>
      <c r="D1203" s="1" t="s">
        <v>1534</v>
      </c>
      <c r="E1203" s="1">
        <v>3</v>
      </c>
      <c r="F1203" s="1">
        <v>162.464</v>
      </c>
      <c r="G1203" s="1">
        <v>8429</v>
      </c>
      <c r="H1203" s="1">
        <v>10085</v>
      </c>
      <c r="I1203" s="1">
        <v>11676</v>
      </c>
      <c r="J1203" s="1">
        <v>159.887</v>
      </c>
      <c r="K1203" s="1">
        <v>-5.407</v>
      </c>
      <c r="L1203" s="1">
        <v>19.088999999999999</v>
      </c>
      <c r="M1203" s="1" t="s">
        <v>467</v>
      </c>
      <c r="N1203" s="1" t="s">
        <v>1430</v>
      </c>
      <c r="O1203" s="1" t="s">
        <v>1535</v>
      </c>
      <c r="P1203" s="1" t="s">
        <v>1536</v>
      </c>
      <c r="Q1203" s="1" t="s">
        <v>138</v>
      </c>
      <c r="R1203" s="1" t="s">
        <v>170</v>
      </c>
      <c r="S1203" s="1" t="s">
        <v>174</v>
      </c>
    </row>
    <row r="1204" spans="1:19" hidden="1" x14ac:dyDescent="0.25">
      <c r="A1204" s="2">
        <v>174</v>
      </c>
      <c r="B1204" s="1" t="s">
        <v>1532</v>
      </c>
      <c r="C1204" s="1" t="s">
        <v>1533</v>
      </c>
      <c r="D1204" s="1" t="s">
        <v>1534</v>
      </c>
      <c r="E1204" s="1">
        <v>4</v>
      </c>
      <c r="F1204" s="1">
        <v>163.351</v>
      </c>
      <c r="G1204" s="1">
        <v>8398</v>
      </c>
      <c r="H1204" s="1">
        <v>10047</v>
      </c>
      <c r="I1204" s="1">
        <v>11635</v>
      </c>
      <c r="J1204" s="1">
        <v>160.75899999999999</v>
      </c>
      <c r="K1204" s="1">
        <v>-5.399</v>
      </c>
      <c r="L1204" s="1">
        <v>19.082999999999998</v>
      </c>
      <c r="M1204" s="1" t="s">
        <v>467</v>
      </c>
      <c r="N1204" s="1" t="s">
        <v>1430</v>
      </c>
      <c r="O1204" s="1" t="s">
        <v>1535</v>
      </c>
      <c r="P1204" s="1" t="s">
        <v>1536</v>
      </c>
      <c r="Q1204" s="1" t="s">
        <v>139</v>
      </c>
      <c r="R1204" s="1" t="s">
        <v>266</v>
      </c>
      <c r="S1204" s="1" t="s">
        <v>413</v>
      </c>
    </row>
    <row r="1205" spans="1:19" hidden="1" x14ac:dyDescent="0.25">
      <c r="A1205" s="2">
        <v>174</v>
      </c>
      <c r="B1205" s="1" t="s">
        <v>1532</v>
      </c>
      <c r="C1205" s="1" t="s">
        <v>1533</v>
      </c>
      <c r="D1205" s="1" t="s">
        <v>1534</v>
      </c>
      <c r="E1205" s="1">
        <v>5</v>
      </c>
      <c r="F1205" s="1">
        <v>158.74700000000001</v>
      </c>
      <c r="G1205" s="1">
        <v>13189</v>
      </c>
      <c r="H1205" s="1">
        <v>15874</v>
      </c>
      <c r="I1205" s="1">
        <v>18357</v>
      </c>
      <c r="J1205" s="1">
        <v>156.221</v>
      </c>
      <c r="K1205" s="1">
        <v>-2.8839999999999999</v>
      </c>
      <c r="L1205" s="1">
        <v>23.492000000000001</v>
      </c>
      <c r="M1205" s="1" t="s">
        <v>467</v>
      </c>
      <c r="N1205" s="1" t="s">
        <v>1430</v>
      </c>
      <c r="O1205" s="1" t="s">
        <v>1535</v>
      </c>
      <c r="P1205" s="1" t="s">
        <v>1536</v>
      </c>
      <c r="Q1205" s="1" t="s">
        <v>204</v>
      </c>
      <c r="R1205" s="1" t="s">
        <v>130</v>
      </c>
      <c r="S1205" s="1" t="s">
        <v>98</v>
      </c>
    </row>
    <row r="1206" spans="1:19" x14ac:dyDescent="0.25">
      <c r="A1206" s="2">
        <v>174</v>
      </c>
      <c r="B1206" s="1" t="s">
        <v>1532</v>
      </c>
      <c r="C1206" s="1" t="s">
        <v>1533</v>
      </c>
      <c r="D1206" s="1" t="s">
        <v>1534</v>
      </c>
      <c r="E1206" s="1">
        <v>6</v>
      </c>
      <c r="F1206" s="1">
        <v>140.233</v>
      </c>
      <c r="G1206" s="1">
        <v>11736</v>
      </c>
      <c r="H1206" s="1">
        <v>14124</v>
      </c>
      <c r="I1206" s="1">
        <v>16344</v>
      </c>
      <c r="J1206" s="1">
        <v>138.001</v>
      </c>
      <c r="K1206" s="1">
        <v>-2.831</v>
      </c>
      <c r="L1206" s="1">
        <v>24.17</v>
      </c>
      <c r="M1206" s="1" t="s">
        <v>467</v>
      </c>
      <c r="N1206" s="1" t="s">
        <v>1430</v>
      </c>
      <c r="O1206" s="1" t="s">
        <v>1535</v>
      </c>
      <c r="P1206" s="1" t="s">
        <v>1536</v>
      </c>
      <c r="Q1206" s="1" t="s">
        <v>172</v>
      </c>
      <c r="R1206" s="1" t="s">
        <v>101</v>
      </c>
      <c r="S1206" s="1" t="s">
        <v>354</v>
      </c>
    </row>
    <row r="1207" spans="1:19" x14ac:dyDescent="0.25">
      <c r="A1207" s="2">
        <v>174</v>
      </c>
      <c r="B1207" s="1" t="s">
        <v>1532</v>
      </c>
      <c r="C1207" s="1" t="s">
        <v>1533</v>
      </c>
      <c r="D1207" s="1" t="s">
        <v>1534</v>
      </c>
      <c r="E1207" s="1">
        <v>7</v>
      </c>
      <c r="F1207" s="1">
        <v>129.762</v>
      </c>
      <c r="G1207" s="1">
        <v>10895</v>
      </c>
      <c r="H1207" s="1">
        <v>13112</v>
      </c>
      <c r="I1207" s="1">
        <v>15170</v>
      </c>
      <c r="J1207" s="1">
        <v>127.697</v>
      </c>
      <c r="K1207" s="1">
        <v>-2.823</v>
      </c>
      <c r="L1207" s="1">
        <v>24.172000000000001</v>
      </c>
      <c r="M1207" s="1" t="s">
        <v>467</v>
      </c>
      <c r="N1207" s="1" t="s">
        <v>1430</v>
      </c>
      <c r="O1207" s="1" t="s">
        <v>1535</v>
      </c>
      <c r="P1207" s="1" t="s">
        <v>1536</v>
      </c>
      <c r="Q1207" s="1" t="s">
        <v>1537</v>
      </c>
      <c r="R1207" s="1" t="s">
        <v>715</v>
      </c>
      <c r="S1207" s="1" t="s">
        <v>355</v>
      </c>
    </row>
    <row r="1208" spans="1:19" hidden="1" x14ac:dyDescent="0.25">
      <c r="A1208" s="2">
        <v>175</v>
      </c>
      <c r="B1208" s="1" t="s">
        <v>1538</v>
      </c>
      <c r="C1208" s="1" t="s">
        <v>1467</v>
      </c>
      <c r="D1208" s="1" t="s">
        <v>1539</v>
      </c>
      <c r="E1208" s="1">
        <v>1</v>
      </c>
      <c r="F1208" s="1">
        <v>163.446</v>
      </c>
      <c r="G1208" s="1">
        <v>8349</v>
      </c>
      <c r="H1208" s="1">
        <v>9987</v>
      </c>
      <c r="I1208" s="1">
        <v>11565</v>
      </c>
      <c r="J1208" s="1">
        <v>160.85300000000001</v>
      </c>
      <c r="K1208" s="1">
        <v>-5.4050000000000002</v>
      </c>
      <c r="L1208" s="1">
        <v>19.074999999999999</v>
      </c>
      <c r="M1208" s="1" t="s">
        <v>1540</v>
      </c>
      <c r="N1208" s="1" t="s">
        <v>1430</v>
      </c>
      <c r="O1208" s="1" t="s">
        <v>1541</v>
      </c>
      <c r="P1208" s="1" t="s">
        <v>1542</v>
      </c>
      <c r="Q1208" s="1" t="s">
        <v>87</v>
      </c>
      <c r="R1208" s="1" t="s">
        <v>93</v>
      </c>
      <c r="S1208" s="1" t="s">
        <v>253</v>
      </c>
    </row>
    <row r="1209" spans="1:19" hidden="1" x14ac:dyDescent="0.25">
      <c r="A1209" s="2">
        <v>175</v>
      </c>
      <c r="B1209" s="1" t="s">
        <v>1538</v>
      </c>
      <c r="C1209" s="1" t="s">
        <v>1467</v>
      </c>
      <c r="D1209" s="1" t="s">
        <v>1539</v>
      </c>
      <c r="E1209" s="1">
        <v>2</v>
      </c>
      <c r="F1209" s="1">
        <v>161.31800000000001</v>
      </c>
      <c r="G1209" s="1">
        <v>8344</v>
      </c>
      <c r="H1209" s="1">
        <v>9983</v>
      </c>
      <c r="I1209" s="1">
        <v>11559</v>
      </c>
      <c r="J1209" s="1">
        <v>158.75899999999999</v>
      </c>
      <c r="K1209" s="1">
        <v>-5.4020000000000001</v>
      </c>
      <c r="L1209" s="1">
        <v>19.050999999999998</v>
      </c>
      <c r="M1209" s="1" t="s">
        <v>1540</v>
      </c>
      <c r="N1209" s="1" t="s">
        <v>1430</v>
      </c>
      <c r="O1209" s="1" t="s">
        <v>1541</v>
      </c>
      <c r="P1209" s="1" t="s">
        <v>1542</v>
      </c>
      <c r="Q1209" s="1" t="s">
        <v>152</v>
      </c>
      <c r="R1209" s="1" t="s">
        <v>262</v>
      </c>
      <c r="S1209" s="1" t="s">
        <v>376</v>
      </c>
    </row>
    <row r="1210" spans="1:19" hidden="1" x14ac:dyDescent="0.25">
      <c r="A1210" s="2">
        <v>175</v>
      </c>
      <c r="B1210" s="1" t="s">
        <v>1538</v>
      </c>
      <c r="C1210" s="1" t="s">
        <v>1467</v>
      </c>
      <c r="D1210" s="1" t="s">
        <v>1539</v>
      </c>
      <c r="E1210" s="1">
        <v>3</v>
      </c>
      <c r="F1210" s="1">
        <v>162.67400000000001</v>
      </c>
      <c r="G1210" s="1">
        <v>8442</v>
      </c>
      <c r="H1210" s="1">
        <v>10099</v>
      </c>
      <c r="I1210" s="1">
        <v>11694</v>
      </c>
      <c r="J1210" s="1">
        <v>160.09399999999999</v>
      </c>
      <c r="K1210" s="1">
        <v>-5.4080000000000004</v>
      </c>
      <c r="L1210" s="1">
        <v>19.068999999999999</v>
      </c>
      <c r="M1210" s="1" t="s">
        <v>1540</v>
      </c>
      <c r="N1210" s="1" t="s">
        <v>1430</v>
      </c>
      <c r="O1210" s="1" t="s">
        <v>1541</v>
      </c>
      <c r="P1210" s="1" t="s">
        <v>1542</v>
      </c>
      <c r="Q1210" s="1" t="s">
        <v>158</v>
      </c>
      <c r="R1210" s="1" t="s">
        <v>166</v>
      </c>
      <c r="S1210" s="1" t="s">
        <v>174</v>
      </c>
    </row>
    <row r="1211" spans="1:19" hidden="1" x14ac:dyDescent="0.25">
      <c r="A1211" s="2">
        <v>175</v>
      </c>
      <c r="B1211" s="1" t="s">
        <v>1538</v>
      </c>
      <c r="C1211" s="1" t="s">
        <v>1467</v>
      </c>
      <c r="D1211" s="1" t="s">
        <v>1539</v>
      </c>
      <c r="E1211" s="1">
        <v>4</v>
      </c>
      <c r="F1211" s="1">
        <v>162.35599999999999</v>
      </c>
      <c r="G1211" s="1">
        <v>8349</v>
      </c>
      <c r="H1211" s="1">
        <v>9988</v>
      </c>
      <c r="I1211" s="1">
        <v>11565</v>
      </c>
      <c r="J1211" s="1">
        <v>159.78100000000001</v>
      </c>
      <c r="K1211" s="1">
        <v>-5.399</v>
      </c>
      <c r="L1211" s="1">
        <v>19.082999999999998</v>
      </c>
      <c r="M1211" s="1" t="s">
        <v>1540</v>
      </c>
      <c r="N1211" s="1" t="s">
        <v>1430</v>
      </c>
      <c r="O1211" s="1" t="s">
        <v>1541</v>
      </c>
      <c r="P1211" s="1" t="s">
        <v>1542</v>
      </c>
      <c r="Q1211" s="1" t="s">
        <v>139</v>
      </c>
      <c r="R1211" s="1" t="s">
        <v>177</v>
      </c>
      <c r="S1211" s="1" t="s">
        <v>305</v>
      </c>
    </row>
    <row r="1212" spans="1:19" hidden="1" x14ac:dyDescent="0.25">
      <c r="A1212" s="2">
        <v>175</v>
      </c>
      <c r="B1212" s="1" t="s">
        <v>1538</v>
      </c>
      <c r="C1212" s="1" t="s">
        <v>1467</v>
      </c>
      <c r="D1212" s="1" t="s">
        <v>1539</v>
      </c>
      <c r="E1212" s="1">
        <v>5</v>
      </c>
      <c r="F1212" s="1">
        <v>144.29300000000001</v>
      </c>
      <c r="G1212" s="1">
        <v>12616</v>
      </c>
      <c r="H1212" s="1">
        <v>15197</v>
      </c>
      <c r="I1212" s="1">
        <v>17565</v>
      </c>
      <c r="J1212" s="1">
        <v>141.99700000000001</v>
      </c>
      <c r="K1212" s="1">
        <v>-2.605</v>
      </c>
      <c r="L1212" s="1">
        <v>23.928999999999998</v>
      </c>
      <c r="M1212" s="1" t="s">
        <v>1540</v>
      </c>
      <c r="N1212" s="1" t="s">
        <v>1430</v>
      </c>
      <c r="O1212" s="1" t="s">
        <v>1541</v>
      </c>
      <c r="P1212" s="1" t="s">
        <v>1542</v>
      </c>
      <c r="Q1212" s="1" t="s">
        <v>199</v>
      </c>
      <c r="R1212" s="1" t="s">
        <v>184</v>
      </c>
      <c r="S1212" s="1" t="s">
        <v>118</v>
      </c>
    </row>
    <row r="1213" spans="1:19" x14ac:dyDescent="0.25">
      <c r="A1213" s="2">
        <v>175</v>
      </c>
      <c r="B1213" s="1" t="s">
        <v>1538</v>
      </c>
      <c r="C1213" s="1" t="s">
        <v>1467</v>
      </c>
      <c r="D1213" s="1" t="s">
        <v>1539</v>
      </c>
      <c r="E1213" s="1">
        <v>6</v>
      </c>
      <c r="F1213" s="1">
        <v>128.489</v>
      </c>
      <c r="G1213" s="1">
        <v>11299</v>
      </c>
      <c r="H1213" s="1">
        <v>13602</v>
      </c>
      <c r="I1213" s="1">
        <v>15734</v>
      </c>
      <c r="J1213" s="1">
        <v>126.444</v>
      </c>
      <c r="K1213" s="1">
        <v>-2.5430000000000001</v>
      </c>
      <c r="L1213" s="1">
        <v>24.126000000000001</v>
      </c>
      <c r="M1213" s="1" t="s">
        <v>1540</v>
      </c>
      <c r="N1213" s="1" t="s">
        <v>1430</v>
      </c>
      <c r="O1213" s="1" t="s">
        <v>1541</v>
      </c>
      <c r="P1213" s="1" t="s">
        <v>1542</v>
      </c>
      <c r="Q1213" s="1" t="s">
        <v>104</v>
      </c>
      <c r="R1213" s="1" t="s">
        <v>148</v>
      </c>
      <c r="S1213" s="1" t="s">
        <v>252</v>
      </c>
    </row>
    <row r="1214" spans="1:19" x14ac:dyDescent="0.25">
      <c r="A1214" s="2">
        <v>175</v>
      </c>
      <c r="B1214" s="1" t="s">
        <v>1538</v>
      </c>
      <c r="C1214" s="1" t="s">
        <v>1467</v>
      </c>
      <c r="D1214" s="1" t="s">
        <v>1539</v>
      </c>
      <c r="E1214" s="1">
        <v>7</v>
      </c>
      <c r="F1214" s="1">
        <v>119.2</v>
      </c>
      <c r="G1214" s="1">
        <v>10480</v>
      </c>
      <c r="H1214" s="1">
        <v>12611</v>
      </c>
      <c r="I1214" s="1">
        <v>14589</v>
      </c>
      <c r="J1214" s="1">
        <v>117.30200000000001</v>
      </c>
      <c r="K1214" s="1">
        <v>-2.4529999999999998</v>
      </c>
      <c r="L1214" s="1">
        <v>24.126999999999999</v>
      </c>
      <c r="M1214" s="1" t="s">
        <v>1540</v>
      </c>
      <c r="N1214" s="1" t="s">
        <v>1430</v>
      </c>
      <c r="O1214" s="1" t="s">
        <v>1541</v>
      </c>
      <c r="P1214" s="1" t="s">
        <v>1542</v>
      </c>
      <c r="Q1214" s="1" t="s">
        <v>1048</v>
      </c>
      <c r="R1214" s="1" t="s">
        <v>350</v>
      </c>
      <c r="S1214" s="1" t="s">
        <v>445</v>
      </c>
    </row>
    <row r="1215" spans="1:19" hidden="1" x14ac:dyDescent="0.25">
      <c r="A1215" s="2">
        <v>176</v>
      </c>
      <c r="B1215" s="1" t="s">
        <v>1543</v>
      </c>
      <c r="C1215" s="1" t="s">
        <v>444</v>
      </c>
      <c r="D1215" s="1" t="s">
        <v>1544</v>
      </c>
      <c r="E1215" s="1">
        <v>1</v>
      </c>
      <c r="F1215" s="1">
        <v>162.32900000000001</v>
      </c>
      <c r="G1215" s="1">
        <v>8287</v>
      </c>
      <c r="H1215" s="1">
        <v>9915</v>
      </c>
      <c r="I1215" s="1">
        <v>11474</v>
      </c>
      <c r="J1215" s="1">
        <v>159.75399999999999</v>
      </c>
      <c r="K1215" s="1">
        <v>-5.3940000000000001</v>
      </c>
      <c r="L1215" s="1">
        <v>19.039000000000001</v>
      </c>
      <c r="M1215" s="1" t="s">
        <v>996</v>
      </c>
      <c r="N1215" s="1" t="s">
        <v>1430</v>
      </c>
      <c r="O1215" s="1" t="s">
        <v>1545</v>
      </c>
      <c r="P1215" s="1" t="s">
        <v>1546</v>
      </c>
      <c r="Q1215" s="1" t="s">
        <v>62</v>
      </c>
      <c r="R1215" s="1" t="s">
        <v>92</v>
      </c>
      <c r="S1215" s="1" t="s">
        <v>254</v>
      </c>
    </row>
    <row r="1216" spans="1:19" hidden="1" x14ac:dyDescent="0.25">
      <c r="A1216" s="2">
        <v>176</v>
      </c>
      <c r="B1216" s="1" t="s">
        <v>1543</v>
      </c>
      <c r="C1216" s="1" t="s">
        <v>444</v>
      </c>
      <c r="D1216" s="1" t="s">
        <v>1544</v>
      </c>
      <c r="E1216" s="1">
        <v>2</v>
      </c>
      <c r="F1216" s="1">
        <v>160.02500000000001</v>
      </c>
      <c r="G1216" s="1">
        <v>8286</v>
      </c>
      <c r="H1216" s="1">
        <v>9914</v>
      </c>
      <c r="I1216" s="1">
        <v>11473</v>
      </c>
      <c r="J1216" s="1">
        <v>157.48599999999999</v>
      </c>
      <c r="K1216" s="1">
        <v>-5.3940000000000001</v>
      </c>
      <c r="L1216" s="1">
        <v>19.02</v>
      </c>
      <c r="M1216" s="1" t="s">
        <v>996</v>
      </c>
      <c r="N1216" s="1" t="s">
        <v>1430</v>
      </c>
      <c r="O1216" s="1" t="s">
        <v>1545</v>
      </c>
      <c r="P1216" s="1" t="s">
        <v>1546</v>
      </c>
      <c r="Q1216" s="1" t="s">
        <v>68</v>
      </c>
      <c r="R1216" s="1" t="s">
        <v>171</v>
      </c>
      <c r="S1216" s="1" t="s">
        <v>150</v>
      </c>
    </row>
    <row r="1217" spans="1:19" hidden="1" x14ac:dyDescent="0.25">
      <c r="A1217" s="2">
        <v>176</v>
      </c>
      <c r="B1217" s="1" t="s">
        <v>1543</v>
      </c>
      <c r="C1217" s="1" t="s">
        <v>444</v>
      </c>
      <c r="D1217" s="1" t="s">
        <v>1544</v>
      </c>
      <c r="E1217" s="1">
        <v>3</v>
      </c>
      <c r="F1217" s="1">
        <v>161.09800000000001</v>
      </c>
      <c r="G1217" s="1">
        <v>8350</v>
      </c>
      <c r="H1217" s="1">
        <v>9990</v>
      </c>
      <c r="I1217" s="1">
        <v>11562</v>
      </c>
      <c r="J1217" s="1">
        <v>158.542</v>
      </c>
      <c r="K1217" s="1">
        <v>-5.3929999999999998</v>
      </c>
      <c r="L1217" s="1">
        <v>19.044</v>
      </c>
      <c r="M1217" s="1" t="s">
        <v>996</v>
      </c>
      <c r="N1217" s="1" t="s">
        <v>1430</v>
      </c>
      <c r="O1217" s="1" t="s">
        <v>1545</v>
      </c>
      <c r="P1217" s="1" t="s">
        <v>1546</v>
      </c>
      <c r="Q1217" s="1" t="s">
        <v>159</v>
      </c>
      <c r="R1217" s="1" t="s">
        <v>179</v>
      </c>
      <c r="S1217" s="1" t="s">
        <v>274</v>
      </c>
    </row>
    <row r="1218" spans="1:19" hidden="1" x14ac:dyDescent="0.25">
      <c r="A1218" s="2">
        <v>176</v>
      </c>
      <c r="B1218" s="1" t="s">
        <v>1543</v>
      </c>
      <c r="C1218" s="1" t="s">
        <v>444</v>
      </c>
      <c r="D1218" s="1" t="s">
        <v>1544</v>
      </c>
      <c r="E1218" s="1">
        <v>4</v>
      </c>
      <c r="F1218" s="1">
        <v>161.38900000000001</v>
      </c>
      <c r="G1218" s="1">
        <v>8293</v>
      </c>
      <c r="H1218" s="1">
        <v>9922</v>
      </c>
      <c r="I1218" s="1">
        <v>11482</v>
      </c>
      <c r="J1218" s="1">
        <v>158.828</v>
      </c>
      <c r="K1218" s="1">
        <v>-5.399</v>
      </c>
      <c r="L1218" s="1">
        <v>19.082999999999998</v>
      </c>
      <c r="M1218" s="1" t="s">
        <v>996</v>
      </c>
      <c r="N1218" s="1" t="s">
        <v>1430</v>
      </c>
      <c r="O1218" s="1" t="s">
        <v>1545</v>
      </c>
      <c r="P1218" s="1" t="s">
        <v>1546</v>
      </c>
      <c r="Q1218" s="1" t="s">
        <v>167</v>
      </c>
      <c r="R1218" s="1" t="s">
        <v>237</v>
      </c>
      <c r="S1218" s="1" t="s">
        <v>282</v>
      </c>
    </row>
    <row r="1219" spans="1:19" hidden="1" x14ac:dyDescent="0.25">
      <c r="A1219" s="2">
        <v>176</v>
      </c>
      <c r="B1219" s="1" t="s">
        <v>1543</v>
      </c>
      <c r="C1219" s="1" t="s">
        <v>444</v>
      </c>
      <c r="D1219" s="1" t="s">
        <v>1544</v>
      </c>
      <c r="E1219" s="1">
        <v>5</v>
      </c>
      <c r="F1219" s="1">
        <v>160.648</v>
      </c>
      <c r="G1219" s="1">
        <v>13409</v>
      </c>
      <c r="H1219" s="1">
        <v>16148</v>
      </c>
      <c r="I1219" s="1">
        <v>18655</v>
      </c>
      <c r="J1219" s="1">
        <v>158.09200000000001</v>
      </c>
      <c r="K1219" s="1">
        <v>-2.6880000000000002</v>
      </c>
      <c r="L1219" s="1">
        <v>23.652000000000001</v>
      </c>
      <c r="M1219" s="1" t="s">
        <v>996</v>
      </c>
      <c r="N1219" s="1" t="s">
        <v>1430</v>
      </c>
      <c r="O1219" s="1" t="s">
        <v>1545</v>
      </c>
      <c r="P1219" s="1" t="s">
        <v>1546</v>
      </c>
      <c r="Q1219" s="1" t="s">
        <v>188</v>
      </c>
      <c r="R1219" s="1" t="s">
        <v>215</v>
      </c>
      <c r="S1219" s="1" t="s">
        <v>185</v>
      </c>
    </row>
    <row r="1220" spans="1:19" x14ac:dyDescent="0.25">
      <c r="A1220" s="2">
        <v>176</v>
      </c>
      <c r="B1220" s="1" t="s">
        <v>1543</v>
      </c>
      <c r="C1220" s="1" t="s">
        <v>444</v>
      </c>
      <c r="D1220" s="1" t="s">
        <v>1544</v>
      </c>
      <c r="E1220" s="1">
        <v>6</v>
      </c>
      <c r="F1220" s="1">
        <v>142.01900000000001</v>
      </c>
      <c r="G1220" s="1">
        <v>11943</v>
      </c>
      <c r="H1220" s="1">
        <v>14382</v>
      </c>
      <c r="I1220" s="1">
        <v>16618</v>
      </c>
      <c r="J1220" s="1">
        <v>139.75899999999999</v>
      </c>
      <c r="K1220" s="1">
        <v>-2.6080000000000001</v>
      </c>
      <c r="L1220" s="1">
        <v>23.97</v>
      </c>
      <c r="M1220" s="1" t="s">
        <v>996</v>
      </c>
      <c r="N1220" s="1" t="s">
        <v>1430</v>
      </c>
      <c r="O1220" s="1" t="s">
        <v>1545</v>
      </c>
      <c r="P1220" s="1" t="s">
        <v>1546</v>
      </c>
      <c r="Q1220" s="1" t="s">
        <v>267</v>
      </c>
      <c r="R1220" s="1" t="s">
        <v>366</v>
      </c>
      <c r="S1220" s="1" t="s">
        <v>354</v>
      </c>
    </row>
    <row r="1221" spans="1:19" x14ac:dyDescent="0.25">
      <c r="A1221" s="2">
        <v>176</v>
      </c>
      <c r="B1221" s="1" t="s">
        <v>1543</v>
      </c>
      <c r="C1221" s="1" t="s">
        <v>444</v>
      </c>
      <c r="D1221" s="1" t="s">
        <v>1544</v>
      </c>
      <c r="E1221" s="1">
        <v>7</v>
      </c>
      <c r="F1221" s="1">
        <v>131.32499999999999</v>
      </c>
      <c r="G1221" s="1">
        <v>11081</v>
      </c>
      <c r="H1221" s="1">
        <v>13341</v>
      </c>
      <c r="I1221" s="1">
        <v>15421</v>
      </c>
      <c r="J1221" s="1">
        <v>129.23500000000001</v>
      </c>
      <c r="K1221" s="1">
        <v>-2.6080000000000001</v>
      </c>
      <c r="L1221" s="1">
        <v>23.984000000000002</v>
      </c>
      <c r="M1221" s="1" t="s">
        <v>996</v>
      </c>
      <c r="N1221" s="1" t="s">
        <v>1430</v>
      </c>
      <c r="O1221" s="1" t="s">
        <v>1545</v>
      </c>
      <c r="P1221" s="1" t="s">
        <v>1546</v>
      </c>
      <c r="Q1221" s="1" t="s">
        <v>392</v>
      </c>
      <c r="R1221" s="1" t="s">
        <v>361</v>
      </c>
      <c r="S1221" s="1" t="s">
        <v>407</v>
      </c>
    </row>
    <row r="1222" spans="1:19" hidden="1" x14ac:dyDescent="0.25">
      <c r="A1222" s="2">
        <v>177</v>
      </c>
      <c r="B1222" s="1" t="s">
        <v>1547</v>
      </c>
      <c r="C1222" s="1" t="s">
        <v>441</v>
      </c>
      <c r="D1222" s="1" t="s">
        <v>1548</v>
      </c>
      <c r="E1222" s="1">
        <v>1</v>
      </c>
      <c r="F1222" s="1">
        <v>163.404</v>
      </c>
      <c r="G1222" s="1">
        <v>8352</v>
      </c>
      <c r="H1222" s="1">
        <v>9992</v>
      </c>
      <c r="I1222" s="1">
        <v>11563</v>
      </c>
      <c r="J1222" s="1">
        <v>160.81200000000001</v>
      </c>
      <c r="K1222" s="1">
        <v>-5.3860000000000001</v>
      </c>
      <c r="L1222" s="1">
        <v>19.096</v>
      </c>
      <c r="M1222" s="1" t="s">
        <v>1001</v>
      </c>
      <c r="N1222" s="1" t="s">
        <v>1430</v>
      </c>
      <c r="O1222" s="1" t="s">
        <v>1549</v>
      </c>
      <c r="P1222" s="1" t="s">
        <v>1550</v>
      </c>
      <c r="Q1222" s="1" t="s">
        <v>87</v>
      </c>
      <c r="R1222" s="1" t="s">
        <v>93</v>
      </c>
      <c r="S1222" s="1" t="s">
        <v>147</v>
      </c>
    </row>
    <row r="1223" spans="1:19" hidden="1" x14ac:dyDescent="0.25">
      <c r="A1223" s="2">
        <v>177</v>
      </c>
      <c r="B1223" s="1" t="s">
        <v>1547</v>
      </c>
      <c r="C1223" s="1" t="s">
        <v>441</v>
      </c>
      <c r="D1223" s="1" t="s">
        <v>1548</v>
      </c>
      <c r="E1223" s="1">
        <v>2</v>
      </c>
      <c r="F1223" s="1">
        <v>161.227</v>
      </c>
      <c r="G1223" s="1">
        <v>8345</v>
      </c>
      <c r="H1223" s="1">
        <v>9983</v>
      </c>
      <c r="I1223" s="1">
        <v>11554</v>
      </c>
      <c r="J1223" s="1">
        <v>158.66900000000001</v>
      </c>
      <c r="K1223" s="1">
        <v>-5.375</v>
      </c>
      <c r="L1223" s="1">
        <v>19.068000000000001</v>
      </c>
      <c r="M1223" s="1" t="s">
        <v>1001</v>
      </c>
      <c r="N1223" s="1" t="s">
        <v>1430</v>
      </c>
      <c r="O1223" s="1" t="s">
        <v>1549</v>
      </c>
      <c r="P1223" s="1" t="s">
        <v>1550</v>
      </c>
      <c r="Q1223" s="1" t="s">
        <v>152</v>
      </c>
      <c r="R1223" s="1" t="s">
        <v>156</v>
      </c>
      <c r="S1223" s="1" t="s">
        <v>259</v>
      </c>
    </row>
    <row r="1224" spans="1:19" hidden="1" x14ac:dyDescent="0.25">
      <c r="A1224" s="2">
        <v>177</v>
      </c>
      <c r="B1224" s="1" t="s">
        <v>1547</v>
      </c>
      <c r="C1224" s="1" t="s">
        <v>441</v>
      </c>
      <c r="D1224" s="1" t="s">
        <v>1548</v>
      </c>
      <c r="E1224" s="1">
        <v>3</v>
      </c>
      <c r="F1224" s="1">
        <v>162.64599999999999</v>
      </c>
      <c r="G1224" s="1">
        <v>8415</v>
      </c>
      <c r="H1224" s="1">
        <v>10068</v>
      </c>
      <c r="I1224" s="1">
        <v>11652</v>
      </c>
      <c r="J1224" s="1">
        <v>160.066</v>
      </c>
      <c r="K1224" s="1">
        <v>-5.3810000000000002</v>
      </c>
      <c r="L1224" s="1">
        <v>19.065000000000001</v>
      </c>
      <c r="M1224" s="1" t="s">
        <v>1001</v>
      </c>
      <c r="N1224" s="1" t="s">
        <v>1430</v>
      </c>
      <c r="O1224" s="1" t="s">
        <v>1549</v>
      </c>
      <c r="P1224" s="1" t="s">
        <v>1550</v>
      </c>
      <c r="Q1224" s="1" t="s">
        <v>158</v>
      </c>
      <c r="R1224" s="1" t="s">
        <v>166</v>
      </c>
      <c r="S1224" s="1" t="s">
        <v>174</v>
      </c>
    </row>
    <row r="1225" spans="1:19" hidden="1" x14ac:dyDescent="0.25">
      <c r="A1225" s="2">
        <v>177</v>
      </c>
      <c r="B1225" s="1" t="s">
        <v>1547</v>
      </c>
      <c r="C1225" s="1" t="s">
        <v>441</v>
      </c>
      <c r="D1225" s="1" t="s">
        <v>1548</v>
      </c>
      <c r="E1225" s="1">
        <v>4</v>
      </c>
      <c r="F1225" s="1">
        <v>162.941</v>
      </c>
      <c r="G1225" s="1">
        <v>8363</v>
      </c>
      <c r="H1225" s="1">
        <v>10005</v>
      </c>
      <c r="I1225" s="1">
        <v>11581</v>
      </c>
      <c r="J1225" s="1">
        <v>160.35599999999999</v>
      </c>
      <c r="K1225" s="1">
        <v>-5.399</v>
      </c>
      <c r="L1225" s="1">
        <v>19.082999999999998</v>
      </c>
      <c r="M1225" s="1" t="s">
        <v>1001</v>
      </c>
      <c r="N1225" s="1" t="s">
        <v>1430</v>
      </c>
      <c r="O1225" s="1" t="s">
        <v>1549</v>
      </c>
      <c r="P1225" s="1" t="s">
        <v>1550</v>
      </c>
      <c r="Q1225" s="1" t="s">
        <v>146</v>
      </c>
      <c r="R1225" s="1" t="s">
        <v>177</v>
      </c>
      <c r="S1225" s="1" t="s">
        <v>292</v>
      </c>
    </row>
    <row r="1226" spans="1:19" hidden="1" x14ac:dyDescent="0.25">
      <c r="A1226" s="2">
        <v>177</v>
      </c>
      <c r="B1226" s="1" t="s">
        <v>1547</v>
      </c>
      <c r="C1226" s="1" t="s">
        <v>441</v>
      </c>
      <c r="D1226" s="1" t="s">
        <v>1548</v>
      </c>
      <c r="E1226" s="1">
        <v>5</v>
      </c>
      <c r="F1226" s="1">
        <v>219.928</v>
      </c>
      <c r="G1226" s="1">
        <v>19329</v>
      </c>
      <c r="H1226" s="1">
        <v>23315</v>
      </c>
      <c r="I1226" s="1">
        <v>26891</v>
      </c>
      <c r="J1226" s="1">
        <v>216.42699999999999</v>
      </c>
      <c r="K1226" s="1">
        <v>-2.3730000000000002</v>
      </c>
      <c r="L1226" s="1">
        <v>23.486000000000001</v>
      </c>
      <c r="M1226" s="1" t="s">
        <v>1001</v>
      </c>
      <c r="N1226" s="1" t="s">
        <v>1430</v>
      </c>
      <c r="O1226" s="1" t="s">
        <v>1549</v>
      </c>
      <c r="P1226" s="1" t="s">
        <v>1550</v>
      </c>
      <c r="Q1226" s="1" t="s">
        <v>204</v>
      </c>
      <c r="R1226" s="1" t="s">
        <v>130</v>
      </c>
      <c r="S1226" s="1" t="s">
        <v>64</v>
      </c>
    </row>
    <row r="1227" spans="1:19" x14ac:dyDescent="0.25">
      <c r="A1227" s="2">
        <v>177</v>
      </c>
      <c r="B1227" s="1" t="s">
        <v>1547</v>
      </c>
      <c r="C1227" s="1" t="s">
        <v>441</v>
      </c>
      <c r="D1227" s="1" t="s">
        <v>1548</v>
      </c>
      <c r="E1227" s="1">
        <v>6</v>
      </c>
      <c r="F1227" s="1">
        <v>194.065</v>
      </c>
      <c r="G1227" s="1">
        <v>16958</v>
      </c>
      <c r="H1227" s="1">
        <v>20439</v>
      </c>
      <c r="I1227" s="1">
        <v>23597</v>
      </c>
      <c r="J1227" s="1">
        <v>190.97499999999999</v>
      </c>
      <c r="K1227" s="1">
        <v>-2.33</v>
      </c>
      <c r="L1227" s="1">
        <v>23.94</v>
      </c>
      <c r="M1227" s="1" t="s">
        <v>1001</v>
      </c>
      <c r="N1227" s="1" t="s">
        <v>1430</v>
      </c>
      <c r="O1227" s="1" t="s">
        <v>1549</v>
      </c>
      <c r="P1227" s="1" t="s">
        <v>1550</v>
      </c>
      <c r="Q1227" s="1" t="s">
        <v>246</v>
      </c>
      <c r="R1227" s="1" t="s">
        <v>381</v>
      </c>
      <c r="S1227" s="1" t="s">
        <v>175</v>
      </c>
    </row>
    <row r="1228" spans="1:19" x14ac:dyDescent="0.25">
      <c r="A1228" s="2">
        <v>177</v>
      </c>
      <c r="B1228" s="1" t="s">
        <v>1547</v>
      </c>
      <c r="C1228" s="1" t="s">
        <v>441</v>
      </c>
      <c r="D1228" s="1" t="s">
        <v>1548</v>
      </c>
      <c r="E1228" s="1">
        <v>7</v>
      </c>
      <c r="F1228" s="1">
        <v>179.02199999999999</v>
      </c>
      <c r="G1228" s="1">
        <v>15556</v>
      </c>
      <c r="H1228" s="1">
        <v>18740</v>
      </c>
      <c r="I1228" s="1">
        <v>21643</v>
      </c>
      <c r="J1228" s="1">
        <v>176.172</v>
      </c>
      <c r="K1228" s="1">
        <v>-2.3029999999999999</v>
      </c>
      <c r="L1228" s="1">
        <v>23.981999999999999</v>
      </c>
      <c r="M1228" s="1" t="s">
        <v>1001</v>
      </c>
      <c r="N1228" s="1" t="s">
        <v>1430</v>
      </c>
      <c r="O1228" s="1" t="s">
        <v>1549</v>
      </c>
      <c r="P1228" s="1" t="s">
        <v>1550</v>
      </c>
      <c r="Q1228" s="1" t="s">
        <v>873</v>
      </c>
      <c r="R1228" s="1" t="s">
        <v>396</v>
      </c>
      <c r="S1228" s="1" t="s">
        <v>435</v>
      </c>
    </row>
    <row r="1229" spans="1:19" hidden="1" x14ac:dyDescent="0.25">
      <c r="A1229" s="2">
        <v>178</v>
      </c>
      <c r="B1229" s="1" t="s">
        <v>1551</v>
      </c>
      <c r="C1229" s="1" t="s">
        <v>269</v>
      </c>
      <c r="D1229" s="1" t="s">
        <v>1552</v>
      </c>
      <c r="E1229" s="1">
        <v>1</v>
      </c>
      <c r="F1229" s="1">
        <v>163.39400000000001</v>
      </c>
      <c r="G1229" s="1">
        <v>8349</v>
      </c>
      <c r="H1229" s="1">
        <v>9989</v>
      </c>
      <c r="I1229" s="1">
        <v>11561</v>
      </c>
      <c r="J1229" s="1">
        <v>160.80099999999999</v>
      </c>
      <c r="K1229" s="1">
        <v>-5.4160000000000004</v>
      </c>
      <c r="L1229" s="1">
        <v>19.07</v>
      </c>
      <c r="M1229" s="1" t="s">
        <v>1553</v>
      </c>
      <c r="N1229" s="1" t="s">
        <v>1430</v>
      </c>
      <c r="O1229" s="1" t="s">
        <v>1554</v>
      </c>
      <c r="P1229" s="1" t="s">
        <v>1555</v>
      </c>
      <c r="Q1229" s="1" t="s">
        <v>71</v>
      </c>
      <c r="R1229" s="1" t="s">
        <v>258</v>
      </c>
      <c r="S1229" s="1" t="s">
        <v>139</v>
      </c>
    </row>
    <row r="1230" spans="1:19" hidden="1" x14ac:dyDescent="0.25">
      <c r="A1230" s="2">
        <v>178</v>
      </c>
      <c r="B1230" s="1" t="s">
        <v>1551</v>
      </c>
      <c r="C1230" s="1" t="s">
        <v>269</v>
      </c>
      <c r="D1230" s="1" t="s">
        <v>1552</v>
      </c>
      <c r="E1230" s="1">
        <v>2</v>
      </c>
      <c r="F1230" s="1">
        <v>161.31800000000001</v>
      </c>
      <c r="G1230" s="1">
        <v>8352</v>
      </c>
      <c r="H1230" s="1">
        <v>9992</v>
      </c>
      <c r="I1230" s="1">
        <v>11565</v>
      </c>
      <c r="J1230" s="1">
        <v>158.75800000000001</v>
      </c>
      <c r="K1230" s="1">
        <v>-5.4050000000000002</v>
      </c>
      <c r="L1230" s="1">
        <v>19.061</v>
      </c>
      <c r="M1230" s="1" t="s">
        <v>1553</v>
      </c>
      <c r="N1230" s="1" t="s">
        <v>1430</v>
      </c>
      <c r="O1230" s="1" t="s">
        <v>1554</v>
      </c>
      <c r="P1230" s="1" t="s">
        <v>1555</v>
      </c>
      <c r="Q1230" s="1" t="s">
        <v>249</v>
      </c>
      <c r="R1230" s="1" t="s">
        <v>179</v>
      </c>
      <c r="S1230" s="1" t="s">
        <v>201</v>
      </c>
    </row>
    <row r="1231" spans="1:19" hidden="1" x14ac:dyDescent="0.25">
      <c r="A1231" s="2">
        <v>178</v>
      </c>
      <c r="B1231" s="1" t="s">
        <v>1551</v>
      </c>
      <c r="C1231" s="1" t="s">
        <v>269</v>
      </c>
      <c r="D1231" s="1" t="s">
        <v>1552</v>
      </c>
      <c r="E1231" s="1">
        <v>3</v>
      </c>
      <c r="F1231" s="1">
        <v>162.63999999999999</v>
      </c>
      <c r="G1231" s="1">
        <v>8421</v>
      </c>
      <c r="H1231" s="1">
        <v>10074</v>
      </c>
      <c r="I1231" s="1">
        <v>11661</v>
      </c>
      <c r="J1231" s="1">
        <v>160.059</v>
      </c>
      <c r="K1231" s="1">
        <v>-5.4130000000000003</v>
      </c>
      <c r="L1231" s="1">
        <v>19.088999999999999</v>
      </c>
      <c r="M1231" s="1" t="s">
        <v>1553</v>
      </c>
      <c r="N1231" s="1" t="s">
        <v>1430</v>
      </c>
      <c r="O1231" s="1" t="s">
        <v>1554</v>
      </c>
      <c r="P1231" s="1" t="s">
        <v>1555</v>
      </c>
      <c r="Q1231" s="1" t="s">
        <v>161</v>
      </c>
      <c r="R1231" s="1" t="s">
        <v>236</v>
      </c>
      <c r="S1231" s="1" t="s">
        <v>238</v>
      </c>
    </row>
    <row r="1232" spans="1:19" hidden="1" x14ac:dyDescent="0.25">
      <c r="A1232" s="2">
        <v>178</v>
      </c>
      <c r="B1232" s="1" t="s">
        <v>1551</v>
      </c>
      <c r="C1232" s="1" t="s">
        <v>269</v>
      </c>
      <c r="D1232" s="1" t="s">
        <v>1552</v>
      </c>
      <c r="E1232" s="1">
        <v>4</v>
      </c>
      <c r="F1232" s="1">
        <v>162.45500000000001</v>
      </c>
      <c r="G1232" s="1">
        <v>8352</v>
      </c>
      <c r="H1232" s="1">
        <v>9993</v>
      </c>
      <c r="I1232" s="1">
        <v>11564</v>
      </c>
      <c r="J1232" s="1">
        <v>159.87700000000001</v>
      </c>
      <c r="K1232" s="1">
        <v>-5.399</v>
      </c>
      <c r="L1232" s="1">
        <v>19.082999999999998</v>
      </c>
      <c r="M1232" s="1" t="s">
        <v>1553</v>
      </c>
      <c r="N1232" s="1" t="s">
        <v>1430</v>
      </c>
      <c r="O1232" s="1" t="s">
        <v>1554</v>
      </c>
      <c r="P1232" s="1" t="s">
        <v>1555</v>
      </c>
      <c r="Q1232" s="1" t="s">
        <v>160</v>
      </c>
      <c r="R1232" s="1" t="s">
        <v>155</v>
      </c>
      <c r="S1232" s="1" t="s">
        <v>228</v>
      </c>
    </row>
    <row r="1233" spans="1:19" hidden="1" x14ac:dyDescent="0.25">
      <c r="A1233" s="2">
        <v>178</v>
      </c>
      <c r="B1233" s="1" t="s">
        <v>1551</v>
      </c>
      <c r="C1233" s="1" t="s">
        <v>269</v>
      </c>
      <c r="D1233" s="1" t="s">
        <v>1552</v>
      </c>
      <c r="E1233" s="1">
        <v>5</v>
      </c>
      <c r="F1233" s="1">
        <v>156.65299999999999</v>
      </c>
      <c r="G1233" s="1">
        <v>13076</v>
      </c>
      <c r="H1233" s="1">
        <v>15750</v>
      </c>
      <c r="I1233" s="1">
        <v>18195</v>
      </c>
      <c r="J1233" s="1">
        <v>154.16</v>
      </c>
      <c r="K1233" s="1">
        <v>-2.8290000000000002</v>
      </c>
      <c r="L1233" s="1">
        <v>23.623999999999999</v>
      </c>
      <c r="M1233" s="1" t="s">
        <v>1553</v>
      </c>
      <c r="N1233" s="1" t="s">
        <v>1430</v>
      </c>
      <c r="O1233" s="1" t="s">
        <v>1554</v>
      </c>
      <c r="P1233" s="1" t="s">
        <v>1555</v>
      </c>
      <c r="Q1233" s="1" t="s">
        <v>199</v>
      </c>
      <c r="R1233" s="1" t="s">
        <v>184</v>
      </c>
      <c r="S1233" s="1" t="s">
        <v>61</v>
      </c>
    </row>
    <row r="1234" spans="1:19" x14ac:dyDescent="0.25">
      <c r="A1234" s="2">
        <v>178</v>
      </c>
      <c r="B1234" s="1" t="s">
        <v>1551</v>
      </c>
      <c r="C1234" s="1" t="s">
        <v>269</v>
      </c>
      <c r="D1234" s="1" t="s">
        <v>1552</v>
      </c>
      <c r="E1234" s="1">
        <v>6</v>
      </c>
      <c r="F1234" s="1">
        <v>139.346</v>
      </c>
      <c r="G1234" s="1">
        <v>11726</v>
      </c>
      <c r="H1234" s="1">
        <v>14122</v>
      </c>
      <c r="I1234" s="1">
        <v>16317</v>
      </c>
      <c r="J1234" s="1">
        <v>137.12899999999999</v>
      </c>
      <c r="K1234" s="1">
        <v>-2.754</v>
      </c>
      <c r="L1234" s="1">
        <v>23.928999999999998</v>
      </c>
      <c r="M1234" s="1" t="s">
        <v>1553</v>
      </c>
      <c r="N1234" s="1" t="s">
        <v>1430</v>
      </c>
      <c r="O1234" s="1" t="s">
        <v>1554</v>
      </c>
      <c r="P1234" s="1" t="s">
        <v>1555</v>
      </c>
      <c r="Q1234" s="1" t="s">
        <v>283</v>
      </c>
      <c r="R1234" s="1" t="s">
        <v>103</v>
      </c>
      <c r="S1234" s="1" t="s">
        <v>178</v>
      </c>
    </row>
    <row r="1235" spans="1:19" x14ac:dyDescent="0.25">
      <c r="A1235" s="2">
        <v>178</v>
      </c>
      <c r="B1235" s="1" t="s">
        <v>1551</v>
      </c>
      <c r="C1235" s="1" t="s">
        <v>269</v>
      </c>
      <c r="D1235" s="1" t="s">
        <v>1552</v>
      </c>
      <c r="E1235" s="1">
        <v>7</v>
      </c>
      <c r="F1235" s="1">
        <v>128.874</v>
      </c>
      <c r="G1235" s="1">
        <v>10897</v>
      </c>
      <c r="H1235" s="1">
        <v>13122</v>
      </c>
      <c r="I1235" s="1">
        <v>15162</v>
      </c>
      <c r="J1235" s="1">
        <v>126.82299999999999</v>
      </c>
      <c r="K1235" s="1">
        <v>-2.702</v>
      </c>
      <c r="L1235" s="1">
        <v>23.962</v>
      </c>
      <c r="M1235" s="1" t="s">
        <v>1553</v>
      </c>
      <c r="N1235" s="1" t="s">
        <v>1430</v>
      </c>
      <c r="O1235" s="1" t="s">
        <v>1554</v>
      </c>
      <c r="P1235" s="1" t="s">
        <v>1555</v>
      </c>
      <c r="Q1235" s="1" t="s">
        <v>1048</v>
      </c>
      <c r="R1235" s="1" t="s">
        <v>350</v>
      </c>
      <c r="S1235" s="1" t="s">
        <v>1049</v>
      </c>
    </row>
    <row r="1236" spans="1:19" hidden="1" x14ac:dyDescent="0.25">
      <c r="A1236" s="2">
        <v>179</v>
      </c>
      <c r="B1236" s="1" t="s">
        <v>1556</v>
      </c>
      <c r="C1236" s="1" t="s">
        <v>741</v>
      </c>
      <c r="D1236" s="1" t="s">
        <v>1557</v>
      </c>
      <c r="E1236" s="1">
        <v>1</v>
      </c>
      <c r="F1236" s="1">
        <v>162.774</v>
      </c>
      <c r="G1236" s="1">
        <v>8326</v>
      </c>
      <c r="H1236" s="1">
        <v>9960</v>
      </c>
      <c r="I1236" s="1">
        <v>11535</v>
      </c>
      <c r="J1236" s="1">
        <v>160.19200000000001</v>
      </c>
      <c r="K1236" s="1">
        <v>-5.4130000000000003</v>
      </c>
      <c r="L1236" s="1">
        <v>19.088999999999999</v>
      </c>
      <c r="M1236" s="1" t="s">
        <v>1558</v>
      </c>
      <c r="N1236" s="1" t="s">
        <v>1430</v>
      </c>
      <c r="O1236" s="1" t="s">
        <v>1559</v>
      </c>
      <c r="P1236" s="1" t="s">
        <v>1560</v>
      </c>
      <c r="Q1236" s="1" t="s">
        <v>87</v>
      </c>
      <c r="R1236" s="1" t="s">
        <v>131</v>
      </c>
      <c r="S1236" s="1" t="s">
        <v>253</v>
      </c>
    </row>
    <row r="1237" spans="1:19" hidden="1" x14ac:dyDescent="0.25">
      <c r="A1237" s="2">
        <v>179</v>
      </c>
      <c r="B1237" s="1" t="s">
        <v>1556</v>
      </c>
      <c r="C1237" s="1" t="s">
        <v>741</v>
      </c>
      <c r="D1237" s="1" t="s">
        <v>1557</v>
      </c>
      <c r="E1237" s="1">
        <v>2</v>
      </c>
      <c r="F1237" s="1">
        <v>160.91499999999999</v>
      </c>
      <c r="G1237" s="1">
        <v>8320</v>
      </c>
      <c r="H1237" s="1">
        <v>9954</v>
      </c>
      <c r="I1237" s="1">
        <v>11527</v>
      </c>
      <c r="J1237" s="1">
        <v>158.36199999999999</v>
      </c>
      <c r="K1237" s="1">
        <v>-5.4059999999999997</v>
      </c>
      <c r="L1237" s="1">
        <v>19.058</v>
      </c>
      <c r="M1237" s="1" t="s">
        <v>1558</v>
      </c>
      <c r="N1237" s="1" t="s">
        <v>1430</v>
      </c>
      <c r="O1237" s="1" t="s">
        <v>1559</v>
      </c>
      <c r="P1237" s="1" t="s">
        <v>1560</v>
      </c>
      <c r="Q1237" s="1" t="s">
        <v>152</v>
      </c>
      <c r="R1237" s="1" t="s">
        <v>156</v>
      </c>
      <c r="S1237" s="1" t="s">
        <v>376</v>
      </c>
    </row>
    <row r="1238" spans="1:19" hidden="1" x14ac:dyDescent="0.25">
      <c r="A1238" s="2">
        <v>179</v>
      </c>
      <c r="B1238" s="1" t="s">
        <v>1556</v>
      </c>
      <c r="C1238" s="1" t="s">
        <v>741</v>
      </c>
      <c r="D1238" s="1" t="s">
        <v>1557</v>
      </c>
      <c r="E1238" s="1">
        <v>3</v>
      </c>
      <c r="F1238" s="1">
        <v>162.404</v>
      </c>
      <c r="G1238" s="1">
        <v>8405</v>
      </c>
      <c r="H1238" s="1">
        <v>10055</v>
      </c>
      <c r="I1238" s="1">
        <v>11642</v>
      </c>
      <c r="J1238" s="1">
        <v>159.828</v>
      </c>
      <c r="K1238" s="1">
        <v>-5.4029999999999996</v>
      </c>
      <c r="L1238" s="1">
        <v>19.077999999999999</v>
      </c>
      <c r="M1238" s="1" t="s">
        <v>1558</v>
      </c>
      <c r="N1238" s="1" t="s">
        <v>1430</v>
      </c>
      <c r="O1238" s="1" t="s">
        <v>1559</v>
      </c>
      <c r="P1238" s="1" t="s">
        <v>1560</v>
      </c>
      <c r="Q1238" s="1" t="s">
        <v>158</v>
      </c>
      <c r="R1238" s="1" t="s">
        <v>166</v>
      </c>
      <c r="S1238" s="1" t="s">
        <v>174</v>
      </c>
    </row>
    <row r="1239" spans="1:19" hidden="1" x14ac:dyDescent="0.25">
      <c r="A1239" s="2">
        <v>179</v>
      </c>
      <c r="B1239" s="1" t="s">
        <v>1556</v>
      </c>
      <c r="C1239" s="1" t="s">
        <v>741</v>
      </c>
      <c r="D1239" s="1" t="s">
        <v>1557</v>
      </c>
      <c r="E1239" s="1">
        <v>4</v>
      </c>
      <c r="F1239" s="1">
        <v>162.37100000000001</v>
      </c>
      <c r="G1239" s="1">
        <v>8351</v>
      </c>
      <c r="H1239" s="1">
        <v>9991</v>
      </c>
      <c r="I1239" s="1">
        <v>11568</v>
      </c>
      <c r="J1239" s="1">
        <v>159.79499999999999</v>
      </c>
      <c r="K1239" s="1">
        <v>-5.399</v>
      </c>
      <c r="L1239" s="1">
        <v>19.082999999999998</v>
      </c>
      <c r="M1239" s="1" t="s">
        <v>1558</v>
      </c>
      <c r="N1239" s="1" t="s">
        <v>1430</v>
      </c>
      <c r="O1239" s="1" t="s">
        <v>1559</v>
      </c>
      <c r="P1239" s="1" t="s">
        <v>1560</v>
      </c>
      <c r="Q1239" s="1" t="s">
        <v>139</v>
      </c>
      <c r="R1239" s="1" t="s">
        <v>177</v>
      </c>
      <c r="S1239" s="1" t="s">
        <v>413</v>
      </c>
    </row>
    <row r="1240" spans="1:19" hidden="1" x14ac:dyDescent="0.25">
      <c r="A1240" s="2">
        <v>179</v>
      </c>
      <c r="B1240" s="1" t="s">
        <v>1556</v>
      </c>
      <c r="C1240" s="1" t="s">
        <v>741</v>
      </c>
      <c r="D1240" s="1" t="s">
        <v>1557</v>
      </c>
      <c r="E1240" s="1">
        <v>5</v>
      </c>
      <c r="F1240" s="1">
        <v>208.90700000000001</v>
      </c>
      <c r="G1240" s="1">
        <v>17968</v>
      </c>
      <c r="H1240" s="1">
        <v>21645</v>
      </c>
      <c r="I1240" s="1">
        <v>25010</v>
      </c>
      <c r="J1240" s="1">
        <v>205.583</v>
      </c>
      <c r="K1240" s="1">
        <v>-2.88</v>
      </c>
      <c r="L1240" s="1">
        <v>23.181999999999999</v>
      </c>
      <c r="M1240" s="1" t="s">
        <v>1558</v>
      </c>
      <c r="N1240" s="1" t="s">
        <v>1430</v>
      </c>
      <c r="O1240" s="1" t="s">
        <v>1559</v>
      </c>
      <c r="P1240" s="1" t="s">
        <v>1560</v>
      </c>
      <c r="Q1240" s="1" t="s">
        <v>215</v>
      </c>
      <c r="R1240" s="1" t="s">
        <v>191</v>
      </c>
      <c r="S1240" s="1" t="s">
        <v>84</v>
      </c>
    </row>
    <row r="1241" spans="1:19" x14ac:dyDescent="0.25">
      <c r="A1241" s="2">
        <v>179</v>
      </c>
      <c r="B1241" s="1" t="s">
        <v>1556</v>
      </c>
      <c r="C1241" s="1" t="s">
        <v>741</v>
      </c>
      <c r="D1241" s="1" t="s">
        <v>1557</v>
      </c>
      <c r="E1241" s="1">
        <v>6</v>
      </c>
      <c r="F1241" s="1">
        <v>184.733</v>
      </c>
      <c r="G1241" s="1">
        <v>15805</v>
      </c>
      <c r="H1241" s="1">
        <v>19028</v>
      </c>
      <c r="I1241" s="1">
        <v>22000</v>
      </c>
      <c r="J1241" s="1">
        <v>181.79400000000001</v>
      </c>
      <c r="K1241" s="1">
        <v>-2.8940000000000001</v>
      </c>
      <c r="L1241" s="1">
        <v>23.939</v>
      </c>
      <c r="M1241" s="1" t="s">
        <v>1558</v>
      </c>
      <c r="N1241" s="1" t="s">
        <v>1430</v>
      </c>
      <c r="O1241" s="1" t="s">
        <v>1559</v>
      </c>
      <c r="P1241" s="1" t="s">
        <v>1560</v>
      </c>
      <c r="Q1241" s="1" t="s">
        <v>289</v>
      </c>
      <c r="R1241" s="1" t="s">
        <v>135</v>
      </c>
      <c r="S1241" s="1" t="s">
        <v>209</v>
      </c>
    </row>
    <row r="1242" spans="1:19" x14ac:dyDescent="0.25">
      <c r="A1242" s="2">
        <v>179</v>
      </c>
      <c r="B1242" s="1" t="s">
        <v>1556</v>
      </c>
      <c r="C1242" s="1" t="s">
        <v>741</v>
      </c>
      <c r="D1242" s="1" t="s">
        <v>1557</v>
      </c>
      <c r="E1242" s="1">
        <v>7</v>
      </c>
      <c r="F1242" s="1">
        <v>171.065</v>
      </c>
      <c r="G1242" s="1">
        <v>14596</v>
      </c>
      <c r="H1242" s="1">
        <v>17568</v>
      </c>
      <c r="I1242" s="1">
        <v>20320</v>
      </c>
      <c r="J1242" s="1">
        <v>168.34200000000001</v>
      </c>
      <c r="K1242" s="1">
        <v>-2.855</v>
      </c>
      <c r="L1242" s="1">
        <v>23.957000000000001</v>
      </c>
      <c r="M1242" s="1" t="s">
        <v>1558</v>
      </c>
      <c r="N1242" s="1" t="s">
        <v>1430</v>
      </c>
      <c r="O1242" s="1" t="s">
        <v>1559</v>
      </c>
      <c r="P1242" s="1" t="s">
        <v>1560</v>
      </c>
      <c r="Q1242" s="1" t="s">
        <v>462</v>
      </c>
      <c r="R1242" s="1" t="s">
        <v>364</v>
      </c>
      <c r="S1242" s="1" t="s">
        <v>829</v>
      </c>
    </row>
    <row r="1243" spans="1:19" hidden="1" x14ac:dyDescent="0.25">
      <c r="A1243" s="2">
        <v>180</v>
      </c>
      <c r="B1243" s="1" t="s">
        <v>1561</v>
      </c>
      <c r="C1243" s="1" t="s">
        <v>1562</v>
      </c>
      <c r="D1243" s="1" t="s">
        <v>1563</v>
      </c>
      <c r="E1243" s="1">
        <v>1</v>
      </c>
      <c r="F1243" s="1">
        <v>164.393</v>
      </c>
      <c r="G1243" s="1">
        <v>8389</v>
      </c>
      <c r="H1243" s="1">
        <v>10036</v>
      </c>
      <c r="I1243" s="1">
        <v>11614</v>
      </c>
      <c r="J1243" s="1">
        <v>161.785</v>
      </c>
      <c r="K1243" s="1">
        <v>-5.4039999999999999</v>
      </c>
      <c r="L1243" s="1">
        <v>19.039000000000001</v>
      </c>
      <c r="M1243" s="1" t="s">
        <v>1020</v>
      </c>
      <c r="N1243" s="1" t="s">
        <v>1430</v>
      </c>
      <c r="O1243" s="1" t="s">
        <v>1564</v>
      </c>
      <c r="P1243" s="1" t="s">
        <v>1565</v>
      </c>
      <c r="Q1243" s="1" t="s">
        <v>71</v>
      </c>
      <c r="R1243" s="1" t="s">
        <v>97</v>
      </c>
      <c r="S1243" s="1" t="s">
        <v>139</v>
      </c>
    </row>
    <row r="1244" spans="1:19" hidden="1" x14ac:dyDescent="0.25">
      <c r="A1244" s="2">
        <v>180</v>
      </c>
      <c r="B1244" s="1" t="s">
        <v>1561</v>
      </c>
      <c r="C1244" s="1" t="s">
        <v>1562</v>
      </c>
      <c r="D1244" s="1" t="s">
        <v>1563</v>
      </c>
      <c r="E1244" s="1">
        <v>2</v>
      </c>
      <c r="F1244" s="1">
        <v>162.38800000000001</v>
      </c>
      <c r="G1244" s="1">
        <v>8398</v>
      </c>
      <c r="H1244" s="1">
        <v>10048</v>
      </c>
      <c r="I1244" s="1">
        <v>11628</v>
      </c>
      <c r="J1244" s="1">
        <v>159.81200000000001</v>
      </c>
      <c r="K1244" s="1">
        <v>-5.4009999999999998</v>
      </c>
      <c r="L1244" s="1">
        <v>19.029</v>
      </c>
      <c r="M1244" s="1" t="s">
        <v>1020</v>
      </c>
      <c r="N1244" s="1" t="s">
        <v>1430</v>
      </c>
      <c r="O1244" s="1" t="s">
        <v>1564</v>
      </c>
      <c r="P1244" s="1" t="s">
        <v>1565</v>
      </c>
      <c r="Q1244" s="1" t="s">
        <v>159</v>
      </c>
      <c r="R1244" s="1" t="s">
        <v>179</v>
      </c>
      <c r="S1244" s="1" t="s">
        <v>274</v>
      </c>
    </row>
    <row r="1245" spans="1:19" hidden="1" x14ac:dyDescent="0.25">
      <c r="A1245" s="2">
        <v>180</v>
      </c>
      <c r="B1245" s="1" t="s">
        <v>1561</v>
      </c>
      <c r="C1245" s="1" t="s">
        <v>1562</v>
      </c>
      <c r="D1245" s="1" t="s">
        <v>1563</v>
      </c>
      <c r="E1245" s="1">
        <v>3</v>
      </c>
      <c r="F1245" s="1">
        <v>163.637</v>
      </c>
      <c r="G1245" s="1">
        <v>8465</v>
      </c>
      <c r="H1245" s="1">
        <v>10127</v>
      </c>
      <c r="I1245" s="1">
        <v>11719</v>
      </c>
      <c r="J1245" s="1">
        <v>161.041</v>
      </c>
      <c r="K1245" s="1">
        <v>-5.4119999999999999</v>
      </c>
      <c r="L1245" s="1">
        <v>19.048999999999999</v>
      </c>
      <c r="M1245" s="1" t="s">
        <v>1020</v>
      </c>
      <c r="N1245" s="1" t="s">
        <v>1430</v>
      </c>
      <c r="O1245" s="1" t="s">
        <v>1564</v>
      </c>
      <c r="P1245" s="1" t="s">
        <v>1565</v>
      </c>
      <c r="Q1245" s="1" t="s">
        <v>139</v>
      </c>
      <c r="R1245" s="1" t="s">
        <v>266</v>
      </c>
      <c r="S1245" s="1" t="s">
        <v>238</v>
      </c>
    </row>
    <row r="1246" spans="1:19" hidden="1" x14ac:dyDescent="0.25">
      <c r="A1246" s="2">
        <v>180</v>
      </c>
      <c r="B1246" s="1" t="s">
        <v>1561</v>
      </c>
      <c r="C1246" s="1" t="s">
        <v>1562</v>
      </c>
      <c r="D1246" s="1" t="s">
        <v>1563</v>
      </c>
      <c r="E1246" s="1">
        <v>4</v>
      </c>
      <c r="F1246" s="1">
        <v>163.58099999999999</v>
      </c>
      <c r="G1246" s="1">
        <v>8399</v>
      </c>
      <c r="H1246" s="1">
        <v>10050</v>
      </c>
      <c r="I1246" s="1">
        <v>11631</v>
      </c>
      <c r="J1246" s="1">
        <v>160.98599999999999</v>
      </c>
      <c r="K1246" s="1">
        <v>-5.399</v>
      </c>
      <c r="L1246" s="1">
        <v>19.082999999999998</v>
      </c>
      <c r="M1246" s="1" t="s">
        <v>1020</v>
      </c>
      <c r="N1246" s="1" t="s">
        <v>1430</v>
      </c>
      <c r="O1246" s="1" t="s">
        <v>1564</v>
      </c>
      <c r="P1246" s="1" t="s">
        <v>1565</v>
      </c>
      <c r="Q1246" s="1" t="s">
        <v>160</v>
      </c>
      <c r="R1246" s="1" t="s">
        <v>155</v>
      </c>
      <c r="S1246" s="1" t="s">
        <v>334</v>
      </c>
    </row>
    <row r="1247" spans="1:19" hidden="1" x14ac:dyDescent="0.25">
      <c r="A1247" s="2">
        <v>180</v>
      </c>
      <c r="B1247" s="1" t="s">
        <v>1561</v>
      </c>
      <c r="C1247" s="1" t="s">
        <v>1562</v>
      </c>
      <c r="D1247" s="1" t="s">
        <v>1563</v>
      </c>
      <c r="E1247" s="1">
        <v>5</v>
      </c>
      <c r="F1247" s="1">
        <v>153.38300000000001</v>
      </c>
      <c r="G1247" s="1">
        <v>12937</v>
      </c>
      <c r="H1247" s="1">
        <v>15577</v>
      </c>
      <c r="I1247" s="1">
        <v>18004</v>
      </c>
      <c r="J1247" s="1">
        <v>150.94300000000001</v>
      </c>
      <c r="K1247" s="1">
        <v>-3.55</v>
      </c>
      <c r="L1247" s="1">
        <v>23.867000000000001</v>
      </c>
      <c r="M1247" s="1" t="s">
        <v>1020</v>
      </c>
      <c r="N1247" s="1" t="s">
        <v>1430</v>
      </c>
      <c r="O1247" s="1" t="s">
        <v>1564</v>
      </c>
      <c r="P1247" s="1" t="s">
        <v>1565</v>
      </c>
      <c r="Q1247" s="1" t="s">
        <v>200</v>
      </c>
      <c r="R1247" s="1" t="s">
        <v>975</v>
      </c>
      <c r="S1247" s="1" t="s">
        <v>112</v>
      </c>
    </row>
    <row r="1248" spans="1:19" x14ac:dyDescent="0.25">
      <c r="A1248" s="2">
        <v>180</v>
      </c>
      <c r="B1248" s="1" t="s">
        <v>1561</v>
      </c>
      <c r="C1248" s="1" t="s">
        <v>1562</v>
      </c>
      <c r="D1248" s="1" t="s">
        <v>1563</v>
      </c>
      <c r="E1248" s="1">
        <v>6</v>
      </c>
      <c r="F1248" s="1">
        <v>136.596</v>
      </c>
      <c r="G1248" s="1">
        <v>11734</v>
      </c>
      <c r="H1248" s="1">
        <v>14123</v>
      </c>
      <c r="I1248" s="1">
        <v>16326</v>
      </c>
      <c r="J1248" s="1">
        <v>134.423</v>
      </c>
      <c r="K1248" s="1">
        <v>-3.4860000000000002</v>
      </c>
      <c r="L1248" s="1">
        <v>24.071999999999999</v>
      </c>
      <c r="M1248" s="1" t="s">
        <v>1020</v>
      </c>
      <c r="N1248" s="1" t="s">
        <v>1430</v>
      </c>
      <c r="O1248" s="1" t="s">
        <v>1564</v>
      </c>
      <c r="P1248" s="1" t="s">
        <v>1565</v>
      </c>
      <c r="Q1248" s="1" t="s">
        <v>283</v>
      </c>
      <c r="R1248" s="1" t="s">
        <v>103</v>
      </c>
      <c r="S1248" s="1" t="s">
        <v>178</v>
      </c>
    </row>
    <row r="1249" spans="1:19" x14ac:dyDescent="0.25">
      <c r="A1249" s="2">
        <v>180</v>
      </c>
      <c r="B1249" s="1" t="s">
        <v>1561</v>
      </c>
      <c r="C1249" s="1" t="s">
        <v>1562</v>
      </c>
      <c r="D1249" s="1" t="s">
        <v>1563</v>
      </c>
      <c r="E1249" s="1">
        <v>7</v>
      </c>
      <c r="F1249" s="1">
        <v>126.96599999999999</v>
      </c>
      <c r="G1249" s="1">
        <v>11000</v>
      </c>
      <c r="H1249" s="1">
        <v>13237</v>
      </c>
      <c r="I1249" s="1">
        <v>15308</v>
      </c>
      <c r="J1249" s="1">
        <v>124.946</v>
      </c>
      <c r="K1249" s="1">
        <v>-3.4510000000000001</v>
      </c>
      <c r="L1249" s="1">
        <v>24.093</v>
      </c>
      <c r="M1249" s="1" t="s">
        <v>1020</v>
      </c>
      <c r="N1249" s="1" t="s">
        <v>1430</v>
      </c>
      <c r="O1249" s="1" t="s">
        <v>1564</v>
      </c>
      <c r="P1249" s="1" t="s">
        <v>1565</v>
      </c>
      <c r="Q1249" s="1" t="s">
        <v>485</v>
      </c>
      <c r="R1249" s="1" t="s">
        <v>393</v>
      </c>
      <c r="S1249" s="1" t="s">
        <v>1073</v>
      </c>
    </row>
    <row r="1250" spans="1:19" hidden="1" x14ac:dyDescent="0.25">
      <c r="A1250" s="2">
        <v>181</v>
      </c>
      <c r="B1250" s="1" t="s">
        <v>1566</v>
      </c>
      <c r="C1250" s="1" t="s">
        <v>284</v>
      </c>
      <c r="D1250" s="1" t="s">
        <v>1567</v>
      </c>
      <c r="E1250" s="1">
        <v>1</v>
      </c>
      <c r="F1250" s="1">
        <v>162.904</v>
      </c>
      <c r="G1250" s="1">
        <v>8313</v>
      </c>
      <c r="H1250" s="1">
        <v>9944</v>
      </c>
      <c r="I1250" s="1">
        <v>11515</v>
      </c>
      <c r="J1250" s="1">
        <v>160.32</v>
      </c>
      <c r="K1250" s="1">
        <v>-5.3920000000000003</v>
      </c>
      <c r="L1250" s="1">
        <v>19.064</v>
      </c>
      <c r="M1250" s="1" t="s">
        <v>472</v>
      </c>
      <c r="N1250" s="1" t="s">
        <v>1430</v>
      </c>
      <c r="O1250" s="1" t="s">
        <v>1568</v>
      </c>
      <c r="P1250" s="1" t="s">
        <v>1569</v>
      </c>
      <c r="Q1250" s="1" t="s">
        <v>98</v>
      </c>
      <c r="R1250" s="1" t="s">
        <v>131</v>
      </c>
      <c r="S1250" s="1" t="s">
        <v>291</v>
      </c>
    </row>
    <row r="1251" spans="1:19" hidden="1" x14ac:dyDescent="0.25">
      <c r="A1251" s="2">
        <v>181</v>
      </c>
      <c r="B1251" s="1" t="s">
        <v>1566</v>
      </c>
      <c r="C1251" s="1" t="s">
        <v>284</v>
      </c>
      <c r="D1251" s="1" t="s">
        <v>1567</v>
      </c>
      <c r="E1251" s="1">
        <v>2</v>
      </c>
      <c r="F1251" s="1">
        <v>160.55699999999999</v>
      </c>
      <c r="G1251" s="1">
        <v>8292</v>
      </c>
      <c r="H1251" s="1">
        <v>9921</v>
      </c>
      <c r="I1251" s="1">
        <v>11488</v>
      </c>
      <c r="J1251" s="1">
        <v>158.01</v>
      </c>
      <c r="K1251" s="1">
        <v>-5.4039999999999999</v>
      </c>
      <c r="L1251" s="1">
        <v>19.059999999999999</v>
      </c>
      <c r="M1251" s="1" t="s">
        <v>472</v>
      </c>
      <c r="N1251" s="1" t="s">
        <v>1430</v>
      </c>
      <c r="O1251" s="1" t="s">
        <v>1568</v>
      </c>
      <c r="P1251" s="1" t="s">
        <v>1569</v>
      </c>
      <c r="Q1251" s="1" t="s">
        <v>89</v>
      </c>
      <c r="R1251" s="1" t="s">
        <v>156</v>
      </c>
      <c r="S1251" s="1" t="s">
        <v>180</v>
      </c>
    </row>
    <row r="1252" spans="1:19" hidden="1" x14ac:dyDescent="0.25">
      <c r="A1252" s="2">
        <v>181</v>
      </c>
      <c r="B1252" s="1" t="s">
        <v>1566</v>
      </c>
      <c r="C1252" s="1" t="s">
        <v>284</v>
      </c>
      <c r="D1252" s="1" t="s">
        <v>1567</v>
      </c>
      <c r="E1252" s="1">
        <v>3</v>
      </c>
      <c r="F1252" s="1">
        <v>161.726</v>
      </c>
      <c r="G1252" s="1">
        <v>8372</v>
      </c>
      <c r="H1252" s="1">
        <v>10015</v>
      </c>
      <c r="I1252" s="1">
        <v>11594</v>
      </c>
      <c r="J1252" s="1">
        <v>159.16</v>
      </c>
      <c r="K1252" s="1">
        <v>-5.3959999999999999</v>
      </c>
      <c r="L1252" s="1">
        <v>19.055</v>
      </c>
      <c r="M1252" s="1" t="s">
        <v>472</v>
      </c>
      <c r="N1252" s="1" t="s">
        <v>1430</v>
      </c>
      <c r="O1252" s="1" t="s">
        <v>1568</v>
      </c>
      <c r="P1252" s="1" t="s">
        <v>1569</v>
      </c>
      <c r="Q1252" s="1" t="s">
        <v>158</v>
      </c>
      <c r="R1252" s="1" t="s">
        <v>166</v>
      </c>
      <c r="S1252" s="1" t="s">
        <v>206</v>
      </c>
    </row>
    <row r="1253" spans="1:19" hidden="1" x14ac:dyDescent="0.25">
      <c r="A1253" s="2">
        <v>181</v>
      </c>
      <c r="B1253" s="1" t="s">
        <v>1566</v>
      </c>
      <c r="C1253" s="1" t="s">
        <v>284</v>
      </c>
      <c r="D1253" s="1" t="s">
        <v>1567</v>
      </c>
      <c r="E1253" s="1">
        <v>4</v>
      </c>
      <c r="F1253" s="1">
        <v>161.88900000000001</v>
      </c>
      <c r="G1253" s="1">
        <v>8323</v>
      </c>
      <c r="H1253" s="1">
        <v>9957</v>
      </c>
      <c r="I1253" s="1">
        <v>11530</v>
      </c>
      <c r="J1253" s="1">
        <v>159.321</v>
      </c>
      <c r="K1253" s="1">
        <v>-5.399</v>
      </c>
      <c r="L1253" s="1">
        <v>19.082999999999998</v>
      </c>
      <c r="M1253" s="1" t="s">
        <v>472</v>
      </c>
      <c r="N1253" s="1" t="s">
        <v>1430</v>
      </c>
      <c r="O1253" s="1" t="s">
        <v>1568</v>
      </c>
      <c r="P1253" s="1" t="s">
        <v>1569</v>
      </c>
      <c r="Q1253" s="1" t="s">
        <v>139</v>
      </c>
      <c r="R1253" s="1" t="s">
        <v>177</v>
      </c>
      <c r="S1253" s="1" t="s">
        <v>413</v>
      </c>
    </row>
    <row r="1254" spans="1:19" hidden="1" x14ac:dyDescent="0.25">
      <c r="A1254" s="2">
        <v>181</v>
      </c>
      <c r="B1254" s="1" t="s">
        <v>1566</v>
      </c>
      <c r="C1254" s="1" t="s">
        <v>284</v>
      </c>
      <c r="D1254" s="1" t="s">
        <v>1567</v>
      </c>
      <c r="E1254" s="1">
        <v>5</v>
      </c>
      <c r="F1254" s="1">
        <v>152.702</v>
      </c>
      <c r="G1254" s="1">
        <v>12730</v>
      </c>
      <c r="H1254" s="1">
        <v>15313</v>
      </c>
      <c r="I1254" s="1">
        <v>17721</v>
      </c>
      <c r="J1254" s="1">
        <v>150.273</v>
      </c>
      <c r="K1254" s="1">
        <v>-3.056</v>
      </c>
      <c r="L1254" s="1">
        <v>23.471</v>
      </c>
      <c r="M1254" s="1" t="s">
        <v>472</v>
      </c>
      <c r="N1254" s="1" t="s">
        <v>1430</v>
      </c>
      <c r="O1254" s="1" t="s">
        <v>1568</v>
      </c>
      <c r="P1254" s="1" t="s">
        <v>1569</v>
      </c>
      <c r="Q1254" s="1" t="s">
        <v>182</v>
      </c>
      <c r="R1254" s="1" t="s">
        <v>47</v>
      </c>
      <c r="S1254" s="1" t="s">
        <v>57</v>
      </c>
    </row>
    <row r="1255" spans="1:19" x14ac:dyDescent="0.25">
      <c r="A1255" s="2">
        <v>181</v>
      </c>
      <c r="B1255" s="1" t="s">
        <v>1566</v>
      </c>
      <c r="C1255" s="1" t="s">
        <v>284</v>
      </c>
      <c r="D1255" s="1" t="s">
        <v>1567</v>
      </c>
      <c r="E1255" s="1">
        <v>6</v>
      </c>
      <c r="F1255" s="1">
        <v>134.86500000000001</v>
      </c>
      <c r="G1255" s="1">
        <v>11285</v>
      </c>
      <c r="H1255" s="1">
        <v>13573</v>
      </c>
      <c r="I1255" s="1">
        <v>15714</v>
      </c>
      <c r="J1255" s="1">
        <v>132.71899999999999</v>
      </c>
      <c r="K1255" s="1">
        <v>-3.0640000000000001</v>
      </c>
      <c r="L1255" s="1">
        <v>24.192</v>
      </c>
      <c r="M1255" s="1" t="s">
        <v>472</v>
      </c>
      <c r="N1255" s="1" t="s">
        <v>1430</v>
      </c>
      <c r="O1255" s="1" t="s">
        <v>1568</v>
      </c>
      <c r="P1255" s="1" t="s">
        <v>1569</v>
      </c>
      <c r="Q1255" s="1" t="s">
        <v>113</v>
      </c>
      <c r="R1255" s="1" t="s">
        <v>141</v>
      </c>
      <c r="S1255" s="1" t="s">
        <v>155</v>
      </c>
    </row>
    <row r="1256" spans="1:19" x14ac:dyDescent="0.25">
      <c r="A1256" s="2">
        <v>181</v>
      </c>
      <c r="B1256" s="1" t="s">
        <v>1566</v>
      </c>
      <c r="C1256" s="1" t="s">
        <v>284</v>
      </c>
      <c r="D1256" s="1" t="s">
        <v>1567</v>
      </c>
      <c r="E1256" s="1">
        <v>7</v>
      </c>
      <c r="F1256" s="1">
        <v>124.556</v>
      </c>
      <c r="G1256" s="1">
        <v>10448</v>
      </c>
      <c r="H1256" s="1">
        <v>12565</v>
      </c>
      <c r="I1256" s="1">
        <v>14546</v>
      </c>
      <c r="J1256" s="1">
        <v>122.574</v>
      </c>
      <c r="K1256" s="1">
        <v>-3.0369999999999999</v>
      </c>
      <c r="L1256" s="1">
        <v>24.212</v>
      </c>
      <c r="M1256" s="1" t="s">
        <v>472</v>
      </c>
      <c r="N1256" s="1" t="s">
        <v>1430</v>
      </c>
      <c r="O1256" s="1" t="s">
        <v>1568</v>
      </c>
      <c r="P1256" s="1" t="s">
        <v>1569</v>
      </c>
      <c r="Q1256" s="1" t="s">
        <v>488</v>
      </c>
      <c r="R1256" s="1" t="s">
        <v>1072</v>
      </c>
      <c r="S1256" s="1" t="s">
        <v>676</v>
      </c>
    </row>
    <row r="1257" spans="1:19" hidden="1" x14ac:dyDescent="0.25">
      <c r="A1257" s="2">
        <v>182</v>
      </c>
      <c r="B1257" s="1" t="s">
        <v>1570</v>
      </c>
      <c r="C1257" s="1" t="s">
        <v>281</v>
      </c>
      <c r="D1257" s="1" t="s">
        <v>1571</v>
      </c>
      <c r="E1257" s="1">
        <v>1</v>
      </c>
      <c r="F1257" s="1">
        <v>163.874</v>
      </c>
      <c r="G1257" s="1">
        <v>8369</v>
      </c>
      <c r="H1257" s="1">
        <v>10012</v>
      </c>
      <c r="I1257" s="1">
        <v>11587</v>
      </c>
      <c r="J1257" s="1">
        <v>161.27500000000001</v>
      </c>
      <c r="K1257" s="1">
        <v>-5.3959999999999999</v>
      </c>
      <c r="L1257" s="1">
        <v>19.079000000000001</v>
      </c>
      <c r="M1257" s="1" t="s">
        <v>1572</v>
      </c>
      <c r="N1257" s="1" t="s">
        <v>1430</v>
      </c>
      <c r="O1257" s="1" t="s">
        <v>1573</v>
      </c>
      <c r="P1257" s="1" t="s">
        <v>1574</v>
      </c>
      <c r="Q1257" s="1" t="s">
        <v>81</v>
      </c>
      <c r="R1257" s="1" t="s">
        <v>53</v>
      </c>
      <c r="S1257" s="1" t="s">
        <v>254</v>
      </c>
    </row>
    <row r="1258" spans="1:19" hidden="1" x14ac:dyDescent="0.25">
      <c r="A1258" s="2">
        <v>182</v>
      </c>
      <c r="B1258" s="1" t="s">
        <v>1570</v>
      </c>
      <c r="C1258" s="1" t="s">
        <v>281</v>
      </c>
      <c r="D1258" s="1" t="s">
        <v>1571</v>
      </c>
      <c r="E1258" s="1">
        <v>2</v>
      </c>
      <c r="F1258" s="1">
        <v>161.98699999999999</v>
      </c>
      <c r="G1258" s="1">
        <v>8379</v>
      </c>
      <c r="H1258" s="1">
        <v>10024</v>
      </c>
      <c r="I1258" s="1">
        <v>11601</v>
      </c>
      <c r="J1258" s="1">
        <v>159.417</v>
      </c>
      <c r="K1258" s="1">
        <v>-5.4020000000000001</v>
      </c>
      <c r="L1258" s="1">
        <v>19.088000000000001</v>
      </c>
      <c r="M1258" s="1" t="s">
        <v>1572</v>
      </c>
      <c r="N1258" s="1" t="s">
        <v>1430</v>
      </c>
      <c r="O1258" s="1" t="s">
        <v>1573</v>
      </c>
      <c r="P1258" s="1" t="s">
        <v>1574</v>
      </c>
      <c r="Q1258" s="1" t="s">
        <v>254</v>
      </c>
      <c r="R1258" s="1" t="s">
        <v>149</v>
      </c>
      <c r="S1258" s="1" t="s">
        <v>123</v>
      </c>
    </row>
    <row r="1259" spans="1:19" hidden="1" x14ac:dyDescent="0.25">
      <c r="A1259" s="2">
        <v>182</v>
      </c>
      <c r="B1259" s="1" t="s">
        <v>1570</v>
      </c>
      <c r="C1259" s="1" t="s">
        <v>281</v>
      </c>
      <c r="D1259" s="1" t="s">
        <v>1571</v>
      </c>
      <c r="E1259" s="1">
        <v>3</v>
      </c>
      <c r="F1259" s="1">
        <v>163.96299999999999</v>
      </c>
      <c r="G1259" s="1">
        <v>8465</v>
      </c>
      <c r="H1259" s="1">
        <v>10128</v>
      </c>
      <c r="I1259" s="1">
        <v>11722</v>
      </c>
      <c r="J1259" s="1">
        <v>161.36199999999999</v>
      </c>
      <c r="K1259" s="1">
        <v>-5.4009999999999998</v>
      </c>
      <c r="L1259" s="1">
        <v>19.097999999999999</v>
      </c>
      <c r="M1259" s="1" t="s">
        <v>1572</v>
      </c>
      <c r="N1259" s="1" t="s">
        <v>1430</v>
      </c>
      <c r="O1259" s="1" t="s">
        <v>1573</v>
      </c>
      <c r="P1259" s="1" t="s">
        <v>1574</v>
      </c>
      <c r="Q1259" s="1" t="s">
        <v>249</v>
      </c>
      <c r="R1259" s="1" t="s">
        <v>194</v>
      </c>
      <c r="S1259" s="1" t="s">
        <v>304</v>
      </c>
    </row>
    <row r="1260" spans="1:19" hidden="1" x14ac:dyDescent="0.25">
      <c r="A1260" s="2">
        <v>182</v>
      </c>
      <c r="B1260" s="1" t="s">
        <v>1570</v>
      </c>
      <c r="C1260" s="1" t="s">
        <v>281</v>
      </c>
      <c r="D1260" s="1" t="s">
        <v>1571</v>
      </c>
      <c r="E1260" s="1">
        <v>4</v>
      </c>
      <c r="F1260" s="1">
        <v>162.82499999999999</v>
      </c>
      <c r="G1260" s="1">
        <v>8389</v>
      </c>
      <c r="H1260" s="1">
        <v>10037</v>
      </c>
      <c r="I1260" s="1">
        <v>11616</v>
      </c>
      <c r="J1260" s="1">
        <v>160.24199999999999</v>
      </c>
      <c r="K1260" s="1">
        <v>-5.399</v>
      </c>
      <c r="L1260" s="1">
        <v>19.082999999999998</v>
      </c>
      <c r="M1260" s="1" t="s">
        <v>1572</v>
      </c>
      <c r="N1260" s="1" t="s">
        <v>1430</v>
      </c>
      <c r="O1260" s="1" t="s">
        <v>1573</v>
      </c>
      <c r="P1260" s="1" t="s">
        <v>1574</v>
      </c>
      <c r="Q1260" s="1" t="s">
        <v>167</v>
      </c>
      <c r="R1260" s="1" t="s">
        <v>237</v>
      </c>
      <c r="S1260" s="1" t="s">
        <v>292</v>
      </c>
    </row>
    <row r="1261" spans="1:19" hidden="1" x14ac:dyDescent="0.25">
      <c r="A1261" s="2">
        <v>182</v>
      </c>
      <c r="B1261" s="1" t="s">
        <v>1570</v>
      </c>
      <c r="C1261" s="1" t="s">
        <v>281</v>
      </c>
      <c r="D1261" s="1" t="s">
        <v>1571</v>
      </c>
      <c r="E1261" s="1">
        <v>5</v>
      </c>
      <c r="F1261" s="1">
        <v>127.533</v>
      </c>
      <c r="G1261" s="1">
        <v>11037</v>
      </c>
      <c r="H1261" s="1">
        <v>13290</v>
      </c>
      <c r="I1261" s="1">
        <v>15360</v>
      </c>
      <c r="J1261" s="1">
        <v>125.504</v>
      </c>
      <c r="K1261" s="1">
        <v>-2.8929999999999998</v>
      </c>
      <c r="L1261" s="1">
        <v>23.937000000000001</v>
      </c>
      <c r="M1261" s="1" t="s">
        <v>1572</v>
      </c>
      <c r="N1261" s="1" t="s">
        <v>1430</v>
      </c>
      <c r="O1261" s="1" t="s">
        <v>1573</v>
      </c>
      <c r="P1261" s="1" t="s">
        <v>1574</v>
      </c>
      <c r="Q1261" s="1" t="s">
        <v>189</v>
      </c>
      <c r="R1261" s="1" t="s">
        <v>182</v>
      </c>
      <c r="S1261" s="1" t="s">
        <v>130</v>
      </c>
    </row>
    <row r="1262" spans="1:19" x14ac:dyDescent="0.25">
      <c r="A1262" s="2">
        <v>182</v>
      </c>
      <c r="B1262" s="1" t="s">
        <v>1570</v>
      </c>
      <c r="C1262" s="1" t="s">
        <v>281</v>
      </c>
      <c r="D1262" s="1" t="s">
        <v>1571</v>
      </c>
      <c r="E1262" s="1">
        <v>6</v>
      </c>
      <c r="F1262" s="1">
        <v>114.51600000000001</v>
      </c>
      <c r="G1262" s="1">
        <v>10004</v>
      </c>
      <c r="H1262" s="1">
        <v>12042</v>
      </c>
      <c r="I1262" s="1">
        <v>13925</v>
      </c>
      <c r="J1262" s="1">
        <v>112.693</v>
      </c>
      <c r="K1262" s="1">
        <v>-2.8559999999999999</v>
      </c>
      <c r="L1262" s="1">
        <v>24.077999999999999</v>
      </c>
      <c r="M1262" s="1" t="s">
        <v>1572</v>
      </c>
      <c r="N1262" s="1" t="s">
        <v>1430</v>
      </c>
      <c r="O1262" s="1" t="s">
        <v>1573</v>
      </c>
      <c r="P1262" s="1" t="s">
        <v>1574</v>
      </c>
      <c r="Q1262" s="1" t="s">
        <v>53</v>
      </c>
      <c r="R1262" s="1" t="s">
        <v>160</v>
      </c>
      <c r="S1262" s="1" t="s">
        <v>198</v>
      </c>
    </row>
    <row r="1263" spans="1:19" x14ac:dyDescent="0.25">
      <c r="A1263" s="2">
        <v>182</v>
      </c>
      <c r="B1263" s="1" t="s">
        <v>1570</v>
      </c>
      <c r="C1263" s="1" t="s">
        <v>281</v>
      </c>
      <c r="D1263" s="1" t="s">
        <v>1571</v>
      </c>
      <c r="E1263" s="1">
        <v>7</v>
      </c>
      <c r="F1263" s="1">
        <v>106.497</v>
      </c>
      <c r="G1263" s="1">
        <v>9375</v>
      </c>
      <c r="H1263" s="1">
        <v>11281</v>
      </c>
      <c r="I1263" s="1">
        <v>13047</v>
      </c>
      <c r="J1263" s="1">
        <v>104.80200000000001</v>
      </c>
      <c r="K1263" s="1">
        <v>-2.7650000000000001</v>
      </c>
      <c r="L1263" s="1">
        <v>24.155000000000001</v>
      </c>
      <c r="M1263" s="1" t="s">
        <v>1572</v>
      </c>
      <c r="N1263" s="1" t="s">
        <v>1430</v>
      </c>
      <c r="O1263" s="1" t="s">
        <v>1573</v>
      </c>
      <c r="P1263" s="1" t="s">
        <v>1574</v>
      </c>
      <c r="Q1263" s="1" t="s">
        <v>437</v>
      </c>
      <c r="R1263" s="1" t="s">
        <v>703</v>
      </c>
      <c r="S1263" s="1" t="s">
        <v>484</v>
      </c>
    </row>
    <row r="1264" spans="1:19" hidden="1" x14ac:dyDescent="0.25">
      <c r="A1264" s="2">
        <v>183</v>
      </c>
      <c r="B1264" s="1" t="s">
        <v>1575</v>
      </c>
      <c r="C1264" s="1" t="s">
        <v>520</v>
      </c>
      <c r="D1264" s="1" t="s">
        <v>1576</v>
      </c>
      <c r="E1264" s="1">
        <v>1</v>
      </c>
      <c r="F1264" s="1">
        <v>163.12</v>
      </c>
      <c r="G1264" s="1">
        <v>8340</v>
      </c>
      <c r="H1264" s="1">
        <v>9978</v>
      </c>
      <c r="I1264" s="1">
        <v>11553</v>
      </c>
      <c r="J1264" s="1">
        <v>160.53200000000001</v>
      </c>
      <c r="K1264" s="1">
        <v>-5.4</v>
      </c>
      <c r="L1264" s="1">
        <v>19.102</v>
      </c>
      <c r="M1264" s="1" t="s">
        <v>1038</v>
      </c>
      <c r="N1264" s="1" t="s">
        <v>1430</v>
      </c>
      <c r="O1264" s="1" t="s">
        <v>1577</v>
      </c>
      <c r="P1264" s="1" t="s">
        <v>1578</v>
      </c>
      <c r="Q1264" s="1" t="s">
        <v>55</v>
      </c>
      <c r="R1264" s="1" t="s">
        <v>85</v>
      </c>
      <c r="S1264" s="1" t="s">
        <v>276</v>
      </c>
    </row>
    <row r="1265" spans="1:19" hidden="1" x14ac:dyDescent="0.25">
      <c r="A1265" s="2">
        <v>183</v>
      </c>
      <c r="B1265" s="1" t="s">
        <v>1575</v>
      </c>
      <c r="C1265" s="1" t="s">
        <v>520</v>
      </c>
      <c r="D1265" s="1" t="s">
        <v>1576</v>
      </c>
      <c r="E1265" s="1">
        <v>2</v>
      </c>
      <c r="F1265" s="1">
        <v>161.315</v>
      </c>
      <c r="G1265" s="1">
        <v>8338</v>
      </c>
      <c r="H1265" s="1">
        <v>9974</v>
      </c>
      <c r="I1265" s="1">
        <v>11549</v>
      </c>
      <c r="J1265" s="1">
        <v>158.756</v>
      </c>
      <c r="K1265" s="1">
        <v>-5.4020000000000001</v>
      </c>
      <c r="L1265" s="1">
        <v>19.071000000000002</v>
      </c>
      <c r="M1265" s="1" t="s">
        <v>1038</v>
      </c>
      <c r="N1265" s="1" t="s">
        <v>1430</v>
      </c>
      <c r="O1265" s="1" t="s">
        <v>1577</v>
      </c>
      <c r="P1265" s="1" t="s">
        <v>1578</v>
      </c>
      <c r="Q1265" s="1" t="s">
        <v>276</v>
      </c>
      <c r="R1265" s="1" t="s">
        <v>173</v>
      </c>
      <c r="S1265" s="1" t="s">
        <v>163</v>
      </c>
    </row>
    <row r="1266" spans="1:19" hidden="1" x14ac:dyDescent="0.25">
      <c r="A1266" s="2">
        <v>183</v>
      </c>
      <c r="B1266" s="1" t="s">
        <v>1575</v>
      </c>
      <c r="C1266" s="1" t="s">
        <v>520</v>
      </c>
      <c r="D1266" s="1" t="s">
        <v>1576</v>
      </c>
      <c r="E1266" s="1">
        <v>3</v>
      </c>
      <c r="F1266" s="1">
        <v>162.44999999999999</v>
      </c>
      <c r="G1266" s="1">
        <v>8421</v>
      </c>
      <c r="H1266" s="1">
        <v>10074</v>
      </c>
      <c r="I1266" s="1">
        <v>11668</v>
      </c>
      <c r="J1266" s="1">
        <v>159.87299999999999</v>
      </c>
      <c r="K1266" s="1">
        <v>-5.3890000000000002</v>
      </c>
      <c r="L1266" s="1">
        <v>19.106999999999999</v>
      </c>
      <c r="M1266" s="1" t="s">
        <v>1038</v>
      </c>
      <c r="N1266" s="1" t="s">
        <v>1430</v>
      </c>
      <c r="O1266" s="1" t="s">
        <v>1577</v>
      </c>
      <c r="P1266" s="1" t="s">
        <v>1578</v>
      </c>
      <c r="Q1266" s="1" t="s">
        <v>291</v>
      </c>
      <c r="R1266" s="1" t="s">
        <v>328</v>
      </c>
      <c r="S1266" s="1" t="s">
        <v>324</v>
      </c>
    </row>
    <row r="1267" spans="1:19" hidden="1" x14ac:dyDescent="0.25">
      <c r="A1267" s="2">
        <v>183</v>
      </c>
      <c r="B1267" s="1" t="s">
        <v>1575</v>
      </c>
      <c r="C1267" s="1" t="s">
        <v>520</v>
      </c>
      <c r="D1267" s="1" t="s">
        <v>1576</v>
      </c>
      <c r="E1267" s="1">
        <v>4</v>
      </c>
      <c r="F1267" s="1">
        <v>162.393</v>
      </c>
      <c r="G1267" s="1">
        <v>8343</v>
      </c>
      <c r="H1267" s="1">
        <v>9980</v>
      </c>
      <c r="I1267" s="1">
        <v>11554</v>
      </c>
      <c r="J1267" s="1">
        <v>159.816</v>
      </c>
      <c r="K1267" s="1">
        <v>-5.399</v>
      </c>
      <c r="L1267" s="1">
        <v>19.082999999999998</v>
      </c>
      <c r="M1267" s="1" t="s">
        <v>1038</v>
      </c>
      <c r="N1267" s="1" t="s">
        <v>1430</v>
      </c>
      <c r="O1267" s="1" t="s">
        <v>1577</v>
      </c>
      <c r="P1267" s="1" t="s">
        <v>1578</v>
      </c>
      <c r="Q1267" s="1" t="s">
        <v>158</v>
      </c>
      <c r="R1267" s="1" t="s">
        <v>166</v>
      </c>
      <c r="S1267" s="1" t="s">
        <v>206</v>
      </c>
    </row>
    <row r="1268" spans="1:19" hidden="1" x14ac:dyDescent="0.25">
      <c r="A1268" s="2">
        <v>183</v>
      </c>
      <c r="B1268" s="1" t="s">
        <v>1575</v>
      </c>
      <c r="C1268" s="1" t="s">
        <v>520</v>
      </c>
      <c r="D1268" s="1" t="s">
        <v>1576</v>
      </c>
      <c r="E1268" s="1">
        <v>5</v>
      </c>
      <c r="F1268" s="1">
        <v>195.92</v>
      </c>
      <c r="G1268" s="1">
        <v>16311</v>
      </c>
      <c r="H1268" s="1">
        <v>19650</v>
      </c>
      <c r="I1268" s="1">
        <v>22705</v>
      </c>
      <c r="J1268" s="1">
        <v>192.80199999999999</v>
      </c>
      <c r="K1268" s="1">
        <v>-2.7290000000000001</v>
      </c>
      <c r="L1268" s="1">
        <v>23.434000000000001</v>
      </c>
      <c r="M1268" s="1" t="s">
        <v>1038</v>
      </c>
      <c r="N1268" s="1" t="s">
        <v>1430</v>
      </c>
      <c r="O1268" s="1" t="s">
        <v>1577</v>
      </c>
      <c r="P1268" s="1" t="s">
        <v>1578</v>
      </c>
      <c r="Q1268" s="1" t="s">
        <v>214</v>
      </c>
      <c r="R1268" s="1" t="s">
        <v>70</v>
      </c>
      <c r="S1268" s="1" t="s">
        <v>83</v>
      </c>
    </row>
    <row r="1269" spans="1:19" x14ac:dyDescent="0.25">
      <c r="A1269" s="2">
        <v>183</v>
      </c>
      <c r="B1269" s="1" t="s">
        <v>1575</v>
      </c>
      <c r="C1269" s="1" t="s">
        <v>520</v>
      </c>
      <c r="D1269" s="1" t="s">
        <v>1576</v>
      </c>
      <c r="E1269" s="1">
        <v>6</v>
      </c>
      <c r="F1269" s="1">
        <v>172.744</v>
      </c>
      <c r="G1269" s="1">
        <v>14501</v>
      </c>
      <c r="H1269" s="1">
        <v>17461</v>
      </c>
      <c r="I1269" s="1">
        <v>20183</v>
      </c>
      <c r="J1269" s="1">
        <v>169.994</v>
      </c>
      <c r="K1269" s="1">
        <v>-2.6869999999999998</v>
      </c>
      <c r="L1269" s="1">
        <v>23.895</v>
      </c>
      <c r="M1269" s="1" t="s">
        <v>1038</v>
      </c>
      <c r="N1269" s="1" t="s">
        <v>1430</v>
      </c>
      <c r="O1269" s="1" t="s">
        <v>1577</v>
      </c>
      <c r="P1269" s="1" t="s">
        <v>1578</v>
      </c>
      <c r="Q1269" s="1" t="s">
        <v>146</v>
      </c>
      <c r="R1269" s="1" t="s">
        <v>299</v>
      </c>
      <c r="S1269" s="1" t="s">
        <v>292</v>
      </c>
    </row>
    <row r="1270" spans="1:19" x14ac:dyDescent="0.25">
      <c r="A1270" s="2">
        <v>183</v>
      </c>
      <c r="B1270" s="1" t="s">
        <v>1575</v>
      </c>
      <c r="C1270" s="1" t="s">
        <v>520</v>
      </c>
      <c r="D1270" s="1" t="s">
        <v>1576</v>
      </c>
      <c r="E1270" s="1">
        <v>7</v>
      </c>
      <c r="F1270" s="1">
        <v>159.589</v>
      </c>
      <c r="G1270" s="1">
        <v>13434</v>
      </c>
      <c r="H1270" s="1">
        <v>16176</v>
      </c>
      <c r="I1270" s="1">
        <v>18701</v>
      </c>
      <c r="J1270" s="1">
        <v>157.04900000000001</v>
      </c>
      <c r="K1270" s="1">
        <v>-2.6309999999999998</v>
      </c>
      <c r="L1270" s="1">
        <v>23.934000000000001</v>
      </c>
      <c r="M1270" s="1" t="s">
        <v>1038</v>
      </c>
      <c r="N1270" s="1" t="s">
        <v>1430</v>
      </c>
      <c r="O1270" s="1" t="s">
        <v>1577</v>
      </c>
      <c r="P1270" s="1" t="s">
        <v>1578</v>
      </c>
      <c r="Q1270" s="1" t="s">
        <v>225</v>
      </c>
      <c r="R1270" s="1" t="s">
        <v>651</v>
      </c>
      <c r="S1270" s="1" t="s">
        <v>556</v>
      </c>
    </row>
    <row r="1271" spans="1:19" hidden="1" x14ac:dyDescent="0.25">
      <c r="A1271" s="2">
        <v>184</v>
      </c>
      <c r="B1271" s="1" t="s">
        <v>1579</v>
      </c>
      <c r="C1271" s="1" t="s">
        <v>586</v>
      </c>
      <c r="D1271" s="1" t="s">
        <v>1580</v>
      </c>
      <c r="E1271" s="1">
        <v>1</v>
      </c>
      <c r="F1271" s="1">
        <v>163.84399999999999</v>
      </c>
      <c r="G1271" s="1">
        <v>8364</v>
      </c>
      <c r="H1271" s="1">
        <v>10006</v>
      </c>
      <c r="I1271" s="1">
        <v>11564</v>
      </c>
      <c r="J1271" s="1">
        <v>161.24600000000001</v>
      </c>
      <c r="K1271" s="1">
        <v>-5.3940000000000001</v>
      </c>
      <c r="L1271" s="1">
        <v>19.047999999999998</v>
      </c>
      <c r="M1271" s="1" t="s">
        <v>1581</v>
      </c>
      <c r="N1271" s="1" t="s">
        <v>1430</v>
      </c>
      <c r="O1271" s="1" t="s">
        <v>1582</v>
      </c>
      <c r="P1271" s="1" t="s">
        <v>1583</v>
      </c>
      <c r="Q1271" s="1" t="s">
        <v>52</v>
      </c>
      <c r="R1271" s="1" t="s">
        <v>59</v>
      </c>
      <c r="S1271" s="1" t="s">
        <v>158</v>
      </c>
    </row>
    <row r="1272" spans="1:19" hidden="1" x14ac:dyDescent="0.25">
      <c r="A1272" s="2">
        <v>184</v>
      </c>
      <c r="B1272" s="1" t="s">
        <v>1579</v>
      </c>
      <c r="C1272" s="1" t="s">
        <v>586</v>
      </c>
      <c r="D1272" s="1" t="s">
        <v>1580</v>
      </c>
      <c r="E1272" s="1">
        <v>2</v>
      </c>
      <c r="F1272" s="1">
        <v>161.67599999999999</v>
      </c>
      <c r="G1272" s="1">
        <v>8380</v>
      </c>
      <c r="H1272" s="1">
        <v>10027</v>
      </c>
      <c r="I1272" s="1">
        <v>11588</v>
      </c>
      <c r="J1272" s="1">
        <v>159.11199999999999</v>
      </c>
      <c r="K1272" s="1">
        <v>-5.399</v>
      </c>
      <c r="L1272" s="1">
        <v>18.986999999999998</v>
      </c>
      <c r="M1272" s="1" t="s">
        <v>1581</v>
      </c>
      <c r="N1272" s="1" t="s">
        <v>1430</v>
      </c>
      <c r="O1272" s="1" t="s">
        <v>1582</v>
      </c>
      <c r="P1272" s="1" t="s">
        <v>1583</v>
      </c>
      <c r="Q1272" s="1" t="s">
        <v>253</v>
      </c>
      <c r="R1272" s="1" t="s">
        <v>198</v>
      </c>
      <c r="S1272" s="1" t="s">
        <v>381</v>
      </c>
    </row>
    <row r="1273" spans="1:19" hidden="1" x14ac:dyDescent="0.25">
      <c r="A1273" s="2">
        <v>184</v>
      </c>
      <c r="B1273" s="1" t="s">
        <v>1579</v>
      </c>
      <c r="C1273" s="1" t="s">
        <v>586</v>
      </c>
      <c r="D1273" s="1" t="s">
        <v>1580</v>
      </c>
      <c r="E1273" s="1">
        <v>3</v>
      </c>
      <c r="F1273" s="1">
        <v>163.19200000000001</v>
      </c>
      <c r="G1273" s="1">
        <v>8445</v>
      </c>
      <c r="H1273" s="1">
        <v>10104</v>
      </c>
      <c r="I1273" s="1">
        <v>11676</v>
      </c>
      <c r="J1273" s="1">
        <v>160.60400000000001</v>
      </c>
      <c r="K1273" s="1">
        <v>-5.4029999999999996</v>
      </c>
      <c r="L1273" s="1">
        <v>19.030999999999999</v>
      </c>
      <c r="M1273" s="1" t="s">
        <v>1581</v>
      </c>
      <c r="N1273" s="1" t="s">
        <v>1430</v>
      </c>
      <c r="O1273" s="1" t="s">
        <v>1582</v>
      </c>
      <c r="P1273" s="1" t="s">
        <v>1583</v>
      </c>
      <c r="Q1273" s="1" t="s">
        <v>167</v>
      </c>
      <c r="R1273" s="1" t="s">
        <v>299</v>
      </c>
      <c r="S1273" s="1" t="s">
        <v>292</v>
      </c>
    </row>
    <row r="1274" spans="1:19" hidden="1" x14ac:dyDescent="0.25">
      <c r="A1274" s="2">
        <v>184</v>
      </c>
      <c r="B1274" s="1" t="s">
        <v>1579</v>
      </c>
      <c r="C1274" s="1" t="s">
        <v>586</v>
      </c>
      <c r="D1274" s="1" t="s">
        <v>1580</v>
      </c>
      <c r="E1274" s="1">
        <v>4</v>
      </c>
      <c r="F1274" s="1">
        <v>163.03899999999999</v>
      </c>
      <c r="G1274" s="1">
        <v>8382</v>
      </c>
      <c r="H1274" s="1">
        <v>10030</v>
      </c>
      <c r="I1274" s="1">
        <v>11590</v>
      </c>
      <c r="J1274" s="1">
        <v>160.45400000000001</v>
      </c>
      <c r="K1274" s="1">
        <v>-5.399</v>
      </c>
      <c r="L1274" s="1">
        <v>19.082999999999998</v>
      </c>
      <c r="M1274" s="1" t="s">
        <v>1581</v>
      </c>
      <c r="N1274" s="1" t="s">
        <v>1430</v>
      </c>
      <c r="O1274" s="1" t="s">
        <v>1582</v>
      </c>
      <c r="P1274" s="1" t="s">
        <v>1583</v>
      </c>
      <c r="Q1274" s="1" t="s">
        <v>161</v>
      </c>
      <c r="R1274" s="1" t="s">
        <v>236</v>
      </c>
      <c r="S1274" s="1" t="s">
        <v>238</v>
      </c>
    </row>
    <row r="1275" spans="1:19" hidden="1" x14ac:dyDescent="0.25">
      <c r="A1275" s="2">
        <v>184</v>
      </c>
      <c r="B1275" s="1" t="s">
        <v>1579</v>
      </c>
      <c r="C1275" s="1" t="s">
        <v>586</v>
      </c>
      <c r="D1275" s="1" t="s">
        <v>1580</v>
      </c>
      <c r="E1275" s="1">
        <v>5</v>
      </c>
      <c r="F1275" s="1">
        <v>222.30600000000001</v>
      </c>
      <c r="G1275" s="1">
        <v>19522</v>
      </c>
      <c r="H1275" s="1">
        <v>23706</v>
      </c>
      <c r="I1275" s="1">
        <v>27128</v>
      </c>
      <c r="J1275" s="1">
        <v>218.75299999999999</v>
      </c>
      <c r="K1275" s="1">
        <v>3.88</v>
      </c>
      <c r="L1275" s="1">
        <v>24.396000000000001</v>
      </c>
      <c r="M1275" s="1" t="s">
        <v>1581</v>
      </c>
      <c r="N1275" s="1" t="s">
        <v>1430</v>
      </c>
      <c r="O1275" s="1" t="s">
        <v>1582</v>
      </c>
      <c r="P1275" s="1" t="s">
        <v>1583</v>
      </c>
      <c r="Q1275" s="1" t="s">
        <v>200</v>
      </c>
      <c r="R1275" s="1" t="s">
        <v>145</v>
      </c>
      <c r="S1275" s="1" t="s">
        <v>47</v>
      </c>
    </row>
    <row r="1276" spans="1:19" x14ac:dyDescent="0.25">
      <c r="A1276" s="2">
        <v>184</v>
      </c>
      <c r="B1276" s="1" t="s">
        <v>1579</v>
      </c>
      <c r="C1276" s="1" t="s">
        <v>586</v>
      </c>
      <c r="D1276" s="1" t="s">
        <v>1580</v>
      </c>
      <c r="E1276" s="1">
        <v>6</v>
      </c>
      <c r="F1276" s="1">
        <v>198.14500000000001</v>
      </c>
      <c r="G1276" s="1">
        <v>17561</v>
      </c>
      <c r="H1276" s="1">
        <v>21310</v>
      </c>
      <c r="I1276" s="1">
        <v>24417</v>
      </c>
      <c r="J1276" s="1">
        <v>194.97800000000001</v>
      </c>
      <c r="K1276" s="1">
        <v>3.92</v>
      </c>
      <c r="L1276" s="1">
        <v>24.709</v>
      </c>
      <c r="M1276" s="1" t="s">
        <v>1581</v>
      </c>
      <c r="N1276" s="1" t="s">
        <v>1430</v>
      </c>
      <c r="O1276" s="1" t="s">
        <v>1582</v>
      </c>
      <c r="P1276" s="1" t="s">
        <v>1583</v>
      </c>
      <c r="Q1276" s="1" t="s">
        <v>302</v>
      </c>
      <c r="R1276" s="1" t="s">
        <v>304</v>
      </c>
      <c r="S1276" s="1" t="s">
        <v>1584</v>
      </c>
    </row>
    <row r="1277" spans="1:19" x14ac:dyDescent="0.25">
      <c r="A1277" s="2">
        <v>184</v>
      </c>
      <c r="B1277" s="1" t="s">
        <v>1579</v>
      </c>
      <c r="C1277" s="1" t="s">
        <v>586</v>
      </c>
      <c r="D1277" s="1" t="s">
        <v>1580</v>
      </c>
      <c r="E1277" s="1">
        <v>7</v>
      </c>
      <c r="F1277" s="1">
        <v>184.06899999999999</v>
      </c>
      <c r="G1277" s="1">
        <v>16341</v>
      </c>
      <c r="H1277" s="1">
        <v>19820</v>
      </c>
      <c r="I1277" s="1">
        <v>22716</v>
      </c>
      <c r="J1277" s="1">
        <v>181.12700000000001</v>
      </c>
      <c r="K1277" s="1">
        <v>3.9729999999999999</v>
      </c>
      <c r="L1277" s="1">
        <v>24.771000000000001</v>
      </c>
      <c r="M1277" s="1" t="s">
        <v>1581</v>
      </c>
      <c r="N1277" s="1" t="s">
        <v>1430</v>
      </c>
      <c r="O1277" s="1" t="s">
        <v>1582</v>
      </c>
      <c r="P1277" s="1" t="s">
        <v>1583</v>
      </c>
      <c r="Q1277" s="1" t="s">
        <v>779</v>
      </c>
      <c r="R1277" s="1" t="s">
        <v>939</v>
      </c>
      <c r="S1277" s="1" t="s">
        <v>411</v>
      </c>
    </row>
    <row r="1278" spans="1:19" hidden="1" x14ac:dyDescent="0.25">
      <c r="A1278" s="2">
        <v>185</v>
      </c>
      <c r="B1278" s="1" t="s">
        <v>1585</v>
      </c>
      <c r="C1278" s="1" t="s">
        <v>220</v>
      </c>
      <c r="D1278" s="1" t="s">
        <v>1586</v>
      </c>
      <c r="E1278" s="1">
        <v>1</v>
      </c>
      <c r="F1278" s="1">
        <v>163.67500000000001</v>
      </c>
      <c r="G1278" s="1">
        <v>8368</v>
      </c>
      <c r="H1278" s="1">
        <v>10010</v>
      </c>
      <c r="I1278" s="1">
        <v>11594</v>
      </c>
      <c r="J1278" s="1">
        <v>161.07900000000001</v>
      </c>
      <c r="K1278" s="1">
        <v>-5.4130000000000003</v>
      </c>
      <c r="L1278" s="1">
        <v>19.114000000000001</v>
      </c>
      <c r="M1278" s="1" t="s">
        <v>1587</v>
      </c>
      <c r="N1278" s="1" t="s">
        <v>1430</v>
      </c>
      <c r="O1278" s="1" t="s">
        <v>1588</v>
      </c>
      <c r="P1278" s="1" t="s">
        <v>1589</v>
      </c>
      <c r="Q1278" s="1" t="s">
        <v>96</v>
      </c>
      <c r="R1278" s="1" t="s">
        <v>283</v>
      </c>
      <c r="S1278" s="1" t="s">
        <v>160</v>
      </c>
    </row>
    <row r="1279" spans="1:19" hidden="1" x14ac:dyDescent="0.25">
      <c r="A1279" s="2">
        <v>185</v>
      </c>
      <c r="B1279" s="1" t="s">
        <v>1585</v>
      </c>
      <c r="C1279" s="1" t="s">
        <v>220</v>
      </c>
      <c r="D1279" s="1" t="s">
        <v>1586</v>
      </c>
      <c r="E1279" s="1">
        <v>2</v>
      </c>
      <c r="F1279" s="1">
        <v>161.636</v>
      </c>
      <c r="G1279" s="1">
        <v>8380</v>
      </c>
      <c r="H1279" s="1">
        <v>10024</v>
      </c>
      <c r="I1279" s="1">
        <v>11610</v>
      </c>
      <c r="J1279" s="1">
        <v>159.071</v>
      </c>
      <c r="K1279" s="1">
        <v>-5.41</v>
      </c>
      <c r="L1279" s="1">
        <v>19.099</v>
      </c>
      <c r="M1279" s="1" t="s">
        <v>1587</v>
      </c>
      <c r="N1279" s="1" t="s">
        <v>1430</v>
      </c>
      <c r="O1279" s="1" t="s">
        <v>1588</v>
      </c>
      <c r="P1279" s="1" t="s">
        <v>1589</v>
      </c>
      <c r="Q1279" s="1" t="s">
        <v>158</v>
      </c>
      <c r="R1279" s="1" t="s">
        <v>194</v>
      </c>
      <c r="S1279" s="1" t="s">
        <v>304</v>
      </c>
    </row>
    <row r="1280" spans="1:19" hidden="1" x14ac:dyDescent="0.25">
      <c r="A1280" s="2">
        <v>185</v>
      </c>
      <c r="B1280" s="1" t="s">
        <v>1585</v>
      </c>
      <c r="C1280" s="1" t="s">
        <v>220</v>
      </c>
      <c r="D1280" s="1" t="s">
        <v>1586</v>
      </c>
      <c r="E1280" s="1">
        <v>3</v>
      </c>
      <c r="F1280" s="1">
        <v>163.02600000000001</v>
      </c>
      <c r="G1280" s="1">
        <v>8439</v>
      </c>
      <c r="H1280" s="1">
        <v>10096</v>
      </c>
      <c r="I1280" s="1">
        <v>11688</v>
      </c>
      <c r="J1280" s="1">
        <v>160.44</v>
      </c>
      <c r="K1280" s="1">
        <v>-5.4109999999999996</v>
      </c>
      <c r="L1280" s="1">
        <v>19.074000000000002</v>
      </c>
      <c r="M1280" s="1" t="s">
        <v>1587</v>
      </c>
      <c r="N1280" s="1" t="s">
        <v>1430</v>
      </c>
      <c r="O1280" s="1" t="s">
        <v>1588</v>
      </c>
      <c r="P1280" s="1" t="s">
        <v>1589</v>
      </c>
      <c r="Q1280" s="1" t="s">
        <v>165</v>
      </c>
      <c r="R1280" s="1" t="s">
        <v>236</v>
      </c>
      <c r="S1280" s="1" t="s">
        <v>247</v>
      </c>
    </row>
    <row r="1281" spans="1:19" hidden="1" x14ac:dyDescent="0.25">
      <c r="A1281" s="2">
        <v>185</v>
      </c>
      <c r="B1281" s="1" t="s">
        <v>1585</v>
      </c>
      <c r="C1281" s="1" t="s">
        <v>220</v>
      </c>
      <c r="D1281" s="1" t="s">
        <v>1586</v>
      </c>
      <c r="E1281" s="1">
        <v>4</v>
      </c>
      <c r="F1281" s="1">
        <v>162.67699999999999</v>
      </c>
      <c r="G1281" s="1">
        <v>8364</v>
      </c>
      <c r="H1281" s="1">
        <v>10006</v>
      </c>
      <c r="I1281" s="1">
        <v>11587</v>
      </c>
      <c r="J1281" s="1">
        <v>160.096</v>
      </c>
      <c r="K1281" s="1">
        <v>-5.399</v>
      </c>
      <c r="L1281" s="1">
        <v>19.082999999999998</v>
      </c>
      <c r="M1281" s="1" t="s">
        <v>1587</v>
      </c>
      <c r="N1281" s="1" t="s">
        <v>1430</v>
      </c>
      <c r="O1281" s="1" t="s">
        <v>1588</v>
      </c>
      <c r="P1281" s="1" t="s">
        <v>1589</v>
      </c>
      <c r="Q1281" s="1" t="s">
        <v>153</v>
      </c>
      <c r="R1281" s="1" t="s">
        <v>136</v>
      </c>
      <c r="S1281" s="1" t="s">
        <v>233</v>
      </c>
    </row>
    <row r="1282" spans="1:19" hidden="1" x14ac:dyDescent="0.25">
      <c r="A1282" s="2">
        <v>185</v>
      </c>
      <c r="B1282" s="1" t="s">
        <v>1585</v>
      </c>
      <c r="C1282" s="1" t="s">
        <v>220</v>
      </c>
      <c r="D1282" s="1" t="s">
        <v>1586</v>
      </c>
      <c r="E1282" s="1">
        <v>5</v>
      </c>
      <c r="F1282" s="1">
        <v>86.799000000000007</v>
      </c>
      <c r="G1282" s="1">
        <v>7111</v>
      </c>
      <c r="H1282" s="1">
        <v>8601</v>
      </c>
      <c r="I1282" s="1">
        <v>9910</v>
      </c>
      <c r="J1282" s="1">
        <v>85.411000000000001</v>
      </c>
      <c r="K1282" s="1">
        <v>3.8010000000000002</v>
      </c>
      <c r="L1282" s="1">
        <v>24.664000000000001</v>
      </c>
      <c r="M1282" s="1" t="s">
        <v>1587</v>
      </c>
      <c r="N1282" s="1" t="s">
        <v>1430</v>
      </c>
      <c r="O1282" s="1" t="s">
        <v>1588</v>
      </c>
      <c r="P1282" s="1" t="s">
        <v>1589</v>
      </c>
      <c r="Q1282" s="1" t="s">
        <v>221</v>
      </c>
      <c r="R1282" s="1" t="s">
        <v>44</v>
      </c>
      <c r="S1282" s="1" t="s">
        <v>64</v>
      </c>
    </row>
    <row r="1283" spans="1:19" x14ac:dyDescent="0.25">
      <c r="A1283" s="2">
        <v>185</v>
      </c>
      <c r="B1283" s="1" t="s">
        <v>1585</v>
      </c>
      <c r="C1283" s="1" t="s">
        <v>220</v>
      </c>
      <c r="D1283" s="1" t="s">
        <v>1586</v>
      </c>
      <c r="E1283" s="1">
        <v>6</v>
      </c>
      <c r="F1283" s="1">
        <v>110.74</v>
      </c>
      <c r="G1283" s="1">
        <v>9241</v>
      </c>
      <c r="H1283" s="1">
        <v>11186</v>
      </c>
      <c r="I1283" s="1">
        <v>12883</v>
      </c>
      <c r="J1283" s="1">
        <v>108.96899999999999</v>
      </c>
      <c r="K1283" s="1">
        <v>3.823</v>
      </c>
      <c r="L1283" s="1">
        <v>25.202999999999999</v>
      </c>
      <c r="M1283" s="1" t="s">
        <v>1587</v>
      </c>
      <c r="N1283" s="1" t="s">
        <v>1430</v>
      </c>
      <c r="O1283" s="1" t="s">
        <v>1588</v>
      </c>
      <c r="P1283" s="1" t="s">
        <v>1589</v>
      </c>
      <c r="Q1283" s="1" t="s">
        <v>87</v>
      </c>
      <c r="R1283" s="1" t="s">
        <v>131</v>
      </c>
      <c r="S1283" s="1" t="s">
        <v>158</v>
      </c>
    </row>
    <row r="1284" spans="1:19" x14ac:dyDescent="0.25">
      <c r="A1284" s="2">
        <v>185</v>
      </c>
      <c r="B1284" s="1" t="s">
        <v>1585</v>
      </c>
      <c r="C1284" s="1" t="s">
        <v>220</v>
      </c>
      <c r="D1284" s="1" t="s">
        <v>1586</v>
      </c>
      <c r="E1284" s="1">
        <v>7</v>
      </c>
      <c r="F1284" s="1">
        <v>102.319</v>
      </c>
      <c r="G1284" s="1">
        <v>8577</v>
      </c>
      <c r="H1284" s="1">
        <v>10381</v>
      </c>
      <c r="I1284" s="1">
        <v>11957</v>
      </c>
      <c r="J1284" s="1">
        <v>100.68300000000001</v>
      </c>
      <c r="K1284" s="1">
        <v>3.8929999999999998</v>
      </c>
      <c r="L1284" s="1">
        <v>25.247</v>
      </c>
      <c r="M1284" s="1" t="s">
        <v>1587</v>
      </c>
      <c r="N1284" s="1" t="s">
        <v>1430</v>
      </c>
      <c r="O1284" s="1" t="s">
        <v>1588</v>
      </c>
      <c r="P1284" s="1" t="s">
        <v>1589</v>
      </c>
      <c r="Q1284" s="1" t="s">
        <v>293</v>
      </c>
      <c r="R1284" s="1" t="s">
        <v>485</v>
      </c>
      <c r="S1284" s="1" t="s">
        <v>1072</v>
      </c>
    </row>
    <row r="1285" spans="1:19" hidden="1" x14ac:dyDescent="0.25">
      <c r="A1285" s="2">
        <v>186</v>
      </c>
      <c r="B1285" s="1" t="s">
        <v>1590</v>
      </c>
      <c r="C1285" s="1" t="s">
        <v>336</v>
      </c>
      <c r="D1285" s="1" t="s">
        <v>1591</v>
      </c>
      <c r="E1285" s="1">
        <v>1</v>
      </c>
      <c r="F1285" s="1">
        <v>163.08500000000001</v>
      </c>
      <c r="G1285" s="1">
        <v>8335</v>
      </c>
      <c r="H1285" s="1">
        <v>9971</v>
      </c>
      <c r="I1285" s="1">
        <v>11545</v>
      </c>
      <c r="J1285" s="1">
        <v>160.49799999999999</v>
      </c>
      <c r="K1285" s="1">
        <v>-5.4039999999999999</v>
      </c>
      <c r="L1285" s="1">
        <v>19.119</v>
      </c>
      <c r="M1285" s="1" t="s">
        <v>1592</v>
      </c>
      <c r="N1285" s="1" t="s">
        <v>1430</v>
      </c>
      <c r="O1285" s="1" t="s">
        <v>1593</v>
      </c>
      <c r="P1285" s="1" t="s">
        <v>1594</v>
      </c>
      <c r="Q1285" s="1" t="s">
        <v>128</v>
      </c>
      <c r="R1285" s="1" t="s">
        <v>84</v>
      </c>
      <c r="S1285" s="1" t="s">
        <v>276</v>
      </c>
    </row>
    <row r="1286" spans="1:19" hidden="1" x14ac:dyDescent="0.25">
      <c r="A1286" s="2">
        <v>186</v>
      </c>
      <c r="B1286" s="1" t="s">
        <v>1590</v>
      </c>
      <c r="C1286" s="1" t="s">
        <v>336</v>
      </c>
      <c r="D1286" s="1" t="s">
        <v>1591</v>
      </c>
      <c r="E1286" s="1">
        <v>2</v>
      </c>
      <c r="F1286" s="1">
        <v>160.91</v>
      </c>
      <c r="G1286" s="1">
        <v>8331</v>
      </c>
      <c r="H1286" s="1">
        <v>9967</v>
      </c>
      <c r="I1286" s="1">
        <v>11538</v>
      </c>
      <c r="J1286" s="1">
        <v>158.357</v>
      </c>
      <c r="K1286" s="1">
        <v>-5.415</v>
      </c>
      <c r="L1286" s="1">
        <v>19.079999999999998</v>
      </c>
      <c r="M1286" s="1" t="s">
        <v>1592</v>
      </c>
      <c r="N1286" s="1" t="s">
        <v>1430</v>
      </c>
      <c r="O1286" s="1" t="s">
        <v>1593</v>
      </c>
      <c r="P1286" s="1" t="s">
        <v>1594</v>
      </c>
      <c r="Q1286" s="1" t="s">
        <v>256</v>
      </c>
      <c r="R1286" s="1" t="s">
        <v>173</v>
      </c>
      <c r="S1286" s="1" t="s">
        <v>150</v>
      </c>
    </row>
    <row r="1287" spans="1:19" hidden="1" x14ac:dyDescent="0.25">
      <c r="A1287" s="2">
        <v>186</v>
      </c>
      <c r="B1287" s="1" t="s">
        <v>1590</v>
      </c>
      <c r="C1287" s="1" t="s">
        <v>336</v>
      </c>
      <c r="D1287" s="1" t="s">
        <v>1591</v>
      </c>
      <c r="E1287" s="1">
        <v>3</v>
      </c>
      <c r="F1287" s="1">
        <v>162.56399999999999</v>
      </c>
      <c r="G1287" s="1">
        <v>8421</v>
      </c>
      <c r="H1287" s="1">
        <v>10073</v>
      </c>
      <c r="I1287" s="1">
        <v>11665</v>
      </c>
      <c r="J1287" s="1">
        <v>159.98500000000001</v>
      </c>
      <c r="K1287" s="1">
        <v>-5.3959999999999999</v>
      </c>
      <c r="L1287" s="1">
        <v>19.079000000000001</v>
      </c>
      <c r="M1287" s="1" t="s">
        <v>1592</v>
      </c>
      <c r="N1287" s="1" t="s">
        <v>1430</v>
      </c>
      <c r="O1287" s="1" t="s">
        <v>1593</v>
      </c>
      <c r="P1287" s="1" t="s">
        <v>1594</v>
      </c>
      <c r="Q1287" s="1" t="s">
        <v>291</v>
      </c>
      <c r="R1287" s="1" t="s">
        <v>328</v>
      </c>
      <c r="S1287" s="1" t="s">
        <v>324</v>
      </c>
    </row>
    <row r="1288" spans="1:19" hidden="1" x14ac:dyDescent="0.25">
      <c r="A1288" s="2">
        <v>186</v>
      </c>
      <c r="B1288" s="1" t="s">
        <v>1590</v>
      </c>
      <c r="C1288" s="1" t="s">
        <v>336</v>
      </c>
      <c r="D1288" s="1" t="s">
        <v>1591</v>
      </c>
      <c r="E1288" s="1">
        <v>4</v>
      </c>
      <c r="F1288" s="1">
        <v>162.727</v>
      </c>
      <c r="G1288" s="1">
        <v>8357</v>
      </c>
      <c r="H1288" s="1">
        <v>9997</v>
      </c>
      <c r="I1288" s="1">
        <v>11579</v>
      </c>
      <c r="J1288" s="1">
        <v>160.14500000000001</v>
      </c>
      <c r="K1288" s="1">
        <v>-5.399</v>
      </c>
      <c r="L1288" s="1">
        <v>19.082999999999998</v>
      </c>
      <c r="M1288" s="1" t="s">
        <v>1592</v>
      </c>
      <c r="N1288" s="1" t="s">
        <v>1430</v>
      </c>
      <c r="O1288" s="1" t="s">
        <v>1593</v>
      </c>
      <c r="P1288" s="1" t="s">
        <v>1594</v>
      </c>
      <c r="Q1288" s="1" t="s">
        <v>158</v>
      </c>
      <c r="R1288" s="1" t="s">
        <v>166</v>
      </c>
      <c r="S1288" s="1" t="s">
        <v>282</v>
      </c>
    </row>
    <row r="1289" spans="1:19" hidden="1" x14ac:dyDescent="0.25">
      <c r="A1289" s="2">
        <v>186</v>
      </c>
      <c r="B1289" s="1" t="s">
        <v>1590</v>
      </c>
      <c r="C1289" s="1" t="s">
        <v>336</v>
      </c>
      <c r="D1289" s="1" t="s">
        <v>1591</v>
      </c>
      <c r="E1289" s="1">
        <v>5</v>
      </c>
      <c r="F1289" s="1">
        <v>185.83799999999999</v>
      </c>
      <c r="G1289" s="1">
        <v>16317</v>
      </c>
      <c r="H1289" s="1">
        <v>19659</v>
      </c>
      <c r="I1289" s="1">
        <v>22711</v>
      </c>
      <c r="J1289" s="1">
        <v>182.88200000000001</v>
      </c>
      <c r="K1289" s="1">
        <v>-3.07</v>
      </c>
      <c r="L1289" s="1">
        <v>23.451000000000001</v>
      </c>
      <c r="M1289" s="1" t="s">
        <v>1592</v>
      </c>
      <c r="N1289" s="1" t="s">
        <v>1430</v>
      </c>
      <c r="O1289" s="1" t="s">
        <v>1593</v>
      </c>
      <c r="P1289" s="1" t="s">
        <v>1594</v>
      </c>
      <c r="Q1289" s="1" t="s">
        <v>199</v>
      </c>
      <c r="R1289" s="1" t="s">
        <v>184</v>
      </c>
      <c r="S1289" s="1" t="s">
        <v>100</v>
      </c>
    </row>
    <row r="1290" spans="1:19" x14ac:dyDescent="0.25">
      <c r="A1290" s="2">
        <v>186</v>
      </c>
      <c r="B1290" s="1" t="s">
        <v>1590</v>
      </c>
      <c r="C1290" s="1" t="s">
        <v>336</v>
      </c>
      <c r="D1290" s="1" t="s">
        <v>1591</v>
      </c>
      <c r="E1290" s="1">
        <v>6</v>
      </c>
      <c r="F1290" s="1">
        <v>165.142</v>
      </c>
      <c r="G1290" s="1">
        <v>14534</v>
      </c>
      <c r="H1290" s="1">
        <v>17499</v>
      </c>
      <c r="I1290" s="1">
        <v>20225</v>
      </c>
      <c r="J1290" s="1">
        <v>162.51400000000001</v>
      </c>
      <c r="K1290" s="1">
        <v>-3.0369999999999999</v>
      </c>
      <c r="L1290" s="1">
        <v>23.814</v>
      </c>
      <c r="M1290" s="1" t="s">
        <v>1592</v>
      </c>
      <c r="N1290" s="1" t="s">
        <v>1430</v>
      </c>
      <c r="O1290" s="1" t="s">
        <v>1593</v>
      </c>
      <c r="P1290" s="1" t="s">
        <v>1594</v>
      </c>
      <c r="Q1290" s="1" t="s">
        <v>160</v>
      </c>
      <c r="R1290" s="1" t="s">
        <v>143</v>
      </c>
      <c r="S1290" s="1" t="s">
        <v>334</v>
      </c>
    </row>
    <row r="1291" spans="1:19" x14ac:dyDescent="0.25">
      <c r="A1291" s="2">
        <v>186</v>
      </c>
      <c r="B1291" s="1" t="s">
        <v>1590</v>
      </c>
      <c r="C1291" s="1" t="s">
        <v>336</v>
      </c>
      <c r="D1291" s="1" t="s">
        <v>1591</v>
      </c>
      <c r="E1291" s="1">
        <v>7</v>
      </c>
      <c r="F1291" s="1">
        <v>153.02699999999999</v>
      </c>
      <c r="G1291" s="1">
        <v>13441</v>
      </c>
      <c r="H1291" s="1">
        <v>16177</v>
      </c>
      <c r="I1291" s="1">
        <v>18707</v>
      </c>
      <c r="J1291" s="1">
        <v>150.59200000000001</v>
      </c>
      <c r="K1291" s="1">
        <v>-2.9529999999999998</v>
      </c>
      <c r="L1291" s="1">
        <v>23.859000000000002</v>
      </c>
      <c r="M1291" s="1" t="s">
        <v>1592</v>
      </c>
      <c r="N1291" s="1" t="s">
        <v>1430</v>
      </c>
      <c r="O1291" s="1" t="s">
        <v>1593</v>
      </c>
      <c r="P1291" s="1" t="s">
        <v>1594</v>
      </c>
      <c r="Q1291" s="1" t="s">
        <v>450</v>
      </c>
      <c r="R1291" s="1" t="s">
        <v>429</v>
      </c>
      <c r="S1291" s="1" t="s">
        <v>729</v>
      </c>
    </row>
    <row r="1292" spans="1:19" hidden="1" x14ac:dyDescent="0.25">
      <c r="A1292" s="2">
        <v>187</v>
      </c>
      <c r="B1292" s="1" t="s">
        <v>1595</v>
      </c>
      <c r="C1292" s="1" t="s">
        <v>327</v>
      </c>
      <c r="D1292" s="1" t="s">
        <v>1596</v>
      </c>
      <c r="E1292" s="1">
        <v>1</v>
      </c>
      <c r="F1292" s="1">
        <v>164.297</v>
      </c>
      <c r="G1292" s="1">
        <v>8387</v>
      </c>
      <c r="H1292" s="1">
        <v>10033</v>
      </c>
      <c r="I1292" s="1">
        <v>11618</v>
      </c>
      <c r="J1292" s="1">
        <v>161.691</v>
      </c>
      <c r="K1292" s="1">
        <v>-5.3879999999999999</v>
      </c>
      <c r="L1292" s="1">
        <v>19.087</v>
      </c>
      <c r="M1292" s="1" t="s">
        <v>1064</v>
      </c>
      <c r="N1292" s="1" t="s">
        <v>1430</v>
      </c>
      <c r="O1292" s="1" t="s">
        <v>1597</v>
      </c>
      <c r="P1292" s="1" t="s">
        <v>1598</v>
      </c>
      <c r="Q1292" s="1" t="s">
        <v>127</v>
      </c>
      <c r="R1292" s="1" t="s">
        <v>99</v>
      </c>
      <c r="S1292" s="1" t="s">
        <v>158</v>
      </c>
    </row>
    <row r="1293" spans="1:19" hidden="1" x14ac:dyDescent="0.25">
      <c r="A1293" s="2">
        <v>187</v>
      </c>
      <c r="B1293" s="1" t="s">
        <v>1595</v>
      </c>
      <c r="C1293" s="1" t="s">
        <v>327</v>
      </c>
      <c r="D1293" s="1" t="s">
        <v>1596</v>
      </c>
      <c r="E1293" s="1">
        <v>2</v>
      </c>
      <c r="F1293" s="1">
        <v>161.93600000000001</v>
      </c>
      <c r="G1293" s="1">
        <v>8368</v>
      </c>
      <c r="H1293" s="1">
        <v>10012</v>
      </c>
      <c r="I1293" s="1">
        <v>11593</v>
      </c>
      <c r="J1293" s="1">
        <v>159.36600000000001</v>
      </c>
      <c r="K1293" s="1">
        <v>-5.3940000000000001</v>
      </c>
      <c r="L1293" s="1">
        <v>19.082999999999998</v>
      </c>
      <c r="M1293" s="1" t="s">
        <v>1064</v>
      </c>
      <c r="N1293" s="1" t="s">
        <v>1430</v>
      </c>
      <c r="O1293" s="1" t="s">
        <v>1597</v>
      </c>
      <c r="P1293" s="1" t="s">
        <v>1598</v>
      </c>
      <c r="Q1293" s="1" t="s">
        <v>147</v>
      </c>
      <c r="R1293" s="1" t="s">
        <v>198</v>
      </c>
      <c r="S1293" s="1" t="s">
        <v>142</v>
      </c>
    </row>
    <row r="1294" spans="1:19" hidden="1" x14ac:dyDescent="0.25">
      <c r="A1294" s="2">
        <v>187</v>
      </c>
      <c r="B1294" s="1" t="s">
        <v>1595</v>
      </c>
      <c r="C1294" s="1" t="s">
        <v>327</v>
      </c>
      <c r="D1294" s="1" t="s">
        <v>1596</v>
      </c>
      <c r="E1294" s="1">
        <v>3</v>
      </c>
      <c r="F1294" s="1">
        <v>164.142</v>
      </c>
      <c r="G1294" s="1">
        <v>8472</v>
      </c>
      <c r="H1294" s="1">
        <v>10135</v>
      </c>
      <c r="I1294" s="1">
        <v>11734</v>
      </c>
      <c r="J1294" s="1">
        <v>161.53700000000001</v>
      </c>
      <c r="K1294" s="1">
        <v>-5.3949999999999996</v>
      </c>
      <c r="L1294" s="1">
        <v>19.094000000000001</v>
      </c>
      <c r="M1294" s="1" t="s">
        <v>1064</v>
      </c>
      <c r="N1294" s="1" t="s">
        <v>1430</v>
      </c>
      <c r="O1294" s="1" t="s">
        <v>1597</v>
      </c>
      <c r="P1294" s="1" t="s">
        <v>1598</v>
      </c>
      <c r="Q1294" s="1" t="s">
        <v>167</v>
      </c>
      <c r="R1294" s="1" t="s">
        <v>237</v>
      </c>
      <c r="S1294" s="1" t="s">
        <v>292</v>
      </c>
    </row>
    <row r="1295" spans="1:19" hidden="1" x14ac:dyDescent="0.25">
      <c r="A1295" s="2">
        <v>187</v>
      </c>
      <c r="B1295" s="1" t="s">
        <v>1595</v>
      </c>
      <c r="C1295" s="1" t="s">
        <v>327</v>
      </c>
      <c r="D1295" s="1" t="s">
        <v>1596</v>
      </c>
      <c r="E1295" s="1">
        <v>4</v>
      </c>
      <c r="F1295" s="1">
        <v>163.40899999999999</v>
      </c>
      <c r="G1295" s="1">
        <v>8401</v>
      </c>
      <c r="H1295" s="1">
        <v>10051</v>
      </c>
      <c r="I1295" s="1">
        <v>11637</v>
      </c>
      <c r="J1295" s="1">
        <v>160.81700000000001</v>
      </c>
      <c r="K1295" s="1">
        <v>-5.399</v>
      </c>
      <c r="L1295" s="1">
        <v>19.082999999999998</v>
      </c>
      <c r="M1295" s="1" t="s">
        <v>1064</v>
      </c>
      <c r="N1295" s="1" t="s">
        <v>1430</v>
      </c>
      <c r="O1295" s="1" t="s">
        <v>1597</v>
      </c>
      <c r="P1295" s="1" t="s">
        <v>1598</v>
      </c>
      <c r="Q1295" s="1" t="s">
        <v>161</v>
      </c>
      <c r="R1295" s="1" t="s">
        <v>236</v>
      </c>
      <c r="S1295" s="1" t="s">
        <v>370</v>
      </c>
    </row>
    <row r="1296" spans="1:19" hidden="1" x14ac:dyDescent="0.25">
      <c r="A1296" s="2">
        <v>187</v>
      </c>
      <c r="B1296" s="1" t="s">
        <v>1595</v>
      </c>
      <c r="C1296" s="1" t="s">
        <v>327</v>
      </c>
      <c r="D1296" s="1" t="s">
        <v>1596</v>
      </c>
      <c r="E1296" s="1">
        <v>5</v>
      </c>
      <c r="F1296" s="1">
        <v>200.37200000000001</v>
      </c>
      <c r="G1296" s="1">
        <v>16763</v>
      </c>
      <c r="H1296" s="1">
        <v>20201</v>
      </c>
      <c r="I1296" s="1">
        <v>23324</v>
      </c>
      <c r="J1296" s="1">
        <v>197.184</v>
      </c>
      <c r="K1296" s="1">
        <v>-3.0920000000000001</v>
      </c>
      <c r="L1296" s="1">
        <v>23.553000000000001</v>
      </c>
      <c r="M1296" s="1" t="s">
        <v>1064</v>
      </c>
      <c r="N1296" s="1" t="s">
        <v>1430</v>
      </c>
      <c r="O1296" s="1" t="s">
        <v>1597</v>
      </c>
      <c r="P1296" s="1" t="s">
        <v>1598</v>
      </c>
      <c r="Q1296" s="1" t="s">
        <v>199</v>
      </c>
      <c r="R1296" s="1" t="s">
        <v>184</v>
      </c>
      <c r="S1296" s="1" t="s">
        <v>191</v>
      </c>
    </row>
    <row r="1297" spans="1:19" x14ac:dyDescent="0.25">
      <c r="A1297" s="2">
        <v>187</v>
      </c>
      <c r="B1297" s="1" t="s">
        <v>1595</v>
      </c>
      <c r="C1297" s="1" t="s">
        <v>327</v>
      </c>
      <c r="D1297" s="1" t="s">
        <v>1596</v>
      </c>
      <c r="E1297" s="1">
        <v>6</v>
      </c>
      <c r="F1297" s="1">
        <v>176.357</v>
      </c>
      <c r="G1297" s="1">
        <v>14865</v>
      </c>
      <c r="H1297" s="1">
        <v>17908</v>
      </c>
      <c r="I1297" s="1">
        <v>20690</v>
      </c>
      <c r="J1297" s="1">
        <v>173.55099999999999</v>
      </c>
      <c r="K1297" s="1">
        <v>-3.0720000000000001</v>
      </c>
      <c r="L1297" s="1">
        <v>23.773</v>
      </c>
      <c r="M1297" s="1" t="s">
        <v>1064</v>
      </c>
      <c r="N1297" s="1" t="s">
        <v>1430</v>
      </c>
      <c r="O1297" s="1" t="s">
        <v>1597</v>
      </c>
      <c r="P1297" s="1" t="s">
        <v>1598</v>
      </c>
      <c r="Q1297" s="1" t="s">
        <v>165</v>
      </c>
      <c r="R1297" s="1" t="s">
        <v>236</v>
      </c>
      <c r="S1297" s="1" t="s">
        <v>247</v>
      </c>
    </row>
    <row r="1298" spans="1:19" x14ac:dyDescent="0.25">
      <c r="A1298" s="2">
        <v>187</v>
      </c>
      <c r="B1298" s="1" t="s">
        <v>1595</v>
      </c>
      <c r="C1298" s="1" t="s">
        <v>327</v>
      </c>
      <c r="D1298" s="1" t="s">
        <v>1596</v>
      </c>
      <c r="E1298" s="1">
        <v>7</v>
      </c>
      <c r="F1298" s="1">
        <v>162.72200000000001</v>
      </c>
      <c r="G1298" s="1">
        <v>13766</v>
      </c>
      <c r="H1298" s="1">
        <v>16580</v>
      </c>
      <c r="I1298" s="1">
        <v>19162</v>
      </c>
      <c r="J1298" s="1">
        <v>160.13300000000001</v>
      </c>
      <c r="K1298" s="1">
        <v>-3.0129999999999999</v>
      </c>
      <c r="L1298" s="1">
        <v>23.815999999999999</v>
      </c>
      <c r="M1298" s="1" t="s">
        <v>1064</v>
      </c>
      <c r="N1298" s="1" t="s">
        <v>1430</v>
      </c>
      <c r="O1298" s="1" t="s">
        <v>1597</v>
      </c>
      <c r="P1298" s="1" t="s">
        <v>1598</v>
      </c>
      <c r="Q1298" s="1" t="s">
        <v>1599</v>
      </c>
      <c r="R1298" s="1" t="s">
        <v>517</v>
      </c>
      <c r="S1298" s="1" t="s">
        <v>801</v>
      </c>
    </row>
    <row r="1299" spans="1:19" hidden="1" x14ac:dyDescent="0.25">
      <c r="A1299" s="2">
        <v>188</v>
      </c>
      <c r="B1299" s="1" t="s">
        <v>1600</v>
      </c>
      <c r="C1299" s="1" t="s">
        <v>840</v>
      </c>
      <c r="D1299" s="1" t="s">
        <v>1601</v>
      </c>
      <c r="E1299" s="1">
        <v>1</v>
      </c>
      <c r="F1299" s="1">
        <v>164.21899999999999</v>
      </c>
      <c r="G1299" s="1">
        <v>8371</v>
      </c>
      <c r="H1299" s="1">
        <v>10015</v>
      </c>
      <c r="I1299" s="1">
        <v>11596</v>
      </c>
      <c r="J1299" s="1">
        <v>161.613</v>
      </c>
      <c r="K1299" s="1">
        <v>-5.4020000000000001</v>
      </c>
      <c r="L1299" s="1">
        <v>19.062999999999999</v>
      </c>
      <c r="M1299" s="1" t="s">
        <v>1069</v>
      </c>
      <c r="N1299" s="1" t="s">
        <v>1430</v>
      </c>
      <c r="O1299" s="1" t="s">
        <v>1602</v>
      </c>
      <c r="P1299" s="1" t="s">
        <v>1603</v>
      </c>
      <c r="Q1299" s="1" t="s">
        <v>91</v>
      </c>
      <c r="R1299" s="1" t="s">
        <v>107</v>
      </c>
      <c r="S1299" s="1" t="s">
        <v>146</v>
      </c>
    </row>
    <row r="1300" spans="1:19" hidden="1" x14ac:dyDescent="0.25">
      <c r="A1300" s="2">
        <v>188</v>
      </c>
      <c r="B1300" s="1" t="s">
        <v>1600</v>
      </c>
      <c r="C1300" s="1" t="s">
        <v>840</v>
      </c>
      <c r="D1300" s="1" t="s">
        <v>1601</v>
      </c>
      <c r="E1300" s="1">
        <v>2</v>
      </c>
      <c r="F1300" s="1">
        <v>162.661</v>
      </c>
      <c r="G1300" s="1">
        <v>8390</v>
      </c>
      <c r="H1300" s="1">
        <v>10037</v>
      </c>
      <c r="I1300" s="1">
        <v>11620</v>
      </c>
      <c r="J1300" s="1">
        <v>160.08099999999999</v>
      </c>
      <c r="K1300" s="1">
        <v>-5.4160000000000004</v>
      </c>
      <c r="L1300" s="1">
        <v>19.079000000000001</v>
      </c>
      <c r="M1300" s="1" t="s">
        <v>1069</v>
      </c>
      <c r="N1300" s="1" t="s">
        <v>1430</v>
      </c>
      <c r="O1300" s="1" t="s">
        <v>1602</v>
      </c>
      <c r="P1300" s="1" t="s">
        <v>1603</v>
      </c>
      <c r="Q1300" s="1" t="s">
        <v>159</v>
      </c>
      <c r="R1300" s="1" t="s">
        <v>179</v>
      </c>
      <c r="S1300" s="1" t="s">
        <v>201</v>
      </c>
    </row>
    <row r="1301" spans="1:19" hidden="1" x14ac:dyDescent="0.25">
      <c r="A1301" s="2">
        <v>188</v>
      </c>
      <c r="B1301" s="1" t="s">
        <v>1600</v>
      </c>
      <c r="C1301" s="1" t="s">
        <v>840</v>
      </c>
      <c r="D1301" s="1" t="s">
        <v>1601</v>
      </c>
      <c r="E1301" s="1">
        <v>3</v>
      </c>
      <c r="F1301" s="1">
        <v>162.04300000000001</v>
      </c>
      <c r="G1301" s="1">
        <v>8405</v>
      </c>
      <c r="H1301" s="1">
        <v>10055</v>
      </c>
      <c r="I1301" s="1">
        <v>11643</v>
      </c>
      <c r="J1301" s="1">
        <v>159.47200000000001</v>
      </c>
      <c r="K1301" s="1">
        <v>-5.4169999999999998</v>
      </c>
      <c r="L1301" s="1">
        <v>19.050999999999998</v>
      </c>
      <c r="M1301" s="1" t="s">
        <v>1069</v>
      </c>
      <c r="N1301" s="1" t="s">
        <v>1430</v>
      </c>
      <c r="O1301" s="1" t="s">
        <v>1602</v>
      </c>
      <c r="P1301" s="1" t="s">
        <v>1603</v>
      </c>
      <c r="Q1301" s="1" t="s">
        <v>139</v>
      </c>
      <c r="R1301" s="1" t="s">
        <v>266</v>
      </c>
      <c r="S1301" s="1" t="s">
        <v>238</v>
      </c>
    </row>
    <row r="1302" spans="1:19" hidden="1" x14ac:dyDescent="0.25">
      <c r="A1302" s="2">
        <v>188</v>
      </c>
      <c r="B1302" s="1" t="s">
        <v>1600</v>
      </c>
      <c r="C1302" s="1" t="s">
        <v>840</v>
      </c>
      <c r="D1302" s="1" t="s">
        <v>1601</v>
      </c>
      <c r="E1302" s="1">
        <v>4</v>
      </c>
      <c r="F1302" s="1">
        <v>162.97200000000001</v>
      </c>
      <c r="G1302" s="1">
        <v>8381</v>
      </c>
      <c r="H1302" s="1">
        <v>10027</v>
      </c>
      <c r="I1302" s="1">
        <v>11612</v>
      </c>
      <c r="J1302" s="1">
        <v>160.386</v>
      </c>
      <c r="K1302" s="1">
        <v>-5.399</v>
      </c>
      <c r="L1302" s="1">
        <v>19.082999999999998</v>
      </c>
      <c r="M1302" s="1" t="s">
        <v>1069</v>
      </c>
      <c r="N1302" s="1" t="s">
        <v>1430</v>
      </c>
      <c r="O1302" s="1" t="s">
        <v>1602</v>
      </c>
      <c r="P1302" s="1" t="s">
        <v>1603</v>
      </c>
      <c r="Q1302" s="1" t="s">
        <v>161</v>
      </c>
      <c r="R1302" s="1" t="s">
        <v>236</v>
      </c>
      <c r="S1302" s="1" t="s">
        <v>247</v>
      </c>
    </row>
    <row r="1303" spans="1:19" hidden="1" x14ac:dyDescent="0.25">
      <c r="A1303" s="2">
        <v>188</v>
      </c>
      <c r="B1303" s="1" t="s">
        <v>1600</v>
      </c>
      <c r="C1303" s="1" t="s">
        <v>840</v>
      </c>
      <c r="D1303" s="1" t="s">
        <v>1601</v>
      </c>
      <c r="E1303" s="1">
        <v>5</v>
      </c>
      <c r="F1303" s="1">
        <v>214.88200000000001</v>
      </c>
      <c r="G1303" s="1">
        <v>18511</v>
      </c>
      <c r="H1303" s="1">
        <v>22275</v>
      </c>
      <c r="I1303" s="1">
        <v>25759</v>
      </c>
      <c r="J1303" s="1">
        <v>211.465</v>
      </c>
      <c r="K1303" s="1">
        <v>-3.9129999999999998</v>
      </c>
      <c r="L1303" s="1">
        <v>23.343</v>
      </c>
      <c r="M1303" s="1" t="s">
        <v>1069</v>
      </c>
      <c r="N1303" s="1" t="s">
        <v>1430</v>
      </c>
      <c r="O1303" s="1" t="s">
        <v>1602</v>
      </c>
      <c r="P1303" s="1" t="s">
        <v>1603</v>
      </c>
      <c r="Q1303" s="1" t="s">
        <v>515</v>
      </c>
      <c r="R1303" s="1" t="s">
        <v>61</v>
      </c>
      <c r="S1303" s="1" t="s">
        <v>67</v>
      </c>
    </row>
    <row r="1304" spans="1:19" x14ac:dyDescent="0.25">
      <c r="A1304" s="2">
        <v>188</v>
      </c>
      <c r="B1304" s="1" t="s">
        <v>1600</v>
      </c>
      <c r="C1304" s="1" t="s">
        <v>840</v>
      </c>
      <c r="D1304" s="1" t="s">
        <v>1601</v>
      </c>
      <c r="E1304" s="1">
        <v>6</v>
      </c>
      <c r="F1304" s="1">
        <v>188.977</v>
      </c>
      <c r="G1304" s="1">
        <v>16225</v>
      </c>
      <c r="H1304" s="1">
        <v>19520</v>
      </c>
      <c r="I1304" s="1">
        <v>22590</v>
      </c>
      <c r="J1304" s="1">
        <v>185.971</v>
      </c>
      <c r="K1304" s="1">
        <v>-3.8959999999999999</v>
      </c>
      <c r="L1304" s="1">
        <v>24.012</v>
      </c>
      <c r="M1304" s="1" t="s">
        <v>1069</v>
      </c>
      <c r="N1304" s="1" t="s">
        <v>1430</v>
      </c>
      <c r="O1304" s="1" t="s">
        <v>1602</v>
      </c>
      <c r="P1304" s="1" t="s">
        <v>1603</v>
      </c>
      <c r="Q1304" s="1" t="s">
        <v>148</v>
      </c>
      <c r="R1304" s="1" t="s">
        <v>259</v>
      </c>
      <c r="S1304" s="1" t="s">
        <v>314</v>
      </c>
    </row>
    <row r="1305" spans="1:19" x14ac:dyDescent="0.25">
      <c r="A1305" s="2">
        <v>188</v>
      </c>
      <c r="B1305" s="1" t="s">
        <v>1600</v>
      </c>
      <c r="C1305" s="1" t="s">
        <v>840</v>
      </c>
      <c r="D1305" s="1" t="s">
        <v>1601</v>
      </c>
      <c r="E1305" s="1">
        <v>7</v>
      </c>
      <c r="F1305" s="1">
        <v>174.41300000000001</v>
      </c>
      <c r="G1305" s="1">
        <v>14906</v>
      </c>
      <c r="H1305" s="1">
        <v>17926</v>
      </c>
      <c r="I1305" s="1">
        <v>20754</v>
      </c>
      <c r="J1305" s="1">
        <v>171.63900000000001</v>
      </c>
      <c r="K1305" s="1">
        <v>-3.863</v>
      </c>
      <c r="L1305" s="1">
        <v>24.036000000000001</v>
      </c>
      <c r="M1305" s="1" t="s">
        <v>1069</v>
      </c>
      <c r="N1305" s="1" t="s">
        <v>1430</v>
      </c>
      <c r="O1305" s="1" t="s">
        <v>1602</v>
      </c>
      <c r="P1305" s="1" t="s">
        <v>1603</v>
      </c>
      <c r="Q1305" s="1" t="s">
        <v>574</v>
      </c>
      <c r="R1305" s="1" t="s">
        <v>431</v>
      </c>
      <c r="S1305" s="1" t="s">
        <v>638</v>
      </c>
    </row>
    <row r="1306" spans="1:19" hidden="1" x14ac:dyDescent="0.25">
      <c r="A1306" s="2">
        <v>189</v>
      </c>
      <c r="B1306" s="1" t="s">
        <v>1604</v>
      </c>
      <c r="C1306" s="1" t="s">
        <v>1087</v>
      </c>
      <c r="D1306" s="1" t="s">
        <v>1605</v>
      </c>
      <c r="E1306" s="1">
        <v>1</v>
      </c>
      <c r="F1306" s="1">
        <v>166.517</v>
      </c>
      <c r="G1306" s="1">
        <v>8425</v>
      </c>
      <c r="H1306" s="1">
        <v>10081</v>
      </c>
      <c r="I1306" s="1">
        <v>11653</v>
      </c>
      <c r="J1306" s="1">
        <v>163.876</v>
      </c>
      <c r="K1306" s="1">
        <v>-5.4</v>
      </c>
      <c r="L1306" s="1">
        <v>19.105</v>
      </c>
      <c r="M1306" s="1" t="s">
        <v>1606</v>
      </c>
      <c r="N1306" s="1" t="s">
        <v>1430</v>
      </c>
      <c r="O1306" s="1" t="s">
        <v>1607</v>
      </c>
      <c r="P1306" s="1" t="s">
        <v>1608</v>
      </c>
      <c r="Q1306" s="1" t="s">
        <v>71</v>
      </c>
      <c r="R1306" s="1" t="s">
        <v>97</v>
      </c>
      <c r="S1306" s="1" t="s">
        <v>139</v>
      </c>
    </row>
    <row r="1307" spans="1:19" hidden="1" x14ac:dyDescent="0.25">
      <c r="A1307" s="2">
        <v>189</v>
      </c>
      <c r="B1307" s="1" t="s">
        <v>1604</v>
      </c>
      <c r="C1307" s="1" t="s">
        <v>1087</v>
      </c>
      <c r="D1307" s="1" t="s">
        <v>1605</v>
      </c>
      <c r="E1307" s="1">
        <v>2</v>
      </c>
      <c r="F1307" s="1">
        <v>161.03700000000001</v>
      </c>
      <c r="G1307" s="1">
        <v>8454</v>
      </c>
      <c r="H1307" s="1">
        <v>10115</v>
      </c>
      <c r="I1307" s="1">
        <v>11689</v>
      </c>
      <c r="J1307" s="1">
        <v>158.483</v>
      </c>
      <c r="K1307" s="1">
        <v>-5.4059999999999997</v>
      </c>
      <c r="L1307" s="1">
        <v>19.129000000000001</v>
      </c>
      <c r="M1307" s="1" t="s">
        <v>1606</v>
      </c>
      <c r="N1307" s="1" t="s">
        <v>1430</v>
      </c>
      <c r="O1307" s="1" t="s">
        <v>1607</v>
      </c>
      <c r="P1307" s="1" t="s">
        <v>1608</v>
      </c>
      <c r="Q1307" s="1" t="s">
        <v>159</v>
      </c>
      <c r="R1307" s="1" t="s">
        <v>179</v>
      </c>
      <c r="S1307" s="1" t="s">
        <v>274</v>
      </c>
    </row>
    <row r="1308" spans="1:19" hidden="1" x14ac:dyDescent="0.25">
      <c r="A1308" s="2">
        <v>189</v>
      </c>
      <c r="B1308" s="1" t="s">
        <v>1604</v>
      </c>
      <c r="C1308" s="1" t="s">
        <v>1087</v>
      </c>
      <c r="D1308" s="1" t="s">
        <v>1605</v>
      </c>
      <c r="E1308" s="1">
        <v>3</v>
      </c>
      <c r="F1308" s="1">
        <v>162.78</v>
      </c>
      <c r="G1308" s="1">
        <v>8497</v>
      </c>
      <c r="H1308" s="1">
        <v>10167</v>
      </c>
      <c r="I1308" s="1">
        <v>11751</v>
      </c>
      <c r="J1308" s="1">
        <v>160.19900000000001</v>
      </c>
      <c r="K1308" s="1">
        <v>-5.3979999999999997</v>
      </c>
      <c r="L1308" s="1">
        <v>19.099</v>
      </c>
      <c r="M1308" s="1" t="s">
        <v>1606</v>
      </c>
      <c r="N1308" s="1" t="s">
        <v>1430</v>
      </c>
      <c r="O1308" s="1" t="s">
        <v>1607</v>
      </c>
      <c r="P1308" s="1" t="s">
        <v>1608</v>
      </c>
      <c r="Q1308" s="1" t="s">
        <v>146</v>
      </c>
      <c r="R1308" s="1" t="s">
        <v>299</v>
      </c>
      <c r="S1308" s="1" t="s">
        <v>305</v>
      </c>
    </row>
    <row r="1309" spans="1:19" hidden="1" x14ac:dyDescent="0.25">
      <c r="A1309" s="2">
        <v>189</v>
      </c>
      <c r="B1309" s="1" t="s">
        <v>1604</v>
      </c>
      <c r="C1309" s="1" t="s">
        <v>1087</v>
      </c>
      <c r="D1309" s="1" t="s">
        <v>1605</v>
      </c>
      <c r="E1309" s="1">
        <v>4</v>
      </c>
      <c r="F1309" s="1">
        <v>164.137</v>
      </c>
      <c r="G1309" s="1">
        <v>8408</v>
      </c>
      <c r="H1309" s="1">
        <v>10060</v>
      </c>
      <c r="I1309" s="1">
        <v>11625</v>
      </c>
      <c r="J1309" s="1">
        <v>161.53399999999999</v>
      </c>
      <c r="K1309" s="1">
        <v>-5.399</v>
      </c>
      <c r="L1309" s="1">
        <v>19.082999999999998</v>
      </c>
      <c r="M1309" s="1" t="s">
        <v>1606</v>
      </c>
      <c r="N1309" s="1" t="s">
        <v>1430</v>
      </c>
      <c r="O1309" s="1" t="s">
        <v>1607</v>
      </c>
      <c r="P1309" s="1" t="s">
        <v>1608</v>
      </c>
      <c r="Q1309" s="1" t="s">
        <v>160</v>
      </c>
      <c r="R1309" s="1" t="s">
        <v>155</v>
      </c>
      <c r="S1309" s="1" t="s">
        <v>228</v>
      </c>
    </row>
    <row r="1310" spans="1:19" hidden="1" x14ac:dyDescent="0.25">
      <c r="A1310" s="2">
        <v>189</v>
      </c>
      <c r="B1310" s="1" t="s">
        <v>1604</v>
      </c>
      <c r="C1310" s="1" t="s">
        <v>1087</v>
      </c>
      <c r="D1310" s="1" t="s">
        <v>1605</v>
      </c>
      <c r="E1310" s="1">
        <v>5</v>
      </c>
      <c r="F1310" s="1">
        <v>205.071</v>
      </c>
      <c r="G1310" s="1">
        <v>17286</v>
      </c>
      <c r="H1310" s="1">
        <v>20839</v>
      </c>
      <c r="I1310" s="1">
        <v>24007</v>
      </c>
      <c r="J1310" s="1">
        <v>201.81</v>
      </c>
      <c r="K1310" s="1">
        <v>-3.5950000000000002</v>
      </c>
      <c r="L1310" s="1">
        <v>23.712</v>
      </c>
      <c r="M1310" s="1" t="s">
        <v>1606</v>
      </c>
      <c r="N1310" s="1" t="s">
        <v>1430</v>
      </c>
      <c r="O1310" s="1" t="s">
        <v>1607</v>
      </c>
      <c r="P1310" s="1" t="s">
        <v>1608</v>
      </c>
      <c r="Q1310" s="1" t="s">
        <v>183</v>
      </c>
      <c r="R1310" s="1" t="s">
        <v>145</v>
      </c>
      <c r="S1310" s="1" t="s">
        <v>118</v>
      </c>
    </row>
    <row r="1311" spans="1:19" x14ac:dyDescent="0.25">
      <c r="A1311" s="2">
        <v>189</v>
      </c>
      <c r="B1311" s="1" t="s">
        <v>1604</v>
      </c>
      <c r="C1311" s="1" t="s">
        <v>1087</v>
      </c>
      <c r="D1311" s="1" t="s">
        <v>1605</v>
      </c>
      <c r="E1311" s="1">
        <v>6</v>
      </c>
      <c r="F1311" s="1">
        <v>181.69399999999999</v>
      </c>
      <c r="G1311" s="1">
        <v>15591</v>
      </c>
      <c r="H1311" s="1">
        <v>18786</v>
      </c>
      <c r="I1311" s="1">
        <v>21658</v>
      </c>
      <c r="J1311" s="1">
        <v>178.80500000000001</v>
      </c>
      <c r="K1311" s="1">
        <v>-3.5619999999999998</v>
      </c>
      <c r="L1311" s="1">
        <v>23.933</v>
      </c>
      <c r="M1311" s="1" t="s">
        <v>1606</v>
      </c>
      <c r="N1311" s="1" t="s">
        <v>1430</v>
      </c>
      <c r="O1311" s="1" t="s">
        <v>1607</v>
      </c>
      <c r="P1311" s="1" t="s">
        <v>1608</v>
      </c>
      <c r="Q1311" s="1" t="s">
        <v>157</v>
      </c>
      <c r="R1311" s="1" t="s">
        <v>359</v>
      </c>
      <c r="S1311" s="1" t="s">
        <v>368</v>
      </c>
    </row>
    <row r="1312" spans="1:19" x14ac:dyDescent="0.25">
      <c r="A1312" s="2">
        <v>189</v>
      </c>
      <c r="B1312" s="1" t="s">
        <v>1604</v>
      </c>
      <c r="C1312" s="1" t="s">
        <v>1087</v>
      </c>
      <c r="D1312" s="1" t="s">
        <v>1605</v>
      </c>
      <c r="E1312" s="1">
        <v>7</v>
      </c>
      <c r="F1312" s="1">
        <v>168.803</v>
      </c>
      <c r="G1312" s="1">
        <v>14614</v>
      </c>
      <c r="H1312" s="1">
        <v>17605</v>
      </c>
      <c r="I1312" s="1">
        <v>20308</v>
      </c>
      <c r="J1312" s="1">
        <v>166.119</v>
      </c>
      <c r="K1312" s="1">
        <v>-3.536</v>
      </c>
      <c r="L1312" s="1">
        <v>24.016999999999999</v>
      </c>
      <c r="M1312" s="1" t="s">
        <v>1606</v>
      </c>
      <c r="N1312" s="1" t="s">
        <v>1430</v>
      </c>
      <c r="O1312" s="1" t="s">
        <v>1607</v>
      </c>
      <c r="P1312" s="1" t="s">
        <v>1608</v>
      </c>
      <c r="Q1312" s="1" t="s">
        <v>416</v>
      </c>
      <c r="R1312" s="1" t="s">
        <v>986</v>
      </c>
      <c r="S1312" s="1" t="s">
        <v>1609</v>
      </c>
    </row>
    <row r="1313" spans="1:19" hidden="1" x14ac:dyDescent="0.25">
      <c r="A1313" s="2">
        <v>190</v>
      </c>
      <c r="B1313" s="1" t="s">
        <v>1610</v>
      </c>
      <c r="C1313" s="1" t="s">
        <v>428</v>
      </c>
      <c r="D1313" s="1" t="s">
        <v>1611</v>
      </c>
      <c r="E1313" s="1">
        <v>1</v>
      </c>
      <c r="F1313" s="1">
        <v>164.84800000000001</v>
      </c>
      <c r="G1313" s="1">
        <v>8380</v>
      </c>
      <c r="H1313" s="1">
        <v>10024</v>
      </c>
      <c r="I1313" s="1">
        <v>11607</v>
      </c>
      <c r="J1313" s="1">
        <v>162.232</v>
      </c>
      <c r="K1313" s="1">
        <v>-5.39</v>
      </c>
      <c r="L1313" s="1">
        <v>19.077000000000002</v>
      </c>
      <c r="M1313" s="1" t="s">
        <v>1612</v>
      </c>
      <c r="N1313" s="1" t="s">
        <v>1430</v>
      </c>
      <c r="O1313" s="1" t="s">
        <v>1613</v>
      </c>
      <c r="P1313" s="1" t="s">
        <v>1614</v>
      </c>
      <c r="Q1313" s="1" t="s">
        <v>57</v>
      </c>
      <c r="R1313" s="1" t="s">
        <v>113</v>
      </c>
      <c r="S1313" s="1" t="s">
        <v>165</v>
      </c>
    </row>
    <row r="1314" spans="1:19" hidden="1" x14ac:dyDescent="0.25">
      <c r="A1314" s="2">
        <v>190</v>
      </c>
      <c r="B1314" s="1" t="s">
        <v>1610</v>
      </c>
      <c r="C1314" s="1" t="s">
        <v>428</v>
      </c>
      <c r="D1314" s="1" t="s">
        <v>1611</v>
      </c>
      <c r="E1314" s="1">
        <v>2</v>
      </c>
      <c r="F1314" s="1">
        <v>161.19200000000001</v>
      </c>
      <c r="G1314" s="1">
        <v>8385</v>
      </c>
      <c r="H1314" s="1">
        <v>10032</v>
      </c>
      <c r="I1314" s="1">
        <v>11616</v>
      </c>
      <c r="J1314" s="1">
        <v>158.63499999999999</v>
      </c>
      <c r="K1314" s="1">
        <v>-5.4020000000000001</v>
      </c>
      <c r="L1314" s="1">
        <v>19.079000000000001</v>
      </c>
      <c r="M1314" s="1" t="s">
        <v>1612</v>
      </c>
      <c r="N1314" s="1" t="s">
        <v>1430</v>
      </c>
      <c r="O1314" s="1" t="s">
        <v>1613</v>
      </c>
      <c r="P1314" s="1" t="s">
        <v>1614</v>
      </c>
      <c r="Q1314" s="1" t="s">
        <v>249</v>
      </c>
      <c r="R1314" s="1" t="s">
        <v>194</v>
      </c>
      <c r="S1314" s="1" t="s">
        <v>304</v>
      </c>
    </row>
    <row r="1315" spans="1:19" hidden="1" x14ac:dyDescent="0.25">
      <c r="A1315" s="2">
        <v>190</v>
      </c>
      <c r="B1315" s="1" t="s">
        <v>1610</v>
      </c>
      <c r="C1315" s="1" t="s">
        <v>428</v>
      </c>
      <c r="D1315" s="1" t="s">
        <v>1611</v>
      </c>
      <c r="E1315" s="1">
        <v>3</v>
      </c>
      <c r="F1315" s="1">
        <v>163.82</v>
      </c>
      <c r="G1315" s="1">
        <v>8449</v>
      </c>
      <c r="H1315" s="1">
        <v>10108</v>
      </c>
      <c r="I1315" s="1">
        <v>11704</v>
      </c>
      <c r="J1315" s="1">
        <v>161.221</v>
      </c>
      <c r="K1315" s="1">
        <v>-5.3959999999999999</v>
      </c>
      <c r="L1315" s="1">
        <v>19.088999999999999</v>
      </c>
      <c r="M1315" s="1" t="s">
        <v>1612</v>
      </c>
      <c r="N1315" s="1" t="s">
        <v>1430</v>
      </c>
      <c r="O1315" s="1" t="s">
        <v>1613</v>
      </c>
      <c r="P1315" s="1" t="s">
        <v>1614</v>
      </c>
      <c r="Q1315" s="1" t="s">
        <v>165</v>
      </c>
      <c r="R1315" s="1" t="s">
        <v>236</v>
      </c>
      <c r="S1315" s="1" t="s">
        <v>247</v>
      </c>
    </row>
    <row r="1316" spans="1:19" hidden="1" x14ac:dyDescent="0.25">
      <c r="A1316" s="2">
        <v>190</v>
      </c>
      <c r="B1316" s="1" t="s">
        <v>1610</v>
      </c>
      <c r="C1316" s="1" t="s">
        <v>428</v>
      </c>
      <c r="D1316" s="1" t="s">
        <v>1611</v>
      </c>
      <c r="E1316" s="1">
        <v>4</v>
      </c>
      <c r="F1316" s="1">
        <v>163.81100000000001</v>
      </c>
      <c r="G1316" s="1">
        <v>8384</v>
      </c>
      <c r="H1316" s="1">
        <v>10030</v>
      </c>
      <c r="I1316" s="1">
        <v>11615</v>
      </c>
      <c r="J1316" s="1">
        <v>161.21299999999999</v>
      </c>
      <c r="K1316" s="1">
        <v>-5.399</v>
      </c>
      <c r="L1316" s="1">
        <v>19.082999999999998</v>
      </c>
      <c r="M1316" s="1" t="s">
        <v>1612</v>
      </c>
      <c r="N1316" s="1" t="s">
        <v>1430</v>
      </c>
      <c r="O1316" s="1" t="s">
        <v>1613</v>
      </c>
      <c r="P1316" s="1" t="s">
        <v>1614</v>
      </c>
      <c r="Q1316" s="1" t="s">
        <v>153</v>
      </c>
      <c r="R1316" s="1" t="s">
        <v>136</v>
      </c>
      <c r="S1316" s="1" t="s">
        <v>233</v>
      </c>
    </row>
    <row r="1317" spans="1:19" hidden="1" x14ac:dyDescent="0.25">
      <c r="A1317" s="2">
        <v>190</v>
      </c>
      <c r="B1317" s="1" t="s">
        <v>1610</v>
      </c>
      <c r="C1317" s="1" t="s">
        <v>428</v>
      </c>
      <c r="D1317" s="1" t="s">
        <v>1611</v>
      </c>
      <c r="E1317" s="1">
        <v>5</v>
      </c>
      <c r="F1317" s="1">
        <v>161.983</v>
      </c>
      <c r="G1317" s="1">
        <v>13504</v>
      </c>
      <c r="H1317" s="1">
        <v>16248</v>
      </c>
      <c r="I1317" s="1">
        <v>18794</v>
      </c>
      <c r="J1317" s="1">
        <v>159.40600000000001</v>
      </c>
      <c r="K1317" s="1">
        <v>-2.7829999999999999</v>
      </c>
      <c r="L1317" s="1">
        <v>23.219000000000001</v>
      </c>
      <c r="M1317" s="1" t="s">
        <v>1612</v>
      </c>
      <c r="N1317" s="1" t="s">
        <v>1430</v>
      </c>
      <c r="O1317" s="1" t="s">
        <v>1613</v>
      </c>
      <c r="P1317" s="1" t="s">
        <v>1614</v>
      </c>
      <c r="Q1317" s="1" t="s">
        <v>133</v>
      </c>
      <c r="R1317" s="1" t="s">
        <v>185</v>
      </c>
      <c r="S1317" s="1" t="s">
        <v>75</v>
      </c>
    </row>
    <row r="1318" spans="1:19" x14ac:dyDescent="0.25">
      <c r="A1318" s="2">
        <v>190</v>
      </c>
      <c r="B1318" s="1" t="s">
        <v>1610</v>
      </c>
      <c r="C1318" s="1" t="s">
        <v>428</v>
      </c>
      <c r="D1318" s="1" t="s">
        <v>1611</v>
      </c>
      <c r="E1318" s="1">
        <v>6</v>
      </c>
      <c r="F1318" s="1">
        <v>142.982</v>
      </c>
      <c r="G1318" s="1">
        <v>11949</v>
      </c>
      <c r="H1318" s="1">
        <v>14372</v>
      </c>
      <c r="I1318" s="1">
        <v>16637</v>
      </c>
      <c r="J1318" s="1">
        <v>140.70599999999999</v>
      </c>
      <c r="K1318" s="1">
        <v>-2.8290000000000002</v>
      </c>
      <c r="L1318" s="1">
        <v>24.266999999999999</v>
      </c>
      <c r="M1318" s="1" t="s">
        <v>1612</v>
      </c>
      <c r="N1318" s="1" t="s">
        <v>1430</v>
      </c>
      <c r="O1318" s="1" t="s">
        <v>1613</v>
      </c>
      <c r="P1318" s="1" t="s">
        <v>1614</v>
      </c>
      <c r="Q1318" s="1" t="s">
        <v>256</v>
      </c>
      <c r="R1318" s="1" t="s">
        <v>302</v>
      </c>
      <c r="S1318" s="1" t="s">
        <v>277</v>
      </c>
    </row>
    <row r="1319" spans="1:19" x14ac:dyDescent="0.25">
      <c r="A1319" s="2">
        <v>190</v>
      </c>
      <c r="B1319" s="1" t="s">
        <v>1610</v>
      </c>
      <c r="C1319" s="1" t="s">
        <v>428</v>
      </c>
      <c r="D1319" s="1" t="s">
        <v>1611</v>
      </c>
      <c r="E1319" s="1">
        <v>7</v>
      </c>
      <c r="F1319" s="1">
        <v>132.233</v>
      </c>
      <c r="G1319" s="1">
        <v>11060</v>
      </c>
      <c r="H1319" s="1">
        <v>13304</v>
      </c>
      <c r="I1319" s="1">
        <v>15400</v>
      </c>
      <c r="J1319" s="1">
        <v>130.12799999999999</v>
      </c>
      <c r="K1319" s="1">
        <v>-2.76</v>
      </c>
      <c r="L1319" s="1">
        <v>24.286000000000001</v>
      </c>
      <c r="M1319" s="1" t="s">
        <v>1612</v>
      </c>
      <c r="N1319" s="1" t="s">
        <v>1430</v>
      </c>
      <c r="O1319" s="1" t="s">
        <v>1613</v>
      </c>
      <c r="P1319" s="1" t="s">
        <v>1614</v>
      </c>
      <c r="Q1319" s="1" t="s">
        <v>1615</v>
      </c>
      <c r="R1319" s="1" t="s">
        <v>462</v>
      </c>
      <c r="S1319" s="1" t="s">
        <v>1284</v>
      </c>
    </row>
    <row r="1320" spans="1:19" hidden="1" x14ac:dyDescent="0.25">
      <c r="A1320" s="2">
        <v>191</v>
      </c>
      <c r="B1320" s="1" t="s">
        <v>1616</v>
      </c>
      <c r="C1320" s="1" t="s">
        <v>503</v>
      </c>
      <c r="D1320" s="1" t="s">
        <v>1617</v>
      </c>
      <c r="E1320" s="1">
        <v>1</v>
      </c>
      <c r="F1320" s="1">
        <v>163.33699999999999</v>
      </c>
      <c r="G1320" s="1">
        <v>8344</v>
      </c>
      <c r="H1320" s="1">
        <v>9982</v>
      </c>
      <c r="I1320" s="1">
        <v>11560</v>
      </c>
      <c r="J1320" s="1">
        <v>160.74600000000001</v>
      </c>
      <c r="K1320" s="1">
        <v>-5.3929999999999998</v>
      </c>
      <c r="L1320" s="1">
        <v>19.082999999999998</v>
      </c>
      <c r="M1320" s="1" t="s">
        <v>1618</v>
      </c>
      <c r="N1320" s="1" t="s">
        <v>1430</v>
      </c>
      <c r="O1320" s="1" t="s">
        <v>1619</v>
      </c>
      <c r="P1320" s="1" t="s">
        <v>1620</v>
      </c>
      <c r="Q1320" s="1" t="s">
        <v>87</v>
      </c>
      <c r="R1320" s="1" t="s">
        <v>131</v>
      </c>
      <c r="S1320" s="1" t="s">
        <v>253</v>
      </c>
    </row>
    <row r="1321" spans="1:19" hidden="1" x14ac:dyDescent="0.25">
      <c r="A1321" s="2">
        <v>191</v>
      </c>
      <c r="B1321" s="1" t="s">
        <v>1616</v>
      </c>
      <c r="C1321" s="1" t="s">
        <v>503</v>
      </c>
      <c r="D1321" s="1" t="s">
        <v>1617</v>
      </c>
      <c r="E1321" s="1">
        <v>2</v>
      </c>
      <c r="F1321" s="1">
        <v>161.52000000000001</v>
      </c>
      <c r="G1321" s="1">
        <v>8351</v>
      </c>
      <c r="H1321" s="1">
        <v>9990</v>
      </c>
      <c r="I1321" s="1">
        <v>11570</v>
      </c>
      <c r="J1321" s="1">
        <v>158.958</v>
      </c>
      <c r="K1321" s="1">
        <v>-5.4</v>
      </c>
      <c r="L1321" s="1">
        <v>19.062000000000001</v>
      </c>
      <c r="M1321" s="1" t="s">
        <v>1618</v>
      </c>
      <c r="N1321" s="1" t="s">
        <v>1430</v>
      </c>
      <c r="O1321" s="1" t="s">
        <v>1619</v>
      </c>
      <c r="P1321" s="1" t="s">
        <v>1620</v>
      </c>
      <c r="Q1321" s="1" t="s">
        <v>152</v>
      </c>
      <c r="R1321" s="1" t="s">
        <v>262</v>
      </c>
      <c r="S1321" s="1" t="s">
        <v>376</v>
      </c>
    </row>
    <row r="1322" spans="1:19" hidden="1" x14ac:dyDescent="0.25">
      <c r="A1322" s="2">
        <v>191</v>
      </c>
      <c r="B1322" s="1" t="s">
        <v>1616</v>
      </c>
      <c r="C1322" s="1" t="s">
        <v>503</v>
      </c>
      <c r="D1322" s="1" t="s">
        <v>1617</v>
      </c>
      <c r="E1322" s="1">
        <v>3</v>
      </c>
      <c r="F1322" s="1">
        <v>162.89400000000001</v>
      </c>
      <c r="G1322" s="1">
        <v>8423</v>
      </c>
      <c r="H1322" s="1">
        <v>10077</v>
      </c>
      <c r="I1322" s="1">
        <v>11667</v>
      </c>
      <c r="J1322" s="1">
        <v>160.31</v>
      </c>
      <c r="K1322" s="1">
        <v>-5.4009999999999998</v>
      </c>
      <c r="L1322" s="1">
        <v>19.050999999999998</v>
      </c>
      <c r="M1322" s="1" t="s">
        <v>1618</v>
      </c>
      <c r="N1322" s="1" t="s">
        <v>1430</v>
      </c>
      <c r="O1322" s="1" t="s">
        <v>1619</v>
      </c>
      <c r="P1322" s="1" t="s">
        <v>1620</v>
      </c>
      <c r="Q1322" s="1" t="s">
        <v>158</v>
      </c>
      <c r="R1322" s="1" t="s">
        <v>194</v>
      </c>
      <c r="S1322" s="1" t="s">
        <v>174</v>
      </c>
    </row>
    <row r="1323" spans="1:19" hidden="1" x14ac:dyDescent="0.25">
      <c r="A1323" s="2">
        <v>191</v>
      </c>
      <c r="B1323" s="1" t="s">
        <v>1616</v>
      </c>
      <c r="C1323" s="1" t="s">
        <v>503</v>
      </c>
      <c r="D1323" s="1" t="s">
        <v>1617</v>
      </c>
      <c r="E1323" s="1">
        <v>4</v>
      </c>
      <c r="F1323" s="1">
        <v>162.84800000000001</v>
      </c>
      <c r="G1323" s="1">
        <v>8364</v>
      </c>
      <c r="H1323" s="1">
        <v>10005</v>
      </c>
      <c r="I1323" s="1">
        <v>11587</v>
      </c>
      <c r="J1323" s="1">
        <v>160.26400000000001</v>
      </c>
      <c r="K1323" s="1">
        <v>-5.399</v>
      </c>
      <c r="L1323" s="1">
        <v>19.082999999999998</v>
      </c>
      <c r="M1323" s="1" t="s">
        <v>1618</v>
      </c>
      <c r="N1323" s="1" t="s">
        <v>1430</v>
      </c>
      <c r="O1323" s="1" t="s">
        <v>1619</v>
      </c>
      <c r="P1323" s="1" t="s">
        <v>1620</v>
      </c>
      <c r="Q1323" s="1" t="s">
        <v>146</v>
      </c>
      <c r="R1323" s="1" t="s">
        <v>177</v>
      </c>
      <c r="S1323" s="1" t="s">
        <v>413</v>
      </c>
    </row>
    <row r="1324" spans="1:19" hidden="1" x14ac:dyDescent="0.25">
      <c r="A1324" s="2">
        <v>191</v>
      </c>
      <c r="B1324" s="1" t="s">
        <v>1616</v>
      </c>
      <c r="C1324" s="1" t="s">
        <v>503</v>
      </c>
      <c r="D1324" s="1" t="s">
        <v>1617</v>
      </c>
      <c r="E1324" s="1">
        <v>5</v>
      </c>
      <c r="F1324" s="1">
        <v>204.65299999999999</v>
      </c>
      <c r="G1324" s="1">
        <v>17489</v>
      </c>
      <c r="H1324" s="1">
        <v>21105</v>
      </c>
      <c r="I1324" s="1">
        <v>24349</v>
      </c>
      <c r="J1324" s="1">
        <v>201.39500000000001</v>
      </c>
      <c r="K1324" s="1">
        <v>-2.4710000000000001</v>
      </c>
      <c r="L1324" s="1">
        <v>23.838000000000001</v>
      </c>
      <c r="M1324" s="1" t="s">
        <v>1618</v>
      </c>
      <c r="N1324" s="1" t="s">
        <v>1430</v>
      </c>
      <c r="O1324" s="1" t="s">
        <v>1619</v>
      </c>
      <c r="P1324" s="1" t="s">
        <v>1620</v>
      </c>
      <c r="Q1324" s="1" t="s">
        <v>189</v>
      </c>
      <c r="R1324" s="1" t="s">
        <v>975</v>
      </c>
      <c r="S1324" s="1" t="s">
        <v>112</v>
      </c>
    </row>
    <row r="1325" spans="1:19" x14ac:dyDescent="0.25">
      <c r="A1325" s="2">
        <v>191</v>
      </c>
      <c r="B1325" s="1" t="s">
        <v>1616</v>
      </c>
      <c r="C1325" s="1" t="s">
        <v>503</v>
      </c>
      <c r="D1325" s="1" t="s">
        <v>1617</v>
      </c>
      <c r="E1325" s="1">
        <v>6</v>
      </c>
      <c r="F1325" s="1">
        <v>183.15199999999999</v>
      </c>
      <c r="G1325" s="1">
        <v>15881</v>
      </c>
      <c r="H1325" s="1">
        <v>19155</v>
      </c>
      <c r="I1325" s="1">
        <v>22111</v>
      </c>
      <c r="J1325" s="1">
        <v>180.23599999999999</v>
      </c>
      <c r="K1325" s="1">
        <v>-2.5030000000000001</v>
      </c>
      <c r="L1325" s="1">
        <v>23.992999999999999</v>
      </c>
      <c r="M1325" s="1" t="s">
        <v>1618</v>
      </c>
      <c r="N1325" s="1" t="s">
        <v>1430</v>
      </c>
      <c r="O1325" s="1" t="s">
        <v>1619</v>
      </c>
      <c r="P1325" s="1" t="s">
        <v>1620</v>
      </c>
      <c r="Q1325" s="1" t="s">
        <v>157</v>
      </c>
      <c r="R1325" s="1" t="s">
        <v>341</v>
      </c>
      <c r="S1325" s="1" t="s">
        <v>368</v>
      </c>
    </row>
    <row r="1326" spans="1:19" x14ac:dyDescent="0.25">
      <c r="A1326" s="2">
        <v>191</v>
      </c>
      <c r="B1326" s="1" t="s">
        <v>1616</v>
      </c>
      <c r="C1326" s="1" t="s">
        <v>503</v>
      </c>
      <c r="D1326" s="1" t="s">
        <v>1617</v>
      </c>
      <c r="E1326" s="1">
        <v>7</v>
      </c>
      <c r="F1326" s="1">
        <v>170.661</v>
      </c>
      <c r="G1326" s="1">
        <v>14936</v>
      </c>
      <c r="H1326" s="1">
        <v>18010</v>
      </c>
      <c r="I1326" s="1">
        <v>20793</v>
      </c>
      <c r="J1326" s="1">
        <v>167.94399999999999</v>
      </c>
      <c r="K1326" s="1">
        <v>-2.4159999999999999</v>
      </c>
      <c r="L1326" s="1">
        <v>23.986000000000001</v>
      </c>
      <c r="M1326" s="1" t="s">
        <v>1618</v>
      </c>
      <c r="N1326" s="1" t="s">
        <v>1430</v>
      </c>
      <c r="O1326" s="1" t="s">
        <v>1619</v>
      </c>
      <c r="P1326" s="1" t="s">
        <v>1620</v>
      </c>
      <c r="Q1326" s="1" t="s">
        <v>598</v>
      </c>
      <c r="R1326" s="1" t="s">
        <v>1195</v>
      </c>
      <c r="S1326" s="1" t="s">
        <v>456</v>
      </c>
    </row>
    <row r="1327" spans="1:19" hidden="1" x14ac:dyDescent="0.25">
      <c r="A1327" s="2">
        <v>192</v>
      </c>
      <c r="B1327" s="1" t="s">
        <v>1621</v>
      </c>
      <c r="C1327" s="1" t="s">
        <v>432</v>
      </c>
      <c r="D1327" s="1" t="s">
        <v>1622</v>
      </c>
      <c r="E1327" s="1">
        <v>1</v>
      </c>
      <c r="F1327" s="1">
        <v>164.91800000000001</v>
      </c>
      <c r="G1327" s="1">
        <v>8426</v>
      </c>
      <c r="H1327" s="1">
        <v>10082</v>
      </c>
      <c r="I1327" s="1">
        <v>11670</v>
      </c>
      <c r="J1327" s="1">
        <v>162.30199999999999</v>
      </c>
      <c r="K1327" s="1">
        <v>-5.391</v>
      </c>
      <c r="L1327" s="1">
        <v>19.099</v>
      </c>
      <c r="M1327" s="1" t="s">
        <v>1623</v>
      </c>
      <c r="N1327" s="1" t="s">
        <v>1430</v>
      </c>
      <c r="O1327" s="1" t="s">
        <v>1624</v>
      </c>
      <c r="P1327" s="1" t="s">
        <v>1625</v>
      </c>
      <c r="Q1327" s="1" t="s">
        <v>96</v>
      </c>
      <c r="R1327" s="1" t="s">
        <v>104</v>
      </c>
      <c r="S1327" s="1" t="s">
        <v>160</v>
      </c>
    </row>
    <row r="1328" spans="1:19" hidden="1" x14ac:dyDescent="0.25">
      <c r="A1328" s="2">
        <v>192</v>
      </c>
      <c r="B1328" s="1" t="s">
        <v>1621</v>
      </c>
      <c r="C1328" s="1" t="s">
        <v>432</v>
      </c>
      <c r="D1328" s="1" t="s">
        <v>1622</v>
      </c>
      <c r="E1328" s="1">
        <v>2</v>
      </c>
      <c r="F1328" s="1">
        <v>163.26900000000001</v>
      </c>
      <c r="G1328" s="1">
        <v>8444</v>
      </c>
      <c r="H1328" s="1">
        <v>10103</v>
      </c>
      <c r="I1328" s="1">
        <v>11694</v>
      </c>
      <c r="J1328" s="1">
        <v>160.679</v>
      </c>
      <c r="K1328" s="1">
        <v>-5.3879999999999999</v>
      </c>
      <c r="L1328" s="1">
        <v>19.088000000000001</v>
      </c>
      <c r="M1328" s="1" t="s">
        <v>1623</v>
      </c>
      <c r="N1328" s="1" t="s">
        <v>1430</v>
      </c>
      <c r="O1328" s="1" t="s">
        <v>1624</v>
      </c>
      <c r="P1328" s="1" t="s">
        <v>1625</v>
      </c>
      <c r="Q1328" s="1" t="s">
        <v>249</v>
      </c>
      <c r="R1328" s="1" t="s">
        <v>194</v>
      </c>
      <c r="S1328" s="1" t="s">
        <v>174</v>
      </c>
    </row>
    <row r="1329" spans="1:19" hidden="1" x14ac:dyDescent="0.25">
      <c r="A1329" s="2">
        <v>192</v>
      </c>
      <c r="B1329" s="1" t="s">
        <v>1621</v>
      </c>
      <c r="C1329" s="1" t="s">
        <v>432</v>
      </c>
      <c r="D1329" s="1" t="s">
        <v>1622</v>
      </c>
      <c r="E1329" s="1">
        <v>3</v>
      </c>
      <c r="F1329" s="1">
        <v>163.66399999999999</v>
      </c>
      <c r="G1329" s="1">
        <v>8487</v>
      </c>
      <c r="H1329" s="1">
        <v>10154</v>
      </c>
      <c r="I1329" s="1">
        <v>11750</v>
      </c>
      <c r="J1329" s="1">
        <v>161.06800000000001</v>
      </c>
      <c r="K1329" s="1">
        <v>-5.39</v>
      </c>
      <c r="L1329" s="1">
        <v>19.088000000000001</v>
      </c>
      <c r="M1329" s="1" t="s">
        <v>1623</v>
      </c>
      <c r="N1329" s="1" t="s">
        <v>1430</v>
      </c>
      <c r="O1329" s="1" t="s">
        <v>1624</v>
      </c>
      <c r="P1329" s="1" t="s">
        <v>1625</v>
      </c>
      <c r="Q1329" s="1" t="s">
        <v>161</v>
      </c>
      <c r="R1329" s="1" t="s">
        <v>236</v>
      </c>
      <c r="S1329" s="1" t="s">
        <v>247</v>
      </c>
    </row>
    <row r="1330" spans="1:19" hidden="1" x14ac:dyDescent="0.25">
      <c r="A1330" s="2">
        <v>192</v>
      </c>
      <c r="B1330" s="1" t="s">
        <v>1621</v>
      </c>
      <c r="C1330" s="1" t="s">
        <v>432</v>
      </c>
      <c r="D1330" s="1" t="s">
        <v>1622</v>
      </c>
      <c r="E1330" s="1">
        <v>4</v>
      </c>
      <c r="F1330" s="1">
        <v>163.23500000000001</v>
      </c>
      <c r="G1330" s="1">
        <v>8412</v>
      </c>
      <c r="H1330" s="1">
        <v>10063</v>
      </c>
      <c r="I1330" s="1">
        <v>11649</v>
      </c>
      <c r="J1330" s="1">
        <v>160.64500000000001</v>
      </c>
      <c r="K1330" s="1">
        <v>-5.399</v>
      </c>
      <c r="L1330" s="1">
        <v>19.082999999999998</v>
      </c>
      <c r="M1330" s="1" t="s">
        <v>1623</v>
      </c>
      <c r="N1330" s="1" t="s">
        <v>1430</v>
      </c>
      <c r="O1330" s="1" t="s">
        <v>1624</v>
      </c>
      <c r="P1330" s="1" t="s">
        <v>1625</v>
      </c>
      <c r="Q1330" s="1" t="s">
        <v>153</v>
      </c>
      <c r="R1330" s="1" t="s">
        <v>136</v>
      </c>
      <c r="S1330" s="1" t="s">
        <v>219</v>
      </c>
    </row>
    <row r="1331" spans="1:19" hidden="1" x14ac:dyDescent="0.25">
      <c r="A1331" s="2">
        <v>192</v>
      </c>
      <c r="B1331" s="1" t="s">
        <v>1621</v>
      </c>
      <c r="C1331" s="1" t="s">
        <v>432</v>
      </c>
      <c r="D1331" s="1" t="s">
        <v>1622</v>
      </c>
      <c r="E1331" s="1">
        <v>5</v>
      </c>
      <c r="F1331" s="1">
        <v>172.96</v>
      </c>
      <c r="G1331" s="1">
        <v>14379</v>
      </c>
      <c r="H1331" s="1">
        <v>17311</v>
      </c>
      <c r="I1331" s="1">
        <v>20002</v>
      </c>
      <c r="J1331" s="1">
        <v>170.208</v>
      </c>
      <c r="K1331" s="1">
        <v>-2.6469999999999998</v>
      </c>
      <c r="L1331" s="1">
        <v>22.928000000000001</v>
      </c>
      <c r="M1331" s="1" t="s">
        <v>1623</v>
      </c>
      <c r="N1331" s="1" t="s">
        <v>1430</v>
      </c>
      <c r="O1331" s="1" t="s">
        <v>1624</v>
      </c>
      <c r="P1331" s="1" t="s">
        <v>1625</v>
      </c>
      <c r="Q1331" s="1" t="s">
        <v>215</v>
      </c>
      <c r="R1331" s="1" t="s">
        <v>197</v>
      </c>
      <c r="S1331" s="1" t="s">
        <v>93</v>
      </c>
    </row>
    <row r="1332" spans="1:19" x14ac:dyDescent="0.25">
      <c r="A1332" s="2">
        <v>192</v>
      </c>
      <c r="B1332" s="1" t="s">
        <v>1621</v>
      </c>
      <c r="C1332" s="1" t="s">
        <v>432</v>
      </c>
      <c r="D1332" s="1" t="s">
        <v>1622</v>
      </c>
      <c r="E1332" s="1">
        <v>6</v>
      </c>
      <c r="F1332" s="1">
        <v>153.09</v>
      </c>
      <c r="G1332" s="1">
        <v>12780</v>
      </c>
      <c r="H1332" s="1">
        <v>15380</v>
      </c>
      <c r="I1332" s="1">
        <v>17779</v>
      </c>
      <c r="J1332" s="1">
        <v>150.654</v>
      </c>
      <c r="K1332" s="1">
        <v>-2.6779999999999999</v>
      </c>
      <c r="L1332" s="1">
        <v>23.856999999999999</v>
      </c>
      <c r="M1332" s="1" t="s">
        <v>1623</v>
      </c>
      <c r="N1332" s="1" t="s">
        <v>1430</v>
      </c>
      <c r="O1332" s="1" t="s">
        <v>1624</v>
      </c>
      <c r="P1332" s="1" t="s">
        <v>1625</v>
      </c>
      <c r="Q1332" s="1" t="s">
        <v>152</v>
      </c>
      <c r="R1332" s="1" t="s">
        <v>262</v>
      </c>
      <c r="S1332" s="1" t="s">
        <v>180</v>
      </c>
    </row>
    <row r="1333" spans="1:19" x14ac:dyDescent="0.25">
      <c r="A1333" s="2">
        <v>192</v>
      </c>
      <c r="B1333" s="1" t="s">
        <v>1621</v>
      </c>
      <c r="C1333" s="1" t="s">
        <v>432</v>
      </c>
      <c r="D1333" s="1" t="s">
        <v>1622</v>
      </c>
      <c r="E1333" s="1">
        <v>7</v>
      </c>
      <c r="F1333" s="1">
        <v>141.76300000000001</v>
      </c>
      <c r="G1333" s="1">
        <v>11865</v>
      </c>
      <c r="H1333" s="1">
        <v>14278</v>
      </c>
      <c r="I1333" s="1">
        <v>16508</v>
      </c>
      <c r="J1333" s="1">
        <v>139.506</v>
      </c>
      <c r="K1333" s="1">
        <v>-2.6269999999999998</v>
      </c>
      <c r="L1333" s="1">
        <v>23.925000000000001</v>
      </c>
      <c r="M1333" s="1" t="s">
        <v>1623</v>
      </c>
      <c r="N1333" s="1" t="s">
        <v>1430</v>
      </c>
      <c r="O1333" s="1" t="s">
        <v>1624</v>
      </c>
      <c r="P1333" s="1" t="s">
        <v>1625</v>
      </c>
      <c r="Q1333" s="1" t="s">
        <v>308</v>
      </c>
      <c r="R1333" s="1" t="s">
        <v>501</v>
      </c>
      <c r="S1333" s="1" t="s">
        <v>1626</v>
      </c>
    </row>
    <row r="1334" spans="1:19" hidden="1" x14ac:dyDescent="0.25">
      <c r="A1334" s="2">
        <v>193</v>
      </c>
      <c r="B1334" s="1" t="s">
        <v>1627</v>
      </c>
      <c r="C1334" s="1" t="s">
        <v>1628</v>
      </c>
      <c r="D1334" s="1" t="s">
        <v>1629</v>
      </c>
      <c r="E1334" s="1">
        <v>1</v>
      </c>
      <c r="F1334" s="1">
        <v>164.07</v>
      </c>
      <c r="G1334" s="1">
        <v>8360</v>
      </c>
      <c r="H1334" s="1">
        <v>10001</v>
      </c>
      <c r="I1334" s="1">
        <v>11574</v>
      </c>
      <c r="J1334" s="1">
        <v>161.46700000000001</v>
      </c>
      <c r="K1334" s="1">
        <v>-5.3959999999999999</v>
      </c>
      <c r="L1334" s="1">
        <v>19.074000000000002</v>
      </c>
      <c r="M1334" s="1" t="s">
        <v>1101</v>
      </c>
      <c r="N1334" s="1" t="s">
        <v>1430</v>
      </c>
      <c r="O1334" s="1" t="s">
        <v>1630</v>
      </c>
      <c r="P1334" s="1" t="s">
        <v>1631</v>
      </c>
      <c r="Q1334" s="1" t="s">
        <v>127</v>
      </c>
      <c r="R1334" s="1" t="s">
        <v>108</v>
      </c>
      <c r="S1334" s="1" t="s">
        <v>159</v>
      </c>
    </row>
    <row r="1335" spans="1:19" hidden="1" x14ac:dyDescent="0.25">
      <c r="A1335" s="2">
        <v>193</v>
      </c>
      <c r="B1335" s="1" t="s">
        <v>1627</v>
      </c>
      <c r="C1335" s="1" t="s">
        <v>1628</v>
      </c>
      <c r="D1335" s="1" t="s">
        <v>1629</v>
      </c>
      <c r="E1335" s="1">
        <v>2</v>
      </c>
      <c r="F1335" s="1">
        <v>160.84299999999999</v>
      </c>
      <c r="G1335" s="1">
        <v>8359</v>
      </c>
      <c r="H1335" s="1">
        <v>10001</v>
      </c>
      <c r="I1335" s="1">
        <v>11575</v>
      </c>
      <c r="J1335" s="1">
        <v>158.292</v>
      </c>
      <c r="K1335" s="1">
        <v>-5.4029999999999996</v>
      </c>
      <c r="L1335" s="1">
        <v>19.084</v>
      </c>
      <c r="M1335" s="1" t="s">
        <v>1101</v>
      </c>
      <c r="N1335" s="1" t="s">
        <v>1430</v>
      </c>
      <c r="O1335" s="1" t="s">
        <v>1630</v>
      </c>
      <c r="P1335" s="1" t="s">
        <v>1631</v>
      </c>
      <c r="Q1335" s="1" t="s">
        <v>89</v>
      </c>
      <c r="R1335" s="1" t="s">
        <v>156</v>
      </c>
      <c r="S1335" s="1" t="s">
        <v>295</v>
      </c>
    </row>
    <row r="1336" spans="1:19" hidden="1" x14ac:dyDescent="0.25">
      <c r="A1336" s="2">
        <v>193</v>
      </c>
      <c r="B1336" s="1" t="s">
        <v>1627</v>
      </c>
      <c r="C1336" s="1" t="s">
        <v>1628</v>
      </c>
      <c r="D1336" s="1" t="s">
        <v>1629</v>
      </c>
      <c r="E1336" s="1">
        <v>3</v>
      </c>
      <c r="F1336" s="1">
        <v>162.90899999999999</v>
      </c>
      <c r="G1336" s="1">
        <v>8439</v>
      </c>
      <c r="H1336" s="1">
        <v>10097</v>
      </c>
      <c r="I1336" s="1">
        <v>11686</v>
      </c>
      <c r="J1336" s="1">
        <v>160.32400000000001</v>
      </c>
      <c r="K1336" s="1">
        <v>-5.4</v>
      </c>
      <c r="L1336" s="1">
        <v>19.071999999999999</v>
      </c>
      <c r="M1336" s="1" t="s">
        <v>1101</v>
      </c>
      <c r="N1336" s="1" t="s">
        <v>1430</v>
      </c>
      <c r="O1336" s="1" t="s">
        <v>1630</v>
      </c>
      <c r="P1336" s="1" t="s">
        <v>1631</v>
      </c>
      <c r="Q1336" s="1" t="s">
        <v>138</v>
      </c>
      <c r="R1336" s="1" t="s">
        <v>166</v>
      </c>
      <c r="S1336" s="1" t="s">
        <v>206</v>
      </c>
    </row>
    <row r="1337" spans="1:19" hidden="1" x14ac:dyDescent="0.25">
      <c r="A1337" s="2">
        <v>193</v>
      </c>
      <c r="B1337" s="1" t="s">
        <v>1627</v>
      </c>
      <c r="C1337" s="1" t="s">
        <v>1628</v>
      </c>
      <c r="D1337" s="1" t="s">
        <v>1629</v>
      </c>
      <c r="E1337" s="1">
        <v>4</v>
      </c>
      <c r="F1337" s="1">
        <v>162.68600000000001</v>
      </c>
      <c r="G1337" s="1">
        <v>8367</v>
      </c>
      <c r="H1337" s="1">
        <v>10010</v>
      </c>
      <c r="I1337" s="1">
        <v>11584</v>
      </c>
      <c r="J1337" s="1">
        <v>160.10499999999999</v>
      </c>
      <c r="K1337" s="1">
        <v>-5.399</v>
      </c>
      <c r="L1337" s="1">
        <v>19.082999999999998</v>
      </c>
      <c r="M1337" s="1" t="s">
        <v>1101</v>
      </c>
      <c r="N1337" s="1" t="s">
        <v>1430</v>
      </c>
      <c r="O1337" s="1" t="s">
        <v>1630</v>
      </c>
      <c r="P1337" s="1" t="s">
        <v>1631</v>
      </c>
      <c r="Q1337" s="1" t="s">
        <v>139</v>
      </c>
      <c r="R1337" s="1" t="s">
        <v>177</v>
      </c>
      <c r="S1337" s="1" t="s">
        <v>413</v>
      </c>
    </row>
    <row r="1338" spans="1:19" hidden="1" x14ac:dyDescent="0.25">
      <c r="A1338" s="2">
        <v>193</v>
      </c>
      <c r="B1338" s="1" t="s">
        <v>1627</v>
      </c>
      <c r="C1338" s="1" t="s">
        <v>1628</v>
      </c>
      <c r="D1338" s="1" t="s">
        <v>1629</v>
      </c>
      <c r="E1338" s="1">
        <v>5</v>
      </c>
      <c r="F1338" s="1">
        <v>115.527</v>
      </c>
      <c r="G1338" s="1">
        <v>9953</v>
      </c>
      <c r="H1338" s="1">
        <v>11979</v>
      </c>
      <c r="I1338" s="1">
        <v>13847</v>
      </c>
      <c r="J1338" s="1">
        <v>113.68899999999999</v>
      </c>
      <c r="K1338" s="1">
        <v>-2.9380000000000002</v>
      </c>
      <c r="L1338" s="1">
        <v>23.847999999999999</v>
      </c>
      <c r="M1338" s="1" t="s">
        <v>1101</v>
      </c>
      <c r="N1338" s="1" t="s">
        <v>1430</v>
      </c>
      <c r="O1338" s="1" t="s">
        <v>1630</v>
      </c>
      <c r="P1338" s="1" t="s">
        <v>1631</v>
      </c>
      <c r="Q1338" s="1" t="s">
        <v>200</v>
      </c>
      <c r="R1338" s="1" t="s">
        <v>975</v>
      </c>
      <c r="S1338" s="1" t="s">
        <v>47</v>
      </c>
    </row>
    <row r="1339" spans="1:19" x14ac:dyDescent="0.25">
      <c r="A1339" s="2">
        <v>193</v>
      </c>
      <c r="B1339" s="1" t="s">
        <v>1627</v>
      </c>
      <c r="C1339" s="1" t="s">
        <v>1628</v>
      </c>
      <c r="D1339" s="1" t="s">
        <v>1629</v>
      </c>
      <c r="E1339" s="1">
        <v>6</v>
      </c>
      <c r="F1339" s="1">
        <v>103.904</v>
      </c>
      <c r="G1339" s="1">
        <v>9053</v>
      </c>
      <c r="H1339" s="1">
        <v>10894</v>
      </c>
      <c r="I1339" s="1">
        <v>12597</v>
      </c>
      <c r="J1339" s="1">
        <v>102.25</v>
      </c>
      <c r="K1339" s="1">
        <v>-2.907</v>
      </c>
      <c r="L1339" s="1">
        <v>24.029</v>
      </c>
      <c r="M1339" s="1" t="s">
        <v>1101</v>
      </c>
      <c r="N1339" s="1" t="s">
        <v>1430</v>
      </c>
      <c r="O1339" s="1" t="s">
        <v>1630</v>
      </c>
      <c r="P1339" s="1" t="s">
        <v>1631</v>
      </c>
      <c r="Q1339" s="1" t="s">
        <v>79</v>
      </c>
      <c r="R1339" s="1" t="s">
        <v>159</v>
      </c>
      <c r="S1339" s="1" t="s">
        <v>140</v>
      </c>
    </row>
    <row r="1340" spans="1:19" x14ac:dyDescent="0.25">
      <c r="A1340" s="2">
        <v>193</v>
      </c>
      <c r="B1340" s="1" t="s">
        <v>1627</v>
      </c>
      <c r="C1340" s="1" t="s">
        <v>1628</v>
      </c>
      <c r="D1340" s="1" t="s">
        <v>1629</v>
      </c>
      <c r="E1340" s="1">
        <v>7</v>
      </c>
      <c r="F1340" s="1">
        <v>96.801000000000002</v>
      </c>
      <c r="G1340" s="1">
        <v>8496</v>
      </c>
      <c r="H1340" s="1">
        <v>10221</v>
      </c>
      <c r="I1340" s="1">
        <v>11825</v>
      </c>
      <c r="J1340" s="1">
        <v>95.260999999999996</v>
      </c>
      <c r="K1340" s="1">
        <v>-2.8210000000000002</v>
      </c>
      <c r="L1340" s="1">
        <v>24.053999999999998</v>
      </c>
      <c r="M1340" s="1" t="s">
        <v>1101</v>
      </c>
      <c r="N1340" s="1" t="s">
        <v>1430</v>
      </c>
      <c r="O1340" s="1" t="s">
        <v>1630</v>
      </c>
      <c r="P1340" s="1" t="s">
        <v>1631</v>
      </c>
      <c r="Q1340" s="1" t="s">
        <v>460</v>
      </c>
      <c r="R1340" s="1" t="s">
        <v>1632</v>
      </c>
      <c r="S1340" s="1" t="s">
        <v>1166</v>
      </c>
    </row>
    <row r="1341" spans="1:19" hidden="1" x14ac:dyDescent="0.25">
      <c r="A1341" s="2">
        <v>194</v>
      </c>
      <c r="B1341" s="1" t="s">
        <v>1633</v>
      </c>
      <c r="C1341" s="1" t="s">
        <v>1628</v>
      </c>
      <c r="D1341" s="1" t="s">
        <v>1634</v>
      </c>
      <c r="E1341" s="1">
        <v>1</v>
      </c>
      <c r="F1341" s="1">
        <v>164.10400000000001</v>
      </c>
      <c r="G1341" s="1">
        <v>8384</v>
      </c>
      <c r="H1341" s="1">
        <v>10031</v>
      </c>
      <c r="I1341" s="1">
        <v>11610</v>
      </c>
      <c r="J1341" s="1">
        <v>161.501</v>
      </c>
      <c r="K1341" s="1">
        <v>-5.4009999999999998</v>
      </c>
      <c r="L1341" s="1">
        <v>19.064</v>
      </c>
      <c r="M1341" s="1" t="s">
        <v>1108</v>
      </c>
      <c r="N1341" s="1" t="s">
        <v>1430</v>
      </c>
      <c r="O1341" s="1" t="s">
        <v>1635</v>
      </c>
      <c r="P1341" s="1" t="s">
        <v>1636</v>
      </c>
      <c r="Q1341" s="1" t="s">
        <v>128</v>
      </c>
      <c r="R1341" s="1" t="s">
        <v>84</v>
      </c>
      <c r="S1341" s="1" t="s">
        <v>256</v>
      </c>
    </row>
    <row r="1342" spans="1:19" hidden="1" x14ac:dyDescent="0.25">
      <c r="A1342" s="2">
        <v>194</v>
      </c>
      <c r="B1342" s="1" t="s">
        <v>1633</v>
      </c>
      <c r="C1342" s="1" t="s">
        <v>1628</v>
      </c>
      <c r="D1342" s="1" t="s">
        <v>1634</v>
      </c>
      <c r="E1342" s="1">
        <v>2</v>
      </c>
      <c r="F1342" s="1">
        <v>162.07400000000001</v>
      </c>
      <c r="G1342" s="1">
        <v>8380</v>
      </c>
      <c r="H1342" s="1">
        <v>10026</v>
      </c>
      <c r="I1342" s="1">
        <v>11605</v>
      </c>
      <c r="J1342" s="1">
        <v>159.50299999999999</v>
      </c>
      <c r="K1342" s="1">
        <v>-5.39</v>
      </c>
      <c r="L1342" s="1">
        <v>19.059000000000001</v>
      </c>
      <c r="M1342" s="1" t="s">
        <v>1108</v>
      </c>
      <c r="N1342" s="1" t="s">
        <v>1430</v>
      </c>
      <c r="O1342" s="1" t="s">
        <v>1635</v>
      </c>
      <c r="P1342" s="1" t="s">
        <v>1636</v>
      </c>
      <c r="Q1342" s="1" t="s">
        <v>223</v>
      </c>
      <c r="R1342" s="1" t="s">
        <v>154</v>
      </c>
      <c r="S1342" s="1" t="s">
        <v>277</v>
      </c>
    </row>
    <row r="1343" spans="1:19" hidden="1" x14ac:dyDescent="0.25">
      <c r="A1343" s="2">
        <v>194</v>
      </c>
      <c r="B1343" s="1" t="s">
        <v>1633</v>
      </c>
      <c r="C1343" s="1" t="s">
        <v>1628</v>
      </c>
      <c r="D1343" s="1" t="s">
        <v>1634</v>
      </c>
      <c r="E1343" s="1">
        <v>3</v>
      </c>
      <c r="F1343" s="1">
        <v>163.23699999999999</v>
      </c>
      <c r="G1343" s="1">
        <v>8457</v>
      </c>
      <c r="H1343" s="1">
        <v>10118</v>
      </c>
      <c r="I1343" s="1">
        <v>11709</v>
      </c>
      <c r="J1343" s="1">
        <v>160.64699999999999</v>
      </c>
      <c r="K1343" s="1">
        <v>-5.4050000000000002</v>
      </c>
      <c r="L1343" s="1">
        <v>19.091999999999999</v>
      </c>
      <c r="M1343" s="1" t="s">
        <v>1108</v>
      </c>
      <c r="N1343" s="1" t="s">
        <v>1430</v>
      </c>
      <c r="O1343" s="1" t="s">
        <v>1635</v>
      </c>
      <c r="P1343" s="1" t="s">
        <v>1636</v>
      </c>
      <c r="Q1343" s="1" t="s">
        <v>253</v>
      </c>
      <c r="R1343" s="1" t="s">
        <v>297</v>
      </c>
      <c r="S1343" s="1" t="s">
        <v>381</v>
      </c>
    </row>
    <row r="1344" spans="1:19" hidden="1" x14ac:dyDescent="0.25">
      <c r="A1344" s="2">
        <v>194</v>
      </c>
      <c r="B1344" s="1" t="s">
        <v>1633</v>
      </c>
      <c r="C1344" s="1" t="s">
        <v>1628</v>
      </c>
      <c r="D1344" s="1" t="s">
        <v>1634</v>
      </c>
      <c r="E1344" s="1">
        <v>4</v>
      </c>
      <c r="F1344" s="1">
        <v>163.232</v>
      </c>
      <c r="G1344" s="1">
        <v>8396</v>
      </c>
      <c r="H1344" s="1">
        <v>10045</v>
      </c>
      <c r="I1344" s="1">
        <v>11624</v>
      </c>
      <c r="J1344" s="1">
        <v>160.643</v>
      </c>
      <c r="K1344" s="1">
        <v>-5.399</v>
      </c>
      <c r="L1344" s="1">
        <v>19.082999999999998</v>
      </c>
      <c r="M1344" s="1" t="s">
        <v>1108</v>
      </c>
      <c r="N1344" s="1" t="s">
        <v>1430</v>
      </c>
      <c r="O1344" s="1" t="s">
        <v>1635</v>
      </c>
      <c r="P1344" s="1" t="s">
        <v>1636</v>
      </c>
      <c r="Q1344" s="1" t="s">
        <v>158</v>
      </c>
      <c r="R1344" s="1" t="s">
        <v>194</v>
      </c>
      <c r="S1344" s="1" t="s">
        <v>174</v>
      </c>
    </row>
    <row r="1345" spans="1:19" hidden="1" x14ac:dyDescent="0.25">
      <c r="A1345" s="2">
        <v>194</v>
      </c>
      <c r="B1345" s="1" t="s">
        <v>1633</v>
      </c>
      <c r="C1345" s="1" t="s">
        <v>1628</v>
      </c>
      <c r="D1345" s="1" t="s">
        <v>1634</v>
      </c>
      <c r="E1345" s="1">
        <v>5</v>
      </c>
      <c r="F1345" s="1">
        <v>115.26300000000001</v>
      </c>
      <c r="G1345" s="1">
        <v>9532</v>
      </c>
      <c r="H1345" s="1">
        <v>11464</v>
      </c>
      <c r="I1345" s="1">
        <v>13263</v>
      </c>
      <c r="J1345" s="1">
        <v>113.429</v>
      </c>
      <c r="K1345" s="1">
        <v>-3.004</v>
      </c>
      <c r="L1345" s="1">
        <v>23.148</v>
      </c>
      <c r="M1345" s="1" t="s">
        <v>1108</v>
      </c>
      <c r="N1345" s="1" t="s">
        <v>1430</v>
      </c>
      <c r="O1345" s="1" t="s">
        <v>1635</v>
      </c>
      <c r="P1345" s="1" t="s">
        <v>1636</v>
      </c>
      <c r="Q1345" s="1" t="s">
        <v>205</v>
      </c>
      <c r="R1345" s="1" t="s">
        <v>106</v>
      </c>
      <c r="S1345" s="1" t="s">
        <v>81</v>
      </c>
    </row>
    <row r="1346" spans="1:19" x14ac:dyDescent="0.25">
      <c r="A1346" s="2">
        <v>194</v>
      </c>
      <c r="B1346" s="1" t="s">
        <v>1633</v>
      </c>
      <c r="C1346" s="1" t="s">
        <v>1628</v>
      </c>
      <c r="D1346" s="1" t="s">
        <v>1634</v>
      </c>
      <c r="E1346" s="1">
        <v>6</v>
      </c>
      <c r="F1346" s="1">
        <v>102.11799999999999</v>
      </c>
      <c r="G1346" s="1">
        <v>8511</v>
      </c>
      <c r="H1346" s="1">
        <v>10235</v>
      </c>
      <c r="I1346" s="1">
        <v>11841</v>
      </c>
      <c r="J1346" s="1">
        <v>100.49299999999999</v>
      </c>
      <c r="K1346" s="1">
        <v>-2.915</v>
      </c>
      <c r="L1346" s="1">
        <v>23.928999999999998</v>
      </c>
      <c r="M1346" s="1" t="s">
        <v>1108</v>
      </c>
      <c r="N1346" s="1" t="s">
        <v>1430</v>
      </c>
      <c r="O1346" s="1" t="s">
        <v>1635</v>
      </c>
      <c r="P1346" s="1" t="s">
        <v>1636</v>
      </c>
      <c r="Q1346" s="1" t="s">
        <v>74</v>
      </c>
      <c r="R1346" s="1" t="s">
        <v>254</v>
      </c>
      <c r="S1346" s="1" t="s">
        <v>193</v>
      </c>
    </row>
    <row r="1347" spans="1:19" x14ac:dyDescent="0.25">
      <c r="A1347" s="2">
        <v>194</v>
      </c>
      <c r="B1347" s="1" t="s">
        <v>1633</v>
      </c>
      <c r="C1347" s="1" t="s">
        <v>1628</v>
      </c>
      <c r="D1347" s="1" t="s">
        <v>1634</v>
      </c>
      <c r="E1347" s="1">
        <v>7</v>
      </c>
      <c r="F1347" s="1">
        <v>94.522999999999996</v>
      </c>
      <c r="G1347" s="1">
        <v>7907</v>
      </c>
      <c r="H1347" s="1">
        <v>9507</v>
      </c>
      <c r="I1347" s="1">
        <v>11003</v>
      </c>
      <c r="J1347" s="1">
        <v>93.019000000000005</v>
      </c>
      <c r="K1347" s="1">
        <v>-2.9119999999999999</v>
      </c>
      <c r="L1347" s="1">
        <v>23.891999999999999</v>
      </c>
      <c r="M1347" s="1" t="s">
        <v>1108</v>
      </c>
      <c r="N1347" s="1" t="s">
        <v>1430</v>
      </c>
      <c r="O1347" s="1" t="s">
        <v>1635</v>
      </c>
      <c r="P1347" s="1" t="s">
        <v>1636</v>
      </c>
      <c r="Q1347" s="1" t="s">
        <v>457</v>
      </c>
      <c r="R1347" s="1" t="s">
        <v>1637</v>
      </c>
      <c r="S1347" s="1" t="s">
        <v>399</v>
      </c>
    </row>
    <row r="1348" spans="1:19" hidden="1" x14ac:dyDescent="0.25">
      <c r="A1348" s="2">
        <v>195</v>
      </c>
      <c r="B1348" s="1" t="s">
        <v>1638</v>
      </c>
      <c r="C1348" s="1" t="s">
        <v>1498</v>
      </c>
      <c r="D1348" s="1" t="s">
        <v>1639</v>
      </c>
      <c r="E1348" s="1">
        <v>1</v>
      </c>
      <c r="F1348" s="1">
        <v>164.54599999999999</v>
      </c>
      <c r="G1348" s="1">
        <v>8420</v>
      </c>
      <c r="H1348" s="1">
        <v>10075</v>
      </c>
      <c r="I1348" s="1">
        <v>11663</v>
      </c>
      <c r="J1348" s="1">
        <v>161.93600000000001</v>
      </c>
      <c r="K1348" s="1">
        <v>-5.4050000000000002</v>
      </c>
      <c r="L1348" s="1">
        <v>19.065999999999999</v>
      </c>
      <c r="M1348" s="1" t="s">
        <v>1135</v>
      </c>
      <c r="N1348" s="1" t="s">
        <v>1430</v>
      </c>
      <c r="O1348" s="1" t="s">
        <v>1640</v>
      </c>
      <c r="P1348" s="1" t="s">
        <v>1641</v>
      </c>
      <c r="Q1348" s="1" t="s">
        <v>50</v>
      </c>
      <c r="R1348" s="1" t="s">
        <v>95</v>
      </c>
      <c r="S1348" s="1" t="s">
        <v>172</v>
      </c>
    </row>
    <row r="1349" spans="1:19" hidden="1" x14ac:dyDescent="0.25">
      <c r="A1349" s="2">
        <v>195</v>
      </c>
      <c r="B1349" s="1" t="s">
        <v>1638</v>
      </c>
      <c r="C1349" s="1" t="s">
        <v>1498</v>
      </c>
      <c r="D1349" s="1" t="s">
        <v>1639</v>
      </c>
      <c r="E1349" s="1">
        <v>2</v>
      </c>
      <c r="F1349" s="1">
        <v>163.488</v>
      </c>
      <c r="G1349" s="1">
        <v>8466</v>
      </c>
      <c r="H1349" s="1">
        <v>10129</v>
      </c>
      <c r="I1349" s="1">
        <v>11723</v>
      </c>
      <c r="J1349" s="1">
        <v>160.89400000000001</v>
      </c>
      <c r="K1349" s="1">
        <v>-5.3869999999999996</v>
      </c>
      <c r="L1349" s="1">
        <v>19.088000000000001</v>
      </c>
      <c r="M1349" s="1" t="s">
        <v>1135</v>
      </c>
      <c r="N1349" s="1" t="s">
        <v>1430</v>
      </c>
      <c r="O1349" s="1" t="s">
        <v>1640</v>
      </c>
      <c r="P1349" s="1" t="s">
        <v>1641</v>
      </c>
      <c r="Q1349" s="1" t="s">
        <v>77</v>
      </c>
      <c r="R1349" s="1" t="s">
        <v>140</v>
      </c>
      <c r="S1349" s="1" t="s">
        <v>318</v>
      </c>
    </row>
    <row r="1350" spans="1:19" hidden="1" x14ac:dyDescent="0.25">
      <c r="A1350" s="2">
        <v>195</v>
      </c>
      <c r="B1350" s="1" t="s">
        <v>1638</v>
      </c>
      <c r="C1350" s="1" t="s">
        <v>1498</v>
      </c>
      <c r="D1350" s="1" t="s">
        <v>1639</v>
      </c>
      <c r="E1350" s="1">
        <v>3</v>
      </c>
      <c r="F1350" s="1">
        <v>164.08699999999999</v>
      </c>
      <c r="G1350" s="1">
        <v>8499</v>
      </c>
      <c r="H1350" s="1">
        <v>10168</v>
      </c>
      <c r="I1350" s="1">
        <v>11768</v>
      </c>
      <c r="J1350" s="1">
        <v>161.483</v>
      </c>
      <c r="K1350" s="1">
        <v>-5.4009999999999998</v>
      </c>
      <c r="L1350" s="1">
        <v>19.062999999999999</v>
      </c>
      <c r="M1350" s="1" t="s">
        <v>1135</v>
      </c>
      <c r="N1350" s="1" t="s">
        <v>1430</v>
      </c>
      <c r="O1350" s="1" t="s">
        <v>1640</v>
      </c>
      <c r="P1350" s="1" t="s">
        <v>1641</v>
      </c>
      <c r="Q1350" s="1" t="s">
        <v>147</v>
      </c>
      <c r="R1350" s="1" t="s">
        <v>279</v>
      </c>
      <c r="S1350" s="1" t="s">
        <v>142</v>
      </c>
    </row>
    <row r="1351" spans="1:19" hidden="1" x14ac:dyDescent="0.25">
      <c r="A1351" s="2">
        <v>195</v>
      </c>
      <c r="B1351" s="1" t="s">
        <v>1638</v>
      </c>
      <c r="C1351" s="1" t="s">
        <v>1498</v>
      </c>
      <c r="D1351" s="1" t="s">
        <v>1639</v>
      </c>
      <c r="E1351" s="1">
        <v>4</v>
      </c>
      <c r="F1351" s="1">
        <v>163.62799999999999</v>
      </c>
      <c r="G1351" s="1">
        <v>8418</v>
      </c>
      <c r="H1351" s="1">
        <v>10072</v>
      </c>
      <c r="I1351" s="1">
        <v>11659</v>
      </c>
      <c r="J1351" s="1">
        <v>161.03200000000001</v>
      </c>
      <c r="K1351" s="1">
        <v>-5.399</v>
      </c>
      <c r="L1351" s="1">
        <v>19.082999999999998</v>
      </c>
      <c r="M1351" s="1" t="s">
        <v>1135</v>
      </c>
      <c r="N1351" s="1" t="s">
        <v>1430</v>
      </c>
      <c r="O1351" s="1" t="s">
        <v>1640</v>
      </c>
      <c r="P1351" s="1" t="s">
        <v>1641</v>
      </c>
      <c r="Q1351" s="1" t="s">
        <v>159</v>
      </c>
      <c r="R1351" s="1" t="s">
        <v>179</v>
      </c>
      <c r="S1351" s="1" t="s">
        <v>304</v>
      </c>
    </row>
    <row r="1352" spans="1:19" hidden="1" x14ac:dyDescent="0.25">
      <c r="A1352" s="2">
        <v>195</v>
      </c>
      <c r="B1352" s="1" t="s">
        <v>1638</v>
      </c>
      <c r="C1352" s="1" t="s">
        <v>1498</v>
      </c>
      <c r="D1352" s="1" t="s">
        <v>1639</v>
      </c>
      <c r="E1352" s="1">
        <v>5</v>
      </c>
      <c r="F1352" s="1">
        <v>149.19999999999999</v>
      </c>
      <c r="G1352" s="1">
        <v>13050</v>
      </c>
      <c r="H1352" s="1">
        <v>15702</v>
      </c>
      <c r="I1352" s="1">
        <v>18157</v>
      </c>
      <c r="J1352" s="1">
        <v>146.828</v>
      </c>
      <c r="K1352" s="1">
        <v>-3.629</v>
      </c>
      <c r="L1352" s="1">
        <v>23.841000000000001</v>
      </c>
      <c r="M1352" s="1" t="s">
        <v>1135</v>
      </c>
      <c r="N1352" s="1" t="s">
        <v>1430</v>
      </c>
      <c r="O1352" s="1" t="s">
        <v>1640</v>
      </c>
      <c r="P1352" s="1" t="s">
        <v>1641</v>
      </c>
      <c r="Q1352" s="1" t="s">
        <v>199</v>
      </c>
      <c r="R1352" s="1" t="s">
        <v>515</v>
      </c>
      <c r="S1352" s="1" t="s">
        <v>132</v>
      </c>
    </row>
    <row r="1353" spans="1:19" x14ac:dyDescent="0.25">
      <c r="A1353" s="2">
        <v>195</v>
      </c>
      <c r="B1353" s="1" t="s">
        <v>1638</v>
      </c>
      <c r="C1353" s="1" t="s">
        <v>1498</v>
      </c>
      <c r="D1353" s="1" t="s">
        <v>1639</v>
      </c>
      <c r="E1353" s="1">
        <v>6</v>
      </c>
      <c r="F1353" s="1">
        <v>132.98500000000001</v>
      </c>
      <c r="G1353" s="1">
        <v>11665</v>
      </c>
      <c r="H1353" s="1">
        <v>14031</v>
      </c>
      <c r="I1353" s="1">
        <v>16239</v>
      </c>
      <c r="J1353" s="1">
        <v>130.87</v>
      </c>
      <c r="K1353" s="1">
        <v>-3.5649999999999999</v>
      </c>
      <c r="L1353" s="1">
        <v>24.193000000000001</v>
      </c>
      <c r="M1353" s="1" t="s">
        <v>1135</v>
      </c>
      <c r="N1353" s="1" t="s">
        <v>1430</v>
      </c>
      <c r="O1353" s="1" t="s">
        <v>1640</v>
      </c>
      <c r="P1353" s="1" t="s">
        <v>1641</v>
      </c>
      <c r="Q1353" s="1" t="s">
        <v>283</v>
      </c>
      <c r="R1353" s="1" t="s">
        <v>103</v>
      </c>
      <c r="S1353" s="1" t="s">
        <v>354</v>
      </c>
    </row>
    <row r="1354" spans="1:19" x14ac:dyDescent="0.25">
      <c r="A1354" s="2">
        <v>195</v>
      </c>
      <c r="B1354" s="1" t="s">
        <v>1638</v>
      </c>
      <c r="C1354" s="1" t="s">
        <v>1498</v>
      </c>
      <c r="D1354" s="1" t="s">
        <v>1639</v>
      </c>
      <c r="E1354" s="1">
        <v>7</v>
      </c>
      <c r="F1354" s="1">
        <v>123.31100000000001</v>
      </c>
      <c r="G1354" s="1">
        <v>10803</v>
      </c>
      <c r="H1354" s="1">
        <v>12986</v>
      </c>
      <c r="I1354" s="1">
        <v>15032</v>
      </c>
      <c r="J1354" s="1">
        <v>121.35</v>
      </c>
      <c r="K1354" s="1">
        <v>-3.516</v>
      </c>
      <c r="L1354" s="1">
        <v>24.196999999999999</v>
      </c>
      <c r="M1354" s="1" t="s">
        <v>1135</v>
      </c>
      <c r="N1354" s="1" t="s">
        <v>1430</v>
      </c>
      <c r="O1354" s="1" t="s">
        <v>1640</v>
      </c>
      <c r="P1354" s="1" t="s">
        <v>1641</v>
      </c>
      <c r="Q1354" s="1" t="s">
        <v>303</v>
      </c>
      <c r="R1354" s="1" t="s">
        <v>263</v>
      </c>
      <c r="S1354" s="1" t="s">
        <v>429</v>
      </c>
    </row>
    <row r="1355" spans="1:19" hidden="1" x14ac:dyDescent="0.25">
      <c r="A1355" s="2">
        <v>196</v>
      </c>
      <c r="B1355" s="1" t="s">
        <v>1642</v>
      </c>
      <c r="C1355" s="1" t="s">
        <v>1643</v>
      </c>
      <c r="D1355" s="1" t="s">
        <v>1644</v>
      </c>
      <c r="E1355" s="1">
        <v>1</v>
      </c>
      <c r="F1355" s="1">
        <v>164.47800000000001</v>
      </c>
      <c r="G1355" s="1">
        <v>8356</v>
      </c>
      <c r="H1355" s="1">
        <v>9996</v>
      </c>
      <c r="I1355" s="1">
        <v>11574</v>
      </c>
      <c r="J1355" s="1">
        <v>161.86799999999999</v>
      </c>
      <c r="K1355" s="1">
        <v>-5.4009999999999998</v>
      </c>
      <c r="L1355" s="1">
        <v>19.087</v>
      </c>
      <c r="M1355" s="1" t="s">
        <v>1120</v>
      </c>
      <c r="N1355" s="1" t="s">
        <v>1430</v>
      </c>
      <c r="O1355" s="1" t="s">
        <v>1645</v>
      </c>
      <c r="P1355" s="1" t="s">
        <v>1646</v>
      </c>
      <c r="Q1355" s="1" t="s">
        <v>62</v>
      </c>
      <c r="R1355" s="1" t="s">
        <v>88</v>
      </c>
      <c r="S1355" s="1" t="s">
        <v>68</v>
      </c>
    </row>
    <row r="1356" spans="1:19" hidden="1" x14ac:dyDescent="0.25">
      <c r="A1356" s="2">
        <v>196</v>
      </c>
      <c r="B1356" s="1" t="s">
        <v>1642</v>
      </c>
      <c r="C1356" s="1" t="s">
        <v>1643</v>
      </c>
      <c r="D1356" s="1" t="s">
        <v>1644</v>
      </c>
      <c r="E1356" s="1">
        <v>2</v>
      </c>
      <c r="F1356" s="1">
        <v>162.51499999999999</v>
      </c>
      <c r="G1356" s="1">
        <v>8423</v>
      </c>
      <c r="H1356" s="1">
        <v>10077</v>
      </c>
      <c r="I1356" s="1">
        <v>11669</v>
      </c>
      <c r="J1356" s="1">
        <v>159.93700000000001</v>
      </c>
      <c r="K1356" s="1">
        <v>-5.4029999999999996</v>
      </c>
      <c r="L1356" s="1">
        <v>19.081</v>
      </c>
      <c r="M1356" s="1" t="s">
        <v>1120</v>
      </c>
      <c r="N1356" s="1" t="s">
        <v>1430</v>
      </c>
      <c r="O1356" s="1" t="s">
        <v>1645</v>
      </c>
      <c r="P1356" s="1" t="s">
        <v>1646</v>
      </c>
      <c r="Q1356" s="1" t="s">
        <v>276</v>
      </c>
      <c r="R1356" s="1" t="s">
        <v>257</v>
      </c>
      <c r="S1356" s="1" t="s">
        <v>286</v>
      </c>
    </row>
    <row r="1357" spans="1:19" hidden="1" x14ac:dyDescent="0.25">
      <c r="A1357" s="2">
        <v>196</v>
      </c>
      <c r="B1357" s="1" t="s">
        <v>1642</v>
      </c>
      <c r="C1357" s="1" t="s">
        <v>1643</v>
      </c>
      <c r="D1357" s="1" t="s">
        <v>1644</v>
      </c>
      <c r="E1357" s="1">
        <v>3</v>
      </c>
      <c r="F1357" s="1">
        <v>162.828</v>
      </c>
      <c r="G1357" s="1">
        <v>8446</v>
      </c>
      <c r="H1357" s="1">
        <v>10104</v>
      </c>
      <c r="I1357" s="1">
        <v>11698</v>
      </c>
      <c r="J1357" s="1">
        <v>160.245</v>
      </c>
      <c r="K1357" s="1">
        <v>-5.4</v>
      </c>
      <c r="L1357" s="1">
        <v>19.093</v>
      </c>
      <c r="M1357" s="1" t="s">
        <v>1120</v>
      </c>
      <c r="N1357" s="1" t="s">
        <v>1430</v>
      </c>
      <c r="O1357" s="1" t="s">
        <v>1645</v>
      </c>
      <c r="P1357" s="1" t="s">
        <v>1646</v>
      </c>
      <c r="Q1357" s="1" t="s">
        <v>291</v>
      </c>
      <c r="R1357" s="1" t="s">
        <v>328</v>
      </c>
      <c r="S1357" s="1" t="s">
        <v>324</v>
      </c>
    </row>
    <row r="1358" spans="1:19" hidden="1" x14ac:dyDescent="0.25">
      <c r="A1358" s="2">
        <v>196</v>
      </c>
      <c r="B1358" s="1" t="s">
        <v>1642</v>
      </c>
      <c r="C1358" s="1" t="s">
        <v>1643</v>
      </c>
      <c r="D1358" s="1" t="s">
        <v>1644</v>
      </c>
      <c r="E1358" s="1">
        <v>4</v>
      </c>
      <c r="F1358" s="1">
        <v>162.75200000000001</v>
      </c>
      <c r="G1358" s="1">
        <v>8369</v>
      </c>
      <c r="H1358" s="1">
        <v>10013</v>
      </c>
      <c r="I1358" s="1">
        <v>11594</v>
      </c>
      <c r="J1358" s="1">
        <v>160.16999999999999</v>
      </c>
      <c r="K1358" s="1">
        <v>-5.399</v>
      </c>
      <c r="L1358" s="1">
        <v>19.082999999999998</v>
      </c>
      <c r="M1358" s="1" t="s">
        <v>1120</v>
      </c>
      <c r="N1358" s="1" t="s">
        <v>1430</v>
      </c>
      <c r="O1358" s="1" t="s">
        <v>1645</v>
      </c>
      <c r="P1358" s="1" t="s">
        <v>1646</v>
      </c>
      <c r="Q1358" s="1" t="s">
        <v>158</v>
      </c>
      <c r="R1358" s="1" t="s">
        <v>194</v>
      </c>
      <c r="S1358" s="1" t="s">
        <v>174</v>
      </c>
    </row>
    <row r="1359" spans="1:19" hidden="1" x14ac:dyDescent="0.25">
      <c r="A1359" s="2">
        <v>196</v>
      </c>
      <c r="B1359" s="1" t="s">
        <v>1642</v>
      </c>
      <c r="C1359" s="1" t="s">
        <v>1643</v>
      </c>
      <c r="D1359" s="1" t="s">
        <v>1644</v>
      </c>
      <c r="E1359" s="1">
        <v>5</v>
      </c>
      <c r="F1359" s="1">
        <v>218.49700000000001</v>
      </c>
      <c r="G1359" s="1">
        <v>18315</v>
      </c>
      <c r="H1359" s="1">
        <v>22216</v>
      </c>
      <c r="I1359" s="1">
        <v>25526</v>
      </c>
      <c r="J1359" s="1">
        <v>215.00299999999999</v>
      </c>
      <c r="K1359" s="1">
        <v>3.8849999999999998</v>
      </c>
      <c r="L1359" s="1">
        <v>24.905999999999999</v>
      </c>
      <c r="M1359" s="1" t="s">
        <v>1120</v>
      </c>
      <c r="N1359" s="1" t="s">
        <v>1430</v>
      </c>
      <c r="O1359" s="1" t="s">
        <v>1645</v>
      </c>
      <c r="P1359" s="1" t="s">
        <v>1646</v>
      </c>
      <c r="Q1359" s="1" t="s">
        <v>199</v>
      </c>
      <c r="R1359" s="1" t="s">
        <v>184</v>
      </c>
      <c r="S1359" s="1" t="s">
        <v>132</v>
      </c>
    </row>
    <row r="1360" spans="1:19" x14ac:dyDescent="0.25">
      <c r="A1360" s="2">
        <v>196</v>
      </c>
      <c r="B1360" s="1" t="s">
        <v>1642</v>
      </c>
      <c r="C1360" s="1" t="s">
        <v>1643</v>
      </c>
      <c r="D1360" s="1" t="s">
        <v>1644</v>
      </c>
      <c r="E1360" s="1">
        <v>6</v>
      </c>
      <c r="F1360" s="1">
        <v>193.179</v>
      </c>
      <c r="G1360" s="1">
        <v>16308</v>
      </c>
      <c r="H1360" s="1">
        <v>19780</v>
      </c>
      <c r="I1360" s="1">
        <v>22734</v>
      </c>
      <c r="J1360" s="1">
        <v>190.09</v>
      </c>
      <c r="K1360" s="1">
        <v>3.9239999999999999</v>
      </c>
      <c r="L1360" s="1">
        <v>25.181000000000001</v>
      </c>
      <c r="M1360" s="1" t="s">
        <v>1120</v>
      </c>
      <c r="N1360" s="1" t="s">
        <v>1430</v>
      </c>
      <c r="O1360" s="1" t="s">
        <v>1645</v>
      </c>
      <c r="P1360" s="1" t="s">
        <v>1646</v>
      </c>
      <c r="Q1360" s="1" t="s">
        <v>162</v>
      </c>
      <c r="R1360" s="1" t="s">
        <v>318</v>
      </c>
      <c r="S1360" s="1" t="s">
        <v>240</v>
      </c>
    </row>
    <row r="1361" spans="1:19" x14ac:dyDescent="0.25">
      <c r="A1361" s="2">
        <v>196</v>
      </c>
      <c r="B1361" s="1" t="s">
        <v>1642</v>
      </c>
      <c r="C1361" s="1" t="s">
        <v>1643</v>
      </c>
      <c r="D1361" s="1" t="s">
        <v>1644</v>
      </c>
      <c r="E1361" s="1">
        <v>7</v>
      </c>
      <c r="F1361" s="1">
        <v>178.46600000000001</v>
      </c>
      <c r="G1361" s="1">
        <v>15115</v>
      </c>
      <c r="H1361" s="1">
        <v>18330</v>
      </c>
      <c r="I1361" s="1">
        <v>21066</v>
      </c>
      <c r="J1361" s="1">
        <v>175.61199999999999</v>
      </c>
      <c r="K1361" s="1">
        <v>3.9929999999999999</v>
      </c>
      <c r="L1361" s="1">
        <v>25.193999999999999</v>
      </c>
      <c r="M1361" s="1" t="s">
        <v>1120</v>
      </c>
      <c r="N1361" s="1" t="s">
        <v>1430</v>
      </c>
      <c r="O1361" s="1" t="s">
        <v>1645</v>
      </c>
      <c r="P1361" s="1" t="s">
        <v>1646</v>
      </c>
      <c r="Q1361" s="1" t="s">
        <v>683</v>
      </c>
      <c r="R1361" s="1" t="s">
        <v>1516</v>
      </c>
      <c r="S1361" s="1" t="s">
        <v>614</v>
      </c>
    </row>
    <row r="1362" spans="1:19" hidden="1" x14ac:dyDescent="0.25">
      <c r="A1362" s="2">
        <v>197</v>
      </c>
      <c r="B1362" s="1" t="s">
        <v>1647</v>
      </c>
      <c r="C1362" s="1" t="s">
        <v>403</v>
      </c>
      <c r="D1362" s="1" t="s">
        <v>1648</v>
      </c>
      <c r="E1362" s="1">
        <v>1</v>
      </c>
      <c r="F1362" s="1">
        <v>164.559</v>
      </c>
      <c r="G1362" s="1">
        <v>8400</v>
      </c>
      <c r="H1362" s="1">
        <v>10051</v>
      </c>
      <c r="I1362" s="1">
        <v>11633</v>
      </c>
      <c r="J1362" s="1">
        <v>161.94800000000001</v>
      </c>
      <c r="K1362" s="1">
        <v>-5.407</v>
      </c>
      <c r="L1362" s="1">
        <v>19.099</v>
      </c>
      <c r="M1362" s="1" t="s">
        <v>1125</v>
      </c>
      <c r="N1362" s="1" t="s">
        <v>1430</v>
      </c>
      <c r="O1362" s="1" t="s">
        <v>1649</v>
      </c>
      <c r="P1362" s="1" t="s">
        <v>1650</v>
      </c>
      <c r="Q1362" s="1" t="s">
        <v>71</v>
      </c>
      <c r="R1362" s="1" t="s">
        <v>97</v>
      </c>
      <c r="S1362" s="1" t="s">
        <v>139</v>
      </c>
    </row>
    <row r="1363" spans="1:19" hidden="1" x14ac:dyDescent="0.25">
      <c r="A1363" s="2">
        <v>197</v>
      </c>
      <c r="B1363" s="1" t="s">
        <v>1647</v>
      </c>
      <c r="C1363" s="1" t="s">
        <v>403</v>
      </c>
      <c r="D1363" s="1" t="s">
        <v>1648</v>
      </c>
      <c r="E1363" s="1">
        <v>2</v>
      </c>
      <c r="F1363" s="1">
        <v>163.696</v>
      </c>
      <c r="G1363" s="1">
        <v>8449</v>
      </c>
      <c r="H1363" s="1">
        <v>10110</v>
      </c>
      <c r="I1363" s="1">
        <v>11702</v>
      </c>
      <c r="J1363" s="1">
        <v>161.1</v>
      </c>
      <c r="K1363" s="1">
        <v>-5.4009999999999998</v>
      </c>
      <c r="L1363" s="1">
        <v>19.085000000000001</v>
      </c>
      <c r="M1363" s="1" t="s">
        <v>1125</v>
      </c>
      <c r="N1363" s="1" t="s">
        <v>1430</v>
      </c>
      <c r="O1363" s="1" t="s">
        <v>1649</v>
      </c>
      <c r="P1363" s="1" t="s">
        <v>1650</v>
      </c>
      <c r="Q1363" s="1" t="s">
        <v>159</v>
      </c>
      <c r="R1363" s="1" t="s">
        <v>234</v>
      </c>
      <c r="S1363" s="1" t="s">
        <v>201</v>
      </c>
    </row>
    <row r="1364" spans="1:19" hidden="1" x14ac:dyDescent="0.25">
      <c r="A1364" s="2">
        <v>197</v>
      </c>
      <c r="B1364" s="1" t="s">
        <v>1647</v>
      </c>
      <c r="C1364" s="1" t="s">
        <v>403</v>
      </c>
      <c r="D1364" s="1" t="s">
        <v>1648</v>
      </c>
      <c r="E1364" s="1">
        <v>3</v>
      </c>
      <c r="F1364" s="1">
        <v>164.14500000000001</v>
      </c>
      <c r="G1364" s="1">
        <v>8506</v>
      </c>
      <c r="H1364" s="1">
        <v>10176</v>
      </c>
      <c r="I1364" s="1">
        <v>11776</v>
      </c>
      <c r="J1364" s="1">
        <v>161.541</v>
      </c>
      <c r="K1364" s="1">
        <v>-5.3979999999999997</v>
      </c>
      <c r="L1364" s="1">
        <v>19.091000000000001</v>
      </c>
      <c r="M1364" s="1" t="s">
        <v>1125</v>
      </c>
      <c r="N1364" s="1" t="s">
        <v>1430</v>
      </c>
      <c r="O1364" s="1" t="s">
        <v>1649</v>
      </c>
      <c r="P1364" s="1" t="s">
        <v>1650</v>
      </c>
      <c r="Q1364" s="1" t="s">
        <v>139</v>
      </c>
      <c r="R1364" s="1" t="s">
        <v>177</v>
      </c>
      <c r="S1364" s="1" t="s">
        <v>238</v>
      </c>
    </row>
    <row r="1365" spans="1:19" hidden="1" x14ac:dyDescent="0.25">
      <c r="A1365" s="2">
        <v>197</v>
      </c>
      <c r="B1365" s="1" t="s">
        <v>1647</v>
      </c>
      <c r="C1365" s="1" t="s">
        <v>403</v>
      </c>
      <c r="D1365" s="1" t="s">
        <v>1648</v>
      </c>
      <c r="E1365" s="1">
        <v>4</v>
      </c>
      <c r="F1365" s="1">
        <v>163.72900000000001</v>
      </c>
      <c r="G1365" s="1">
        <v>8408</v>
      </c>
      <c r="H1365" s="1">
        <v>10059</v>
      </c>
      <c r="I1365" s="1">
        <v>11641</v>
      </c>
      <c r="J1365" s="1">
        <v>161.13200000000001</v>
      </c>
      <c r="K1365" s="1">
        <v>-5.399</v>
      </c>
      <c r="L1365" s="1">
        <v>19.082999999999998</v>
      </c>
      <c r="M1365" s="1" t="s">
        <v>1125</v>
      </c>
      <c r="N1365" s="1" t="s">
        <v>1430</v>
      </c>
      <c r="O1365" s="1" t="s">
        <v>1649</v>
      </c>
      <c r="P1365" s="1" t="s">
        <v>1650</v>
      </c>
      <c r="Q1365" s="1" t="s">
        <v>165</v>
      </c>
      <c r="R1365" s="1" t="s">
        <v>143</v>
      </c>
      <c r="S1365" s="1" t="s">
        <v>334</v>
      </c>
    </row>
    <row r="1366" spans="1:19" hidden="1" x14ac:dyDescent="0.25">
      <c r="A1366" s="2">
        <v>197</v>
      </c>
      <c r="B1366" s="1" t="s">
        <v>1647</v>
      </c>
      <c r="C1366" s="1" t="s">
        <v>403</v>
      </c>
      <c r="D1366" s="1" t="s">
        <v>1648</v>
      </c>
      <c r="E1366" s="1">
        <v>5</v>
      </c>
      <c r="F1366" s="1">
        <v>185.07400000000001</v>
      </c>
      <c r="G1366" s="1">
        <v>16205</v>
      </c>
      <c r="H1366" s="1">
        <v>19649</v>
      </c>
      <c r="I1366" s="1">
        <v>22575</v>
      </c>
      <c r="J1366" s="1">
        <v>182.11500000000001</v>
      </c>
      <c r="K1366" s="1">
        <v>3.8620000000000001</v>
      </c>
      <c r="L1366" s="1">
        <v>24.667000000000002</v>
      </c>
      <c r="M1366" s="1" t="s">
        <v>1125</v>
      </c>
      <c r="N1366" s="1" t="s">
        <v>1430</v>
      </c>
      <c r="O1366" s="1" t="s">
        <v>1649</v>
      </c>
      <c r="P1366" s="1" t="s">
        <v>1650</v>
      </c>
      <c r="Q1366" s="1" t="s">
        <v>204</v>
      </c>
      <c r="R1366" s="1" t="s">
        <v>117</v>
      </c>
      <c r="S1366" s="1" t="s">
        <v>50</v>
      </c>
    </row>
    <row r="1367" spans="1:19" x14ac:dyDescent="0.25">
      <c r="A1367" s="2">
        <v>197</v>
      </c>
      <c r="B1367" s="1" t="s">
        <v>1647</v>
      </c>
      <c r="C1367" s="1" t="s">
        <v>403</v>
      </c>
      <c r="D1367" s="1" t="s">
        <v>1648</v>
      </c>
      <c r="E1367" s="1">
        <v>6</v>
      </c>
      <c r="F1367" s="1">
        <v>163.071</v>
      </c>
      <c r="G1367" s="1">
        <v>14207</v>
      </c>
      <c r="H1367" s="1">
        <v>17211</v>
      </c>
      <c r="I1367" s="1">
        <v>19789</v>
      </c>
      <c r="J1367" s="1">
        <v>160.464</v>
      </c>
      <c r="K1367" s="1">
        <v>3.8849999999999998</v>
      </c>
      <c r="L1367" s="1">
        <v>25.135999999999999</v>
      </c>
      <c r="M1367" s="1" t="s">
        <v>1125</v>
      </c>
      <c r="N1367" s="1" t="s">
        <v>1430</v>
      </c>
      <c r="O1367" s="1" t="s">
        <v>1649</v>
      </c>
      <c r="P1367" s="1" t="s">
        <v>1650</v>
      </c>
      <c r="Q1367" s="1" t="s">
        <v>165</v>
      </c>
      <c r="R1367" s="1" t="s">
        <v>155</v>
      </c>
      <c r="S1367" s="1" t="s">
        <v>247</v>
      </c>
    </row>
    <row r="1368" spans="1:19" x14ac:dyDescent="0.25">
      <c r="A1368" s="2">
        <v>197</v>
      </c>
      <c r="B1368" s="1" t="s">
        <v>1647</v>
      </c>
      <c r="C1368" s="1" t="s">
        <v>403</v>
      </c>
      <c r="D1368" s="1" t="s">
        <v>1648</v>
      </c>
      <c r="E1368" s="1">
        <v>7</v>
      </c>
      <c r="F1368" s="1">
        <v>150.39500000000001</v>
      </c>
      <c r="G1368" s="1">
        <v>13031</v>
      </c>
      <c r="H1368" s="1">
        <v>15781</v>
      </c>
      <c r="I1368" s="1">
        <v>18155</v>
      </c>
      <c r="J1368" s="1">
        <v>147.99</v>
      </c>
      <c r="K1368" s="1">
        <v>3.9449999999999998</v>
      </c>
      <c r="L1368" s="1">
        <v>25.161000000000001</v>
      </c>
      <c r="M1368" s="1" t="s">
        <v>1125</v>
      </c>
      <c r="N1368" s="1" t="s">
        <v>1430</v>
      </c>
      <c r="O1368" s="1" t="s">
        <v>1649</v>
      </c>
      <c r="P1368" s="1" t="s">
        <v>1650</v>
      </c>
      <c r="Q1368" s="1" t="s">
        <v>822</v>
      </c>
      <c r="R1368" s="1" t="s">
        <v>1492</v>
      </c>
      <c r="S1368" s="1" t="s">
        <v>391</v>
      </c>
    </row>
    <row r="1369" spans="1:19" hidden="1" x14ac:dyDescent="0.25">
      <c r="A1369" s="2">
        <v>198</v>
      </c>
      <c r="B1369" s="1" t="s">
        <v>1651</v>
      </c>
      <c r="C1369" s="1" t="s">
        <v>1219</v>
      </c>
      <c r="D1369" s="1" t="s">
        <v>1652</v>
      </c>
      <c r="E1369" s="1">
        <v>1</v>
      </c>
      <c r="F1369" s="1">
        <v>164.20400000000001</v>
      </c>
      <c r="G1369" s="1">
        <v>8386</v>
      </c>
      <c r="H1369" s="1">
        <v>10034</v>
      </c>
      <c r="I1369" s="1">
        <v>11615</v>
      </c>
      <c r="J1369" s="1">
        <v>161.59899999999999</v>
      </c>
      <c r="K1369" s="1">
        <v>-5.4029999999999996</v>
      </c>
      <c r="L1369" s="1">
        <v>19.081</v>
      </c>
      <c r="M1369" s="1" t="s">
        <v>491</v>
      </c>
      <c r="N1369" s="1" t="s">
        <v>1430</v>
      </c>
      <c r="O1369" s="1" t="s">
        <v>1653</v>
      </c>
      <c r="P1369" s="1" t="s">
        <v>1654</v>
      </c>
      <c r="Q1369" s="1" t="s">
        <v>127</v>
      </c>
      <c r="R1369" s="1" t="s">
        <v>75</v>
      </c>
      <c r="S1369" s="1" t="s">
        <v>249</v>
      </c>
    </row>
    <row r="1370" spans="1:19" hidden="1" x14ac:dyDescent="0.25">
      <c r="A1370" s="2">
        <v>198</v>
      </c>
      <c r="B1370" s="1" t="s">
        <v>1651</v>
      </c>
      <c r="C1370" s="1" t="s">
        <v>1219</v>
      </c>
      <c r="D1370" s="1" t="s">
        <v>1652</v>
      </c>
      <c r="E1370" s="1">
        <v>2</v>
      </c>
      <c r="F1370" s="1">
        <v>161.37899999999999</v>
      </c>
      <c r="G1370" s="1">
        <v>8377</v>
      </c>
      <c r="H1370" s="1">
        <v>10023</v>
      </c>
      <c r="I1370" s="1">
        <v>11602</v>
      </c>
      <c r="J1370" s="1">
        <v>158.81800000000001</v>
      </c>
      <c r="K1370" s="1">
        <v>-5.3879999999999999</v>
      </c>
      <c r="L1370" s="1">
        <v>19.085000000000001</v>
      </c>
      <c r="M1370" s="1" t="s">
        <v>491</v>
      </c>
      <c r="N1370" s="1" t="s">
        <v>1430</v>
      </c>
      <c r="O1370" s="1" t="s">
        <v>1653</v>
      </c>
      <c r="P1370" s="1" t="s">
        <v>1654</v>
      </c>
      <c r="Q1370" s="1" t="s">
        <v>89</v>
      </c>
      <c r="R1370" s="1" t="s">
        <v>156</v>
      </c>
      <c r="S1370" s="1" t="s">
        <v>295</v>
      </c>
    </row>
    <row r="1371" spans="1:19" hidden="1" x14ac:dyDescent="0.25">
      <c r="A1371" s="2">
        <v>198</v>
      </c>
      <c r="B1371" s="1" t="s">
        <v>1651</v>
      </c>
      <c r="C1371" s="1" t="s">
        <v>1219</v>
      </c>
      <c r="D1371" s="1" t="s">
        <v>1652</v>
      </c>
      <c r="E1371" s="1">
        <v>3</v>
      </c>
      <c r="F1371" s="1">
        <v>163.36199999999999</v>
      </c>
      <c r="G1371" s="1">
        <v>8464</v>
      </c>
      <c r="H1371" s="1">
        <v>10127</v>
      </c>
      <c r="I1371" s="1">
        <v>11720</v>
      </c>
      <c r="J1371" s="1">
        <v>160.77099999999999</v>
      </c>
      <c r="K1371" s="1">
        <v>-5.3949999999999996</v>
      </c>
      <c r="L1371" s="1">
        <v>19.074000000000002</v>
      </c>
      <c r="M1371" s="1" t="s">
        <v>491</v>
      </c>
      <c r="N1371" s="1" t="s">
        <v>1430</v>
      </c>
      <c r="O1371" s="1" t="s">
        <v>1653</v>
      </c>
      <c r="P1371" s="1" t="s">
        <v>1654</v>
      </c>
      <c r="Q1371" s="1" t="s">
        <v>138</v>
      </c>
      <c r="R1371" s="1" t="s">
        <v>166</v>
      </c>
      <c r="S1371" s="1" t="s">
        <v>206</v>
      </c>
    </row>
    <row r="1372" spans="1:19" hidden="1" x14ac:dyDescent="0.25">
      <c r="A1372" s="2">
        <v>198</v>
      </c>
      <c r="B1372" s="1" t="s">
        <v>1651</v>
      </c>
      <c r="C1372" s="1" t="s">
        <v>1219</v>
      </c>
      <c r="D1372" s="1" t="s">
        <v>1652</v>
      </c>
      <c r="E1372" s="1">
        <v>4</v>
      </c>
      <c r="F1372" s="1">
        <v>163.07499999999999</v>
      </c>
      <c r="G1372" s="1">
        <v>8383</v>
      </c>
      <c r="H1372" s="1">
        <v>10029</v>
      </c>
      <c r="I1372" s="1">
        <v>11609</v>
      </c>
      <c r="J1372" s="1">
        <v>160.488</v>
      </c>
      <c r="K1372" s="1">
        <v>-5.399</v>
      </c>
      <c r="L1372" s="1">
        <v>19.082999999999998</v>
      </c>
      <c r="M1372" s="1" t="s">
        <v>491</v>
      </c>
      <c r="N1372" s="1" t="s">
        <v>1430</v>
      </c>
      <c r="O1372" s="1" t="s">
        <v>1653</v>
      </c>
      <c r="P1372" s="1" t="s">
        <v>1654</v>
      </c>
      <c r="Q1372" s="1" t="s">
        <v>139</v>
      </c>
      <c r="R1372" s="1" t="s">
        <v>177</v>
      </c>
      <c r="S1372" s="1" t="s">
        <v>238</v>
      </c>
    </row>
    <row r="1373" spans="1:19" hidden="1" x14ac:dyDescent="0.25">
      <c r="A1373" s="2">
        <v>198</v>
      </c>
      <c r="B1373" s="1" t="s">
        <v>1651</v>
      </c>
      <c r="C1373" s="1" t="s">
        <v>1219</v>
      </c>
      <c r="D1373" s="1" t="s">
        <v>1652</v>
      </c>
      <c r="E1373" s="1">
        <v>5</v>
      </c>
      <c r="F1373" s="1">
        <v>154.75</v>
      </c>
      <c r="G1373" s="1">
        <v>12931</v>
      </c>
      <c r="H1373" s="1">
        <v>15568</v>
      </c>
      <c r="I1373" s="1">
        <v>17993</v>
      </c>
      <c r="J1373" s="1">
        <v>152.28800000000001</v>
      </c>
      <c r="K1373" s="1">
        <v>-3.222</v>
      </c>
      <c r="L1373" s="1">
        <v>24.16</v>
      </c>
      <c r="M1373" s="1" t="s">
        <v>491</v>
      </c>
      <c r="N1373" s="1" t="s">
        <v>1430</v>
      </c>
      <c r="O1373" s="1" t="s">
        <v>1653</v>
      </c>
      <c r="P1373" s="1" t="s">
        <v>1654</v>
      </c>
      <c r="Q1373" s="1" t="s">
        <v>189</v>
      </c>
      <c r="R1373" s="1" t="s">
        <v>222</v>
      </c>
      <c r="S1373" s="1" t="s">
        <v>106</v>
      </c>
    </row>
    <row r="1374" spans="1:19" x14ac:dyDescent="0.25">
      <c r="A1374" s="2">
        <v>198</v>
      </c>
      <c r="B1374" s="1" t="s">
        <v>1651</v>
      </c>
      <c r="C1374" s="1" t="s">
        <v>1219</v>
      </c>
      <c r="D1374" s="1" t="s">
        <v>1652</v>
      </c>
      <c r="E1374" s="1">
        <v>6</v>
      </c>
      <c r="F1374" s="1">
        <v>136.88200000000001</v>
      </c>
      <c r="G1374" s="1">
        <v>11529</v>
      </c>
      <c r="H1374" s="1">
        <v>13876</v>
      </c>
      <c r="I1374" s="1">
        <v>16047</v>
      </c>
      <c r="J1374" s="1">
        <v>134.70400000000001</v>
      </c>
      <c r="K1374" s="1">
        <v>-3.1640000000000001</v>
      </c>
      <c r="L1374" s="1">
        <v>24.335999999999999</v>
      </c>
      <c r="M1374" s="1" t="s">
        <v>491</v>
      </c>
      <c r="N1374" s="1" t="s">
        <v>1430</v>
      </c>
      <c r="O1374" s="1" t="s">
        <v>1653</v>
      </c>
      <c r="P1374" s="1" t="s">
        <v>1654</v>
      </c>
      <c r="Q1374" s="1" t="s">
        <v>97</v>
      </c>
      <c r="R1374" s="1" t="s">
        <v>151</v>
      </c>
      <c r="S1374" s="1" t="s">
        <v>177</v>
      </c>
    </row>
    <row r="1375" spans="1:19" x14ac:dyDescent="0.25">
      <c r="A1375" s="2">
        <v>198</v>
      </c>
      <c r="B1375" s="1" t="s">
        <v>1651</v>
      </c>
      <c r="C1375" s="1" t="s">
        <v>1219</v>
      </c>
      <c r="D1375" s="1" t="s">
        <v>1652</v>
      </c>
      <c r="E1375" s="1">
        <v>7</v>
      </c>
      <c r="F1375" s="1">
        <v>126.592</v>
      </c>
      <c r="G1375" s="1">
        <v>10702</v>
      </c>
      <c r="H1375" s="1">
        <v>12879</v>
      </c>
      <c r="I1375" s="1">
        <v>14895</v>
      </c>
      <c r="J1375" s="1">
        <v>124.578</v>
      </c>
      <c r="K1375" s="1">
        <v>-3.14</v>
      </c>
      <c r="L1375" s="1">
        <v>24.332999999999998</v>
      </c>
      <c r="M1375" s="1" t="s">
        <v>491</v>
      </c>
      <c r="N1375" s="1" t="s">
        <v>1430</v>
      </c>
      <c r="O1375" s="1" t="s">
        <v>1653</v>
      </c>
      <c r="P1375" s="1" t="s">
        <v>1654</v>
      </c>
      <c r="Q1375" s="1" t="s">
        <v>675</v>
      </c>
      <c r="R1375" s="1" t="s">
        <v>268</v>
      </c>
      <c r="S1375" s="1" t="s">
        <v>779</v>
      </c>
    </row>
  </sheetData>
  <autoFilter ref="A2:T1375" xr:uid="{D3F97C7F-9204-4E0E-90C2-298C84AF35D0}">
    <filterColumn colId="4">
      <filters>
        <filter val="6"/>
        <filter val="7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 REPORTED</vt:lpstr>
      <vt:lpstr>3-Format-Final</vt:lpstr>
      <vt:lpstr>RAW_Corrected</vt:lpstr>
      <vt:lpstr>2-Full_Sorted</vt:lpstr>
      <vt:lpstr>Standards</vt:lpstr>
      <vt:lpstr>1-Sorted_standards</vt:lpstr>
      <vt:lpstr>Raw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Cullen, Jeff</dc:creator>
  <cp:lastModifiedBy>Cullen, Jeff</cp:lastModifiedBy>
  <dcterms:created xsi:type="dcterms:W3CDTF">2022-04-06T21:46:23Z</dcterms:created>
  <dcterms:modified xsi:type="dcterms:W3CDTF">2025-02-10T20:53:58Z</dcterms:modified>
</cp:coreProperties>
</file>