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kara\Desktop\Academics\Coral\2025-02-10_Depth\"/>
    </mc:Choice>
  </mc:AlternateContent>
  <xr:revisionPtr revIDLastSave="0" documentId="13_ncr:1_{B28A8A2B-6ECF-4B80-B565-B47C203CF3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2" i="1"/>
  <c r="F110" i="1"/>
  <c r="F109" i="1"/>
  <c r="F139" i="1"/>
  <c r="F140" i="1"/>
  <c r="F141" i="1"/>
  <c r="F142" i="1"/>
  <c r="F138" i="1"/>
  <c r="F133" i="1"/>
  <c r="F134" i="1"/>
  <c r="F135" i="1"/>
  <c r="F136" i="1"/>
  <c r="F137" i="1"/>
  <c r="F132" i="1"/>
  <c r="F127" i="1"/>
  <c r="F128" i="1"/>
  <c r="F129" i="1"/>
  <c r="F130" i="1"/>
  <c r="F131" i="1"/>
  <c r="F126" i="1"/>
  <c r="F120" i="1"/>
  <c r="F121" i="1"/>
  <c r="F122" i="1"/>
  <c r="F123" i="1"/>
  <c r="F124" i="1"/>
  <c r="F125" i="1"/>
  <c r="F119" i="1"/>
  <c r="F115" i="1"/>
  <c r="F116" i="1"/>
  <c r="F117" i="1"/>
  <c r="F118" i="1"/>
  <c r="F114" i="1"/>
  <c r="F56" i="1"/>
  <c r="F57" i="1"/>
  <c r="F58" i="1"/>
  <c r="F59" i="1"/>
  <c r="F60" i="1"/>
  <c r="F61" i="1"/>
  <c r="F62" i="1"/>
  <c r="F55" i="1"/>
  <c r="F28" i="1"/>
  <c r="F29" i="1"/>
  <c r="F30" i="1"/>
  <c r="F31" i="1"/>
  <c r="F32" i="1"/>
  <c r="F33" i="1"/>
  <c r="F2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2" i="1"/>
  <c r="F36" i="1"/>
  <c r="F37" i="1"/>
  <c r="F38" i="1"/>
  <c r="F39" i="1"/>
  <c r="F35" i="1"/>
  <c r="F3" i="1"/>
  <c r="F89" i="1"/>
  <c r="F90" i="1"/>
  <c r="F91" i="1"/>
  <c r="F92" i="1"/>
  <c r="F93" i="1"/>
  <c r="F88" i="1"/>
  <c r="F104" i="1"/>
  <c r="F105" i="1"/>
  <c r="F106" i="1"/>
  <c r="F107" i="1"/>
  <c r="F108" i="1"/>
  <c r="F103" i="1"/>
  <c r="F95" i="1"/>
  <c r="F96" i="1"/>
  <c r="F97" i="1"/>
  <c r="F98" i="1"/>
  <c r="F99" i="1"/>
  <c r="F100" i="1"/>
  <c r="F101" i="1"/>
  <c r="F102" i="1"/>
  <c r="F94" i="1"/>
  <c r="F83" i="1"/>
  <c r="F84" i="1"/>
  <c r="F85" i="1"/>
  <c r="F86" i="1"/>
  <c r="F82" i="1"/>
  <c r="F81" i="1"/>
  <c r="F75" i="1"/>
  <c r="F76" i="1"/>
  <c r="F77" i="1"/>
  <c r="F78" i="1"/>
  <c r="F79" i="1"/>
  <c r="F80" i="1"/>
  <c r="F74" i="1"/>
  <c r="F67" i="1"/>
  <c r="F68" i="1"/>
  <c r="F69" i="1"/>
  <c r="F70" i="1"/>
  <c r="F71" i="1"/>
  <c r="F72" i="1"/>
  <c r="F73" i="1"/>
  <c r="F66" i="1"/>
  <c r="F48" i="1"/>
  <c r="F49" i="1"/>
  <c r="F50" i="1"/>
  <c r="F51" i="1"/>
  <c r="F52" i="1"/>
  <c r="F53" i="1"/>
  <c r="F54" i="1"/>
  <c r="F47" i="1"/>
  <c r="F42" i="1"/>
  <c r="F41" i="1"/>
  <c r="F43" i="1"/>
  <c r="F44" i="1"/>
  <c r="F45" i="1"/>
  <c r="F46" i="1"/>
  <c r="F5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<sst xmlns="http://schemas.openxmlformats.org/spreadsheetml/2006/main" count="154" uniqueCount="152">
  <si>
    <t>Identifier 1</t>
  </si>
  <si>
    <t>A- 1A</t>
  </si>
  <si>
    <t>A- 2A</t>
  </si>
  <si>
    <t>A- 3A</t>
  </si>
  <si>
    <t>A- 4A</t>
  </si>
  <si>
    <t>A- 5A</t>
  </si>
  <si>
    <t>A- 6A</t>
  </si>
  <si>
    <t>A- 7A</t>
  </si>
  <si>
    <t>A- 8A</t>
  </si>
  <si>
    <t>A- 9A</t>
  </si>
  <si>
    <t>A- 10A</t>
  </si>
  <si>
    <t>A- 11A</t>
  </si>
  <si>
    <t>A- 12A</t>
  </si>
  <si>
    <t>A- 13A</t>
  </si>
  <si>
    <t>A- 14A</t>
  </si>
  <si>
    <t>A- 15A</t>
  </si>
  <si>
    <t>A- 16A</t>
  </si>
  <si>
    <t>A- 17A</t>
  </si>
  <si>
    <t>A- 18A</t>
  </si>
  <si>
    <t>A- 19A</t>
  </si>
  <si>
    <t>A- 20A</t>
  </si>
  <si>
    <t>A- 21A</t>
  </si>
  <si>
    <t>A- 22A</t>
  </si>
  <si>
    <t>A- 23A</t>
  </si>
  <si>
    <t>A- 24A</t>
  </si>
  <si>
    <t>A- 25A</t>
  </si>
  <si>
    <t>A- 26A</t>
  </si>
  <si>
    <t>A- 27A</t>
  </si>
  <si>
    <t>A- 28A</t>
  </si>
  <si>
    <t>A- 29A</t>
  </si>
  <si>
    <t>A- 30A</t>
  </si>
  <si>
    <t>A- 31A</t>
  </si>
  <si>
    <t>A- 32A</t>
  </si>
  <si>
    <t>B- 1A</t>
  </si>
  <si>
    <t>B- 2A</t>
  </si>
  <si>
    <t>B- 3A</t>
  </si>
  <si>
    <t>B- 4A</t>
  </si>
  <si>
    <t>B- 5A</t>
  </si>
  <si>
    <t>B- 6A</t>
  </si>
  <si>
    <t>B- 7A</t>
  </si>
  <si>
    <t>B- 8A</t>
  </si>
  <si>
    <t>B- 9A</t>
  </si>
  <si>
    <t>B- 10A</t>
  </si>
  <si>
    <t>B- 11A</t>
  </si>
  <si>
    <t>B- 12A</t>
  </si>
  <si>
    <t>B- 13A</t>
  </si>
  <si>
    <t>B- 14A</t>
  </si>
  <si>
    <t>B- 15A</t>
  </si>
  <si>
    <t>B- 16A</t>
  </si>
  <si>
    <t>B- 17A</t>
  </si>
  <si>
    <t>B- 18A</t>
  </si>
  <si>
    <t>B- 19A</t>
  </si>
  <si>
    <t>B- 21A</t>
  </si>
  <si>
    <t>B- 22A</t>
  </si>
  <si>
    <t>B- 23A</t>
  </si>
  <si>
    <t>B- 24A</t>
  </si>
  <si>
    <t>B- 25A</t>
  </si>
  <si>
    <t>B- 26A</t>
  </si>
  <si>
    <t>B- 27A</t>
  </si>
  <si>
    <t>B- 28A</t>
  </si>
  <si>
    <t>B- 29A</t>
  </si>
  <si>
    <t>C- 1A</t>
  </si>
  <si>
    <t>C- 2A</t>
  </si>
  <si>
    <t>C- 3A</t>
  </si>
  <si>
    <t>C- 4A</t>
  </si>
  <si>
    <t>C- 5A</t>
  </si>
  <si>
    <t>C- 6A</t>
  </si>
  <si>
    <t>C- 7A</t>
  </si>
  <si>
    <t>C- 8A</t>
  </si>
  <si>
    <t>C- 9A</t>
  </si>
  <si>
    <t>C- 10A</t>
  </si>
  <si>
    <t>C- 11A</t>
  </si>
  <si>
    <t>C- 12A</t>
  </si>
  <si>
    <t>C- 13A</t>
  </si>
  <si>
    <t>C- 14A</t>
  </si>
  <si>
    <t>C- 15A</t>
  </si>
  <si>
    <t>C- 16A</t>
  </si>
  <si>
    <t>C- 17A</t>
  </si>
  <si>
    <t>C- 18A</t>
  </si>
  <si>
    <t>C- 19A</t>
  </si>
  <si>
    <t>C- 20A</t>
  </si>
  <si>
    <t>C- 21A</t>
  </si>
  <si>
    <t>C- 22A</t>
  </si>
  <si>
    <t>C- 23A</t>
  </si>
  <si>
    <t>C- 24A</t>
  </si>
  <si>
    <t>D- 1A</t>
  </si>
  <si>
    <t>D- 2A</t>
  </si>
  <si>
    <t>D- 3A</t>
  </si>
  <si>
    <t>D- 4A</t>
  </si>
  <si>
    <t>D- 5A</t>
  </si>
  <si>
    <t>D- 6A</t>
  </si>
  <si>
    <t>D- 7A</t>
  </si>
  <si>
    <t>D- 8A</t>
  </si>
  <si>
    <t>D- 9A</t>
  </si>
  <si>
    <t>D- 10A</t>
  </si>
  <si>
    <t>D- 11A</t>
  </si>
  <si>
    <t>D- 12A</t>
  </si>
  <si>
    <t>D- 13A</t>
  </si>
  <si>
    <t>D- 14A</t>
  </si>
  <si>
    <t>D- 15A</t>
  </si>
  <si>
    <t>D- 16A</t>
  </si>
  <si>
    <t>D- 17A</t>
  </si>
  <si>
    <t>D- 18A</t>
  </si>
  <si>
    <t>D- 19A</t>
  </si>
  <si>
    <t>D- 20A</t>
  </si>
  <si>
    <t>D- 21A</t>
  </si>
  <si>
    <t>D- 22A</t>
  </si>
  <si>
    <t>D- 23A</t>
  </si>
  <si>
    <t>D- 24A</t>
  </si>
  <si>
    <t>E- 1A</t>
  </si>
  <si>
    <t>E- 2A</t>
  </si>
  <si>
    <t>E- 3A</t>
  </si>
  <si>
    <t>E- 4A</t>
  </si>
  <si>
    <t>E- 5A</t>
  </si>
  <si>
    <t>E- 6A</t>
  </si>
  <si>
    <t>E- 7A</t>
  </si>
  <si>
    <t>E- 8A</t>
  </si>
  <si>
    <t>E- 9A</t>
  </si>
  <si>
    <t>E- 10A</t>
  </si>
  <si>
    <t>E- 11A</t>
  </si>
  <si>
    <t>E- 12A</t>
  </si>
  <si>
    <t>E- 13A</t>
  </si>
  <si>
    <t>E- 14A</t>
  </si>
  <si>
    <t>E- 15A</t>
  </si>
  <si>
    <t>E- 16A</t>
  </si>
  <si>
    <t>E- 17A</t>
  </si>
  <si>
    <t>E- 18A</t>
  </si>
  <si>
    <t>E- 19A</t>
  </si>
  <si>
    <t>E- 20A</t>
  </si>
  <si>
    <t>E- 21A</t>
  </si>
  <si>
    <t>E- 22A</t>
  </si>
  <si>
    <t>E- 23A</t>
  </si>
  <si>
    <t>E- 24A</t>
  </si>
  <si>
    <t>E- 25A</t>
  </si>
  <si>
    <t>E- 26A</t>
  </si>
  <si>
    <t>E- 27A</t>
  </si>
  <si>
    <t>E- 28A</t>
  </si>
  <si>
    <t>E- 29A</t>
  </si>
  <si>
    <t>E- 30A</t>
  </si>
  <si>
    <t>E- 31A</t>
  </si>
  <si>
    <t>E- 32A</t>
  </si>
  <si>
    <t>d13c</t>
  </si>
  <si>
    <t>d18o</t>
  </si>
  <si>
    <t>B- 20A</t>
  </si>
  <si>
    <t>age_lin</t>
  </si>
  <si>
    <t>age_absolute</t>
  </si>
  <si>
    <t>H58</t>
  </si>
  <si>
    <t>H65</t>
  </si>
  <si>
    <t>H73</t>
  </si>
  <si>
    <t>H78</t>
  </si>
  <si>
    <t>ref_H</t>
  </si>
  <si>
    <t>ref_age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</si>
</sst>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topLeftCell="C1" workbookViewId="0">
      <selection activeCell="E2" sqref="E2"/>
    </sheetView>
  </sheetViews>
  <sheetFormatPr defaultRowHeight="14.5" x14ac:dyDescent="0.35"/>
  <cols>
    <col min="1" max="1" width="9.90625" bestFit="1" customWidth="1"/>
    <col min="2" max="2" width="12.453125" bestFit="1" customWidth="1"/>
    <col min="3" max="3" width="12.90625" bestFit="1" customWidth="1"/>
    <col min="4" max="4" width="12.90625" customWidth="1"/>
  </cols>
  <sheetData>
    <row r="1" spans="1:7" x14ac:dyDescent="0.35">
      <c r="A1" t="s">
        <v>0</v>
      </c>
      <c r="B1" t="s">
        <v>141</v>
      </c>
      <c r="C1" t="s">
        <v>142</v>
      </c>
      <c r="D1" t="s">
        <v>150</v>
      </c>
      <c r="E1" t="s">
        <v>151</v>
      </c>
      <c r="F1" t="s">
        <v>144</v>
      </c>
      <c r="G1" t="s">
        <v>145</v>
      </c>
    </row>
    <row r="2" spans="1:7" x14ac:dyDescent="0.35">
      <c r="A2" t="s">
        <v>1</v>
      </c>
      <c r="B2">
        <v>-2.6963176386230736</v>
      </c>
      <c r="C2">
        <v>25.44064711283221</v>
      </c>
      <c r="E2">
        <v>67.8</v>
      </c>
      <c r="F2">
        <v>67.8</v>
      </c>
      <c r="G2">
        <f>2007.249-78.43+F2-0.1</f>
        <v>1996.519</v>
      </c>
    </row>
    <row r="3" spans="1:7" x14ac:dyDescent="0.35">
      <c r="A3" t="s">
        <v>2</v>
      </c>
      <c r="B3">
        <v>-2.3114515380870455</v>
      </c>
      <c r="C3">
        <v>25.275009028535152</v>
      </c>
      <c r="F3">
        <f>($E$4-$E$2)*ROWS($F3:F$3)/ROWS($E$3:$E$4)+$E$2</f>
        <v>68.066666666666649</v>
      </c>
      <c r="G3">
        <f t="shared" ref="G3:G66" si="0">2007.249-78.43+F3-0.1</f>
        <v>1996.7856666666667</v>
      </c>
    </row>
    <row r="4" spans="1:7" x14ac:dyDescent="0.35">
      <c r="A4" t="s">
        <v>3</v>
      </c>
      <c r="B4">
        <v>-2.0294437319691472</v>
      </c>
      <c r="C4">
        <v>25.172704820311356</v>
      </c>
      <c r="D4" t="s">
        <v>147</v>
      </c>
      <c r="E4">
        <v>68.3333333333333</v>
      </c>
      <c r="F4">
        <v>68.3333333333333</v>
      </c>
      <c r="G4">
        <f t="shared" si="0"/>
        <v>1997.0523333333333</v>
      </c>
    </row>
    <row r="5" spans="1:7" x14ac:dyDescent="0.35">
      <c r="A5" t="s">
        <v>4</v>
      </c>
      <c r="B5">
        <v>-2.232598986421265</v>
      </c>
      <c r="C5">
        <v>25.295881623172537</v>
      </c>
      <c r="F5">
        <f>($E$11-$E$4)*ROWS($F$5:F5)/ROWS($E$5:$E$11)+$E$4</f>
        <v>68.476190476190439</v>
      </c>
      <c r="G5">
        <f t="shared" si="0"/>
        <v>1997.1951904761904</v>
      </c>
    </row>
    <row r="6" spans="1:7" x14ac:dyDescent="0.35">
      <c r="A6" t="s">
        <v>5</v>
      </c>
      <c r="B6">
        <v>-2.6998830193058296</v>
      </c>
      <c r="C6">
        <v>25.30968330500529</v>
      </c>
      <c r="F6">
        <f>($E$11-$E$4)*ROWS($F$5:F6)/ROWS($E$5:$E$11)+$E$4</f>
        <v>68.619047619047592</v>
      </c>
      <c r="G6">
        <f t="shared" si="0"/>
        <v>1997.3380476190478</v>
      </c>
    </row>
    <row r="7" spans="1:7" x14ac:dyDescent="0.35">
      <c r="A7" t="s">
        <v>6</v>
      </c>
      <c r="B7">
        <v>-3.1309658398843263</v>
      </c>
      <c r="C7">
        <v>25.334855436326617</v>
      </c>
      <c r="F7">
        <f>($E$11-$E$4)*ROWS($F$5:F7)/ROWS($E$5:$E$11)+$E$4</f>
        <v>68.761904761904731</v>
      </c>
      <c r="G7">
        <f t="shared" si="0"/>
        <v>1997.4809047619049</v>
      </c>
    </row>
    <row r="8" spans="1:7" x14ac:dyDescent="0.35">
      <c r="A8" t="s">
        <v>7</v>
      </c>
      <c r="B8">
        <v>-3.2271781890390399</v>
      </c>
      <c r="C8">
        <v>25.485705720210753</v>
      </c>
      <c r="F8">
        <f>($E$11-$E$4)*ROWS($F$5:F8)/ROWS($E$5:$E$11)+$E$4</f>
        <v>68.90476190476187</v>
      </c>
      <c r="G8">
        <f t="shared" si="0"/>
        <v>1997.623761904762</v>
      </c>
    </row>
    <row r="9" spans="1:7" x14ac:dyDescent="0.35">
      <c r="A9" t="s">
        <v>8</v>
      </c>
      <c r="B9">
        <v>-2.8911768825477235</v>
      </c>
      <c r="C9">
        <v>25.389915464221847</v>
      </c>
      <c r="F9">
        <f>($E$11-$E$4)*ROWS($F$5:F9)/ROWS($E$5:$E$11)+$E$4</f>
        <v>69.047619047619008</v>
      </c>
      <c r="G9">
        <f t="shared" si="0"/>
        <v>1997.7666190476191</v>
      </c>
    </row>
    <row r="10" spans="1:7" x14ac:dyDescent="0.35">
      <c r="A10" t="s">
        <v>9</v>
      </c>
      <c r="B10">
        <v>-2.9792192049358306</v>
      </c>
      <c r="C10">
        <v>25.27809071125899</v>
      </c>
      <c r="F10">
        <f>($E$11-$E$4)*ROWS($F$5:F10)/ROWS($E$5:$E$11)+$E$4</f>
        <v>69.190476190476161</v>
      </c>
      <c r="G10">
        <f t="shared" si="0"/>
        <v>1997.9094761904762</v>
      </c>
    </row>
    <row r="11" spans="1:7" x14ac:dyDescent="0.35">
      <c r="A11" t="s">
        <v>10</v>
      </c>
      <c r="B11">
        <v>-2.7922401848774041</v>
      </c>
      <c r="C11">
        <v>25.213369406623592</v>
      </c>
      <c r="D11" t="s">
        <v>148</v>
      </c>
      <c r="E11">
        <v>69.3333333333333</v>
      </c>
      <c r="F11">
        <v>69.3333333333333</v>
      </c>
      <c r="G11">
        <f t="shared" si="0"/>
        <v>1998.0523333333333</v>
      </c>
    </row>
    <row r="12" spans="1:7" x14ac:dyDescent="0.35">
      <c r="A12" t="s">
        <v>11</v>
      </c>
      <c r="B12">
        <v>-3.0708742022300206</v>
      </c>
      <c r="C12">
        <v>25.189516078365621</v>
      </c>
      <c r="F12">
        <f>($E$26-$E$11)*ROWS($F$12:F12)/ROWS($E$12:$E$26)+$E$11</f>
        <v>69.399999999999963</v>
      </c>
      <c r="G12">
        <f t="shared" si="0"/>
        <v>1998.1189999999999</v>
      </c>
    </row>
    <row r="13" spans="1:7" x14ac:dyDescent="0.35">
      <c r="A13" t="s">
        <v>12</v>
      </c>
      <c r="B13">
        <v>-3.1451404217452392</v>
      </c>
      <c r="C13">
        <v>25.173814763161062</v>
      </c>
      <c r="F13">
        <f>($E$26-$E$11)*ROWS($F$12:F13)/ROWS($E$12:$E$26)+$E$11</f>
        <v>69.46666666666664</v>
      </c>
      <c r="G13">
        <f t="shared" si="0"/>
        <v>1998.1856666666667</v>
      </c>
    </row>
    <row r="14" spans="1:7" x14ac:dyDescent="0.35">
      <c r="A14" t="s">
        <v>13</v>
      </c>
      <c r="B14">
        <v>-3.3425680438745267</v>
      </c>
      <c r="C14">
        <v>25.256191717857355</v>
      </c>
      <c r="F14">
        <f>($E$26-$E$11)*ROWS($F$12:F14)/ROWS($E$12:$E$26)+$E$11</f>
        <v>69.533333333333303</v>
      </c>
      <c r="G14">
        <f t="shared" si="0"/>
        <v>1998.2523333333334</v>
      </c>
    </row>
    <row r="15" spans="1:7" x14ac:dyDescent="0.35">
      <c r="A15" t="s">
        <v>14</v>
      </c>
      <c r="B15">
        <v>-3.2991275953673158</v>
      </c>
      <c r="C15">
        <v>25.411534982766163</v>
      </c>
      <c r="F15">
        <f>($E$26-$E$11)*ROWS($F$12:F15)/ROWS($E$12:$E$26)+$E$11</f>
        <v>69.599999999999966</v>
      </c>
      <c r="G15">
        <f t="shared" si="0"/>
        <v>1998.319</v>
      </c>
    </row>
    <row r="16" spans="1:7" x14ac:dyDescent="0.35">
      <c r="A16" t="s">
        <v>15</v>
      </c>
      <c r="B16">
        <v>-3.0097145201365976</v>
      </c>
      <c r="C16">
        <v>25.28088943812196</v>
      </c>
      <c r="F16">
        <f>($E$26-$E$11)*ROWS($F$12:F16)/ROWS($E$12:$E$26)+$E$11</f>
        <v>69.666666666666629</v>
      </c>
      <c r="G16">
        <f t="shared" si="0"/>
        <v>1998.3856666666666</v>
      </c>
    </row>
    <row r="17" spans="1:7" x14ac:dyDescent="0.35">
      <c r="A17" t="s">
        <v>16</v>
      </c>
      <c r="B17">
        <v>-2.7970356178706721</v>
      </c>
      <c r="C17">
        <v>25.200553346084796</v>
      </c>
      <c r="F17">
        <f>($E$26-$E$11)*ROWS($F$12:F17)/ROWS($E$12:$E$26)+$E$11</f>
        <v>69.733333333333306</v>
      </c>
      <c r="G17">
        <f t="shared" si="0"/>
        <v>1998.4523333333334</v>
      </c>
    </row>
    <row r="18" spans="1:7" x14ac:dyDescent="0.35">
      <c r="A18" t="s">
        <v>17</v>
      </c>
      <c r="B18">
        <v>-2.8176569055009879</v>
      </c>
      <c r="C18">
        <v>25.062078527145893</v>
      </c>
      <c r="F18">
        <f>($E$26-$E$11)*ROWS($F$12:F18)/ROWS($E$12:$E$26)+$E$11</f>
        <v>69.799999999999969</v>
      </c>
      <c r="G18">
        <f t="shared" si="0"/>
        <v>1998.519</v>
      </c>
    </row>
    <row r="19" spans="1:7" x14ac:dyDescent="0.35">
      <c r="A19" t="s">
        <v>18</v>
      </c>
      <c r="B19">
        <v>-2.9242111931590604</v>
      </c>
      <c r="C19">
        <v>25.075292913949301</v>
      </c>
      <c r="F19">
        <f>($E$26-$E$11)*ROWS($F$12:F19)/ROWS($E$12:$E$26)+$E$11</f>
        <v>69.866666666666632</v>
      </c>
      <c r="G19">
        <f t="shared" si="0"/>
        <v>1998.5856666666666</v>
      </c>
    </row>
    <row r="20" spans="1:7" x14ac:dyDescent="0.35">
      <c r="A20" t="s">
        <v>19</v>
      </c>
      <c r="B20">
        <v>-2.9944258071253258</v>
      </c>
      <c r="C20">
        <v>25.059808415537962</v>
      </c>
      <c r="F20">
        <f>($E$26-$E$11)*ROWS($F$12:F20)/ROWS($E$12:$E$26)+$E$11</f>
        <v>69.933333333333294</v>
      </c>
      <c r="G20">
        <f t="shared" si="0"/>
        <v>1998.6523333333334</v>
      </c>
    </row>
    <row r="21" spans="1:7" x14ac:dyDescent="0.35">
      <c r="A21" t="s">
        <v>20</v>
      </c>
      <c r="B21">
        <v>-3.5302482259502668</v>
      </c>
      <c r="C21">
        <v>25.181953846772668</v>
      </c>
      <c r="F21">
        <f>($E$26-$E$11)*ROWS($F$12:F21)/ROWS($E$12:$E$26)+$E$11</f>
        <v>69.999999999999972</v>
      </c>
      <c r="G21">
        <f t="shared" si="0"/>
        <v>1998.7190000000001</v>
      </c>
    </row>
    <row r="22" spans="1:7" x14ac:dyDescent="0.35">
      <c r="A22" t="s">
        <v>21</v>
      </c>
      <c r="B22">
        <v>-3.8896631917682889</v>
      </c>
      <c r="C22">
        <v>25.33144653926805</v>
      </c>
      <c r="F22">
        <f>($E$26-$E$11)*ROWS($F$12:F22)/ROWS($E$12:$E$26)+$E$11</f>
        <v>70.066666666666634</v>
      </c>
      <c r="G22">
        <f t="shared" si="0"/>
        <v>1998.7856666666667</v>
      </c>
    </row>
    <row r="23" spans="1:7" x14ac:dyDescent="0.35">
      <c r="A23" t="s">
        <v>22</v>
      </c>
      <c r="B23">
        <v>-3.1324526897648983</v>
      </c>
      <c r="C23">
        <v>25.598246068048486</v>
      </c>
      <c r="F23">
        <f>($E$26-$E$11)*ROWS($F$12:F23)/ROWS($E$12:$E$26)+$E$11</f>
        <v>70.133333333333297</v>
      </c>
      <c r="G23">
        <f t="shared" si="0"/>
        <v>1998.8523333333333</v>
      </c>
    </row>
    <row r="24" spans="1:7" x14ac:dyDescent="0.35">
      <c r="A24" t="s">
        <v>23</v>
      </c>
      <c r="B24">
        <v>-2.7137231203192185</v>
      </c>
      <c r="C24">
        <v>25.441557643906499</v>
      </c>
      <c r="F24">
        <f>($E$26-$E$11)*ROWS($F$12:F24)/ROWS($E$12:$E$26)+$E$11</f>
        <v>70.19999999999996</v>
      </c>
      <c r="G24">
        <f t="shared" si="0"/>
        <v>1998.9190000000001</v>
      </c>
    </row>
    <row r="25" spans="1:7" x14ac:dyDescent="0.35">
      <c r="A25" t="s">
        <v>24</v>
      </c>
      <c r="B25">
        <v>-2.3219411955687939</v>
      </c>
      <c r="C25">
        <v>25.313612363453107</v>
      </c>
      <c r="F25">
        <f>($E$26-$E$11)*ROWS($F$12:F25)/ROWS($E$12:$E$26)+$E$11</f>
        <v>70.266666666666637</v>
      </c>
      <c r="G25">
        <f t="shared" si="0"/>
        <v>1998.9856666666667</v>
      </c>
    </row>
    <row r="26" spans="1:7" x14ac:dyDescent="0.35">
      <c r="A26" t="s">
        <v>25</v>
      </c>
      <c r="B26">
        <v>-2.5068525524337995</v>
      </c>
      <c r="C26">
        <v>25.273068120406833</v>
      </c>
      <c r="D26" t="s">
        <v>149</v>
      </c>
      <c r="E26">
        <v>70.3333333333333</v>
      </c>
      <c r="F26">
        <f>($E$26-$E$11)*ROWS($F$12:F26)/ROWS($E$12:$E$26)+$E$11</f>
        <v>70.3333333333333</v>
      </c>
      <c r="G26">
        <f t="shared" si="0"/>
        <v>1999.0523333333333</v>
      </c>
    </row>
    <row r="27" spans="1:7" x14ac:dyDescent="0.35">
      <c r="A27" t="s">
        <v>26</v>
      </c>
      <c r="B27">
        <v>-2.4809298842466316</v>
      </c>
      <c r="C27">
        <v>25.15723524048671</v>
      </c>
      <c r="F27">
        <f>($E$33-$E$26)*ROWS($F$27:F27)/ROWS($E$27:$E$33)+$E$26</f>
        <v>70.471428571428547</v>
      </c>
      <c r="G27">
        <f t="shared" si="0"/>
        <v>1999.1904285714286</v>
      </c>
    </row>
    <row r="28" spans="1:7" x14ac:dyDescent="0.35">
      <c r="A28" t="s">
        <v>27</v>
      </c>
      <c r="B28">
        <v>-2.9015298899118611</v>
      </c>
      <c r="C28">
        <v>25.256875486413968</v>
      </c>
      <c r="F28">
        <f>($E$33-$E$26)*ROWS($F$27:F28)/ROWS($E$27:$E$33)+$E$26</f>
        <v>70.609523809523779</v>
      </c>
      <c r="G28">
        <f t="shared" si="0"/>
        <v>1999.3285238095239</v>
      </c>
    </row>
    <row r="29" spans="1:7" x14ac:dyDescent="0.35">
      <c r="A29" t="s">
        <v>28</v>
      </c>
      <c r="B29">
        <v>-2.6249534731519581</v>
      </c>
      <c r="C29">
        <v>24.99030570386855</v>
      </c>
      <c r="F29">
        <f>($E$33-$E$26)*ROWS($F$27:F29)/ROWS($E$27:$E$33)+$E$26</f>
        <v>70.747619047619025</v>
      </c>
      <c r="G29">
        <f t="shared" si="0"/>
        <v>1999.4666190476191</v>
      </c>
    </row>
    <row r="30" spans="1:7" x14ac:dyDescent="0.35">
      <c r="A30" t="s">
        <v>29</v>
      </c>
      <c r="B30">
        <v>-3.2152298569587012</v>
      </c>
      <c r="C30">
        <v>25.195772436337005</v>
      </c>
      <c r="F30">
        <f>($E$33-$E$26)*ROWS($F$27:F30)/ROWS($E$27:$E$33)+$E$26</f>
        <v>70.885714285714272</v>
      </c>
      <c r="G30">
        <f t="shared" si="0"/>
        <v>1999.6047142857144</v>
      </c>
    </row>
    <row r="31" spans="1:7" x14ac:dyDescent="0.35">
      <c r="A31" t="s">
        <v>30</v>
      </c>
      <c r="B31">
        <v>-3.3093169848439459</v>
      </c>
      <c r="C31">
        <v>25.452547172148265</v>
      </c>
      <c r="F31">
        <f>($E$33-$E$26)*ROWS($F$27:F31)/ROWS($E$27:$E$33)+$E$26</f>
        <v>71.023809523809518</v>
      </c>
      <c r="G31">
        <f t="shared" si="0"/>
        <v>1999.7428095238097</v>
      </c>
    </row>
    <row r="32" spans="1:7" x14ac:dyDescent="0.35">
      <c r="A32" t="s">
        <v>31</v>
      </c>
      <c r="B32">
        <v>-2.8267249187547501</v>
      </c>
      <c r="C32">
        <v>25.575291833281675</v>
      </c>
      <c r="F32">
        <f>($E$33-$E$26)*ROWS($F$27:F32)/ROWS($E$27:$E$33)+$E$26</f>
        <v>71.161904761904751</v>
      </c>
      <c r="G32">
        <f t="shared" si="0"/>
        <v>1999.8809047619047</v>
      </c>
    </row>
    <row r="33" spans="1:7" x14ac:dyDescent="0.35">
      <c r="A33" s="1" t="s">
        <v>32</v>
      </c>
      <c r="B33" s="1">
        <v>-2.9529624584051666</v>
      </c>
      <c r="C33" s="1">
        <v>25.400884106442252</v>
      </c>
      <c r="D33" s="1"/>
      <c r="E33" s="1">
        <v>71.3</v>
      </c>
      <c r="F33" s="1">
        <f>($E$33-$E$26)*ROWS($F$27:F33)/ROWS($E$27:$E$33)+$E$26</f>
        <v>71.3</v>
      </c>
      <c r="G33">
        <f t="shared" si="0"/>
        <v>2000.019</v>
      </c>
    </row>
    <row r="34" spans="1:7" x14ac:dyDescent="0.35">
      <c r="A34" t="s">
        <v>60</v>
      </c>
      <c r="B34">
        <v>-2.4605428539607912</v>
      </c>
      <c r="C34">
        <v>25.728149661647997</v>
      </c>
      <c r="E34">
        <v>67.5</v>
      </c>
      <c r="F34">
        <v>67.5</v>
      </c>
      <c r="G34">
        <f t="shared" si="0"/>
        <v>1996.2190000000001</v>
      </c>
    </row>
    <row r="35" spans="1:7" x14ac:dyDescent="0.35">
      <c r="A35" t="s">
        <v>59</v>
      </c>
      <c r="B35">
        <v>-2.6838394099894662</v>
      </c>
      <c r="C35">
        <v>25.279931664856488</v>
      </c>
      <c r="F35">
        <f>($E$40-$E$34)*ROWS($F35:F$35)/ROWS($E$35:$E$40)+$E$34</f>
        <v>67.638888888888886</v>
      </c>
      <c r="G35">
        <f t="shared" si="0"/>
        <v>1996.357888888889</v>
      </c>
    </row>
    <row r="36" spans="1:7" x14ac:dyDescent="0.35">
      <c r="A36" t="s">
        <v>58</v>
      </c>
      <c r="B36">
        <v>-3.2172649173258296</v>
      </c>
      <c r="C36">
        <v>25.524887896292263</v>
      </c>
      <c r="F36">
        <f>($E$40-$E$34)*ROWS($F$35:F36)/ROWS($E$35:$E$40)+$E$34</f>
        <v>67.777777777777771</v>
      </c>
      <c r="G36">
        <f t="shared" si="0"/>
        <v>1996.4967777777779</v>
      </c>
    </row>
    <row r="37" spans="1:7" x14ac:dyDescent="0.35">
      <c r="A37" t="s">
        <v>57</v>
      </c>
      <c r="B37">
        <v>-2.8721432720570701</v>
      </c>
      <c r="C37">
        <v>25.034847133575184</v>
      </c>
      <c r="F37">
        <f>($E$40-$E$34)*ROWS($F$35:F37)/ROWS($E$35:$E$40)+$E$34</f>
        <v>67.916666666666657</v>
      </c>
      <c r="G37">
        <f t="shared" si="0"/>
        <v>1996.6356666666668</v>
      </c>
    </row>
    <row r="38" spans="1:7" x14ac:dyDescent="0.35">
      <c r="A38" t="s">
        <v>56</v>
      </c>
      <c r="B38">
        <v>-2.3771001463561792</v>
      </c>
      <c r="C38">
        <v>25.036814895159541</v>
      </c>
      <c r="F38">
        <f>($E$40-$E$34)*ROWS($F$35:F38)/ROWS($E$35:$E$40)+$E$34</f>
        <v>68.055555555555529</v>
      </c>
      <c r="G38">
        <f t="shared" si="0"/>
        <v>1996.7745555555555</v>
      </c>
    </row>
    <row r="39" spans="1:7" x14ac:dyDescent="0.35">
      <c r="A39" t="s">
        <v>55</v>
      </c>
      <c r="B39">
        <v>-2.4870914159119781</v>
      </c>
      <c r="C39">
        <v>24.781936311716528</v>
      </c>
      <c r="F39">
        <f>($E$40-$E$34)*ROWS($F$35:F39)/ROWS($E$35:$E$40)+$E$34</f>
        <v>68.194444444444414</v>
      </c>
      <c r="G39">
        <f t="shared" si="0"/>
        <v>1996.9134444444444</v>
      </c>
    </row>
    <row r="40" spans="1:7" x14ac:dyDescent="0.35">
      <c r="A40" t="s">
        <v>54</v>
      </c>
      <c r="B40">
        <v>-2.3496207938395282</v>
      </c>
      <c r="C40">
        <v>25.158661457374233</v>
      </c>
      <c r="E40">
        <v>68.3333333333333</v>
      </c>
      <c r="F40">
        <v>68.3333333333333</v>
      </c>
      <c r="G40">
        <f t="shared" si="0"/>
        <v>1997.0523333333333</v>
      </c>
    </row>
    <row r="41" spans="1:7" x14ac:dyDescent="0.35">
      <c r="A41" t="s">
        <v>53</v>
      </c>
      <c r="B41">
        <v>-2.2442949484758539</v>
      </c>
      <c r="C41">
        <v>25.306410167085598</v>
      </c>
      <c r="F41">
        <f>($E$46-$E$40)*ROWS($F$41:F41)/ROWS($E$41:$E$46)+$E$40</f>
        <v>68.499999999999972</v>
      </c>
      <c r="G41">
        <f t="shared" si="0"/>
        <v>1997.2190000000001</v>
      </c>
    </row>
    <row r="42" spans="1:7" x14ac:dyDescent="0.35">
      <c r="A42" t="s">
        <v>52</v>
      </c>
      <c r="B42">
        <v>-2.5531859986444778</v>
      </c>
      <c r="C42">
        <v>25.47580325965243</v>
      </c>
      <c r="F42">
        <f>($E$46-$E$40)*ROWS($F$41:F42)/ROWS($E$41:$E$46)+$E$40</f>
        <v>68.666666666666629</v>
      </c>
      <c r="G42">
        <f t="shared" si="0"/>
        <v>1997.3856666666666</v>
      </c>
    </row>
    <row r="43" spans="1:7" x14ac:dyDescent="0.35">
      <c r="A43" t="s">
        <v>143</v>
      </c>
      <c r="F43">
        <f>($E$46-$E$40)*ROWS($F$41:F43)/ROWS($E$41:$E$46)+$E$40</f>
        <v>68.8333333333333</v>
      </c>
      <c r="G43">
        <f t="shared" si="0"/>
        <v>1997.5523333333333</v>
      </c>
    </row>
    <row r="44" spans="1:7" x14ac:dyDescent="0.35">
      <c r="A44" t="s">
        <v>51</v>
      </c>
      <c r="B44">
        <v>-3.5284399766030905</v>
      </c>
      <c r="C44">
        <v>25.484443607776811</v>
      </c>
      <c r="F44">
        <f>($E$46-$E$40)*ROWS($F$41:F44)/ROWS($E$41:$E$46)+$E$40</f>
        <v>68.999999999999972</v>
      </c>
      <c r="G44">
        <f t="shared" si="0"/>
        <v>1997.7190000000001</v>
      </c>
    </row>
    <row r="45" spans="1:7" x14ac:dyDescent="0.35">
      <c r="A45" t="s">
        <v>50</v>
      </c>
      <c r="B45">
        <v>-3.1793862694817849</v>
      </c>
      <c r="C45">
        <v>25.215263072560724</v>
      </c>
      <c r="F45">
        <f>($E$46-$E$40)*ROWS($F$41:F45)/ROWS($E$41:$E$46)+$E$40</f>
        <v>69.166666666666629</v>
      </c>
      <c r="G45">
        <f t="shared" si="0"/>
        <v>1997.8856666666666</v>
      </c>
    </row>
    <row r="46" spans="1:7" x14ac:dyDescent="0.35">
      <c r="A46" t="s">
        <v>49</v>
      </c>
      <c r="B46">
        <v>-2.7872738889241195</v>
      </c>
      <c r="C46">
        <v>25.062862747519546</v>
      </c>
      <c r="E46">
        <v>69.3333333333333</v>
      </c>
      <c r="F46">
        <f>($E$46-$E$40)*ROWS($F$41:F46)/ROWS($E$41:$E$46)+$E$40</f>
        <v>69.3333333333333</v>
      </c>
      <c r="G46">
        <f t="shared" si="0"/>
        <v>1998.0523333333333</v>
      </c>
    </row>
    <row r="47" spans="1:7" x14ac:dyDescent="0.35">
      <c r="A47" t="s">
        <v>48</v>
      </c>
      <c r="B47">
        <v>-2.7042363016240007</v>
      </c>
      <c r="C47">
        <v>24.88685127261099</v>
      </c>
      <c r="F47">
        <f>($E$54-$E$46)*ROWS($F$47:F47)/ROWS($E$47:$E$54)+$E$46</f>
        <v>69.4583333333333</v>
      </c>
      <c r="G47">
        <f t="shared" si="0"/>
        <v>1998.1773333333333</v>
      </c>
    </row>
    <row r="48" spans="1:7" x14ac:dyDescent="0.35">
      <c r="A48" t="s">
        <v>47</v>
      </c>
      <c r="B48">
        <v>-2.3601764619819194</v>
      </c>
      <c r="C48">
        <v>25.22619789931796</v>
      </c>
      <c r="F48">
        <f>($E$54-$E$46)*ROWS($F$47:F48)/ROWS($E$47:$E$54)+$E$46</f>
        <v>69.5833333333333</v>
      </c>
      <c r="G48">
        <f t="shared" si="0"/>
        <v>1998.3023333333333</v>
      </c>
    </row>
    <row r="49" spans="1:7" x14ac:dyDescent="0.35">
      <c r="A49" t="s">
        <v>46</v>
      </c>
      <c r="B49">
        <v>-2.4583035227992962</v>
      </c>
      <c r="C49">
        <v>24.865358064767317</v>
      </c>
      <c r="F49">
        <f>($E$54-$E$46)*ROWS($F$47:F49)/ROWS($E$47:$E$54)+$E$46</f>
        <v>69.7083333333333</v>
      </c>
      <c r="G49">
        <f t="shared" si="0"/>
        <v>1998.4273333333333</v>
      </c>
    </row>
    <row r="50" spans="1:7" x14ac:dyDescent="0.35">
      <c r="A50" t="s">
        <v>45</v>
      </c>
      <c r="B50">
        <v>-2.5543802280964689</v>
      </c>
      <c r="C50">
        <v>25.437513712341179</v>
      </c>
      <c r="F50">
        <f>($E$54-$E$46)*ROWS($F$47:F50)/ROWS($E$47:$E$54)+$E$46</f>
        <v>69.8333333333333</v>
      </c>
      <c r="G50">
        <f t="shared" si="0"/>
        <v>1998.5523333333333</v>
      </c>
    </row>
    <row r="51" spans="1:7" x14ac:dyDescent="0.35">
      <c r="A51" t="s">
        <v>44</v>
      </c>
      <c r="B51">
        <v>-2.9118414393610825</v>
      </c>
      <c r="C51">
        <v>25.444321560733858</v>
      </c>
      <c r="F51">
        <f>($E$54-$E$46)*ROWS($F$47:F51)/ROWS($E$47:$E$54)+$E$46</f>
        <v>69.9583333333333</v>
      </c>
      <c r="G51">
        <f t="shared" si="0"/>
        <v>1998.6773333333333</v>
      </c>
    </row>
    <row r="52" spans="1:7" x14ac:dyDescent="0.35">
      <c r="A52" t="s">
        <v>43</v>
      </c>
      <c r="B52">
        <v>-3.0510118359450797</v>
      </c>
      <c r="C52">
        <v>25.364823893268646</v>
      </c>
      <c r="F52">
        <f>($E$54-$E$46)*ROWS($F$47:F52)/ROWS($E$47:$E$54)+$E$46</f>
        <v>70.0833333333333</v>
      </c>
      <c r="G52">
        <f t="shared" si="0"/>
        <v>1998.8023333333333</v>
      </c>
    </row>
    <row r="53" spans="1:7" x14ac:dyDescent="0.35">
      <c r="A53" t="s">
        <v>42</v>
      </c>
      <c r="B53">
        <v>-3.0334286487204363</v>
      </c>
      <c r="C53">
        <v>25.329915892273704</v>
      </c>
      <c r="F53">
        <f>($E$54-$E$46)*ROWS($F$47:F53)/ROWS($E$47:$E$54)+$E$46</f>
        <v>70.2083333333333</v>
      </c>
      <c r="G53">
        <f t="shared" si="0"/>
        <v>1998.9273333333333</v>
      </c>
    </row>
    <row r="54" spans="1:7" x14ac:dyDescent="0.35">
      <c r="A54" t="s">
        <v>41</v>
      </c>
      <c r="B54">
        <v>-3.037003488247858</v>
      </c>
      <c r="C54">
        <v>25.229957383163736</v>
      </c>
      <c r="E54">
        <v>70.3333333333333</v>
      </c>
      <c r="F54">
        <f>($E$54-$E$46)*ROWS($F$47:F54)/ROWS($E$47:$E$54)+$E$46</f>
        <v>70.3333333333333</v>
      </c>
      <c r="G54">
        <f t="shared" si="0"/>
        <v>1999.0523333333333</v>
      </c>
    </row>
    <row r="55" spans="1:7" x14ac:dyDescent="0.35">
      <c r="A55" t="s">
        <v>40</v>
      </c>
      <c r="B55">
        <v>-2.6700101765848423</v>
      </c>
      <c r="C55">
        <v>25.152030642876934</v>
      </c>
      <c r="F55">
        <f>($E$62-$E$54)*ROWS($F$55:F55)/ROWS($E$55:$E$62)+$E$54</f>
        <v>70.454166666666637</v>
      </c>
      <c r="G55">
        <f t="shared" si="0"/>
        <v>1999.1731666666667</v>
      </c>
    </row>
    <row r="56" spans="1:7" x14ac:dyDescent="0.35">
      <c r="A56" t="s">
        <v>39</v>
      </c>
      <c r="B56">
        <v>-2.707925049791434</v>
      </c>
      <c r="C56">
        <v>25.306092898475335</v>
      </c>
      <c r="F56">
        <f>($E$62-$E$54)*ROWS($F$55:F56)/ROWS($E$55:$E$62)+$E$54</f>
        <v>70.574999999999974</v>
      </c>
      <c r="G56">
        <f t="shared" si="0"/>
        <v>1999.2940000000001</v>
      </c>
    </row>
    <row r="57" spans="1:7" x14ac:dyDescent="0.35">
      <c r="A57" t="s">
        <v>38</v>
      </c>
      <c r="B57">
        <v>-2.8216829520441444</v>
      </c>
      <c r="C57">
        <v>25.344156677841351</v>
      </c>
      <c r="F57">
        <f>($E$62-$E$54)*ROWS($F$55:F57)/ROWS($E$55:$E$62)+$E$54</f>
        <v>70.695833333333312</v>
      </c>
      <c r="G57">
        <f t="shared" si="0"/>
        <v>1999.4148333333333</v>
      </c>
    </row>
    <row r="58" spans="1:7" x14ac:dyDescent="0.35">
      <c r="A58" t="s">
        <v>37</v>
      </c>
      <c r="B58">
        <v>-2.9493385133862908</v>
      </c>
      <c r="C58">
        <v>25.185052437228098</v>
      </c>
      <c r="F58">
        <f>($E$62-$E$54)*ROWS($F$55:F58)/ROWS($E$55:$E$62)+$E$54</f>
        <v>70.816666666666649</v>
      </c>
      <c r="G58">
        <f t="shared" si="0"/>
        <v>1999.5356666666667</v>
      </c>
    </row>
    <row r="59" spans="1:7" x14ac:dyDescent="0.35">
      <c r="A59" t="s">
        <v>36</v>
      </c>
      <c r="B59">
        <v>-2.7889275767244253</v>
      </c>
      <c r="C59">
        <v>25.439792775101122</v>
      </c>
      <c r="F59">
        <f>($E$62-$E$54)*ROWS($F$55:F59)/ROWS($E$55:$E$62)+$E$54</f>
        <v>70.937499999999986</v>
      </c>
      <c r="G59">
        <f t="shared" si="0"/>
        <v>1999.6565000000001</v>
      </c>
    </row>
    <row r="60" spans="1:7" x14ac:dyDescent="0.35">
      <c r="A60" t="s">
        <v>35</v>
      </c>
      <c r="B60">
        <v>-2.8166116025394707</v>
      </c>
      <c r="C60">
        <v>25.304833769758734</v>
      </c>
      <c r="F60">
        <f>($E$62-$E$54)*ROWS($F$55:F60)/ROWS($E$55:$E$62)+$E$54</f>
        <v>71.058333333333323</v>
      </c>
      <c r="G60">
        <f t="shared" si="0"/>
        <v>1999.7773333333334</v>
      </c>
    </row>
    <row r="61" spans="1:7" x14ac:dyDescent="0.35">
      <c r="A61" t="s">
        <v>34</v>
      </c>
      <c r="B61">
        <v>-2.6338182218714254</v>
      </c>
      <c r="C61">
        <v>25.374667176766433</v>
      </c>
      <c r="F61">
        <f>($E$62-$E$54)*ROWS($F$55:F61)/ROWS($E$55:$E$62)+$E$54</f>
        <v>71.17916666666666</v>
      </c>
      <c r="G61">
        <f t="shared" si="0"/>
        <v>1999.8981666666666</v>
      </c>
    </row>
    <row r="62" spans="1:7" x14ac:dyDescent="0.35">
      <c r="A62" s="1" t="s">
        <v>33</v>
      </c>
      <c r="B62" s="1">
        <v>-2.1621203298124287</v>
      </c>
      <c r="C62" s="1">
        <v>25.356059720874743</v>
      </c>
      <c r="D62" s="1"/>
      <c r="E62" s="1">
        <v>71.3</v>
      </c>
      <c r="F62" s="1">
        <f>($E$62-$E$54)*ROWS($F$55:F62)/ROWS($E$55:$E$62)+$E$54</f>
        <v>71.3</v>
      </c>
      <c r="G62">
        <f t="shared" si="0"/>
        <v>2000.019</v>
      </c>
    </row>
    <row r="63" spans="1:7" x14ac:dyDescent="0.35">
      <c r="A63" t="s">
        <v>61</v>
      </c>
      <c r="B63">
        <v>-1.9497485381201023</v>
      </c>
      <c r="C63">
        <v>25.532837016566692</v>
      </c>
      <c r="F63">
        <v>67.19</v>
      </c>
      <c r="G63">
        <f t="shared" si="0"/>
        <v>1995.9090000000001</v>
      </c>
    </row>
    <row r="64" spans="1:7" x14ac:dyDescent="0.35">
      <c r="A64" t="s">
        <v>62</v>
      </c>
      <c r="B64">
        <v>-1.6949636894528228</v>
      </c>
      <c r="C64">
        <v>25.644607565331242</v>
      </c>
      <c r="F64">
        <v>67.28</v>
      </c>
      <c r="G64">
        <f t="shared" si="0"/>
        <v>1995.999</v>
      </c>
    </row>
    <row r="65" spans="1:7" x14ac:dyDescent="0.35">
      <c r="A65" t="s">
        <v>63</v>
      </c>
      <c r="B65">
        <v>-1.8716341788422395</v>
      </c>
      <c r="C65">
        <v>25.646968680317986</v>
      </c>
      <c r="D65" t="s">
        <v>146</v>
      </c>
      <c r="E65">
        <v>67.3333333333333</v>
      </c>
      <c r="F65">
        <v>67.3333333333333</v>
      </c>
      <c r="G65">
        <f t="shared" si="0"/>
        <v>1996.0523333333333</v>
      </c>
    </row>
    <row r="66" spans="1:7" x14ac:dyDescent="0.35">
      <c r="A66" t="s">
        <v>64</v>
      </c>
      <c r="B66">
        <v>-1.5385526365722724</v>
      </c>
      <c r="C66">
        <v>25.483592751049287</v>
      </c>
      <c r="F66">
        <f>($E$73-$E$65)*ROWS($F$66:F66)/ROWS($E$66:$E$73)+$E$65</f>
        <v>67.4583333333333</v>
      </c>
      <c r="G66">
        <f t="shared" si="0"/>
        <v>1996.1773333333333</v>
      </c>
    </row>
    <row r="67" spans="1:7" x14ac:dyDescent="0.35">
      <c r="A67" t="s">
        <v>65</v>
      </c>
      <c r="B67">
        <v>-1.4286080574837579</v>
      </c>
      <c r="C67">
        <v>25.104873487637402</v>
      </c>
      <c r="F67">
        <f>($E$73-$E$65)*ROWS($F$66:F67)/ROWS($E$66:$E$73)+$E$65</f>
        <v>67.5833333333333</v>
      </c>
      <c r="G67">
        <f t="shared" ref="G67:G130" si="1">2007.249-78.43+F67-0.1</f>
        <v>1996.3023333333333</v>
      </c>
    </row>
    <row r="68" spans="1:7" x14ac:dyDescent="0.35">
      <c r="A68" t="s">
        <v>66</v>
      </c>
      <c r="B68">
        <v>-1.5614313680453575</v>
      </c>
      <c r="C68">
        <v>25.589953322993967</v>
      </c>
      <c r="F68">
        <f>($E$73-$E$65)*ROWS($F$66:F68)/ROWS($E$66:$E$73)+$E$65</f>
        <v>67.7083333333333</v>
      </c>
      <c r="G68">
        <f t="shared" si="1"/>
        <v>1996.4273333333333</v>
      </c>
    </row>
    <row r="69" spans="1:7" x14ac:dyDescent="0.35">
      <c r="A69" t="s">
        <v>67</v>
      </c>
      <c r="B69">
        <v>-1.5542050119731208</v>
      </c>
      <c r="C69">
        <v>25.260933839279751</v>
      </c>
      <c r="F69">
        <f>($E$73-$E$65)*ROWS($F$66:F69)/ROWS($E$66:$E$73)+$E$65</f>
        <v>67.8333333333333</v>
      </c>
      <c r="G69">
        <f t="shared" si="1"/>
        <v>1996.5523333333333</v>
      </c>
    </row>
    <row r="70" spans="1:7" x14ac:dyDescent="0.35">
      <c r="A70" t="s">
        <v>68</v>
      </c>
      <c r="B70">
        <v>-1.7095041474754678</v>
      </c>
      <c r="C70">
        <v>25.527448920340639</v>
      </c>
      <c r="F70">
        <f>($E$73-$E$65)*ROWS($F$66:F70)/ROWS($E$66:$E$73)+$E$65</f>
        <v>67.9583333333333</v>
      </c>
      <c r="G70">
        <f t="shared" si="1"/>
        <v>1996.6773333333333</v>
      </c>
    </row>
    <row r="71" spans="1:7" x14ac:dyDescent="0.35">
      <c r="A71" t="s">
        <v>69</v>
      </c>
      <c r="B71">
        <v>-1.7865728012877855</v>
      </c>
      <c r="C71">
        <v>25.612085046347957</v>
      </c>
      <c r="F71">
        <f>($E$73-$E$65)*ROWS($F$66:F71)/ROWS($E$66:$E$73)+$E$65</f>
        <v>68.0833333333333</v>
      </c>
      <c r="G71">
        <f t="shared" si="1"/>
        <v>1996.8023333333333</v>
      </c>
    </row>
    <row r="72" spans="1:7" x14ac:dyDescent="0.35">
      <c r="A72" t="s">
        <v>70</v>
      </c>
      <c r="B72">
        <v>-1.7895301996357826</v>
      </c>
      <c r="C72">
        <v>25.605259792937478</v>
      </c>
      <c r="F72">
        <f>($E$73-$E$65)*ROWS($F$66:F72)/ROWS($E$66:$E$73)+$E$65</f>
        <v>68.2083333333333</v>
      </c>
      <c r="G72">
        <f t="shared" si="1"/>
        <v>1996.9273333333333</v>
      </c>
    </row>
    <row r="73" spans="1:7" x14ac:dyDescent="0.35">
      <c r="A73" t="s">
        <v>71</v>
      </c>
      <c r="B73">
        <v>-1.9657482744973809</v>
      </c>
      <c r="C73">
        <v>25.457218678926999</v>
      </c>
      <c r="E73">
        <v>68.3333333333333</v>
      </c>
      <c r="F73">
        <f>($E$73-$E$65)*ROWS($F$66:F73)/ROWS($E$66:$E$73)+$E$65</f>
        <v>68.3333333333333</v>
      </c>
      <c r="G73">
        <f t="shared" si="1"/>
        <v>1997.0523333333333</v>
      </c>
    </row>
    <row r="74" spans="1:7" x14ac:dyDescent="0.35">
      <c r="A74" t="s">
        <v>72</v>
      </c>
      <c r="B74">
        <v>-1.8997273500020606</v>
      </c>
      <c r="C74">
        <v>25.396602969348567</v>
      </c>
      <c r="F74">
        <f>($E$81-$E$73)*ROWS($F$74:F74)/ROWS($E$74:$E$81)+$E$73</f>
        <v>68.4583333333333</v>
      </c>
      <c r="G74">
        <f t="shared" si="1"/>
        <v>1997.1773333333333</v>
      </c>
    </row>
    <row r="75" spans="1:7" x14ac:dyDescent="0.35">
      <c r="A75" t="s">
        <v>73</v>
      </c>
      <c r="B75">
        <v>-1.6709233313540395</v>
      </c>
      <c r="C75">
        <v>25.44538823968216</v>
      </c>
      <c r="F75">
        <f>($E$81-$E$73)*ROWS($F$74:F75)/ROWS($E$74:$E$81)+$E$73</f>
        <v>68.5833333333333</v>
      </c>
      <c r="G75">
        <f t="shared" si="1"/>
        <v>1997.3023333333333</v>
      </c>
    </row>
    <row r="76" spans="1:7" x14ac:dyDescent="0.35">
      <c r="A76" t="s">
        <v>74</v>
      </c>
      <c r="B76">
        <v>-8.8895134476374316E-2</v>
      </c>
      <c r="C76">
        <v>24.622614259737606</v>
      </c>
      <c r="F76">
        <f>($E$81-$E$73)*ROWS($F$74:F76)/ROWS($E$74:$E$81)+$E$73</f>
        <v>68.7083333333333</v>
      </c>
      <c r="G76">
        <f t="shared" si="1"/>
        <v>1997.4273333333333</v>
      </c>
    </row>
    <row r="77" spans="1:7" x14ac:dyDescent="0.35">
      <c r="A77" t="s">
        <v>75</v>
      </c>
      <c r="B77">
        <v>-1.9756949540449407</v>
      </c>
      <c r="C77">
        <v>25.415451111772182</v>
      </c>
      <c r="F77">
        <f>($E$81-$E$73)*ROWS($F$74:F77)/ROWS($E$74:$E$81)+$E$73</f>
        <v>68.8333333333333</v>
      </c>
      <c r="G77">
        <f t="shared" si="1"/>
        <v>1997.5523333333333</v>
      </c>
    </row>
    <row r="78" spans="1:7" x14ac:dyDescent="0.35">
      <c r="A78" t="s">
        <v>76</v>
      </c>
      <c r="B78">
        <v>-2.3241026422008111</v>
      </c>
      <c r="C78">
        <v>25.188084888615865</v>
      </c>
      <c r="F78">
        <f>($E$81-$E$73)*ROWS($F$74:F78)/ROWS($E$74:$E$81)+$E$73</f>
        <v>68.9583333333333</v>
      </c>
      <c r="G78">
        <f t="shared" si="1"/>
        <v>1997.6773333333333</v>
      </c>
    </row>
    <row r="79" spans="1:7" x14ac:dyDescent="0.35">
      <c r="A79" t="s">
        <v>77</v>
      </c>
      <c r="B79">
        <v>-2.0182553274942552</v>
      </c>
      <c r="C79">
        <v>25.629035047258441</v>
      </c>
      <c r="F79">
        <f>($E$81-$E$73)*ROWS($F$74:F79)/ROWS($E$74:$E$81)+$E$73</f>
        <v>69.0833333333333</v>
      </c>
      <c r="G79">
        <f t="shared" si="1"/>
        <v>1997.8023333333333</v>
      </c>
    </row>
    <row r="80" spans="1:7" x14ac:dyDescent="0.35">
      <c r="A80" t="s">
        <v>78</v>
      </c>
      <c r="B80">
        <v>-1.6790227186636781</v>
      </c>
      <c r="C80">
        <v>25.532244251388892</v>
      </c>
      <c r="F80">
        <f>($E$81-$E$73)*ROWS($F$74:F80)/ROWS($E$74:$E$81)+$E$73</f>
        <v>69.2083333333333</v>
      </c>
      <c r="G80">
        <f t="shared" si="1"/>
        <v>1997.9273333333333</v>
      </c>
    </row>
    <row r="81" spans="1:7" x14ac:dyDescent="0.35">
      <c r="A81" t="s">
        <v>79</v>
      </c>
      <c r="B81">
        <v>-1.7924719003266754</v>
      </c>
      <c r="C81">
        <v>25.09610832067105</v>
      </c>
      <c r="E81">
        <v>69.3333333333333</v>
      </c>
      <c r="F81">
        <f>($E$81-$E$73)*ROWS($F$74:F81)/ROWS($E$74:$E$81)+$E$73</f>
        <v>69.3333333333333</v>
      </c>
      <c r="G81">
        <f t="shared" si="1"/>
        <v>1998.0523333333333</v>
      </c>
    </row>
    <row r="82" spans="1:7" x14ac:dyDescent="0.35">
      <c r="A82" t="s">
        <v>80</v>
      </c>
      <c r="B82">
        <v>-2.1289449415391695</v>
      </c>
      <c r="C82">
        <v>25.16814023007057</v>
      </c>
      <c r="F82">
        <f>($E$86-$E$81)*ROWS($F$82:F82)/ROWS($E$82:$E$86)+$E$81</f>
        <v>69.526666666666642</v>
      </c>
      <c r="G82">
        <f t="shared" si="1"/>
        <v>1998.2456666666667</v>
      </c>
    </row>
    <row r="83" spans="1:7" x14ac:dyDescent="0.35">
      <c r="A83" t="s">
        <v>81</v>
      </c>
      <c r="B83">
        <v>-1.83311917212944</v>
      </c>
      <c r="C83">
        <v>25.129080883686136</v>
      </c>
      <c r="F83">
        <f>($E$86-$E$81)*ROWS($F$82:F83)/ROWS($E$82:$E$86)+$E$81</f>
        <v>69.719999999999985</v>
      </c>
      <c r="G83">
        <f t="shared" si="1"/>
        <v>1998.4390000000001</v>
      </c>
    </row>
    <row r="84" spans="1:7" x14ac:dyDescent="0.35">
      <c r="A84" t="s">
        <v>82</v>
      </c>
      <c r="B84">
        <v>-2.3940079318213208</v>
      </c>
      <c r="C84">
        <v>25.321544575995954</v>
      </c>
      <c r="F84">
        <f>($E$86-$E$81)*ROWS($F$82:F84)/ROWS($E$82:$E$86)+$E$81</f>
        <v>69.913333333333313</v>
      </c>
      <c r="G84">
        <f t="shared" si="1"/>
        <v>1998.6323333333335</v>
      </c>
    </row>
    <row r="85" spans="1:7" x14ac:dyDescent="0.35">
      <c r="A85" t="s">
        <v>83</v>
      </c>
      <c r="B85">
        <v>-2.6281213811067605</v>
      </c>
      <c r="C85">
        <v>25.528007372769054</v>
      </c>
      <c r="F85">
        <f>($E$86-$E$81)*ROWS($F$82:F85)/ROWS($E$82:$E$86)+$E$81</f>
        <v>70.106666666666655</v>
      </c>
      <c r="G85">
        <f t="shared" si="1"/>
        <v>1998.8256666666666</v>
      </c>
    </row>
    <row r="86" spans="1:7" x14ac:dyDescent="0.35">
      <c r="A86" s="1" t="s">
        <v>84</v>
      </c>
      <c r="B86" s="1">
        <v>-1.8438698534735458</v>
      </c>
      <c r="C86" s="1">
        <v>25.625131350407997</v>
      </c>
      <c r="D86" s="1"/>
      <c r="E86" s="1">
        <v>70.3</v>
      </c>
      <c r="F86" s="1">
        <f>($E$86-$E$81)*ROWS($F$82:F86)/ROWS($E$82:$E$86)+$E$81</f>
        <v>70.3</v>
      </c>
      <c r="G86">
        <f t="shared" si="1"/>
        <v>1999.019</v>
      </c>
    </row>
    <row r="87" spans="1:7" x14ac:dyDescent="0.35">
      <c r="A87" t="s">
        <v>85</v>
      </c>
      <c r="B87">
        <v>-1.4168044256015966</v>
      </c>
      <c r="C87">
        <v>25.506440566564368</v>
      </c>
      <c r="E87">
        <v>66.3333333333333</v>
      </c>
      <c r="F87">
        <v>66.3333333333333</v>
      </c>
      <c r="G87">
        <f t="shared" si="1"/>
        <v>1995.0523333333333</v>
      </c>
    </row>
    <row r="88" spans="1:7" x14ac:dyDescent="0.35">
      <c r="A88" t="s">
        <v>86</v>
      </c>
      <c r="B88">
        <v>-1.3708145165790788</v>
      </c>
      <c r="C88">
        <v>25.439292505160797</v>
      </c>
      <c r="F88">
        <f>($E$93-$E$87)*ROWS($F88:F$88)/ROWS($E$88:$E$93)+$E$87</f>
        <v>66.499999999999972</v>
      </c>
      <c r="G88">
        <f t="shared" si="1"/>
        <v>1995.2190000000001</v>
      </c>
    </row>
    <row r="89" spans="1:7" x14ac:dyDescent="0.35">
      <c r="A89" t="s">
        <v>87</v>
      </c>
      <c r="B89">
        <v>-1.636409415934641</v>
      </c>
      <c r="C89">
        <v>25.499643161182377</v>
      </c>
      <c r="F89">
        <f>($E$93-$E$87)*ROWS($F$88:F89)/ROWS($E$88:$E$93)+$E$87</f>
        <v>66.666666666666629</v>
      </c>
      <c r="G89">
        <f t="shared" si="1"/>
        <v>1995.3856666666666</v>
      </c>
    </row>
    <row r="90" spans="1:7" x14ac:dyDescent="0.35">
      <c r="A90" t="s">
        <v>88</v>
      </c>
      <c r="B90">
        <v>-1.5220694928569967</v>
      </c>
      <c r="C90">
        <v>25.555213902028616</v>
      </c>
      <c r="F90">
        <f>($E$93-$E$87)*ROWS($F$88:F90)/ROWS($E$88:$E$93)+$E$87</f>
        <v>66.8333333333333</v>
      </c>
      <c r="G90">
        <f t="shared" si="1"/>
        <v>1995.5523333333333</v>
      </c>
    </row>
    <row r="91" spans="1:7" x14ac:dyDescent="0.35">
      <c r="A91" t="s">
        <v>89</v>
      </c>
      <c r="B91">
        <v>-1.4474148569544596</v>
      </c>
      <c r="C91">
        <v>25.612927449209696</v>
      </c>
      <c r="F91">
        <f>($E$93-$E$87)*ROWS($F$88:F91)/ROWS($E$88:$E$93)+$E$87</f>
        <v>66.999999999999972</v>
      </c>
      <c r="G91">
        <f t="shared" si="1"/>
        <v>1995.7190000000001</v>
      </c>
    </row>
    <row r="92" spans="1:7" x14ac:dyDescent="0.35">
      <c r="A92" t="s">
        <v>90</v>
      </c>
      <c r="B92">
        <v>-1.1921804112875596</v>
      </c>
      <c r="C92">
        <v>25.331481349303658</v>
      </c>
      <c r="F92">
        <f>($E$93-$E$87)*ROWS($F$88:F92)/ROWS($E$88:$E$93)+$E$87</f>
        <v>67.166666666666629</v>
      </c>
      <c r="G92">
        <f t="shared" si="1"/>
        <v>1995.8856666666666</v>
      </c>
    </row>
    <row r="93" spans="1:7" x14ac:dyDescent="0.35">
      <c r="A93" t="s">
        <v>91</v>
      </c>
      <c r="B93">
        <v>-1.2116432923244038</v>
      </c>
      <c r="C93">
        <v>25.549293709543967</v>
      </c>
      <c r="D93" t="s">
        <v>146</v>
      </c>
      <c r="E93">
        <v>67.3333333333333</v>
      </c>
      <c r="F93">
        <f>($E$93-$E$87)*ROWS($F$88:F93)/ROWS($E$88:$E$93)+$E$87</f>
        <v>67.3333333333333</v>
      </c>
      <c r="G93">
        <f t="shared" si="1"/>
        <v>1996.0523333333333</v>
      </c>
    </row>
    <row r="94" spans="1:7" x14ac:dyDescent="0.35">
      <c r="A94" t="s">
        <v>92</v>
      </c>
      <c r="B94">
        <v>-1.2621883394352889</v>
      </c>
      <c r="C94">
        <v>25.436839889509031</v>
      </c>
      <c r="F94">
        <f>($E$102-$E$93)*ROWS($F$94:F94)/ROWS($E$94:$E$102)+$E$93</f>
        <v>67.444444444444414</v>
      </c>
      <c r="G94">
        <f t="shared" si="1"/>
        <v>1996.1634444444444</v>
      </c>
    </row>
    <row r="95" spans="1:7" x14ac:dyDescent="0.35">
      <c r="A95" t="s">
        <v>93</v>
      </c>
      <c r="B95">
        <v>-1.4771168367154304</v>
      </c>
      <c r="C95">
        <v>25.514639324522747</v>
      </c>
      <c r="F95">
        <f>($E$102-$E$93)*ROWS($F$94:F95)/ROWS($E$94:$E$102)+$E$93</f>
        <v>67.555555555555529</v>
      </c>
      <c r="G95">
        <f t="shared" si="1"/>
        <v>1996.2745555555555</v>
      </c>
    </row>
    <row r="96" spans="1:7" x14ac:dyDescent="0.35">
      <c r="A96" t="s">
        <v>94</v>
      </c>
      <c r="B96">
        <v>-1.7200765195350343</v>
      </c>
      <c r="C96">
        <v>25.577603716932334</v>
      </c>
      <c r="F96">
        <f>($E$102-$E$93)*ROWS($F$94:F96)/ROWS($E$94:$E$102)+$E$93</f>
        <v>67.666666666666629</v>
      </c>
      <c r="G96">
        <f t="shared" si="1"/>
        <v>1996.3856666666666</v>
      </c>
    </row>
    <row r="97" spans="1:7" x14ac:dyDescent="0.35">
      <c r="A97" t="s">
        <v>95</v>
      </c>
      <c r="B97">
        <v>-1.8883564099503314</v>
      </c>
      <c r="C97">
        <v>25.471713577754592</v>
      </c>
      <c r="F97">
        <f>($E$102-$E$93)*ROWS($F$94:F97)/ROWS($E$94:$E$102)+$E$93</f>
        <v>67.777777777777743</v>
      </c>
      <c r="G97">
        <f t="shared" si="1"/>
        <v>1996.4967777777779</v>
      </c>
    </row>
    <row r="98" spans="1:7" x14ac:dyDescent="0.35">
      <c r="A98" t="s">
        <v>96</v>
      </c>
      <c r="B98">
        <v>-1.6596852176316514</v>
      </c>
      <c r="C98">
        <v>25.457751272471814</v>
      </c>
      <c r="F98">
        <f>($E$102-$E$93)*ROWS($F$94:F98)/ROWS($E$94:$E$102)+$E$93</f>
        <v>67.888888888888857</v>
      </c>
      <c r="G98">
        <f t="shared" si="1"/>
        <v>1996.607888888889</v>
      </c>
    </row>
    <row r="99" spans="1:7" x14ac:dyDescent="0.35">
      <c r="A99" t="s">
        <v>97</v>
      </c>
      <c r="B99">
        <v>-1.6577533995477856</v>
      </c>
      <c r="C99">
        <v>25.505956209783186</v>
      </c>
      <c r="F99">
        <f>($E$102-$E$93)*ROWS($F$94:F99)/ROWS($E$94:$E$102)+$E$93</f>
        <v>67.999999999999972</v>
      </c>
      <c r="G99">
        <f t="shared" si="1"/>
        <v>1996.7190000000001</v>
      </c>
    </row>
    <row r="100" spans="1:7" x14ac:dyDescent="0.35">
      <c r="A100" t="s">
        <v>98</v>
      </c>
      <c r="B100">
        <v>-1.7381972508894834</v>
      </c>
      <c r="C100">
        <v>25.464852022449829</v>
      </c>
      <c r="F100">
        <f>($E$102-$E$93)*ROWS($F$94:F100)/ROWS($E$94:$E$102)+$E$93</f>
        <v>68.111111111111072</v>
      </c>
      <c r="G100">
        <f t="shared" si="1"/>
        <v>1996.8301111111111</v>
      </c>
    </row>
    <row r="101" spans="1:7" x14ac:dyDescent="0.35">
      <c r="A101" t="s">
        <v>99</v>
      </c>
      <c r="B101">
        <v>-1.6769081637509595</v>
      </c>
      <c r="C101">
        <v>25.330799072605721</v>
      </c>
      <c r="F101">
        <f>($E$102-$E$93)*ROWS($F$94:F101)/ROWS($E$94:$E$102)+$E$93</f>
        <v>68.222222222222186</v>
      </c>
      <c r="G101">
        <f t="shared" si="1"/>
        <v>1996.9412222222222</v>
      </c>
    </row>
    <row r="102" spans="1:7" x14ac:dyDescent="0.35">
      <c r="A102" t="s">
        <v>100</v>
      </c>
      <c r="B102">
        <v>-1.9671544223202768</v>
      </c>
      <c r="C102">
        <v>25.278239897125889</v>
      </c>
      <c r="E102">
        <v>68.3333333333333</v>
      </c>
      <c r="F102">
        <f>($E$102-$E$93)*ROWS($F$94:F102)/ROWS($E$94:$E$102)+$E$93</f>
        <v>68.3333333333333</v>
      </c>
      <c r="G102">
        <f t="shared" si="1"/>
        <v>1997.0523333333333</v>
      </c>
    </row>
    <row r="103" spans="1:7" x14ac:dyDescent="0.35">
      <c r="A103" t="s">
        <v>101</v>
      </c>
      <c r="B103">
        <v>-1.864843734632661</v>
      </c>
      <c r="C103">
        <v>25.333484418209842</v>
      </c>
      <c r="F103">
        <f>($E$108-$E$102)*ROWS($F$103:F103)/ROWS($E$103:$E$108)+$E$102</f>
        <v>68.499999999999972</v>
      </c>
      <c r="G103">
        <f t="shared" si="1"/>
        <v>1997.2190000000001</v>
      </c>
    </row>
    <row r="104" spans="1:7" x14ac:dyDescent="0.35">
      <c r="A104" t="s">
        <v>102</v>
      </c>
      <c r="B104">
        <v>-2.2452134626684539</v>
      </c>
      <c r="C104">
        <v>25.412027296126926</v>
      </c>
      <c r="F104">
        <f>($E$108-$E$102)*ROWS($F$103:F104)/ROWS($E$103:$E$108)+$E$102</f>
        <v>68.666666666666629</v>
      </c>
      <c r="G104">
        <f t="shared" si="1"/>
        <v>1997.3856666666666</v>
      </c>
    </row>
    <row r="105" spans="1:7" x14ac:dyDescent="0.35">
      <c r="A105" t="s">
        <v>103</v>
      </c>
      <c r="B105">
        <v>-2.5116383253303876</v>
      </c>
      <c r="C105">
        <v>25.543165651418114</v>
      </c>
      <c r="F105">
        <f>($E$108-$E$102)*ROWS($F$103:F105)/ROWS($E$103:$E$108)+$E$102</f>
        <v>68.8333333333333</v>
      </c>
      <c r="G105">
        <f t="shared" si="1"/>
        <v>1997.5523333333333</v>
      </c>
    </row>
    <row r="106" spans="1:7" x14ac:dyDescent="0.35">
      <c r="A106" t="s">
        <v>104</v>
      </c>
      <c r="B106">
        <v>-2.0034514305850819</v>
      </c>
      <c r="C106">
        <v>25.632642361519984</v>
      </c>
      <c r="F106">
        <f>($E$108-$E$102)*ROWS($F$103:F106)/ROWS($E$103:$E$108)+$E$102</f>
        <v>68.999999999999972</v>
      </c>
      <c r="G106">
        <f t="shared" si="1"/>
        <v>1997.7190000000001</v>
      </c>
    </row>
    <row r="107" spans="1:7" x14ac:dyDescent="0.35">
      <c r="A107" t="s">
        <v>105</v>
      </c>
      <c r="B107">
        <v>-1.7654365097532483</v>
      </c>
      <c r="C107">
        <v>25.551705050439224</v>
      </c>
      <c r="F107">
        <f>($E$108-$E$102)*ROWS($F$103:F107)/ROWS($E$103:$E$108)+$E$102</f>
        <v>69.166666666666629</v>
      </c>
      <c r="G107">
        <f t="shared" si="1"/>
        <v>1997.8856666666666</v>
      </c>
    </row>
    <row r="108" spans="1:7" x14ac:dyDescent="0.35">
      <c r="A108" t="s">
        <v>106</v>
      </c>
      <c r="B108">
        <v>-1.9180750936284769</v>
      </c>
      <c r="C108">
        <v>25.269805425497822</v>
      </c>
      <c r="E108">
        <v>69.3333333333333</v>
      </c>
      <c r="F108">
        <f>($E$108-$E$102)*ROWS($F$103:F108)/ROWS($E$103:$E$108)+$E$102</f>
        <v>69.3333333333333</v>
      </c>
      <c r="G108">
        <f t="shared" si="1"/>
        <v>1998.0523333333333</v>
      </c>
    </row>
    <row r="109" spans="1:7" x14ac:dyDescent="0.35">
      <c r="A109" t="s">
        <v>107</v>
      </c>
      <c r="B109">
        <v>-1.8699704284412269</v>
      </c>
      <c r="C109">
        <v>25.284291373173406</v>
      </c>
      <c r="F109">
        <f>F108+1/7</f>
        <v>69.476190476190439</v>
      </c>
      <c r="G109">
        <f t="shared" si="1"/>
        <v>1998.1951904761904</v>
      </c>
    </row>
    <row r="110" spans="1:7" x14ac:dyDescent="0.35">
      <c r="A110" s="1" t="s">
        <v>108</v>
      </c>
      <c r="B110" s="1">
        <v>-2.0721765783945925</v>
      </c>
      <c r="C110" s="1">
        <v>25.152630370061861</v>
      </c>
      <c r="D110" s="1"/>
      <c r="E110" s="1"/>
      <c r="F110">
        <f>F109+1/7</f>
        <v>69.619047619047578</v>
      </c>
      <c r="G110">
        <f t="shared" si="1"/>
        <v>1998.3380476190475</v>
      </c>
    </row>
    <row r="111" spans="1:7" x14ac:dyDescent="0.35">
      <c r="A111" t="s">
        <v>109</v>
      </c>
      <c r="B111">
        <v>-1.6140257644163758</v>
      </c>
      <c r="C111">
        <v>25.793148949282049</v>
      </c>
      <c r="F111">
        <v>66.23</v>
      </c>
      <c r="G111">
        <f t="shared" si="1"/>
        <v>1994.9490000000001</v>
      </c>
    </row>
    <row r="112" spans="1:7" x14ac:dyDescent="0.35">
      <c r="A112" t="s">
        <v>110</v>
      </c>
      <c r="B112">
        <v>-1.492244749367392</v>
      </c>
      <c r="C112">
        <v>25.585242530603626</v>
      </c>
      <c r="F112">
        <v>66.28</v>
      </c>
      <c r="G112">
        <f t="shared" si="1"/>
        <v>1994.999</v>
      </c>
    </row>
    <row r="113" spans="1:7" x14ac:dyDescent="0.35">
      <c r="A113" t="s">
        <v>111</v>
      </c>
      <c r="B113">
        <v>-1.6130887350384735</v>
      </c>
      <c r="C113">
        <v>25.524725780983566</v>
      </c>
      <c r="E113">
        <v>66.3333333333333</v>
      </c>
      <c r="F113">
        <v>66.3333333333333</v>
      </c>
      <c r="G113">
        <f t="shared" si="1"/>
        <v>1995.0523333333333</v>
      </c>
    </row>
    <row r="114" spans="1:7" x14ac:dyDescent="0.35">
      <c r="A114" t="s">
        <v>112</v>
      </c>
      <c r="B114">
        <v>-1.9232778606983922</v>
      </c>
      <c r="C114">
        <v>25.444104743940631</v>
      </c>
      <c r="F114">
        <f>($E$118-$E$113)*ROWS($F$114:F114)/ROWS($E$114:$E$118)+$E$113</f>
        <v>66.533333333333303</v>
      </c>
      <c r="G114">
        <f t="shared" si="1"/>
        <v>1995.2523333333334</v>
      </c>
    </row>
    <row r="115" spans="1:7" x14ac:dyDescent="0.35">
      <c r="A115" t="s">
        <v>113</v>
      </c>
      <c r="B115">
        <v>-1.9714207637683323</v>
      </c>
      <c r="C115">
        <v>25.489093233961729</v>
      </c>
      <c r="F115">
        <f>($E$118-$E$113)*ROWS($F$114:F115)/ROWS($E$114:$E$118)+$E$113</f>
        <v>66.733333333333306</v>
      </c>
      <c r="G115">
        <f t="shared" si="1"/>
        <v>1995.4523333333334</v>
      </c>
    </row>
    <row r="116" spans="1:7" x14ac:dyDescent="0.35">
      <c r="A116" t="s">
        <v>114</v>
      </c>
      <c r="B116">
        <v>-2.0474588060161656</v>
      </c>
      <c r="C116">
        <v>25.587809024800457</v>
      </c>
      <c r="F116">
        <f>($E$118-$E$113)*ROWS($F$114:F116)/ROWS($E$114:$E$118)+$E$113</f>
        <v>66.933333333333294</v>
      </c>
      <c r="G116">
        <f t="shared" si="1"/>
        <v>1995.6523333333334</v>
      </c>
    </row>
    <row r="117" spans="1:7" x14ac:dyDescent="0.35">
      <c r="A117" t="s">
        <v>115</v>
      </c>
      <c r="B117">
        <v>-1.6477733121658749</v>
      </c>
      <c r="C117">
        <v>25.340281823591837</v>
      </c>
      <c r="F117">
        <f>($E$118-$E$113)*ROWS($F$114:F117)/ROWS($E$114:$E$118)+$E$113</f>
        <v>67.133333333333297</v>
      </c>
      <c r="G117">
        <f t="shared" si="1"/>
        <v>1995.8523333333333</v>
      </c>
    </row>
    <row r="118" spans="1:7" x14ac:dyDescent="0.35">
      <c r="A118" t="s">
        <v>116</v>
      </c>
      <c r="B118">
        <v>-1.8113994510058693</v>
      </c>
      <c r="C118">
        <v>25.325657133060052</v>
      </c>
      <c r="D118" t="s">
        <v>146</v>
      </c>
      <c r="E118">
        <v>67.3333333333333</v>
      </c>
      <c r="F118">
        <f>($E$118-$E$113)*ROWS($F$114:F118)/ROWS($E$114:$E$118)+$E$113</f>
        <v>67.3333333333333</v>
      </c>
      <c r="G118">
        <f t="shared" si="1"/>
        <v>1996.0523333333333</v>
      </c>
    </row>
    <row r="119" spans="1:7" x14ac:dyDescent="0.35">
      <c r="A119" t="s">
        <v>117</v>
      </c>
      <c r="B119">
        <v>-1.7275580631612182</v>
      </c>
      <c r="C119">
        <v>25.367210867138979</v>
      </c>
      <c r="F119">
        <f>($E$125-$E$118)*ROWS($F$119:F119)/ROWS($E$119:$E$125)+$E$118</f>
        <v>67.476190476190439</v>
      </c>
      <c r="G119">
        <f t="shared" si="1"/>
        <v>1996.1951904761904</v>
      </c>
    </row>
    <row r="120" spans="1:7" x14ac:dyDescent="0.35">
      <c r="A120" t="s">
        <v>118</v>
      </c>
      <c r="B120">
        <v>-1.8867244573675541</v>
      </c>
      <c r="C120">
        <v>25.43820891848091</v>
      </c>
      <c r="F120">
        <f>($E$125-$E$118)*ROWS($F$119:F120)/ROWS($E$119:$E$125)+$E$118</f>
        <v>67.619047619047592</v>
      </c>
      <c r="G120">
        <f t="shared" si="1"/>
        <v>1996.3380476190478</v>
      </c>
    </row>
    <row r="121" spans="1:7" x14ac:dyDescent="0.35">
      <c r="A121" t="s">
        <v>119</v>
      </c>
      <c r="B121">
        <v>-2.3403048381043274</v>
      </c>
      <c r="C121">
        <v>25.478436887489366</v>
      </c>
      <c r="F121">
        <f>($E$125-$E$118)*ROWS($F$119:F121)/ROWS($E$119:$E$125)+$E$118</f>
        <v>67.761904761904731</v>
      </c>
      <c r="G121">
        <f t="shared" si="1"/>
        <v>1996.4809047619049</v>
      </c>
    </row>
    <row r="122" spans="1:7" x14ac:dyDescent="0.35">
      <c r="A122" t="s">
        <v>120</v>
      </c>
      <c r="B122">
        <v>-2.2594190373395464</v>
      </c>
      <c r="C122">
        <v>25.550693072975449</v>
      </c>
      <c r="F122">
        <f>($E$125-$E$118)*ROWS($F$119:F122)/ROWS($E$119:$E$125)+$E$118</f>
        <v>67.90476190476187</v>
      </c>
      <c r="G122">
        <f t="shared" si="1"/>
        <v>1996.623761904762</v>
      </c>
    </row>
    <row r="123" spans="1:7" x14ac:dyDescent="0.35">
      <c r="A123" t="s">
        <v>121</v>
      </c>
      <c r="B123">
        <v>-1.9235167468391943</v>
      </c>
      <c r="C123">
        <v>25.497686339894926</v>
      </c>
      <c r="F123">
        <f>($E$125-$E$118)*ROWS($F$119:F123)/ROWS($E$119:$E$125)+$E$118</f>
        <v>68.047619047619008</v>
      </c>
      <c r="G123">
        <f t="shared" si="1"/>
        <v>1996.7666190476191</v>
      </c>
    </row>
    <row r="124" spans="1:7" x14ac:dyDescent="0.35">
      <c r="A124" t="s">
        <v>122</v>
      </c>
      <c r="B124">
        <v>-2.0394912387757991</v>
      </c>
      <c r="C124">
        <v>25.364234111808184</v>
      </c>
      <c r="F124">
        <f>($E$125-$E$118)*ROWS($F$119:F124)/ROWS($E$119:$E$125)+$E$118</f>
        <v>68.190476190476161</v>
      </c>
      <c r="G124">
        <f t="shared" si="1"/>
        <v>1996.9094761904762</v>
      </c>
    </row>
    <row r="125" spans="1:7" x14ac:dyDescent="0.35">
      <c r="A125" t="s">
        <v>123</v>
      </c>
      <c r="B125">
        <v>-1.7912760608585709</v>
      </c>
      <c r="C125">
        <v>25.457860178154647</v>
      </c>
      <c r="E125">
        <v>68.3333333333333</v>
      </c>
      <c r="F125">
        <f>($E$125-$E$118)*ROWS($F$119:F125)/ROWS($E$119:$E$125)+$E$118</f>
        <v>68.3333333333333</v>
      </c>
      <c r="G125">
        <f t="shared" si="1"/>
        <v>1997.0523333333333</v>
      </c>
    </row>
    <row r="126" spans="1:7" x14ac:dyDescent="0.35">
      <c r="A126" t="s">
        <v>124</v>
      </c>
      <c r="B126">
        <v>-2.1568505458217988</v>
      </c>
      <c r="C126">
        <v>25.330311732107194</v>
      </c>
      <c r="F126">
        <f>($E$131-$E$125)*ROWS($F$126:F126)/ROWS($E$126:$E$131)+$E$125</f>
        <v>68.499999999999972</v>
      </c>
      <c r="G126">
        <f t="shared" si="1"/>
        <v>1997.2190000000001</v>
      </c>
    </row>
    <row r="127" spans="1:7" x14ac:dyDescent="0.35">
      <c r="A127" t="s">
        <v>125</v>
      </c>
      <c r="B127">
        <v>-2.3411082361448319</v>
      </c>
      <c r="C127">
        <v>25.422756246387845</v>
      </c>
      <c r="F127">
        <f>($E$131-$E$125)*ROWS($F$126:F127)/ROWS($E$126:$E$131)+$E$125</f>
        <v>68.666666666666629</v>
      </c>
      <c r="G127">
        <f t="shared" si="1"/>
        <v>1997.3856666666666</v>
      </c>
    </row>
    <row r="128" spans="1:7" x14ac:dyDescent="0.35">
      <c r="A128" t="s">
        <v>126</v>
      </c>
      <c r="B128">
        <v>-2.9010672115313212</v>
      </c>
      <c r="C128">
        <v>25.469830852114367</v>
      </c>
      <c r="F128">
        <f>($E$131-$E$125)*ROWS($F$126:F128)/ROWS($E$126:$E$131)+$E$125</f>
        <v>68.8333333333333</v>
      </c>
      <c r="G128">
        <f t="shared" si="1"/>
        <v>1997.5523333333333</v>
      </c>
    </row>
    <row r="129" spans="1:7" x14ac:dyDescent="0.35">
      <c r="A129" t="s">
        <v>127</v>
      </c>
      <c r="B129">
        <v>-2.4748880975297065</v>
      </c>
      <c r="C129">
        <v>25.578229800287076</v>
      </c>
      <c r="F129">
        <f>($E$131-$E$125)*ROWS($F$126:F129)/ROWS($E$126:$E$131)+$E$125</f>
        <v>68.999999999999972</v>
      </c>
      <c r="G129">
        <f t="shared" si="1"/>
        <v>1997.7190000000001</v>
      </c>
    </row>
    <row r="130" spans="1:7" x14ac:dyDescent="0.35">
      <c r="A130" t="s">
        <v>128</v>
      </c>
      <c r="B130">
        <v>-2.221288220721767</v>
      </c>
      <c r="C130">
        <v>25.467266347062434</v>
      </c>
      <c r="F130">
        <f>($E$131-$E$125)*ROWS($F$126:F130)/ROWS($E$126:$E$131)+$E$125</f>
        <v>69.166666666666629</v>
      </c>
      <c r="G130">
        <f t="shared" si="1"/>
        <v>1997.8856666666666</v>
      </c>
    </row>
    <row r="131" spans="1:7" x14ac:dyDescent="0.35">
      <c r="A131" t="s">
        <v>129</v>
      </c>
      <c r="B131">
        <v>-2.1094381875632391</v>
      </c>
      <c r="C131">
        <v>25.365219235815921</v>
      </c>
      <c r="E131">
        <v>69.3333333333333</v>
      </c>
      <c r="F131">
        <f>($E$131-$E$125)*ROWS($F$126:F131)/ROWS($E$126:$E$131)+$E$125</f>
        <v>69.3333333333333</v>
      </c>
      <c r="G131">
        <f t="shared" ref="G131:G142" si="2">2007.249-78.43+F131-0.1</f>
        <v>1998.0523333333333</v>
      </c>
    </row>
    <row r="132" spans="1:7" x14ac:dyDescent="0.35">
      <c r="A132" t="s">
        <v>130</v>
      </c>
      <c r="B132">
        <v>-2.4455521951824823</v>
      </c>
      <c r="C132">
        <v>25.291089773127847</v>
      </c>
      <c r="F132">
        <f>($E$137-$E$131)*ROWS($F$132:F132)/ROWS($E$132:$E$137)+$E$131</f>
        <v>69.499999999999972</v>
      </c>
      <c r="G132">
        <f t="shared" si="2"/>
        <v>1998.2190000000001</v>
      </c>
    </row>
    <row r="133" spans="1:7" x14ac:dyDescent="0.35">
      <c r="A133" t="s">
        <v>131</v>
      </c>
      <c r="B133">
        <v>-2.4957905342237958</v>
      </c>
      <c r="C133">
        <v>25.257817346520298</v>
      </c>
      <c r="F133">
        <f>($E$137-$E$131)*ROWS($F$132:F133)/ROWS($E$132:$E$137)+$E$131</f>
        <v>69.666666666666629</v>
      </c>
      <c r="G133">
        <f t="shared" si="2"/>
        <v>1998.3856666666666</v>
      </c>
    </row>
    <row r="134" spans="1:7" x14ac:dyDescent="0.35">
      <c r="A134" t="s">
        <v>132</v>
      </c>
      <c r="B134">
        <v>-3.3493778082774646</v>
      </c>
      <c r="C134">
        <v>25.515662242283423</v>
      </c>
      <c r="F134">
        <f>($E$137-$E$131)*ROWS($F$132:F134)/ROWS($E$132:$E$137)+$E$131</f>
        <v>69.8333333333333</v>
      </c>
      <c r="G134">
        <f t="shared" si="2"/>
        <v>1998.5523333333333</v>
      </c>
    </row>
    <row r="135" spans="1:7" x14ac:dyDescent="0.35">
      <c r="A135" t="s">
        <v>133</v>
      </c>
      <c r="B135">
        <v>-3.0116087040938173</v>
      </c>
      <c r="C135">
        <v>25.45733355204451</v>
      </c>
      <c r="F135">
        <f>($E$137-$E$131)*ROWS($F$132:F135)/ROWS($E$132:$E$137)+$E$131</f>
        <v>69.999999999999972</v>
      </c>
      <c r="G135">
        <f t="shared" si="2"/>
        <v>1998.7190000000001</v>
      </c>
    </row>
    <row r="136" spans="1:7" x14ac:dyDescent="0.35">
      <c r="A136" t="s">
        <v>134</v>
      </c>
      <c r="B136">
        <v>-2.2169009268132043</v>
      </c>
      <c r="C136">
        <v>25.675888857901953</v>
      </c>
      <c r="F136">
        <f>($E$137-$E$131)*ROWS($F$132:F136)/ROWS($E$132:$E$137)+$E$131</f>
        <v>70.166666666666629</v>
      </c>
      <c r="G136">
        <f t="shared" si="2"/>
        <v>1998.8856666666666</v>
      </c>
    </row>
    <row r="137" spans="1:7" x14ac:dyDescent="0.35">
      <c r="A137" t="s">
        <v>135</v>
      </c>
      <c r="B137">
        <v>-1.9167892945100453</v>
      </c>
      <c r="C137">
        <v>25.480747776567576</v>
      </c>
      <c r="E137">
        <v>70.3333333333333</v>
      </c>
      <c r="F137">
        <f>($E$137-$E$131)*ROWS($F$132:F137)/ROWS($E$132:$E$137)+$E$131</f>
        <v>70.3333333333333</v>
      </c>
      <c r="G137">
        <f t="shared" si="2"/>
        <v>1999.0523333333333</v>
      </c>
    </row>
    <row r="138" spans="1:7" x14ac:dyDescent="0.35">
      <c r="A138" t="s">
        <v>136</v>
      </c>
      <c r="B138">
        <v>-2.0804589037850962</v>
      </c>
      <c r="C138">
        <v>25.313186189160003</v>
      </c>
      <c r="F138">
        <f>($E$142-$E$137)*ROWS($F$138:F138)/ROWS($E$138:$E$142)+$E$137</f>
        <v>70.533333333333303</v>
      </c>
      <c r="G138">
        <f t="shared" si="2"/>
        <v>1999.2523333333334</v>
      </c>
    </row>
    <row r="139" spans="1:7" x14ac:dyDescent="0.35">
      <c r="A139" t="s">
        <v>137</v>
      </c>
      <c r="B139">
        <v>-2.2582813597035321</v>
      </c>
      <c r="C139">
        <v>25.382704813988557</v>
      </c>
      <c r="F139">
        <f>($E$142-$E$137)*ROWS($F$138:F139)/ROWS($E$138:$E$142)+$E$137</f>
        <v>70.733333333333306</v>
      </c>
      <c r="G139">
        <f t="shared" si="2"/>
        <v>1999.4523333333334</v>
      </c>
    </row>
    <row r="140" spans="1:7" x14ac:dyDescent="0.35">
      <c r="A140" t="s">
        <v>138</v>
      </c>
      <c r="B140">
        <v>-2.3019009225033407</v>
      </c>
      <c r="C140">
        <v>25.240476478638556</v>
      </c>
      <c r="F140">
        <f>($E$142-$E$137)*ROWS($F$138:F140)/ROWS($E$138:$E$142)+$E$137</f>
        <v>70.933333333333294</v>
      </c>
      <c r="G140">
        <f t="shared" si="2"/>
        <v>1999.6523333333334</v>
      </c>
    </row>
    <row r="141" spans="1:7" x14ac:dyDescent="0.35">
      <c r="A141" t="s">
        <v>139</v>
      </c>
      <c r="B141">
        <v>-2.9613202533009781</v>
      </c>
      <c r="C141">
        <v>25.593626279036947</v>
      </c>
      <c r="F141">
        <f>($E$142-$E$137)*ROWS($F$138:F141)/ROWS($E$138:$E$142)+$E$137</f>
        <v>71.133333333333297</v>
      </c>
      <c r="G141">
        <f t="shared" si="2"/>
        <v>1999.8523333333333</v>
      </c>
    </row>
    <row r="142" spans="1:7" x14ac:dyDescent="0.35">
      <c r="A142" t="s">
        <v>140</v>
      </c>
      <c r="B142">
        <v>-2.5670609162563154</v>
      </c>
      <c r="C142">
        <v>25.732648112821128</v>
      </c>
      <c r="E142">
        <v>71.3333333333333</v>
      </c>
      <c r="F142">
        <f>($E$142-$E$137)*ROWS($F$138:F142)/ROWS($E$138:$E$142)+$E$137</f>
        <v>71.3333333333333</v>
      </c>
      <c r="G142">
        <f t="shared" si="2"/>
        <v>2000.0523333333333</v>
      </c>
    </row>
  </sheetData>
  <sortState xmlns:xlrd2="http://schemas.microsoft.com/office/spreadsheetml/2017/richdata2" ref="N34:S62">
    <sortCondition descending="1" ref="N34:N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2015-06-05T18:19:34Z</dcterms:created>
  <dcterms:modified xsi:type="dcterms:W3CDTF">2026-04-02T06:01:26Z</dcterms:modified>
</cp:coreProperties>
</file>